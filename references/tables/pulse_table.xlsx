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ingshen/Work/projects/pulse_extraction/references/tables/"/>
    </mc:Choice>
  </mc:AlternateContent>
  <xr:revisionPtr revIDLastSave="0" documentId="8_{4F894774-1C6E-7A4B-9CDB-709EEFBA1B37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Overview" sheetId="1" r:id="rId1"/>
    <sheet name="Sources_method" sheetId="4" r:id="rId2"/>
    <sheet name="Station_coords" sheetId="3" r:id="rId3"/>
    <sheet name="Event_sources" sheetId="13" r:id="rId4"/>
    <sheet name="Finite_fault_segments" sheetId="14" r:id="rId5"/>
    <sheet name="Event_match_audit" sheetId="15" r:id="rId6"/>
    <sheet name="Pulse_records" sheetId="2" r:id="rId7"/>
    <sheet name="S&amp;B" sheetId="6" r:id="rId8"/>
    <sheet name="NCREE" sheetId="11" r:id="rId9"/>
    <sheet name="YEN" sheetId="12" r:id="rId10"/>
    <sheet name="Distance_check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02" i="16" l="1"/>
  <c r="M702" i="16"/>
  <c r="N702" i="16" s="1"/>
  <c r="S701" i="16"/>
  <c r="M701" i="16"/>
  <c r="N701" i="16" s="1"/>
  <c r="S700" i="16"/>
  <c r="M700" i="16"/>
  <c r="N700" i="16" s="1"/>
  <c r="S699" i="16"/>
  <c r="M699" i="16"/>
  <c r="N699" i="16" s="1"/>
  <c r="S698" i="16"/>
  <c r="M698" i="16"/>
  <c r="N698" i="16" s="1"/>
  <c r="S697" i="16"/>
  <c r="M697" i="16"/>
  <c r="N697" i="16" s="1"/>
  <c r="S696" i="16"/>
  <c r="M696" i="16"/>
  <c r="N696" i="16" s="1"/>
  <c r="S695" i="16"/>
  <c r="M695" i="16"/>
  <c r="N695" i="16" s="1"/>
  <c r="S694" i="16"/>
  <c r="M694" i="16"/>
  <c r="N694" i="16" s="1"/>
  <c r="S693" i="16"/>
  <c r="M693" i="16"/>
  <c r="N693" i="16" s="1"/>
  <c r="S692" i="16"/>
  <c r="M692" i="16"/>
  <c r="N692" i="16" s="1"/>
  <c r="S691" i="16"/>
  <c r="M691" i="16"/>
  <c r="N691" i="16" s="1"/>
  <c r="S690" i="16"/>
  <c r="M690" i="16"/>
  <c r="N690" i="16" s="1"/>
  <c r="S689" i="16"/>
  <c r="M689" i="16"/>
  <c r="N689" i="16" s="1"/>
  <c r="S688" i="16"/>
  <c r="M688" i="16"/>
  <c r="N688" i="16" s="1"/>
  <c r="S687" i="16"/>
  <c r="M687" i="16"/>
  <c r="N687" i="16" s="1"/>
  <c r="S686" i="16"/>
  <c r="M686" i="16"/>
  <c r="N686" i="16" s="1"/>
  <c r="S685" i="16"/>
  <c r="M685" i="16"/>
  <c r="N685" i="16" s="1"/>
  <c r="S684" i="16"/>
  <c r="M684" i="16"/>
  <c r="N684" i="16" s="1"/>
  <c r="S683" i="16"/>
  <c r="M683" i="16"/>
  <c r="N683" i="16" s="1"/>
  <c r="S682" i="16"/>
  <c r="M682" i="16"/>
  <c r="N682" i="16" s="1"/>
  <c r="S681" i="16"/>
  <c r="M681" i="16"/>
  <c r="N681" i="16" s="1"/>
  <c r="S680" i="16"/>
  <c r="M680" i="16"/>
  <c r="N680" i="16" s="1"/>
  <c r="S679" i="16"/>
  <c r="M679" i="16"/>
  <c r="N679" i="16" s="1"/>
  <c r="S678" i="16"/>
  <c r="M678" i="16"/>
  <c r="N678" i="16" s="1"/>
  <c r="S677" i="16"/>
  <c r="M677" i="16"/>
  <c r="N677" i="16" s="1"/>
  <c r="S676" i="16"/>
  <c r="M676" i="16"/>
  <c r="N676" i="16" s="1"/>
  <c r="S675" i="16"/>
  <c r="M675" i="16"/>
  <c r="N675" i="16" s="1"/>
  <c r="S674" i="16"/>
  <c r="M674" i="16"/>
  <c r="N674" i="16" s="1"/>
  <c r="S673" i="16"/>
  <c r="M673" i="16"/>
  <c r="N673" i="16" s="1"/>
  <c r="V672" i="16"/>
  <c r="S672" i="16"/>
  <c r="M672" i="16"/>
  <c r="N672" i="16" s="1"/>
  <c r="V671" i="16"/>
  <c r="S671" i="16"/>
  <c r="M671" i="16"/>
  <c r="N671" i="16" s="1"/>
  <c r="V670" i="16"/>
  <c r="S670" i="16"/>
  <c r="M670" i="16"/>
  <c r="N670" i="16" s="1"/>
  <c r="V669" i="16"/>
  <c r="S669" i="16"/>
  <c r="M669" i="16"/>
  <c r="N669" i="16" s="1"/>
  <c r="AD668" i="16"/>
  <c r="M668" i="16"/>
  <c r="N668" i="16" s="1"/>
  <c r="AD667" i="16"/>
  <c r="N667" i="16"/>
  <c r="M667" i="16"/>
  <c r="AD666" i="16"/>
  <c r="Q666" i="16"/>
  <c r="N666" i="16"/>
  <c r="V666" i="16" s="1"/>
  <c r="M666" i="16"/>
  <c r="AD665" i="16"/>
  <c r="V665" i="16"/>
  <c r="Q665" i="16"/>
  <c r="M665" i="16"/>
  <c r="N665" i="16" s="1"/>
  <c r="V664" i="16"/>
  <c r="S664" i="16"/>
  <c r="M664" i="16"/>
  <c r="N664" i="16" s="1"/>
  <c r="V663" i="16"/>
  <c r="S663" i="16"/>
  <c r="N663" i="16"/>
  <c r="M663" i="16"/>
  <c r="S662" i="16"/>
  <c r="M662" i="16"/>
  <c r="N662" i="16" s="1"/>
  <c r="S661" i="16"/>
  <c r="M661" i="16"/>
  <c r="N661" i="16" s="1"/>
  <c r="V660" i="16"/>
  <c r="S660" i="16"/>
  <c r="Q660" i="16"/>
  <c r="N660" i="16"/>
  <c r="M660" i="16"/>
  <c r="S659" i="16"/>
  <c r="M659" i="16"/>
  <c r="N659" i="16" s="1"/>
  <c r="S658" i="16"/>
  <c r="M658" i="16"/>
  <c r="N658" i="16" s="1"/>
  <c r="S657" i="16"/>
  <c r="Q657" i="16"/>
  <c r="M657" i="16"/>
  <c r="N657" i="16" s="1"/>
  <c r="S656" i="16"/>
  <c r="M656" i="16"/>
  <c r="N656" i="16" s="1"/>
  <c r="V655" i="16"/>
  <c r="S655" i="16"/>
  <c r="N655" i="16"/>
  <c r="M655" i="16"/>
  <c r="S654" i="16"/>
  <c r="M654" i="16"/>
  <c r="N654" i="16" s="1"/>
  <c r="S653" i="16"/>
  <c r="M653" i="16"/>
  <c r="N653" i="16" s="1"/>
  <c r="V652" i="16"/>
  <c r="S652" i="16"/>
  <c r="Q652" i="16"/>
  <c r="N652" i="16"/>
  <c r="M652" i="16"/>
  <c r="S651" i="16"/>
  <c r="N651" i="16"/>
  <c r="M651" i="16"/>
  <c r="S650" i="16"/>
  <c r="M650" i="16"/>
  <c r="N650" i="16" s="1"/>
  <c r="V649" i="16"/>
  <c r="S649" i="16"/>
  <c r="Q649" i="16"/>
  <c r="M649" i="16"/>
  <c r="N649" i="16" s="1"/>
  <c r="S648" i="16"/>
  <c r="Q648" i="16"/>
  <c r="M648" i="16"/>
  <c r="N648" i="16" s="1"/>
  <c r="V647" i="16"/>
  <c r="S647" i="16"/>
  <c r="N647" i="16"/>
  <c r="M647" i="16"/>
  <c r="S646" i="16"/>
  <c r="N646" i="16"/>
  <c r="M646" i="16"/>
  <c r="S645" i="16"/>
  <c r="Q645" i="16"/>
  <c r="M645" i="16"/>
  <c r="N645" i="16" s="1"/>
  <c r="V644" i="16"/>
  <c r="S644" i="16"/>
  <c r="N644" i="16"/>
  <c r="M644" i="16"/>
  <c r="S643" i="16"/>
  <c r="N643" i="16"/>
  <c r="M643" i="16"/>
  <c r="S642" i="16"/>
  <c r="M642" i="16"/>
  <c r="N642" i="16" s="1"/>
  <c r="V641" i="16"/>
  <c r="S641" i="16"/>
  <c r="Q641" i="16"/>
  <c r="M641" i="16"/>
  <c r="N641" i="16" s="1"/>
  <c r="S640" i="16"/>
  <c r="M640" i="16"/>
  <c r="N640" i="16" s="1"/>
  <c r="S639" i="16"/>
  <c r="N639" i="16"/>
  <c r="M639" i="16"/>
  <c r="S638" i="16"/>
  <c r="Q638" i="16"/>
  <c r="N638" i="16"/>
  <c r="M638" i="16"/>
  <c r="S637" i="16"/>
  <c r="Q637" i="16"/>
  <c r="M637" i="16"/>
  <c r="N637" i="16" s="1"/>
  <c r="S636" i="16"/>
  <c r="N636" i="16"/>
  <c r="M636" i="16"/>
  <c r="V635" i="16"/>
  <c r="S635" i="16"/>
  <c r="N635" i="16"/>
  <c r="M635" i="16"/>
  <c r="S634" i="16"/>
  <c r="N634" i="16"/>
  <c r="M634" i="16"/>
  <c r="V633" i="16"/>
  <c r="S633" i="16"/>
  <c r="M633" i="16"/>
  <c r="N633" i="16" s="1"/>
  <c r="V632" i="16"/>
  <c r="S632" i="16"/>
  <c r="M632" i="16"/>
  <c r="N632" i="16" s="1"/>
  <c r="S631" i="16"/>
  <c r="N631" i="16"/>
  <c r="M631" i="16"/>
  <c r="S630" i="16"/>
  <c r="M630" i="16"/>
  <c r="N630" i="16" s="1"/>
  <c r="S629" i="16"/>
  <c r="M629" i="16"/>
  <c r="N629" i="16" s="1"/>
  <c r="S628" i="16"/>
  <c r="N628" i="16"/>
  <c r="M628" i="16"/>
  <c r="S627" i="16"/>
  <c r="M627" i="16"/>
  <c r="N627" i="16" s="1"/>
  <c r="S626" i="16"/>
  <c r="M626" i="16"/>
  <c r="N626" i="16" s="1"/>
  <c r="V625" i="16"/>
  <c r="S625" i="16"/>
  <c r="Q625" i="16"/>
  <c r="M625" i="16"/>
  <c r="N625" i="16" s="1"/>
  <c r="V624" i="16"/>
  <c r="S624" i="16"/>
  <c r="Q624" i="16"/>
  <c r="M624" i="16"/>
  <c r="N624" i="16" s="1"/>
  <c r="S623" i="16"/>
  <c r="N623" i="16"/>
  <c r="M623" i="16"/>
  <c r="S622" i="16"/>
  <c r="M622" i="16"/>
  <c r="N622" i="16" s="1"/>
  <c r="S621" i="16"/>
  <c r="Q621" i="16"/>
  <c r="M621" i="16"/>
  <c r="N621" i="16" s="1"/>
  <c r="S620" i="16"/>
  <c r="Q620" i="16"/>
  <c r="N620" i="16"/>
  <c r="M620" i="16"/>
  <c r="S619" i="16"/>
  <c r="M619" i="16"/>
  <c r="N619" i="16" s="1"/>
  <c r="S618" i="16"/>
  <c r="N618" i="16"/>
  <c r="M618" i="16"/>
  <c r="S617" i="16"/>
  <c r="N617" i="16"/>
  <c r="M617" i="16"/>
  <c r="S616" i="16"/>
  <c r="M616" i="16"/>
  <c r="N616" i="16" s="1"/>
  <c r="S615" i="16"/>
  <c r="M615" i="16"/>
  <c r="N615" i="16" s="1"/>
  <c r="S614" i="16"/>
  <c r="M614" i="16"/>
  <c r="N614" i="16" s="1"/>
  <c r="S613" i="16"/>
  <c r="O613" i="16"/>
  <c r="N613" i="16"/>
  <c r="M613" i="16"/>
  <c r="S612" i="16"/>
  <c r="O612" i="16"/>
  <c r="M612" i="16"/>
  <c r="N612" i="16" s="1"/>
  <c r="S611" i="16"/>
  <c r="M611" i="16"/>
  <c r="N611" i="16" s="1"/>
  <c r="S610" i="16"/>
  <c r="N610" i="16"/>
  <c r="M610" i="16"/>
  <c r="S609" i="16"/>
  <c r="N609" i="16"/>
  <c r="M609" i="16"/>
  <c r="S608" i="16"/>
  <c r="M608" i="16"/>
  <c r="N608" i="16" s="1"/>
  <c r="S607" i="16"/>
  <c r="M607" i="16"/>
  <c r="N607" i="16" s="1"/>
  <c r="S606" i="16"/>
  <c r="M606" i="16"/>
  <c r="N606" i="16" s="1"/>
  <c r="S605" i="16"/>
  <c r="O605" i="16"/>
  <c r="N605" i="16"/>
  <c r="M605" i="16"/>
  <c r="V604" i="16"/>
  <c r="S604" i="16"/>
  <c r="N604" i="16"/>
  <c r="M604" i="16"/>
  <c r="S603" i="16"/>
  <c r="O603" i="16"/>
  <c r="N603" i="16"/>
  <c r="M603" i="16"/>
  <c r="S602" i="16"/>
  <c r="M602" i="16"/>
  <c r="N602" i="16" s="1"/>
  <c r="V601" i="16"/>
  <c r="S601" i="16"/>
  <c r="O601" i="16"/>
  <c r="N601" i="16"/>
  <c r="M601" i="16"/>
  <c r="S600" i="16"/>
  <c r="N600" i="16"/>
  <c r="M600" i="16"/>
  <c r="S599" i="16"/>
  <c r="O599" i="16"/>
  <c r="N599" i="16"/>
  <c r="M599" i="16"/>
  <c r="V598" i="16"/>
  <c r="S598" i="16"/>
  <c r="M598" i="16"/>
  <c r="N598" i="16" s="1"/>
  <c r="V597" i="16"/>
  <c r="S597" i="16"/>
  <c r="M597" i="16"/>
  <c r="N597" i="16" s="1"/>
  <c r="S596" i="16"/>
  <c r="N596" i="16"/>
  <c r="M596" i="16"/>
  <c r="S595" i="16"/>
  <c r="N595" i="16"/>
  <c r="M595" i="16"/>
  <c r="V594" i="16"/>
  <c r="S594" i="16"/>
  <c r="N594" i="16"/>
  <c r="M594" i="16"/>
  <c r="S593" i="16"/>
  <c r="M593" i="16"/>
  <c r="N593" i="16" s="1"/>
  <c r="S592" i="16"/>
  <c r="M592" i="16"/>
  <c r="N592" i="16" s="1"/>
  <c r="S591" i="16"/>
  <c r="N591" i="16"/>
  <c r="M591" i="16"/>
  <c r="S590" i="16"/>
  <c r="M590" i="16"/>
  <c r="N590" i="16" s="1"/>
  <c r="V589" i="16"/>
  <c r="S589" i="16"/>
  <c r="O589" i="16"/>
  <c r="M589" i="16"/>
  <c r="N589" i="16" s="1"/>
  <c r="S588" i="16"/>
  <c r="M588" i="16"/>
  <c r="N588" i="16" s="1"/>
  <c r="S587" i="16"/>
  <c r="N587" i="16"/>
  <c r="M587" i="16"/>
  <c r="V586" i="16"/>
  <c r="S586" i="16"/>
  <c r="M586" i="16"/>
  <c r="N586" i="16" s="1"/>
  <c r="S585" i="16"/>
  <c r="M585" i="16"/>
  <c r="N585" i="16" s="1"/>
  <c r="V584" i="16"/>
  <c r="S584" i="16"/>
  <c r="R584" i="16"/>
  <c r="N584" i="16"/>
  <c r="M584" i="16"/>
  <c r="S583" i="16"/>
  <c r="N583" i="16"/>
  <c r="M583" i="16"/>
  <c r="S582" i="16"/>
  <c r="M582" i="16"/>
  <c r="N582" i="16" s="1"/>
  <c r="S581" i="16"/>
  <c r="R581" i="16"/>
  <c r="O581" i="16"/>
  <c r="M581" i="16"/>
  <c r="N581" i="16" s="1"/>
  <c r="S580" i="16"/>
  <c r="N580" i="16"/>
  <c r="M580" i="16"/>
  <c r="S579" i="16"/>
  <c r="R579" i="16"/>
  <c r="O579" i="16"/>
  <c r="N579" i="16"/>
  <c r="M579" i="16"/>
  <c r="S578" i="16"/>
  <c r="N578" i="16"/>
  <c r="M578" i="16"/>
  <c r="S577" i="16"/>
  <c r="M577" i="16"/>
  <c r="N577" i="16" s="1"/>
  <c r="S576" i="16"/>
  <c r="R576" i="16"/>
  <c r="N576" i="16"/>
  <c r="M576" i="16"/>
  <c r="S575" i="16"/>
  <c r="N575" i="16"/>
  <c r="M575" i="16"/>
  <c r="S574" i="16"/>
  <c r="N574" i="16"/>
  <c r="M574" i="16"/>
  <c r="S573" i="16"/>
  <c r="R573" i="16"/>
  <c r="O573" i="16"/>
  <c r="M573" i="16"/>
  <c r="N573" i="16" s="1"/>
  <c r="S572" i="16"/>
  <c r="N572" i="16"/>
  <c r="M572" i="16"/>
  <c r="S571" i="16"/>
  <c r="R571" i="16"/>
  <c r="P571" i="16"/>
  <c r="N571" i="16"/>
  <c r="M571" i="16"/>
  <c r="S570" i="16"/>
  <c r="M570" i="16"/>
  <c r="N570" i="16" s="1"/>
  <c r="V569" i="16"/>
  <c r="S569" i="16"/>
  <c r="N569" i="16"/>
  <c r="M569" i="16"/>
  <c r="S568" i="16"/>
  <c r="O568" i="16"/>
  <c r="N568" i="16"/>
  <c r="M568" i="16"/>
  <c r="S567" i="16"/>
  <c r="N567" i="16"/>
  <c r="M567" i="16"/>
  <c r="V566" i="16"/>
  <c r="S566" i="16"/>
  <c r="R566" i="16"/>
  <c r="P566" i="16"/>
  <c r="M566" i="16"/>
  <c r="N566" i="16" s="1"/>
  <c r="S565" i="16"/>
  <c r="M565" i="16"/>
  <c r="N565" i="16" s="1"/>
  <c r="S564" i="16"/>
  <c r="O564" i="16"/>
  <c r="N564" i="16"/>
  <c r="M564" i="16"/>
  <c r="S563" i="16"/>
  <c r="O563" i="16"/>
  <c r="N563" i="16"/>
  <c r="M563" i="16"/>
  <c r="S562" i="16"/>
  <c r="M562" i="16"/>
  <c r="N562" i="16" s="1"/>
  <c r="S561" i="16"/>
  <c r="M561" i="16"/>
  <c r="N561" i="16" s="1"/>
  <c r="S560" i="16"/>
  <c r="R560" i="16"/>
  <c r="Q560" i="16"/>
  <c r="P560" i="16"/>
  <c r="O560" i="16"/>
  <c r="N560" i="16"/>
  <c r="V560" i="16" s="1"/>
  <c r="M560" i="16"/>
  <c r="S559" i="16"/>
  <c r="P559" i="16"/>
  <c r="O559" i="16"/>
  <c r="N559" i="16"/>
  <c r="M559" i="16"/>
  <c r="S558" i="16"/>
  <c r="N558" i="16"/>
  <c r="M558" i="16"/>
  <c r="S557" i="16"/>
  <c r="M557" i="16"/>
  <c r="N557" i="16" s="1"/>
  <c r="S556" i="16"/>
  <c r="M556" i="16"/>
  <c r="N556" i="16" s="1"/>
  <c r="S555" i="16"/>
  <c r="O555" i="16"/>
  <c r="N555" i="16"/>
  <c r="M555" i="16"/>
  <c r="S554" i="16"/>
  <c r="Q554" i="16"/>
  <c r="N554" i="16"/>
  <c r="M554" i="16"/>
  <c r="S553" i="16"/>
  <c r="R553" i="16"/>
  <c r="Q553" i="16"/>
  <c r="M553" i="16"/>
  <c r="N553" i="16" s="1"/>
  <c r="S552" i="16"/>
  <c r="R552" i="16"/>
  <c r="Q552" i="16"/>
  <c r="P552" i="16"/>
  <c r="O552" i="16"/>
  <c r="N552" i="16"/>
  <c r="V552" i="16" s="1"/>
  <c r="M552" i="16"/>
  <c r="S551" i="16"/>
  <c r="R551" i="16"/>
  <c r="O551" i="16"/>
  <c r="N551" i="16"/>
  <c r="M551" i="16"/>
  <c r="S550" i="16"/>
  <c r="Q550" i="16"/>
  <c r="N550" i="16"/>
  <c r="M550" i="16"/>
  <c r="S549" i="16"/>
  <c r="O549" i="16"/>
  <c r="N549" i="16"/>
  <c r="M549" i="16"/>
  <c r="S548" i="16"/>
  <c r="P548" i="16"/>
  <c r="O548" i="16"/>
  <c r="M548" i="16"/>
  <c r="N548" i="16" s="1"/>
  <c r="S547" i="16"/>
  <c r="N547" i="16"/>
  <c r="M547" i="16"/>
  <c r="S546" i="16"/>
  <c r="N546" i="16"/>
  <c r="M546" i="16"/>
  <c r="S545" i="16"/>
  <c r="R545" i="16"/>
  <c r="Q545" i="16"/>
  <c r="P545" i="16"/>
  <c r="M545" i="16"/>
  <c r="N545" i="16" s="1"/>
  <c r="S544" i="16"/>
  <c r="R544" i="16"/>
  <c r="Q544" i="16"/>
  <c r="P544" i="16"/>
  <c r="O544" i="16"/>
  <c r="N544" i="16"/>
  <c r="V544" i="16" s="1"/>
  <c r="M544" i="16"/>
  <c r="S543" i="16"/>
  <c r="N543" i="16"/>
  <c r="M543" i="16"/>
  <c r="S542" i="16"/>
  <c r="M542" i="16"/>
  <c r="N542" i="16" s="1"/>
  <c r="S541" i="16"/>
  <c r="N541" i="16"/>
  <c r="M541" i="16"/>
  <c r="S540" i="16"/>
  <c r="P540" i="16"/>
  <c r="N540" i="16"/>
  <c r="M540" i="16"/>
  <c r="S539" i="16"/>
  <c r="M539" i="16"/>
  <c r="N539" i="16" s="1"/>
  <c r="S538" i="16"/>
  <c r="R538" i="16"/>
  <c r="M538" i="16"/>
  <c r="N538" i="16" s="1"/>
  <c r="S537" i="16"/>
  <c r="Q537" i="16"/>
  <c r="M537" i="16"/>
  <c r="N537" i="16" s="1"/>
  <c r="S536" i="16"/>
  <c r="R536" i="16"/>
  <c r="Q536" i="16"/>
  <c r="P536" i="16"/>
  <c r="O536" i="16"/>
  <c r="N536" i="16"/>
  <c r="V536" i="16" s="1"/>
  <c r="M536" i="16"/>
  <c r="S535" i="16"/>
  <c r="P535" i="16"/>
  <c r="O535" i="16"/>
  <c r="N535" i="16"/>
  <c r="V535" i="16" s="1"/>
  <c r="M535" i="16"/>
  <c r="S534" i="16"/>
  <c r="R534" i="16"/>
  <c r="N534" i="16"/>
  <c r="M534" i="16"/>
  <c r="S533" i="16"/>
  <c r="M533" i="16"/>
  <c r="N533" i="16" s="1"/>
  <c r="S532" i="16"/>
  <c r="M532" i="16"/>
  <c r="N532" i="16" s="1"/>
  <c r="S531" i="16"/>
  <c r="O531" i="16"/>
  <c r="N531" i="16"/>
  <c r="M531" i="16"/>
  <c r="S530" i="16"/>
  <c r="M530" i="16"/>
  <c r="N530" i="16" s="1"/>
  <c r="S529" i="16"/>
  <c r="M529" i="16"/>
  <c r="N529" i="16" s="1"/>
  <c r="S528" i="16"/>
  <c r="R528" i="16"/>
  <c r="Q528" i="16"/>
  <c r="P528" i="16"/>
  <c r="O528" i="16"/>
  <c r="N528" i="16"/>
  <c r="V528" i="16" s="1"/>
  <c r="M528" i="16"/>
  <c r="S527" i="16"/>
  <c r="R527" i="16"/>
  <c r="N527" i="16"/>
  <c r="M527" i="16"/>
  <c r="S526" i="16"/>
  <c r="N526" i="16"/>
  <c r="M526" i="16"/>
  <c r="S525" i="16"/>
  <c r="P525" i="16"/>
  <c r="M525" i="16"/>
  <c r="N525" i="16" s="1"/>
  <c r="S524" i="16"/>
  <c r="N524" i="16"/>
  <c r="M524" i="16"/>
  <c r="S523" i="16"/>
  <c r="N523" i="16"/>
  <c r="M523" i="16"/>
  <c r="S522" i="16"/>
  <c r="N522" i="16"/>
  <c r="M522" i="16"/>
  <c r="S521" i="16"/>
  <c r="R521" i="16"/>
  <c r="Q521" i="16"/>
  <c r="M521" i="16"/>
  <c r="N521" i="16" s="1"/>
  <c r="S520" i="16"/>
  <c r="R520" i="16"/>
  <c r="Q520" i="16"/>
  <c r="P520" i="16"/>
  <c r="O520" i="16"/>
  <c r="N520" i="16"/>
  <c r="V520" i="16" s="1"/>
  <c r="M520" i="16"/>
  <c r="S519" i="16"/>
  <c r="N519" i="16"/>
  <c r="M519" i="16"/>
  <c r="S518" i="16"/>
  <c r="R518" i="16"/>
  <c r="Q518" i="16"/>
  <c r="P518" i="16"/>
  <c r="M518" i="16"/>
  <c r="N518" i="16" s="1"/>
  <c r="S517" i="16"/>
  <c r="P517" i="16"/>
  <c r="N517" i="16"/>
  <c r="M517" i="16"/>
  <c r="S516" i="16"/>
  <c r="M516" i="16"/>
  <c r="N516" i="16" s="1"/>
  <c r="S515" i="16"/>
  <c r="M515" i="16"/>
  <c r="N515" i="16" s="1"/>
  <c r="S514" i="16"/>
  <c r="N514" i="16"/>
  <c r="M514" i="16"/>
  <c r="S513" i="16"/>
  <c r="Q513" i="16"/>
  <c r="P513" i="16"/>
  <c r="M513" i="16"/>
  <c r="N513" i="16" s="1"/>
  <c r="S512" i="16"/>
  <c r="R512" i="16"/>
  <c r="Q512" i="16"/>
  <c r="P512" i="16"/>
  <c r="O512" i="16"/>
  <c r="N512" i="16"/>
  <c r="V512" i="16" s="1"/>
  <c r="M512" i="16"/>
  <c r="S511" i="16"/>
  <c r="R511" i="16"/>
  <c r="Q511" i="16"/>
  <c r="P511" i="16"/>
  <c r="M511" i="16"/>
  <c r="N511" i="16" s="1"/>
  <c r="S510" i="16"/>
  <c r="Q510" i="16"/>
  <c r="M510" i="16"/>
  <c r="N510" i="16" s="1"/>
  <c r="S509" i="16"/>
  <c r="M509" i="16"/>
  <c r="N509" i="16" s="1"/>
  <c r="S508" i="16"/>
  <c r="M508" i="16"/>
  <c r="N508" i="16" s="1"/>
  <c r="S507" i="16"/>
  <c r="M507" i="16"/>
  <c r="N507" i="16" s="1"/>
  <c r="S506" i="16"/>
  <c r="M506" i="16"/>
  <c r="N506" i="16" s="1"/>
  <c r="S505" i="16"/>
  <c r="R505" i="16"/>
  <c r="P505" i="16"/>
  <c r="M505" i="16"/>
  <c r="N505" i="16" s="1"/>
  <c r="S504" i="16"/>
  <c r="Q504" i="16"/>
  <c r="P504" i="16"/>
  <c r="N504" i="16"/>
  <c r="M504" i="16"/>
  <c r="S503" i="16"/>
  <c r="M503" i="16"/>
  <c r="N503" i="16" s="1"/>
  <c r="S502" i="16"/>
  <c r="N502" i="16"/>
  <c r="M502" i="16"/>
  <c r="S501" i="16"/>
  <c r="P501" i="16"/>
  <c r="M501" i="16"/>
  <c r="N501" i="16" s="1"/>
  <c r="S500" i="16"/>
  <c r="O500" i="16"/>
  <c r="N500" i="16"/>
  <c r="M500" i="16"/>
  <c r="S499" i="16"/>
  <c r="R499" i="16"/>
  <c r="Q499" i="16"/>
  <c r="N499" i="16"/>
  <c r="M499" i="16"/>
  <c r="S498" i="16"/>
  <c r="P498" i="16"/>
  <c r="N498" i="16"/>
  <c r="M498" i="16"/>
  <c r="S497" i="16"/>
  <c r="R497" i="16"/>
  <c r="Q497" i="16"/>
  <c r="M497" i="16"/>
  <c r="N497" i="16" s="1"/>
  <c r="S496" i="16"/>
  <c r="R496" i="16"/>
  <c r="Q496" i="16"/>
  <c r="P496" i="16"/>
  <c r="O496" i="16"/>
  <c r="N496" i="16"/>
  <c r="V496" i="16" s="1"/>
  <c r="M496" i="16"/>
  <c r="S495" i="16"/>
  <c r="R495" i="16"/>
  <c r="P495" i="16"/>
  <c r="N495" i="16"/>
  <c r="M495" i="16"/>
  <c r="S494" i="16"/>
  <c r="R494" i="16"/>
  <c r="N494" i="16"/>
  <c r="M494" i="16"/>
  <c r="S493" i="16"/>
  <c r="M493" i="16"/>
  <c r="N493" i="16" s="1"/>
  <c r="S492" i="16"/>
  <c r="N492" i="16"/>
  <c r="M492" i="16"/>
  <c r="S491" i="16"/>
  <c r="R491" i="16"/>
  <c r="Q491" i="16"/>
  <c r="O491" i="16"/>
  <c r="N491" i="16"/>
  <c r="M491" i="16"/>
  <c r="S490" i="16"/>
  <c r="M490" i="16"/>
  <c r="N490" i="16" s="1"/>
  <c r="S489" i="16"/>
  <c r="M489" i="16"/>
  <c r="N489" i="16" s="1"/>
  <c r="S488" i="16"/>
  <c r="N488" i="16"/>
  <c r="M488" i="16"/>
  <c r="S487" i="16"/>
  <c r="M487" i="16"/>
  <c r="N487" i="16" s="1"/>
  <c r="S486" i="16"/>
  <c r="M486" i="16"/>
  <c r="N486" i="16" s="1"/>
  <c r="S485" i="16"/>
  <c r="N485" i="16"/>
  <c r="M485" i="16"/>
  <c r="S484" i="16"/>
  <c r="P484" i="16"/>
  <c r="N484" i="16"/>
  <c r="M484" i="16"/>
  <c r="S483" i="16"/>
  <c r="N483" i="16"/>
  <c r="M483" i="16"/>
  <c r="S482" i="16"/>
  <c r="R482" i="16"/>
  <c r="Q482" i="16"/>
  <c r="M482" i="16"/>
  <c r="N482" i="16" s="1"/>
  <c r="S481" i="16"/>
  <c r="R481" i="16"/>
  <c r="Q481" i="16"/>
  <c r="P481" i="16"/>
  <c r="O481" i="16"/>
  <c r="M481" i="16"/>
  <c r="N481" i="16" s="1"/>
  <c r="V481" i="16" s="1"/>
  <c r="S480" i="16"/>
  <c r="N480" i="16"/>
  <c r="M480" i="16"/>
  <c r="S479" i="16"/>
  <c r="P479" i="16"/>
  <c r="M479" i="16"/>
  <c r="N479" i="16" s="1"/>
  <c r="S478" i="16"/>
  <c r="P478" i="16"/>
  <c r="O478" i="16"/>
  <c r="M478" i="16"/>
  <c r="N478" i="16" s="1"/>
  <c r="S477" i="16"/>
  <c r="M477" i="16"/>
  <c r="N477" i="16" s="1"/>
  <c r="S476" i="16"/>
  <c r="M476" i="16"/>
  <c r="N476" i="16" s="1"/>
  <c r="S475" i="16"/>
  <c r="N475" i="16"/>
  <c r="M475" i="16"/>
  <c r="S474" i="16"/>
  <c r="P474" i="16"/>
  <c r="M474" i="16"/>
  <c r="N474" i="16" s="1"/>
  <c r="S473" i="16"/>
  <c r="O473" i="16"/>
  <c r="M473" i="16"/>
  <c r="N473" i="16" s="1"/>
  <c r="S472" i="16"/>
  <c r="R472" i="16"/>
  <c r="Q472" i="16"/>
  <c r="P472" i="16"/>
  <c r="N472" i="16"/>
  <c r="V472" i="16" s="1"/>
  <c r="M472" i="16"/>
  <c r="S471" i="16"/>
  <c r="Q471" i="16"/>
  <c r="P471" i="16"/>
  <c r="M471" i="16"/>
  <c r="N471" i="16" s="1"/>
  <c r="S470" i="16"/>
  <c r="O470" i="16"/>
  <c r="N470" i="16"/>
  <c r="M470" i="16"/>
  <c r="S469" i="16"/>
  <c r="Q469" i="16"/>
  <c r="P469" i="16"/>
  <c r="M469" i="16"/>
  <c r="N469" i="16" s="1"/>
  <c r="S468" i="16"/>
  <c r="O468" i="16"/>
  <c r="N468" i="16"/>
  <c r="M468" i="16"/>
  <c r="S467" i="16"/>
  <c r="R467" i="16"/>
  <c r="M467" i="16"/>
  <c r="N467" i="16" s="1"/>
  <c r="S466" i="16"/>
  <c r="Q466" i="16"/>
  <c r="P466" i="16"/>
  <c r="M466" i="16"/>
  <c r="N466" i="16" s="1"/>
  <c r="S465" i="16"/>
  <c r="O465" i="16"/>
  <c r="N465" i="16"/>
  <c r="M465" i="16"/>
  <c r="S464" i="16"/>
  <c r="R464" i="16"/>
  <c r="Q464" i="16"/>
  <c r="M464" i="16"/>
  <c r="N464" i="16" s="1"/>
  <c r="S463" i="16"/>
  <c r="M463" i="16"/>
  <c r="N463" i="16" s="1"/>
  <c r="S462" i="16"/>
  <c r="O462" i="16"/>
  <c r="M462" i="16"/>
  <c r="N462" i="16" s="1"/>
  <c r="S461" i="16"/>
  <c r="N461" i="16"/>
  <c r="M461" i="16"/>
  <c r="S460" i="16"/>
  <c r="N460" i="16"/>
  <c r="M460" i="16"/>
  <c r="S459" i="16"/>
  <c r="M459" i="16"/>
  <c r="N459" i="16" s="1"/>
  <c r="S458" i="16"/>
  <c r="O458" i="16"/>
  <c r="M458" i="16"/>
  <c r="N458" i="16" s="1"/>
  <c r="S457" i="16"/>
  <c r="N457" i="16"/>
  <c r="M457" i="16"/>
  <c r="S456" i="16"/>
  <c r="N456" i="16"/>
  <c r="M456" i="16"/>
  <c r="S455" i="16"/>
  <c r="N455" i="16"/>
  <c r="M455" i="16"/>
  <c r="S454" i="16"/>
  <c r="P454" i="16"/>
  <c r="O454" i="16"/>
  <c r="M454" i="16"/>
  <c r="N454" i="16" s="1"/>
  <c r="S453" i="16"/>
  <c r="R453" i="16"/>
  <c r="O453" i="16"/>
  <c r="N453" i="16"/>
  <c r="M453" i="16"/>
  <c r="S452" i="16"/>
  <c r="R452" i="16"/>
  <c r="Q452" i="16"/>
  <c r="M452" i="16"/>
  <c r="N452" i="16" s="1"/>
  <c r="S451" i="16"/>
  <c r="P451" i="16"/>
  <c r="M451" i="16"/>
  <c r="N451" i="16" s="1"/>
  <c r="S450" i="16"/>
  <c r="Q450" i="16"/>
  <c r="P450" i="16"/>
  <c r="O450" i="16"/>
  <c r="M450" i="16"/>
  <c r="N450" i="16" s="1"/>
  <c r="S449" i="16"/>
  <c r="R449" i="16"/>
  <c r="P449" i="16"/>
  <c r="O449" i="16"/>
  <c r="N449" i="16"/>
  <c r="M449" i="16"/>
  <c r="S448" i="16"/>
  <c r="M448" i="16"/>
  <c r="N448" i="16" s="1"/>
  <c r="S447" i="16"/>
  <c r="M447" i="16"/>
  <c r="N447" i="16" s="1"/>
  <c r="S446" i="16"/>
  <c r="M446" i="16"/>
  <c r="N446" i="16" s="1"/>
  <c r="S445" i="16"/>
  <c r="R445" i="16"/>
  <c r="N445" i="16"/>
  <c r="M445" i="16"/>
  <c r="S444" i="16"/>
  <c r="N444" i="16"/>
  <c r="M444" i="16"/>
  <c r="S443" i="16"/>
  <c r="Q443" i="16"/>
  <c r="P443" i="16"/>
  <c r="M443" i="16"/>
  <c r="N443" i="16" s="1"/>
  <c r="S442" i="16"/>
  <c r="Q442" i="16"/>
  <c r="P442" i="16"/>
  <c r="M442" i="16"/>
  <c r="N442" i="16" s="1"/>
  <c r="S441" i="16"/>
  <c r="R441" i="16"/>
  <c r="P441" i="16"/>
  <c r="O441" i="16"/>
  <c r="N441" i="16"/>
  <c r="M441" i="16"/>
  <c r="S440" i="16"/>
  <c r="N440" i="16"/>
  <c r="M440" i="16"/>
  <c r="S439" i="16"/>
  <c r="N439" i="16"/>
  <c r="M439" i="16"/>
  <c r="S438" i="16"/>
  <c r="R438" i="16"/>
  <c r="P438" i="16"/>
  <c r="O438" i="16"/>
  <c r="N438" i="16"/>
  <c r="M438" i="16"/>
  <c r="S437" i="16"/>
  <c r="N437" i="16"/>
  <c r="M437" i="16"/>
  <c r="S436" i="16"/>
  <c r="N436" i="16"/>
  <c r="M436" i="16"/>
  <c r="S435" i="16"/>
  <c r="N435" i="16"/>
  <c r="M435" i="16"/>
  <c r="S434" i="16"/>
  <c r="R434" i="16"/>
  <c r="P434" i="16"/>
  <c r="O434" i="16"/>
  <c r="N434" i="16"/>
  <c r="M434" i="16"/>
  <c r="S433" i="16"/>
  <c r="N433" i="16"/>
  <c r="M433" i="16"/>
  <c r="S432" i="16"/>
  <c r="P432" i="16"/>
  <c r="O432" i="16"/>
  <c r="N432" i="16"/>
  <c r="M432" i="16"/>
  <c r="S431" i="16"/>
  <c r="R431" i="16"/>
  <c r="N431" i="16"/>
  <c r="M431" i="16"/>
  <c r="S430" i="16"/>
  <c r="R430" i="16"/>
  <c r="M430" i="16"/>
  <c r="N430" i="16" s="1"/>
  <c r="S429" i="16"/>
  <c r="N429" i="16"/>
  <c r="M429" i="16"/>
  <c r="S428" i="16"/>
  <c r="O428" i="16"/>
  <c r="N428" i="16"/>
  <c r="M428" i="16"/>
  <c r="S427" i="16"/>
  <c r="M427" i="16"/>
  <c r="N427" i="16" s="1"/>
  <c r="S426" i="16"/>
  <c r="M426" i="16"/>
  <c r="N426" i="16" s="1"/>
  <c r="S425" i="16"/>
  <c r="P425" i="16"/>
  <c r="M425" i="16"/>
  <c r="N425" i="16" s="1"/>
  <c r="S424" i="16"/>
  <c r="R424" i="16"/>
  <c r="Q424" i="16"/>
  <c r="M424" i="16"/>
  <c r="N424" i="16" s="1"/>
  <c r="V424" i="16" s="1"/>
  <c r="S423" i="16"/>
  <c r="R423" i="16"/>
  <c r="Q423" i="16"/>
  <c r="P423" i="16"/>
  <c r="O423" i="16"/>
  <c r="N423" i="16"/>
  <c r="V423" i="16" s="1"/>
  <c r="M423" i="16"/>
  <c r="S422" i="16"/>
  <c r="R422" i="16"/>
  <c r="Q422" i="16"/>
  <c r="O422" i="16"/>
  <c r="N422" i="16"/>
  <c r="M422" i="16"/>
  <c r="S421" i="16"/>
  <c r="M421" i="16"/>
  <c r="N421" i="16" s="1"/>
  <c r="S420" i="16"/>
  <c r="M420" i="16"/>
  <c r="N420" i="16" s="1"/>
  <c r="S419" i="16"/>
  <c r="O419" i="16"/>
  <c r="N419" i="16"/>
  <c r="M419" i="16"/>
  <c r="S418" i="16"/>
  <c r="N418" i="16"/>
  <c r="M418" i="16"/>
  <c r="S417" i="16"/>
  <c r="M417" i="16"/>
  <c r="N417" i="16" s="1"/>
  <c r="V416" i="16"/>
  <c r="S416" i="16"/>
  <c r="R416" i="16"/>
  <c r="Q416" i="16"/>
  <c r="N416" i="16"/>
  <c r="M416" i="16"/>
  <c r="S415" i="16"/>
  <c r="M415" i="16"/>
  <c r="N415" i="16" s="1"/>
  <c r="S414" i="16"/>
  <c r="N414" i="16"/>
  <c r="M414" i="16"/>
  <c r="S413" i="16"/>
  <c r="M413" i="16"/>
  <c r="N413" i="16" s="1"/>
  <c r="V412" i="16"/>
  <c r="S412" i="16"/>
  <c r="R412" i="16"/>
  <c r="Q412" i="16"/>
  <c r="N412" i="16"/>
  <c r="M412" i="16"/>
  <c r="S411" i="16"/>
  <c r="M411" i="16"/>
  <c r="N411" i="16" s="1"/>
  <c r="S410" i="16"/>
  <c r="N410" i="16"/>
  <c r="M410" i="16"/>
  <c r="S409" i="16"/>
  <c r="M409" i="16"/>
  <c r="N409" i="16" s="1"/>
  <c r="V408" i="16"/>
  <c r="S408" i="16"/>
  <c r="R408" i="16"/>
  <c r="Q408" i="16"/>
  <c r="N408" i="16"/>
  <c r="M408" i="16"/>
  <c r="S407" i="16"/>
  <c r="M407" i="16"/>
  <c r="N407" i="16" s="1"/>
  <c r="S406" i="16"/>
  <c r="N406" i="16"/>
  <c r="M406" i="16"/>
  <c r="S405" i="16"/>
  <c r="M405" i="16"/>
  <c r="N405" i="16" s="1"/>
  <c r="V404" i="16"/>
  <c r="S404" i="16"/>
  <c r="R404" i="16"/>
  <c r="Q404" i="16"/>
  <c r="N404" i="16"/>
  <c r="M404" i="16"/>
  <c r="S403" i="16"/>
  <c r="M403" i="16"/>
  <c r="N403" i="16" s="1"/>
  <c r="S402" i="16"/>
  <c r="N402" i="16"/>
  <c r="M402" i="16"/>
  <c r="S401" i="16"/>
  <c r="M401" i="16"/>
  <c r="N401" i="16" s="1"/>
  <c r="V400" i="16"/>
  <c r="S400" i="16"/>
  <c r="R400" i="16"/>
  <c r="Q400" i="16"/>
  <c r="N400" i="16"/>
  <c r="M400" i="16"/>
  <c r="S399" i="16"/>
  <c r="M399" i="16"/>
  <c r="N399" i="16" s="1"/>
  <c r="S398" i="16"/>
  <c r="N398" i="16"/>
  <c r="M398" i="16"/>
  <c r="S397" i="16"/>
  <c r="M397" i="16"/>
  <c r="N397" i="16" s="1"/>
  <c r="V396" i="16"/>
  <c r="S396" i="16"/>
  <c r="R396" i="16"/>
  <c r="Q396" i="16"/>
  <c r="N396" i="16"/>
  <c r="M396" i="16"/>
  <c r="S395" i="16"/>
  <c r="M395" i="16"/>
  <c r="N395" i="16" s="1"/>
  <c r="S394" i="16"/>
  <c r="N394" i="16"/>
  <c r="M394" i="16"/>
  <c r="S393" i="16"/>
  <c r="M393" i="16"/>
  <c r="N393" i="16" s="1"/>
  <c r="V392" i="16"/>
  <c r="S392" i="16"/>
  <c r="R392" i="16"/>
  <c r="Q392" i="16"/>
  <c r="N392" i="16"/>
  <c r="M392" i="16"/>
  <c r="S391" i="16"/>
  <c r="M391" i="16"/>
  <c r="N391" i="16" s="1"/>
  <c r="S390" i="16"/>
  <c r="N390" i="16"/>
  <c r="M390" i="16"/>
  <c r="S389" i="16"/>
  <c r="N389" i="16"/>
  <c r="M389" i="16"/>
  <c r="V388" i="16"/>
  <c r="S388" i="16"/>
  <c r="R388" i="16"/>
  <c r="Q388" i="16"/>
  <c r="N388" i="16"/>
  <c r="M388" i="16"/>
  <c r="S387" i="16"/>
  <c r="M387" i="16"/>
  <c r="N387" i="16" s="1"/>
  <c r="S386" i="16"/>
  <c r="N386" i="16"/>
  <c r="M386" i="16"/>
  <c r="S385" i="16"/>
  <c r="M385" i="16"/>
  <c r="N385" i="16" s="1"/>
  <c r="V384" i="16"/>
  <c r="S384" i="16"/>
  <c r="R384" i="16"/>
  <c r="Q384" i="16"/>
  <c r="N384" i="16"/>
  <c r="M384" i="16"/>
  <c r="S383" i="16"/>
  <c r="M383" i="16"/>
  <c r="N383" i="16" s="1"/>
  <c r="S382" i="16"/>
  <c r="N382" i="16"/>
  <c r="M382" i="16"/>
  <c r="S381" i="16"/>
  <c r="M381" i="16"/>
  <c r="N381" i="16" s="1"/>
  <c r="V380" i="16"/>
  <c r="S380" i="16"/>
  <c r="R380" i="16"/>
  <c r="Q380" i="16"/>
  <c r="N380" i="16"/>
  <c r="M380" i="16"/>
  <c r="S379" i="16"/>
  <c r="M379" i="16"/>
  <c r="N379" i="16" s="1"/>
  <c r="S378" i="16"/>
  <c r="N378" i="16"/>
  <c r="M378" i="16"/>
  <c r="S377" i="16"/>
  <c r="M377" i="16"/>
  <c r="N377" i="16" s="1"/>
  <c r="V376" i="16"/>
  <c r="S376" i="16"/>
  <c r="R376" i="16"/>
  <c r="Q376" i="16"/>
  <c r="M376" i="16"/>
  <c r="N376" i="16" s="1"/>
  <c r="S375" i="16"/>
  <c r="R375" i="16"/>
  <c r="N375" i="16"/>
  <c r="M375" i="16"/>
  <c r="S374" i="16"/>
  <c r="R374" i="16"/>
  <c r="Q374" i="16"/>
  <c r="N374" i="16"/>
  <c r="M374" i="16"/>
  <c r="V373" i="16"/>
  <c r="S373" i="16"/>
  <c r="M373" i="16"/>
  <c r="N373" i="16" s="1"/>
  <c r="V372" i="16"/>
  <c r="S372" i="16"/>
  <c r="M372" i="16"/>
  <c r="N372" i="16" s="1"/>
  <c r="S371" i="16"/>
  <c r="N371" i="16"/>
  <c r="M371" i="16"/>
  <c r="S370" i="16"/>
  <c r="R370" i="16"/>
  <c r="Q370" i="16"/>
  <c r="N370" i="16"/>
  <c r="M370" i="16"/>
  <c r="V369" i="16"/>
  <c r="S369" i="16"/>
  <c r="N369" i="16"/>
  <c r="M369" i="16"/>
  <c r="S368" i="16"/>
  <c r="M368" i="16"/>
  <c r="N368" i="16" s="1"/>
  <c r="S367" i="16"/>
  <c r="M367" i="16"/>
  <c r="N367" i="16" s="1"/>
  <c r="S366" i="16"/>
  <c r="Q366" i="16"/>
  <c r="N366" i="16"/>
  <c r="M366" i="16"/>
  <c r="S365" i="16"/>
  <c r="N365" i="16"/>
  <c r="M365" i="16"/>
  <c r="V364" i="16"/>
  <c r="S364" i="16"/>
  <c r="R364" i="16"/>
  <c r="Q364" i="16"/>
  <c r="M364" i="16"/>
  <c r="N364" i="16" s="1"/>
  <c r="S363" i="16"/>
  <c r="M363" i="16"/>
  <c r="N363" i="16" s="1"/>
  <c r="S362" i="16"/>
  <c r="N362" i="16"/>
  <c r="M362" i="16"/>
  <c r="S361" i="16"/>
  <c r="M361" i="16"/>
  <c r="N361" i="16" s="1"/>
  <c r="S360" i="16"/>
  <c r="R360" i="16"/>
  <c r="Q360" i="16"/>
  <c r="M360" i="16"/>
  <c r="N360" i="16" s="1"/>
  <c r="V359" i="16"/>
  <c r="S359" i="16"/>
  <c r="R359" i="16"/>
  <c r="N359" i="16"/>
  <c r="M359" i="16"/>
  <c r="S358" i="16"/>
  <c r="R358" i="16"/>
  <c r="Q358" i="16"/>
  <c r="N358" i="16"/>
  <c r="M358" i="16"/>
  <c r="S357" i="16"/>
  <c r="M357" i="16"/>
  <c r="N357" i="16" s="1"/>
  <c r="S356" i="16"/>
  <c r="M356" i="16"/>
  <c r="N356" i="16" s="1"/>
  <c r="S355" i="16"/>
  <c r="N355" i="16"/>
  <c r="M355" i="16"/>
  <c r="S354" i="16"/>
  <c r="R354" i="16"/>
  <c r="Q354" i="16"/>
  <c r="N354" i="16"/>
  <c r="M354" i="16"/>
  <c r="V353" i="16"/>
  <c r="S353" i="16"/>
  <c r="N353" i="16"/>
  <c r="M353" i="16"/>
  <c r="V352" i="16"/>
  <c r="S352" i="16"/>
  <c r="M352" i="16"/>
  <c r="N352" i="16" s="1"/>
  <c r="V351" i="16"/>
  <c r="S351" i="16"/>
  <c r="M351" i="16"/>
  <c r="N351" i="16" s="1"/>
  <c r="S350" i="16"/>
  <c r="N350" i="16"/>
  <c r="M350" i="16"/>
  <c r="S349" i="16"/>
  <c r="N349" i="16"/>
  <c r="M349" i="16"/>
  <c r="S348" i="16"/>
  <c r="R348" i="16"/>
  <c r="Q348" i="16"/>
  <c r="M348" i="16"/>
  <c r="N348" i="16" s="1"/>
  <c r="S347" i="16"/>
  <c r="M347" i="16"/>
  <c r="N347" i="16" s="1"/>
  <c r="S346" i="16"/>
  <c r="N346" i="16"/>
  <c r="M346" i="16"/>
  <c r="S345" i="16"/>
  <c r="M345" i="16"/>
  <c r="N345" i="16" s="1"/>
  <c r="V344" i="16"/>
  <c r="S344" i="16"/>
  <c r="R344" i="16"/>
  <c r="Q344" i="16"/>
  <c r="M344" i="16"/>
  <c r="N344" i="16" s="1"/>
  <c r="S343" i="16"/>
  <c r="R343" i="16"/>
  <c r="N343" i="16"/>
  <c r="M343" i="16"/>
  <c r="S342" i="16"/>
  <c r="R342" i="16"/>
  <c r="Q342" i="16"/>
  <c r="N342" i="16"/>
  <c r="M342" i="16"/>
  <c r="S341" i="16"/>
  <c r="M341" i="16"/>
  <c r="N341" i="16" s="1"/>
  <c r="S340" i="16"/>
  <c r="M340" i="16"/>
  <c r="N340" i="16" s="1"/>
  <c r="S339" i="16"/>
  <c r="R339" i="16"/>
  <c r="N339" i="16"/>
  <c r="M339" i="16"/>
  <c r="S338" i="16"/>
  <c r="R338" i="16"/>
  <c r="Q338" i="16"/>
  <c r="N338" i="16"/>
  <c r="M338" i="16"/>
  <c r="V337" i="16"/>
  <c r="S337" i="16"/>
  <c r="N337" i="16"/>
  <c r="M337" i="16"/>
  <c r="S336" i="16"/>
  <c r="M336" i="16"/>
  <c r="N336" i="16" s="1"/>
  <c r="V335" i="16"/>
  <c r="S335" i="16"/>
  <c r="M335" i="16"/>
  <c r="N335" i="16" s="1"/>
  <c r="S334" i="16"/>
  <c r="N334" i="16"/>
  <c r="M334" i="16"/>
  <c r="S333" i="16"/>
  <c r="N333" i="16"/>
  <c r="M333" i="16"/>
  <c r="V332" i="16"/>
  <c r="S332" i="16"/>
  <c r="R332" i="16"/>
  <c r="Q332" i="16"/>
  <c r="M332" i="16"/>
  <c r="N332" i="16" s="1"/>
  <c r="S331" i="16"/>
  <c r="M331" i="16"/>
  <c r="N331" i="16" s="1"/>
  <c r="S330" i="16"/>
  <c r="N330" i="16"/>
  <c r="M330" i="16"/>
  <c r="S329" i="16"/>
  <c r="M329" i="16"/>
  <c r="N329" i="16" s="1"/>
  <c r="S328" i="16"/>
  <c r="R328" i="16"/>
  <c r="Q328" i="16"/>
  <c r="M328" i="16"/>
  <c r="N328" i="16" s="1"/>
  <c r="V327" i="16"/>
  <c r="S327" i="16"/>
  <c r="R327" i="16"/>
  <c r="N327" i="16"/>
  <c r="M327" i="16"/>
  <c r="S326" i="16"/>
  <c r="R326" i="16"/>
  <c r="Q326" i="16"/>
  <c r="N326" i="16"/>
  <c r="M326" i="16"/>
  <c r="S325" i="16"/>
  <c r="M325" i="16"/>
  <c r="N325" i="16" s="1"/>
  <c r="V324" i="16"/>
  <c r="S324" i="16"/>
  <c r="Q324" i="16"/>
  <c r="M324" i="16"/>
  <c r="N324" i="16" s="1"/>
  <c r="S323" i="16"/>
  <c r="N323" i="16"/>
  <c r="M323" i="16"/>
  <c r="S322" i="16"/>
  <c r="R322" i="16"/>
  <c r="Q322" i="16"/>
  <c r="N322" i="16"/>
  <c r="M322" i="16"/>
  <c r="V321" i="16"/>
  <c r="S321" i="16"/>
  <c r="N321" i="16"/>
  <c r="M321" i="16"/>
  <c r="V320" i="16"/>
  <c r="S320" i="16"/>
  <c r="M320" i="16"/>
  <c r="N320" i="16" s="1"/>
  <c r="S319" i="16"/>
  <c r="M319" i="16"/>
  <c r="N319" i="16" s="1"/>
  <c r="S318" i="16"/>
  <c r="N318" i="16"/>
  <c r="M318" i="16"/>
  <c r="S317" i="16"/>
  <c r="N317" i="16"/>
  <c r="M317" i="16"/>
  <c r="S316" i="16"/>
  <c r="R316" i="16"/>
  <c r="Q316" i="16"/>
  <c r="M316" i="16"/>
  <c r="N316" i="16" s="1"/>
  <c r="S315" i="16"/>
  <c r="M315" i="16"/>
  <c r="N315" i="16" s="1"/>
  <c r="S314" i="16"/>
  <c r="N314" i="16"/>
  <c r="M314" i="16"/>
  <c r="S313" i="16"/>
  <c r="M313" i="16"/>
  <c r="N313" i="16" s="1"/>
  <c r="V312" i="16"/>
  <c r="S312" i="16"/>
  <c r="R312" i="16"/>
  <c r="Q312" i="16"/>
  <c r="M312" i="16"/>
  <c r="N312" i="16" s="1"/>
  <c r="S311" i="16"/>
  <c r="M311" i="16"/>
  <c r="N311" i="16" s="1"/>
  <c r="S310" i="16"/>
  <c r="M310" i="16"/>
  <c r="N310" i="16" s="1"/>
  <c r="S309" i="16"/>
  <c r="M309" i="16"/>
  <c r="N309" i="16" s="1"/>
  <c r="S308" i="16"/>
  <c r="R308" i="16"/>
  <c r="Q308" i="16"/>
  <c r="M308" i="16"/>
  <c r="N308" i="16" s="1"/>
  <c r="S307" i="16"/>
  <c r="M307" i="16"/>
  <c r="N307" i="16" s="1"/>
  <c r="S306" i="16"/>
  <c r="N306" i="16"/>
  <c r="M306" i="16"/>
  <c r="S305" i="16"/>
  <c r="M305" i="16"/>
  <c r="N305" i="16" s="1"/>
  <c r="V304" i="16"/>
  <c r="S304" i="16"/>
  <c r="R304" i="16"/>
  <c r="Q304" i="16"/>
  <c r="M304" i="16"/>
  <c r="N304" i="16" s="1"/>
  <c r="S303" i="16"/>
  <c r="R303" i="16"/>
  <c r="M303" i="16"/>
  <c r="N303" i="16" s="1"/>
  <c r="S302" i="16"/>
  <c r="M302" i="16"/>
  <c r="N302" i="16" s="1"/>
  <c r="S301" i="16"/>
  <c r="M301" i="16"/>
  <c r="N301" i="16" s="1"/>
  <c r="S300" i="16"/>
  <c r="R300" i="16"/>
  <c r="Q300" i="16"/>
  <c r="M300" i="16"/>
  <c r="N300" i="16" s="1"/>
  <c r="S299" i="16"/>
  <c r="M299" i="16"/>
  <c r="N299" i="16" s="1"/>
  <c r="S298" i="16"/>
  <c r="N298" i="16"/>
  <c r="M298" i="16"/>
  <c r="S297" i="16"/>
  <c r="M297" i="16"/>
  <c r="N297" i="16" s="1"/>
  <c r="V296" i="16"/>
  <c r="S296" i="16"/>
  <c r="R296" i="16"/>
  <c r="Q296" i="16"/>
  <c r="M296" i="16"/>
  <c r="N296" i="16" s="1"/>
  <c r="S295" i="16"/>
  <c r="N295" i="16"/>
  <c r="M295" i="16"/>
  <c r="S294" i="16"/>
  <c r="Q294" i="16"/>
  <c r="O294" i="16"/>
  <c r="N294" i="16"/>
  <c r="M294" i="16"/>
  <c r="S293" i="16"/>
  <c r="R293" i="16"/>
  <c r="M293" i="16"/>
  <c r="N293" i="16" s="1"/>
  <c r="V292" i="16"/>
  <c r="S292" i="16"/>
  <c r="Q292" i="16"/>
  <c r="O292" i="16"/>
  <c r="N292" i="16"/>
  <c r="M292" i="16"/>
  <c r="S291" i="16"/>
  <c r="M291" i="16"/>
  <c r="N291" i="16" s="1"/>
  <c r="S290" i="16"/>
  <c r="M290" i="16"/>
  <c r="N290" i="16" s="1"/>
  <c r="V289" i="16"/>
  <c r="S289" i="16"/>
  <c r="R289" i="16"/>
  <c r="Q289" i="16"/>
  <c r="M289" i="16"/>
  <c r="N289" i="16" s="1"/>
  <c r="S288" i="16"/>
  <c r="M288" i="16"/>
  <c r="N288" i="16" s="1"/>
  <c r="V287" i="16"/>
  <c r="S287" i="16"/>
  <c r="Q287" i="16"/>
  <c r="O287" i="16"/>
  <c r="N287" i="16"/>
  <c r="P287" i="16" s="1"/>
  <c r="M287" i="16"/>
  <c r="S286" i="16"/>
  <c r="M286" i="16"/>
  <c r="N286" i="16" s="1"/>
  <c r="S285" i="16"/>
  <c r="R285" i="16"/>
  <c r="Q285" i="16"/>
  <c r="O285" i="16"/>
  <c r="N285" i="16"/>
  <c r="M285" i="16"/>
  <c r="S284" i="16"/>
  <c r="N284" i="16"/>
  <c r="M284" i="16"/>
  <c r="S283" i="16"/>
  <c r="N283" i="16"/>
  <c r="M283" i="16"/>
  <c r="V282" i="16"/>
  <c r="S282" i="16"/>
  <c r="R282" i="16"/>
  <c r="N282" i="16"/>
  <c r="M282" i="16"/>
  <c r="S281" i="16"/>
  <c r="M281" i="16"/>
  <c r="N281" i="16" s="1"/>
  <c r="V280" i="16"/>
  <c r="S280" i="16"/>
  <c r="Q280" i="16"/>
  <c r="O280" i="16"/>
  <c r="M280" i="16"/>
  <c r="N280" i="16" s="1"/>
  <c r="P280" i="16" s="1"/>
  <c r="S279" i="16"/>
  <c r="R279" i="16"/>
  <c r="N279" i="16"/>
  <c r="P279" i="16" s="1"/>
  <c r="M279" i="16"/>
  <c r="S278" i="16"/>
  <c r="R278" i="16"/>
  <c r="Q278" i="16"/>
  <c r="O278" i="16"/>
  <c r="N278" i="16"/>
  <c r="M278" i="16"/>
  <c r="S277" i="16"/>
  <c r="M277" i="16"/>
  <c r="N277" i="16" s="1"/>
  <c r="S276" i="16"/>
  <c r="Q276" i="16"/>
  <c r="O276" i="16"/>
  <c r="N276" i="16"/>
  <c r="M276" i="16"/>
  <c r="S275" i="16"/>
  <c r="M275" i="16"/>
  <c r="N275" i="16" s="1"/>
  <c r="S274" i="16"/>
  <c r="N274" i="16"/>
  <c r="M274" i="16"/>
  <c r="S273" i="16"/>
  <c r="R273" i="16"/>
  <c r="Q273" i="16"/>
  <c r="M273" i="16"/>
  <c r="N273" i="16" s="1"/>
  <c r="S272" i="16"/>
  <c r="R272" i="16"/>
  <c r="M272" i="16"/>
  <c r="N272" i="16" s="1"/>
  <c r="P272" i="16" s="1"/>
  <c r="V271" i="16"/>
  <c r="S271" i="16"/>
  <c r="R271" i="16"/>
  <c r="Q271" i="16"/>
  <c r="O271" i="16"/>
  <c r="N271" i="16"/>
  <c r="P271" i="16" s="1"/>
  <c r="M271" i="16"/>
  <c r="S270" i="16"/>
  <c r="M270" i="16"/>
  <c r="N270" i="16" s="1"/>
  <c r="S269" i="16"/>
  <c r="Q269" i="16"/>
  <c r="O269" i="16"/>
  <c r="N269" i="16"/>
  <c r="M269" i="16"/>
  <c r="S268" i="16"/>
  <c r="M268" i="16"/>
  <c r="N268" i="16" s="1"/>
  <c r="V267" i="16"/>
  <c r="S267" i="16"/>
  <c r="O267" i="16"/>
  <c r="N267" i="16"/>
  <c r="M267" i="16"/>
  <c r="S266" i="16"/>
  <c r="N266" i="16"/>
  <c r="M266" i="16"/>
  <c r="V265" i="16"/>
  <c r="S265" i="16"/>
  <c r="M265" i="16"/>
  <c r="N265" i="16" s="1"/>
  <c r="V264" i="16"/>
  <c r="S264" i="16"/>
  <c r="R264" i="16"/>
  <c r="Q264" i="16"/>
  <c r="O264" i="16"/>
  <c r="M264" i="16"/>
  <c r="N264" i="16" s="1"/>
  <c r="P264" i="16" s="1"/>
  <c r="S263" i="16"/>
  <c r="Q263" i="16"/>
  <c r="N263" i="16"/>
  <c r="M263" i="16"/>
  <c r="S262" i="16"/>
  <c r="N262" i="16"/>
  <c r="M262" i="16"/>
  <c r="S261" i="16"/>
  <c r="M261" i="16"/>
  <c r="N261" i="16" s="1"/>
  <c r="V260" i="16"/>
  <c r="S260" i="16"/>
  <c r="Q260" i="16"/>
  <c r="O260" i="16"/>
  <c r="N260" i="16"/>
  <c r="M260" i="16"/>
  <c r="S259" i="16"/>
  <c r="M259" i="16"/>
  <c r="N259" i="16" s="1"/>
  <c r="S258" i="16"/>
  <c r="N258" i="16"/>
  <c r="M258" i="16"/>
  <c r="V257" i="16"/>
  <c r="S257" i="16"/>
  <c r="R257" i="16"/>
  <c r="Q257" i="16"/>
  <c r="M257" i="16"/>
  <c r="N257" i="16" s="1"/>
  <c r="S256" i="16"/>
  <c r="R256" i="16"/>
  <c r="M256" i="16"/>
  <c r="N256" i="16" s="1"/>
  <c r="V255" i="16"/>
  <c r="S255" i="16"/>
  <c r="Q255" i="16"/>
  <c r="O255" i="16"/>
  <c r="N255" i="16"/>
  <c r="M255" i="16"/>
  <c r="S254" i="16"/>
  <c r="M254" i="16"/>
  <c r="N254" i="16" s="1"/>
  <c r="S253" i="16"/>
  <c r="R253" i="16"/>
  <c r="Q253" i="16"/>
  <c r="O253" i="16"/>
  <c r="N253" i="16"/>
  <c r="M253" i="16"/>
  <c r="V252" i="16"/>
  <c r="S252" i="16"/>
  <c r="Q252" i="16"/>
  <c r="N252" i="16"/>
  <c r="M252" i="16"/>
  <c r="S251" i="16"/>
  <c r="M251" i="16"/>
  <c r="N251" i="16" s="1"/>
  <c r="V250" i="16"/>
  <c r="S250" i="16"/>
  <c r="R250" i="16"/>
  <c r="N250" i="16"/>
  <c r="M250" i="16"/>
  <c r="S249" i="16"/>
  <c r="M249" i="16"/>
  <c r="N249" i="16" s="1"/>
  <c r="V248" i="16"/>
  <c r="S248" i="16"/>
  <c r="O248" i="16"/>
  <c r="M248" i="16"/>
  <c r="N248" i="16" s="1"/>
  <c r="S247" i="16"/>
  <c r="N247" i="16"/>
  <c r="M247" i="16"/>
  <c r="S246" i="16"/>
  <c r="R246" i="16"/>
  <c r="Q246" i="16"/>
  <c r="O246" i="16"/>
  <c r="N246" i="16"/>
  <c r="M246" i="16"/>
  <c r="S245" i="16"/>
  <c r="M245" i="16"/>
  <c r="N245" i="16" s="1"/>
  <c r="S244" i="16"/>
  <c r="O244" i="16"/>
  <c r="N244" i="16"/>
  <c r="M244" i="16"/>
  <c r="S243" i="16"/>
  <c r="M243" i="16"/>
  <c r="N243" i="16" s="1"/>
  <c r="S242" i="16"/>
  <c r="N242" i="16"/>
  <c r="M242" i="16"/>
  <c r="S241" i="16"/>
  <c r="M241" i="16"/>
  <c r="N241" i="16" s="1"/>
  <c r="S240" i="16"/>
  <c r="M240" i="16"/>
  <c r="N240" i="16" s="1"/>
  <c r="V239" i="16"/>
  <c r="S239" i="16"/>
  <c r="Q239" i="16"/>
  <c r="O239" i="16"/>
  <c r="N239" i="16"/>
  <c r="M239" i="16"/>
  <c r="S238" i="16"/>
  <c r="M238" i="16"/>
  <c r="N238" i="16" s="1"/>
  <c r="S237" i="16"/>
  <c r="Q237" i="16"/>
  <c r="N237" i="16"/>
  <c r="M237" i="16"/>
  <c r="V236" i="16"/>
  <c r="S236" i="16"/>
  <c r="N236" i="16"/>
  <c r="M236" i="16"/>
  <c r="V235" i="16"/>
  <c r="S235" i="16"/>
  <c r="O235" i="16"/>
  <c r="P235" i="16" s="1"/>
  <c r="N235" i="16"/>
  <c r="M235" i="16"/>
  <c r="V234" i="16"/>
  <c r="S234" i="16"/>
  <c r="M234" i="16"/>
  <c r="N234" i="16" s="1"/>
  <c r="S233" i="16"/>
  <c r="N233" i="16"/>
  <c r="M233" i="16"/>
  <c r="V232" i="16"/>
  <c r="S232" i="16"/>
  <c r="M232" i="16"/>
  <c r="N232" i="16" s="1"/>
  <c r="V231" i="16"/>
  <c r="S231" i="16"/>
  <c r="P231" i="16"/>
  <c r="O231" i="16"/>
  <c r="N231" i="16"/>
  <c r="M231" i="16"/>
  <c r="S230" i="16"/>
  <c r="M230" i="16"/>
  <c r="N230" i="16" s="1"/>
  <c r="S229" i="16"/>
  <c r="N229" i="16"/>
  <c r="M229" i="16"/>
  <c r="V228" i="16"/>
  <c r="S228" i="16"/>
  <c r="N228" i="16"/>
  <c r="M228" i="16"/>
  <c r="V227" i="16"/>
  <c r="S227" i="16"/>
  <c r="M227" i="16"/>
  <c r="N227" i="16" s="1"/>
  <c r="V226" i="16"/>
  <c r="S226" i="16"/>
  <c r="N226" i="16"/>
  <c r="M226" i="16"/>
  <c r="S225" i="16"/>
  <c r="M225" i="16"/>
  <c r="N225" i="16" s="1"/>
  <c r="S224" i="16"/>
  <c r="N224" i="16"/>
  <c r="M224" i="16"/>
  <c r="V223" i="16"/>
  <c r="S223" i="16"/>
  <c r="N223" i="16"/>
  <c r="M223" i="16"/>
  <c r="S222" i="16"/>
  <c r="M222" i="16"/>
  <c r="N222" i="16" s="1"/>
  <c r="V221" i="16"/>
  <c r="S221" i="16"/>
  <c r="Q221" i="16"/>
  <c r="M221" i="16"/>
  <c r="N221" i="16" s="1"/>
  <c r="V220" i="16"/>
  <c r="S220" i="16"/>
  <c r="O220" i="16"/>
  <c r="P220" i="16" s="1"/>
  <c r="M220" i="16"/>
  <c r="N220" i="16" s="1"/>
  <c r="S219" i="16"/>
  <c r="O219" i="16"/>
  <c r="N219" i="16"/>
  <c r="M219" i="16"/>
  <c r="S218" i="16"/>
  <c r="M218" i="16"/>
  <c r="N218" i="16" s="1"/>
  <c r="S217" i="16"/>
  <c r="Q217" i="16"/>
  <c r="P217" i="16"/>
  <c r="O217" i="16"/>
  <c r="M217" i="16"/>
  <c r="N217" i="16" s="1"/>
  <c r="S216" i="16"/>
  <c r="N216" i="16"/>
  <c r="M216" i="16"/>
  <c r="V215" i="16"/>
  <c r="S215" i="16"/>
  <c r="M215" i="16"/>
  <c r="N215" i="16" s="1"/>
  <c r="S214" i="16"/>
  <c r="M214" i="16"/>
  <c r="N214" i="16" s="1"/>
  <c r="S213" i="16"/>
  <c r="M213" i="16"/>
  <c r="N213" i="16" s="1"/>
  <c r="S212" i="16"/>
  <c r="M212" i="16"/>
  <c r="N212" i="16" s="1"/>
  <c r="S211" i="16"/>
  <c r="N211" i="16"/>
  <c r="M211" i="16"/>
  <c r="S210" i="16"/>
  <c r="N210" i="16"/>
  <c r="M210" i="16"/>
  <c r="S209" i="16"/>
  <c r="Q209" i="16"/>
  <c r="M209" i="16"/>
  <c r="N209" i="16" s="1"/>
  <c r="S208" i="16"/>
  <c r="O208" i="16"/>
  <c r="N208" i="16"/>
  <c r="M208" i="16"/>
  <c r="S207" i="16"/>
  <c r="N207" i="16"/>
  <c r="M207" i="16"/>
  <c r="S206" i="16"/>
  <c r="N206" i="16"/>
  <c r="M206" i="16"/>
  <c r="V205" i="16"/>
  <c r="S205" i="16"/>
  <c r="Q205" i="16"/>
  <c r="M205" i="16"/>
  <c r="N205" i="16" s="1"/>
  <c r="V204" i="16"/>
  <c r="S204" i="16"/>
  <c r="O204" i="16"/>
  <c r="M204" i="16"/>
  <c r="N204" i="16" s="1"/>
  <c r="V203" i="16"/>
  <c r="S203" i="16"/>
  <c r="N203" i="16"/>
  <c r="M203" i="16"/>
  <c r="S202" i="16"/>
  <c r="M202" i="16"/>
  <c r="N202" i="16" s="1"/>
  <c r="S201" i="16"/>
  <c r="Q201" i="16"/>
  <c r="O201" i="16"/>
  <c r="M201" i="16"/>
  <c r="N201" i="16" s="1"/>
  <c r="V200" i="16"/>
  <c r="S200" i="16"/>
  <c r="O200" i="16"/>
  <c r="P200" i="16" s="1"/>
  <c r="N200" i="16"/>
  <c r="M200" i="16"/>
  <c r="S199" i="16"/>
  <c r="M199" i="16"/>
  <c r="N199" i="16" s="1"/>
  <c r="S198" i="16"/>
  <c r="M198" i="16"/>
  <c r="N198" i="16" s="1"/>
  <c r="S197" i="16"/>
  <c r="Q197" i="16"/>
  <c r="M197" i="16"/>
  <c r="N197" i="16" s="1"/>
  <c r="V196" i="16"/>
  <c r="S196" i="16"/>
  <c r="M196" i="16"/>
  <c r="N196" i="16" s="1"/>
  <c r="V195" i="16"/>
  <c r="S195" i="16"/>
  <c r="Q195" i="16"/>
  <c r="O195" i="16"/>
  <c r="N195" i="16"/>
  <c r="M195" i="16"/>
  <c r="S194" i="16"/>
  <c r="M194" i="16"/>
  <c r="N194" i="16" s="1"/>
  <c r="S193" i="16"/>
  <c r="M193" i="16"/>
  <c r="N193" i="16" s="1"/>
  <c r="V192" i="16"/>
  <c r="S192" i="16"/>
  <c r="O192" i="16"/>
  <c r="P192" i="16" s="1"/>
  <c r="N192" i="16"/>
  <c r="M192" i="16"/>
  <c r="S191" i="16"/>
  <c r="O191" i="16"/>
  <c r="M191" i="16"/>
  <c r="N191" i="16" s="1"/>
  <c r="S190" i="16"/>
  <c r="N190" i="16"/>
  <c r="M190" i="16"/>
  <c r="V189" i="16"/>
  <c r="S189" i="16"/>
  <c r="Q189" i="16"/>
  <c r="M189" i="16"/>
  <c r="N189" i="16" s="1"/>
  <c r="S188" i="16"/>
  <c r="M188" i="16"/>
  <c r="N188" i="16" s="1"/>
  <c r="V187" i="16"/>
  <c r="S187" i="16"/>
  <c r="Q187" i="16"/>
  <c r="N187" i="16"/>
  <c r="M187" i="16"/>
  <c r="S186" i="16"/>
  <c r="N186" i="16"/>
  <c r="M186" i="16"/>
  <c r="S185" i="16"/>
  <c r="M185" i="16"/>
  <c r="N185" i="16" s="1"/>
  <c r="V184" i="16"/>
  <c r="S184" i="16"/>
  <c r="N184" i="16"/>
  <c r="M184" i="16"/>
  <c r="S183" i="16"/>
  <c r="N183" i="16"/>
  <c r="M183" i="16"/>
  <c r="S182" i="16"/>
  <c r="M182" i="16"/>
  <c r="N182" i="16" s="1"/>
  <c r="V181" i="16"/>
  <c r="S181" i="16"/>
  <c r="Q181" i="16"/>
  <c r="M181" i="16"/>
  <c r="N181" i="16" s="1"/>
  <c r="V180" i="16"/>
  <c r="S180" i="16"/>
  <c r="M180" i="16"/>
  <c r="N180" i="16" s="1"/>
  <c r="V179" i="16"/>
  <c r="S179" i="16"/>
  <c r="O179" i="16"/>
  <c r="N179" i="16"/>
  <c r="M179" i="16"/>
  <c r="S178" i="16"/>
  <c r="N178" i="16"/>
  <c r="M178" i="16"/>
  <c r="S177" i="16"/>
  <c r="O177" i="16"/>
  <c r="M177" i="16"/>
  <c r="N177" i="16" s="1"/>
  <c r="V176" i="16"/>
  <c r="S176" i="16"/>
  <c r="O176" i="16"/>
  <c r="N176" i="16"/>
  <c r="M176" i="16"/>
  <c r="V175" i="16"/>
  <c r="S175" i="16"/>
  <c r="O175" i="16"/>
  <c r="N175" i="16"/>
  <c r="M175" i="16"/>
  <c r="S174" i="16"/>
  <c r="M174" i="16"/>
  <c r="N174" i="16" s="1"/>
  <c r="V173" i="16"/>
  <c r="S173" i="16"/>
  <c r="Q173" i="16"/>
  <c r="M173" i="16"/>
  <c r="N173" i="16" s="1"/>
  <c r="S172" i="16"/>
  <c r="M172" i="16"/>
  <c r="N172" i="16" s="1"/>
  <c r="V171" i="16"/>
  <c r="S171" i="16"/>
  <c r="Q171" i="16"/>
  <c r="N171" i="16"/>
  <c r="M171" i="16"/>
  <c r="S170" i="16"/>
  <c r="Q170" i="16"/>
  <c r="M170" i="16"/>
  <c r="N170" i="16" s="1"/>
  <c r="S169" i="16"/>
  <c r="Q169" i="16"/>
  <c r="M169" i="16"/>
  <c r="N169" i="16" s="1"/>
  <c r="S168" i="16"/>
  <c r="N168" i="16"/>
  <c r="M168" i="16"/>
  <c r="S167" i="16"/>
  <c r="O167" i="16"/>
  <c r="M167" i="16"/>
  <c r="N167" i="16" s="1"/>
  <c r="S166" i="16"/>
  <c r="M166" i="16"/>
  <c r="N166" i="16" s="1"/>
  <c r="V165" i="16"/>
  <c r="S165" i="16"/>
  <c r="Q165" i="16"/>
  <c r="M165" i="16"/>
  <c r="N165" i="16" s="1"/>
  <c r="V164" i="16"/>
  <c r="S164" i="16"/>
  <c r="M164" i="16"/>
  <c r="N164" i="16" s="1"/>
  <c r="S163" i="16"/>
  <c r="O163" i="16"/>
  <c r="N163" i="16"/>
  <c r="M163" i="16"/>
  <c r="S162" i="16"/>
  <c r="Q162" i="16"/>
  <c r="N162" i="16"/>
  <c r="M162" i="16"/>
  <c r="S161" i="16"/>
  <c r="Q161" i="16"/>
  <c r="M161" i="16"/>
  <c r="N161" i="16" s="1"/>
  <c r="S160" i="16"/>
  <c r="N160" i="16"/>
  <c r="M160" i="16"/>
  <c r="V159" i="16"/>
  <c r="S159" i="16"/>
  <c r="N159" i="16"/>
  <c r="M159" i="16"/>
  <c r="S158" i="16"/>
  <c r="M158" i="16"/>
  <c r="N158" i="16" s="1"/>
  <c r="V157" i="16"/>
  <c r="S157" i="16"/>
  <c r="Q157" i="16"/>
  <c r="M157" i="16"/>
  <c r="N157" i="16" s="1"/>
  <c r="V156" i="16"/>
  <c r="S156" i="16"/>
  <c r="O156" i="16"/>
  <c r="P156" i="16" s="1"/>
  <c r="M156" i="16"/>
  <c r="N156" i="16" s="1"/>
  <c r="V155" i="16"/>
  <c r="S155" i="16"/>
  <c r="Q155" i="16"/>
  <c r="O155" i="16"/>
  <c r="N155" i="16"/>
  <c r="M155" i="16"/>
  <c r="S154" i="16"/>
  <c r="M154" i="16"/>
  <c r="N154" i="16" s="1"/>
  <c r="S153" i="16"/>
  <c r="Q153" i="16"/>
  <c r="M153" i="16"/>
  <c r="N153" i="16" s="1"/>
  <c r="V152" i="16"/>
  <c r="S152" i="16"/>
  <c r="O152" i="16"/>
  <c r="P152" i="16" s="1"/>
  <c r="N152" i="16"/>
  <c r="M152" i="16"/>
  <c r="S151" i="16"/>
  <c r="O151" i="16"/>
  <c r="M151" i="16"/>
  <c r="N151" i="16" s="1"/>
  <c r="S150" i="16"/>
  <c r="N150" i="16"/>
  <c r="M150" i="16"/>
  <c r="S149" i="16"/>
  <c r="M149" i="16"/>
  <c r="N149" i="16" s="1"/>
  <c r="V148" i="16"/>
  <c r="S148" i="16"/>
  <c r="O148" i="16"/>
  <c r="P148" i="16" s="1"/>
  <c r="M148" i="16"/>
  <c r="N148" i="16" s="1"/>
  <c r="S147" i="16"/>
  <c r="Q147" i="16"/>
  <c r="O147" i="16"/>
  <c r="N147" i="16"/>
  <c r="M147" i="16"/>
  <c r="S146" i="16"/>
  <c r="Q146" i="16"/>
  <c r="M146" i="16"/>
  <c r="N146" i="16" s="1"/>
  <c r="S145" i="16"/>
  <c r="Q145" i="16"/>
  <c r="M145" i="16"/>
  <c r="N145" i="16" s="1"/>
  <c r="S144" i="16"/>
  <c r="N144" i="16"/>
  <c r="M144" i="16"/>
  <c r="S143" i="16"/>
  <c r="M143" i="16"/>
  <c r="N143" i="16" s="1"/>
  <c r="S142" i="16"/>
  <c r="M142" i="16"/>
  <c r="N142" i="16" s="1"/>
  <c r="V141" i="16"/>
  <c r="S141" i="16"/>
  <c r="Q141" i="16"/>
  <c r="M141" i="16"/>
  <c r="N141" i="16" s="1"/>
  <c r="V140" i="16"/>
  <c r="S140" i="16"/>
  <c r="P140" i="16"/>
  <c r="O140" i="16"/>
  <c r="M140" i="16"/>
  <c r="N140" i="16" s="1"/>
  <c r="V139" i="16"/>
  <c r="S139" i="16"/>
  <c r="N139" i="16"/>
  <c r="M139" i="16"/>
  <c r="S138" i="16"/>
  <c r="M138" i="16"/>
  <c r="N138" i="16" s="1"/>
  <c r="S137" i="16"/>
  <c r="Q137" i="16"/>
  <c r="P137" i="16"/>
  <c r="O137" i="16"/>
  <c r="M137" i="16"/>
  <c r="N137" i="16" s="1"/>
  <c r="V136" i="16"/>
  <c r="S136" i="16"/>
  <c r="N136" i="16"/>
  <c r="M136" i="16"/>
  <c r="S135" i="16"/>
  <c r="N135" i="16"/>
  <c r="M135" i="16"/>
  <c r="S134" i="16"/>
  <c r="N134" i="16"/>
  <c r="M134" i="16"/>
  <c r="S133" i="16"/>
  <c r="M133" i="16"/>
  <c r="N133" i="16" s="1"/>
  <c r="S132" i="16"/>
  <c r="M132" i="16"/>
  <c r="N132" i="16" s="1"/>
  <c r="V131" i="16"/>
  <c r="S131" i="16"/>
  <c r="Q131" i="16"/>
  <c r="O131" i="16"/>
  <c r="N131" i="16"/>
  <c r="M131" i="16"/>
  <c r="S130" i="16"/>
  <c r="Q130" i="16"/>
  <c r="N130" i="16"/>
  <c r="M130" i="16"/>
  <c r="S129" i="16"/>
  <c r="M129" i="16"/>
  <c r="N129" i="16" s="1"/>
  <c r="S128" i="16"/>
  <c r="N128" i="16"/>
  <c r="M128" i="16"/>
  <c r="S127" i="16"/>
  <c r="M127" i="16"/>
  <c r="N127" i="16" s="1"/>
  <c r="S126" i="16"/>
  <c r="N126" i="16"/>
  <c r="M126" i="16"/>
  <c r="S125" i="16"/>
  <c r="Q125" i="16"/>
  <c r="M125" i="16"/>
  <c r="N125" i="16" s="1"/>
  <c r="V124" i="16"/>
  <c r="S124" i="16"/>
  <c r="M124" i="16"/>
  <c r="N124" i="16" s="1"/>
  <c r="S123" i="16"/>
  <c r="Q123" i="16"/>
  <c r="N123" i="16"/>
  <c r="V123" i="16" s="1"/>
  <c r="M123" i="16"/>
  <c r="S122" i="16"/>
  <c r="M122" i="16"/>
  <c r="N122" i="16" s="1"/>
  <c r="S121" i="16"/>
  <c r="Q121" i="16"/>
  <c r="O121" i="16"/>
  <c r="M121" i="16"/>
  <c r="N121" i="16" s="1"/>
  <c r="S120" i="16"/>
  <c r="N120" i="16"/>
  <c r="M120" i="16"/>
  <c r="S119" i="16"/>
  <c r="N119" i="16"/>
  <c r="M119" i="16"/>
  <c r="S118" i="16"/>
  <c r="M118" i="16"/>
  <c r="N118" i="16" s="1"/>
  <c r="V117" i="16"/>
  <c r="S117" i="16"/>
  <c r="P117" i="16"/>
  <c r="M117" i="16"/>
  <c r="N117" i="16" s="1"/>
  <c r="V116" i="16"/>
  <c r="S116" i="16"/>
  <c r="O116" i="16"/>
  <c r="P116" i="16" s="1"/>
  <c r="M116" i="16"/>
  <c r="N116" i="16" s="1"/>
  <c r="S115" i="16"/>
  <c r="Q115" i="16"/>
  <c r="O115" i="16"/>
  <c r="M115" i="16"/>
  <c r="N115" i="16" s="1"/>
  <c r="S114" i="16"/>
  <c r="M114" i="16"/>
  <c r="N114" i="16" s="1"/>
  <c r="V113" i="16"/>
  <c r="S113" i="16"/>
  <c r="Q113" i="16"/>
  <c r="P113" i="16"/>
  <c r="O113" i="16"/>
  <c r="M113" i="16"/>
  <c r="N113" i="16" s="1"/>
  <c r="S112" i="16"/>
  <c r="N112" i="16"/>
  <c r="M112" i="16"/>
  <c r="V111" i="16"/>
  <c r="S111" i="16"/>
  <c r="N111" i="16"/>
  <c r="M111" i="16"/>
  <c r="S110" i="16"/>
  <c r="Q110" i="16"/>
  <c r="N110" i="16"/>
  <c r="M110" i="16"/>
  <c r="S109" i="16"/>
  <c r="O109" i="16"/>
  <c r="P109" i="16" s="1"/>
  <c r="M109" i="16"/>
  <c r="N109" i="16" s="1"/>
  <c r="V108" i="16"/>
  <c r="S108" i="16"/>
  <c r="O108" i="16"/>
  <c r="P108" i="16" s="1"/>
  <c r="N108" i="16"/>
  <c r="M108" i="16"/>
  <c r="S107" i="16"/>
  <c r="M107" i="16"/>
  <c r="N107" i="16" s="1"/>
  <c r="S106" i="16"/>
  <c r="M106" i="16"/>
  <c r="N106" i="16" s="1"/>
  <c r="V105" i="16"/>
  <c r="S105" i="16"/>
  <c r="O105" i="16"/>
  <c r="M105" i="16"/>
  <c r="N105" i="16" s="1"/>
  <c r="V104" i="16"/>
  <c r="S104" i="16"/>
  <c r="O104" i="16"/>
  <c r="P104" i="16" s="1"/>
  <c r="N104" i="16"/>
  <c r="M104" i="16"/>
  <c r="S103" i="16"/>
  <c r="M103" i="16"/>
  <c r="N103" i="16" s="1"/>
  <c r="S102" i="16"/>
  <c r="M102" i="16"/>
  <c r="N102" i="16" s="1"/>
  <c r="V101" i="16"/>
  <c r="S101" i="16"/>
  <c r="Q101" i="16"/>
  <c r="M101" i="16"/>
  <c r="N101" i="16" s="1"/>
  <c r="S100" i="16"/>
  <c r="O100" i="16"/>
  <c r="P100" i="16" s="1"/>
  <c r="N100" i="16"/>
  <c r="M100" i="16"/>
  <c r="S99" i="16"/>
  <c r="M99" i="16"/>
  <c r="N99" i="16" s="1"/>
  <c r="S98" i="16"/>
  <c r="N98" i="16"/>
  <c r="M98" i="16"/>
  <c r="V97" i="16"/>
  <c r="S97" i="16"/>
  <c r="Q97" i="16"/>
  <c r="P97" i="16"/>
  <c r="O97" i="16"/>
  <c r="M97" i="16"/>
  <c r="N97" i="16" s="1"/>
  <c r="V96" i="16"/>
  <c r="S96" i="16"/>
  <c r="N96" i="16"/>
  <c r="M96" i="16"/>
  <c r="S95" i="16"/>
  <c r="M95" i="16"/>
  <c r="N95" i="16" s="1"/>
  <c r="S94" i="16"/>
  <c r="Q94" i="16"/>
  <c r="M94" i="16"/>
  <c r="N94" i="16" s="1"/>
  <c r="S93" i="16"/>
  <c r="M93" i="16"/>
  <c r="N93" i="16" s="1"/>
  <c r="S92" i="16"/>
  <c r="P92" i="16"/>
  <c r="O92" i="16"/>
  <c r="N92" i="16"/>
  <c r="M92" i="16"/>
  <c r="S91" i="16"/>
  <c r="N91" i="16"/>
  <c r="M91" i="16"/>
  <c r="S90" i="16"/>
  <c r="Q90" i="16"/>
  <c r="N90" i="16"/>
  <c r="M90" i="16"/>
  <c r="V89" i="16"/>
  <c r="S89" i="16"/>
  <c r="Q89" i="16"/>
  <c r="O89" i="16"/>
  <c r="P89" i="16" s="1"/>
  <c r="M89" i="16"/>
  <c r="N89" i="16" s="1"/>
  <c r="S88" i="16"/>
  <c r="P88" i="16"/>
  <c r="O88" i="16"/>
  <c r="N88" i="16"/>
  <c r="M88" i="16"/>
  <c r="S87" i="16"/>
  <c r="N87" i="16"/>
  <c r="M87" i="16"/>
  <c r="S86" i="16"/>
  <c r="N86" i="16"/>
  <c r="M86" i="16"/>
  <c r="S85" i="16"/>
  <c r="Q85" i="16"/>
  <c r="O85" i="16"/>
  <c r="P85" i="16" s="1"/>
  <c r="M85" i="16"/>
  <c r="N85" i="16" s="1"/>
  <c r="V84" i="16"/>
  <c r="S84" i="16"/>
  <c r="N84" i="16"/>
  <c r="M84" i="16"/>
  <c r="V83" i="16"/>
  <c r="S83" i="16"/>
  <c r="Q83" i="16"/>
  <c r="O83" i="16"/>
  <c r="M83" i="16"/>
  <c r="N83" i="16" s="1"/>
  <c r="S82" i="16"/>
  <c r="N82" i="16"/>
  <c r="M82" i="16"/>
  <c r="S81" i="16"/>
  <c r="M81" i="16"/>
  <c r="N81" i="16" s="1"/>
  <c r="V80" i="16"/>
  <c r="S80" i="16"/>
  <c r="P80" i="16"/>
  <c r="O80" i="16"/>
  <c r="N80" i="16"/>
  <c r="M80" i="16"/>
  <c r="S79" i="16"/>
  <c r="M79" i="16"/>
  <c r="N79" i="16" s="1"/>
  <c r="S78" i="16"/>
  <c r="M78" i="16"/>
  <c r="N78" i="16" s="1"/>
  <c r="V77" i="16"/>
  <c r="S77" i="16"/>
  <c r="Q77" i="16"/>
  <c r="N77" i="16"/>
  <c r="M77" i="16"/>
  <c r="S76" i="16"/>
  <c r="N76" i="16"/>
  <c r="M76" i="16"/>
  <c r="S75" i="16"/>
  <c r="Q75" i="16"/>
  <c r="N75" i="16"/>
  <c r="M75" i="16"/>
  <c r="S74" i="16"/>
  <c r="M74" i="16"/>
  <c r="N74" i="16" s="1"/>
  <c r="V73" i="16"/>
  <c r="S73" i="16"/>
  <c r="Q73" i="16"/>
  <c r="P73" i="16"/>
  <c r="O73" i="16"/>
  <c r="M73" i="16"/>
  <c r="N73" i="16" s="1"/>
  <c r="S72" i="16"/>
  <c r="Q72" i="16"/>
  <c r="O72" i="16"/>
  <c r="P72" i="16" s="1"/>
  <c r="N72" i="16"/>
  <c r="M72" i="16"/>
  <c r="S71" i="16"/>
  <c r="M71" i="16"/>
  <c r="N71" i="16" s="1"/>
  <c r="S70" i="16"/>
  <c r="N70" i="16"/>
  <c r="M70" i="16"/>
  <c r="V69" i="16"/>
  <c r="S69" i="16"/>
  <c r="N69" i="16"/>
  <c r="M69" i="16"/>
  <c r="S68" i="16"/>
  <c r="O68" i="16"/>
  <c r="M68" i="16"/>
  <c r="N68" i="16" s="1"/>
  <c r="V68" i="16" s="1"/>
  <c r="S67" i="16"/>
  <c r="N67" i="16"/>
  <c r="M67" i="16"/>
  <c r="S66" i="16"/>
  <c r="Q66" i="16"/>
  <c r="N66" i="16"/>
  <c r="M66" i="16"/>
  <c r="S65" i="16"/>
  <c r="M65" i="16"/>
  <c r="N65" i="16" s="1"/>
  <c r="V65" i="16" s="1"/>
  <c r="V64" i="16"/>
  <c r="S64" i="16"/>
  <c r="Q64" i="16"/>
  <c r="N64" i="16"/>
  <c r="M64" i="16"/>
  <c r="S63" i="16"/>
  <c r="Q63" i="16"/>
  <c r="O63" i="16"/>
  <c r="P63" i="16" s="1"/>
  <c r="M63" i="16"/>
  <c r="N63" i="16" s="1"/>
  <c r="S62" i="16"/>
  <c r="Q62" i="16"/>
  <c r="O62" i="16"/>
  <c r="N62" i="16"/>
  <c r="M62" i="16"/>
  <c r="S61" i="16"/>
  <c r="M61" i="16"/>
  <c r="N61" i="16" s="1"/>
  <c r="V60" i="16"/>
  <c r="S60" i="16"/>
  <c r="O60" i="16"/>
  <c r="N60" i="16"/>
  <c r="M60" i="16"/>
  <c r="V59" i="16"/>
  <c r="S59" i="16"/>
  <c r="Q59" i="16"/>
  <c r="M59" i="16"/>
  <c r="N59" i="16" s="1"/>
  <c r="S58" i="16"/>
  <c r="N58" i="16"/>
  <c r="M58" i="16"/>
  <c r="S57" i="16"/>
  <c r="Q57" i="16"/>
  <c r="O57" i="16"/>
  <c r="P57" i="16" s="1"/>
  <c r="M57" i="16"/>
  <c r="N57" i="16" s="1"/>
  <c r="S56" i="16"/>
  <c r="O56" i="16"/>
  <c r="N56" i="16"/>
  <c r="V56" i="16" s="1"/>
  <c r="M56" i="16"/>
  <c r="S55" i="16"/>
  <c r="N55" i="16"/>
  <c r="M55" i="16"/>
  <c r="V54" i="16"/>
  <c r="S54" i="16"/>
  <c r="N54" i="16"/>
  <c r="M54" i="16"/>
  <c r="S53" i="16"/>
  <c r="M53" i="16"/>
  <c r="N53" i="16" s="1"/>
  <c r="V53" i="16" s="1"/>
  <c r="V52" i="16"/>
  <c r="S52" i="16"/>
  <c r="Q52" i="16"/>
  <c r="O52" i="16"/>
  <c r="P52" i="16" s="1"/>
  <c r="M52" i="16"/>
  <c r="N52" i="16" s="1"/>
  <c r="V51" i="16"/>
  <c r="S51" i="16"/>
  <c r="Q51" i="16"/>
  <c r="P51" i="16"/>
  <c r="O51" i="16"/>
  <c r="N51" i="16"/>
  <c r="M51" i="16"/>
  <c r="S50" i="16"/>
  <c r="Q50" i="16"/>
  <c r="N50" i="16"/>
  <c r="M50" i="16"/>
  <c r="S49" i="16"/>
  <c r="Q49" i="16"/>
  <c r="O49" i="16"/>
  <c r="N49" i="16"/>
  <c r="M49" i="16"/>
  <c r="S48" i="16"/>
  <c r="M48" i="16"/>
  <c r="N48" i="16" s="1"/>
  <c r="V47" i="16"/>
  <c r="S47" i="16"/>
  <c r="O47" i="16"/>
  <c r="N47" i="16"/>
  <c r="M47" i="16"/>
  <c r="V46" i="16"/>
  <c r="S46" i="16"/>
  <c r="Q46" i="16"/>
  <c r="N46" i="16"/>
  <c r="M46" i="16"/>
  <c r="V45" i="16"/>
  <c r="S45" i="16"/>
  <c r="Q45" i="16"/>
  <c r="M45" i="16"/>
  <c r="N45" i="16" s="1"/>
  <c r="V44" i="16"/>
  <c r="S44" i="16"/>
  <c r="Q44" i="16"/>
  <c r="P44" i="16"/>
  <c r="O44" i="16"/>
  <c r="M44" i="16"/>
  <c r="N44" i="16" s="1"/>
  <c r="V43" i="16"/>
  <c r="S43" i="16"/>
  <c r="Q43" i="16"/>
  <c r="N43" i="16"/>
  <c r="M43" i="16"/>
  <c r="S42" i="16"/>
  <c r="Q42" i="16"/>
  <c r="O42" i="16"/>
  <c r="N42" i="16"/>
  <c r="M42" i="16"/>
  <c r="S41" i="16"/>
  <c r="M41" i="16"/>
  <c r="N41" i="16" s="1"/>
  <c r="S40" i="16"/>
  <c r="M40" i="16"/>
  <c r="N40" i="16" s="1"/>
  <c r="S39" i="16"/>
  <c r="M39" i="16"/>
  <c r="N39" i="16" s="1"/>
  <c r="S38" i="16"/>
  <c r="M38" i="16"/>
  <c r="N38" i="16" s="1"/>
  <c r="V37" i="16"/>
  <c r="S37" i="16"/>
  <c r="Q37" i="16"/>
  <c r="M37" i="16"/>
  <c r="N37" i="16" s="1"/>
  <c r="V36" i="16"/>
  <c r="S36" i="16"/>
  <c r="Q36" i="16"/>
  <c r="M36" i="16"/>
  <c r="N36" i="16" s="1"/>
  <c r="S35" i="16"/>
  <c r="Q35" i="16"/>
  <c r="O35" i="16"/>
  <c r="N35" i="16"/>
  <c r="V35" i="16" s="1"/>
  <c r="M35" i="16"/>
  <c r="S34" i="16"/>
  <c r="M34" i="16"/>
  <c r="N34" i="16" s="1"/>
  <c r="S33" i="16"/>
  <c r="M33" i="16"/>
  <c r="N33" i="16" s="1"/>
  <c r="S32" i="16"/>
  <c r="Q32" i="16"/>
  <c r="O32" i="16"/>
  <c r="P32" i="16" s="1"/>
  <c r="N32" i="16"/>
  <c r="M32" i="16"/>
  <c r="V31" i="16"/>
  <c r="S31" i="16"/>
  <c r="Q31" i="16"/>
  <c r="N31" i="16"/>
  <c r="M31" i="16"/>
  <c r="S30" i="16"/>
  <c r="M30" i="16"/>
  <c r="N30" i="16" s="1"/>
  <c r="S29" i="16"/>
  <c r="Q29" i="16"/>
  <c r="O29" i="16"/>
  <c r="N29" i="16"/>
  <c r="V29" i="16" s="1"/>
  <c r="M29" i="16"/>
  <c r="S28" i="16"/>
  <c r="N28" i="16"/>
  <c r="V28" i="16" s="1"/>
  <c r="M28" i="16"/>
  <c r="S27" i="16"/>
  <c r="M27" i="16"/>
  <c r="N27" i="16" s="1"/>
  <c r="S26" i="16"/>
  <c r="N26" i="16"/>
  <c r="M26" i="16"/>
  <c r="S25" i="16"/>
  <c r="M25" i="16"/>
  <c r="N25" i="16" s="1"/>
  <c r="S24" i="16"/>
  <c r="Q24" i="16"/>
  <c r="O24" i="16"/>
  <c r="P24" i="16" s="1"/>
  <c r="N24" i="16"/>
  <c r="M24" i="16"/>
  <c r="V23" i="16"/>
  <c r="S23" i="16"/>
  <c r="R23" i="16"/>
  <c r="Q23" i="16"/>
  <c r="O23" i="16"/>
  <c r="P23" i="16" s="1"/>
  <c r="N23" i="16"/>
  <c r="M23" i="16"/>
  <c r="V22" i="16"/>
  <c r="S22" i="16"/>
  <c r="R22" i="16"/>
  <c r="Q22" i="16"/>
  <c r="O22" i="16"/>
  <c r="P22" i="16" s="1"/>
  <c r="N22" i="16"/>
  <c r="M22" i="16"/>
  <c r="V21" i="16"/>
  <c r="S21" i="16"/>
  <c r="R21" i="16"/>
  <c r="Q21" i="16"/>
  <c r="O21" i="16"/>
  <c r="P21" i="16" s="1"/>
  <c r="N21" i="16"/>
  <c r="M21" i="16"/>
  <c r="V20" i="16"/>
  <c r="S20" i="16"/>
  <c r="R20" i="16"/>
  <c r="Q20" i="16"/>
  <c r="O20" i="16"/>
  <c r="P20" i="16" s="1"/>
  <c r="N20" i="16"/>
  <c r="M20" i="16"/>
  <c r="S19" i="16"/>
  <c r="M19" i="16"/>
  <c r="N19" i="16" s="1"/>
  <c r="S18" i="16"/>
  <c r="M18" i="16"/>
  <c r="N18" i="16" s="1"/>
  <c r="S17" i="16"/>
  <c r="M17" i="16"/>
  <c r="N17" i="16" s="1"/>
  <c r="S16" i="16"/>
  <c r="M16" i="16"/>
  <c r="N16" i="16" s="1"/>
  <c r="S15" i="16"/>
  <c r="M15" i="16"/>
  <c r="N15" i="16" s="1"/>
  <c r="S14" i="16"/>
  <c r="M14" i="16"/>
  <c r="N14" i="16" s="1"/>
  <c r="S13" i="16"/>
  <c r="M13" i="16"/>
  <c r="N13" i="16" s="1"/>
  <c r="S12" i="16"/>
  <c r="M12" i="16"/>
  <c r="N12" i="16" s="1"/>
  <c r="S11" i="16"/>
  <c r="M11" i="16"/>
  <c r="N11" i="16" s="1"/>
  <c r="S10" i="16"/>
  <c r="M10" i="16"/>
  <c r="N10" i="16" s="1"/>
  <c r="S9" i="16"/>
  <c r="M9" i="16"/>
  <c r="N9" i="16" s="1"/>
  <c r="S8" i="16"/>
  <c r="M8" i="16"/>
  <c r="N8" i="16" s="1"/>
  <c r="S7" i="16"/>
  <c r="M7" i="16"/>
  <c r="N7" i="16" s="1"/>
  <c r="S6" i="16"/>
  <c r="M6" i="16"/>
  <c r="N6" i="16" s="1"/>
  <c r="S5" i="16"/>
  <c r="M5" i="16"/>
  <c r="N5" i="16" s="1"/>
  <c r="S4" i="16"/>
  <c r="M4" i="16"/>
  <c r="N4" i="16" s="1"/>
  <c r="S3" i="16"/>
  <c r="M3" i="16"/>
  <c r="N3" i="16" s="1"/>
  <c r="S2" i="16"/>
  <c r="M2" i="16"/>
  <c r="N2" i="16" s="1"/>
  <c r="F119" i="12"/>
  <c r="F118" i="12"/>
  <c r="F117" i="12"/>
  <c r="W700" i="2" s="1"/>
  <c r="F116" i="12"/>
  <c r="W699" i="2" s="1"/>
  <c r="F115" i="12"/>
  <c r="W698" i="2" s="1"/>
  <c r="F114" i="12"/>
  <c r="W697" i="2" s="1"/>
  <c r="F113" i="12"/>
  <c r="F112" i="12"/>
  <c r="W695" i="2" s="1"/>
  <c r="F111" i="12"/>
  <c r="F110" i="12"/>
  <c r="F109" i="12"/>
  <c r="W692" i="2" s="1"/>
  <c r="F108" i="12"/>
  <c r="W691" i="2" s="1"/>
  <c r="F107" i="12"/>
  <c r="W690" i="2" s="1"/>
  <c r="F106" i="12"/>
  <c r="W689" i="2" s="1"/>
  <c r="F105" i="12"/>
  <c r="F104" i="12"/>
  <c r="W687" i="2" s="1"/>
  <c r="F103" i="12"/>
  <c r="F102" i="12"/>
  <c r="F101" i="12"/>
  <c r="W684" i="2" s="1"/>
  <c r="F100" i="12"/>
  <c r="W683" i="2" s="1"/>
  <c r="F99" i="12"/>
  <c r="W682" i="2" s="1"/>
  <c r="F98" i="12"/>
  <c r="W681" i="2" s="1"/>
  <c r="F97" i="12"/>
  <c r="F96" i="12"/>
  <c r="W679" i="2" s="1"/>
  <c r="F95" i="12"/>
  <c r="F94" i="12"/>
  <c r="F93" i="12"/>
  <c r="W676" i="2" s="1"/>
  <c r="F92" i="12"/>
  <c r="W675" i="2" s="1"/>
  <c r="F91" i="12"/>
  <c r="W674" i="2" s="1"/>
  <c r="F90" i="12"/>
  <c r="W673" i="2" s="1"/>
  <c r="F85" i="12"/>
  <c r="L668" i="16" s="1"/>
  <c r="F84" i="12"/>
  <c r="L667" i="16" s="1"/>
  <c r="F83" i="12"/>
  <c r="L666" i="16" s="1"/>
  <c r="F82" i="12"/>
  <c r="L665" i="16" s="1"/>
  <c r="W702" i="2"/>
  <c r="W701" i="2"/>
  <c r="W696" i="2"/>
  <c r="W694" i="2"/>
  <c r="W693" i="2"/>
  <c r="W688" i="2"/>
  <c r="W686" i="2"/>
  <c r="W685" i="2"/>
  <c r="W680" i="2"/>
  <c r="W678" i="2"/>
  <c r="W677" i="2"/>
  <c r="W668" i="2"/>
  <c r="W666" i="2"/>
  <c r="W665" i="2"/>
  <c r="G9" i="1"/>
  <c r="G8" i="1"/>
  <c r="F7" i="1"/>
  <c r="E7" i="1"/>
  <c r="D7" i="1"/>
  <c r="C7" i="1"/>
  <c r="G7" i="1" s="1"/>
  <c r="B7" i="1"/>
  <c r="F6" i="1"/>
  <c r="E6" i="1"/>
  <c r="D6" i="1"/>
  <c r="C6" i="1"/>
  <c r="G6" i="1" s="1"/>
  <c r="B6" i="1"/>
  <c r="F5" i="1"/>
  <c r="F10" i="1" s="1"/>
  <c r="E5" i="1"/>
  <c r="E10" i="1" s="1"/>
  <c r="D5" i="1"/>
  <c r="D10" i="1" s="1"/>
  <c r="C5" i="1"/>
  <c r="C10" i="1" s="1"/>
  <c r="B5" i="1"/>
  <c r="B10" i="1" s="1"/>
  <c r="Q3" i="16" l="1"/>
  <c r="O3" i="16"/>
  <c r="R3" i="16" s="1"/>
  <c r="V3" i="16"/>
  <c r="Q7" i="16"/>
  <c r="R7" i="16" s="1"/>
  <c r="P7" i="16"/>
  <c r="O7" i="16"/>
  <c r="V7" i="16"/>
  <c r="Q11" i="16"/>
  <c r="O11" i="16"/>
  <c r="R11" i="16" s="1"/>
  <c r="V11" i="16"/>
  <c r="R15" i="16"/>
  <c r="Q15" i="16"/>
  <c r="O15" i="16"/>
  <c r="P15" i="16" s="1"/>
  <c r="V15" i="16"/>
  <c r="V27" i="16"/>
  <c r="Q27" i="16"/>
  <c r="R27" i="16" s="1"/>
  <c r="P27" i="16"/>
  <c r="O27" i="16"/>
  <c r="V34" i="16"/>
  <c r="Q34" i="16"/>
  <c r="O34" i="16"/>
  <c r="R34" i="16" s="1"/>
  <c r="Q127" i="16"/>
  <c r="R127" i="16" s="1"/>
  <c r="V127" i="16"/>
  <c r="O127" i="16"/>
  <c r="P127" i="16" s="1"/>
  <c r="Q39" i="16"/>
  <c r="V39" i="16"/>
  <c r="O39" i="16"/>
  <c r="R39" i="16" s="1"/>
  <c r="V61" i="16"/>
  <c r="Q61" i="16"/>
  <c r="P61" i="16"/>
  <c r="O61" i="16"/>
  <c r="R61" i="16" s="1"/>
  <c r="O74" i="16"/>
  <c r="R74" i="16" s="1"/>
  <c r="P74" i="16"/>
  <c r="Q74" i="16"/>
  <c r="V74" i="16"/>
  <c r="V79" i="16"/>
  <c r="Q79" i="16"/>
  <c r="O79" i="16"/>
  <c r="R79" i="16" s="1"/>
  <c r="R122" i="16"/>
  <c r="V122" i="16"/>
  <c r="O122" i="16"/>
  <c r="Q122" i="16"/>
  <c r="P122" i="16"/>
  <c r="V194" i="16"/>
  <c r="O194" i="16"/>
  <c r="P194" i="16" s="1"/>
  <c r="Q194" i="16"/>
  <c r="Q199" i="16"/>
  <c r="V199" i="16"/>
  <c r="O199" i="16"/>
  <c r="R199" i="16" s="1"/>
  <c r="R214" i="16"/>
  <c r="P214" i="16"/>
  <c r="O214" i="16"/>
  <c r="V214" i="16"/>
  <c r="Q214" i="16"/>
  <c r="P301" i="16"/>
  <c r="O301" i="16"/>
  <c r="R301" i="16"/>
  <c r="Q301" i="16"/>
  <c r="V301" i="16"/>
  <c r="Q4" i="16"/>
  <c r="O4" i="16"/>
  <c r="R4" i="16" s="1"/>
  <c r="V4" i="16"/>
  <c r="Q8" i="16"/>
  <c r="R8" i="16" s="1"/>
  <c r="P8" i="16"/>
  <c r="O8" i="16"/>
  <c r="V8" i="16"/>
  <c r="Q12" i="16"/>
  <c r="O12" i="16"/>
  <c r="R12" i="16" s="1"/>
  <c r="V12" i="16"/>
  <c r="R16" i="16"/>
  <c r="Q16" i="16"/>
  <c r="O16" i="16"/>
  <c r="P16" i="16" s="1"/>
  <c r="V16" i="16"/>
  <c r="Q30" i="16"/>
  <c r="O30" i="16"/>
  <c r="R30" i="16" s="1"/>
  <c r="V30" i="16"/>
  <c r="V106" i="16"/>
  <c r="O106" i="16"/>
  <c r="R106" i="16" s="1"/>
  <c r="Q106" i="16"/>
  <c r="P106" i="16"/>
  <c r="P238" i="16"/>
  <c r="V238" i="16"/>
  <c r="O238" i="16"/>
  <c r="Q238" i="16"/>
  <c r="R238" i="16"/>
  <c r="Q19" i="16"/>
  <c r="O19" i="16"/>
  <c r="R19" i="16" s="1"/>
  <c r="V19" i="16"/>
  <c r="V25" i="16"/>
  <c r="Q25" i="16"/>
  <c r="P25" i="16"/>
  <c r="O25" i="16"/>
  <c r="R25" i="16" s="1"/>
  <c r="Q40" i="16"/>
  <c r="R40" i="16" s="1"/>
  <c r="V40" i="16"/>
  <c r="O40" i="16"/>
  <c r="P40" i="16" s="1"/>
  <c r="V99" i="16"/>
  <c r="Q99" i="16"/>
  <c r="O99" i="16"/>
  <c r="R99" i="16" s="1"/>
  <c r="R5" i="16"/>
  <c r="Q5" i="16"/>
  <c r="O5" i="16"/>
  <c r="P5" i="16" s="1"/>
  <c r="V5" i="16"/>
  <c r="Q9" i="16"/>
  <c r="O9" i="16"/>
  <c r="R9" i="16" s="1"/>
  <c r="V9" i="16"/>
  <c r="Q13" i="16"/>
  <c r="P13" i="16"/>
  <c r="O13" i="16"/>
  <c r="R13" i="16" s="1"/>
  <c r="V13" i="16"/>
  <c r="O102" i="16"/>
  <c r="P102" i="16" s="1"/>
  <c r="V102" i="16"/>
  <c r="Q102" i="16"/>
  <c r="O174" i="16"/>
  <c r="R174" i="16" s="1"/>
  <c r="V174" i="16"/>
  <c r="Q174" i="16"/>
  <c r="G10" i="1"/>
  <c r="Q2" i="16"/>
  <c r="P2" i="16"/>
  <c r="O2" i="16"/>
  <c r="R2" i="16" s="1"/>
  <c r="V2" i="16"/>
  <c r="Q6" i="16"/>
  <c r="R6" i="16" s="1"/>
  <c r="O6" i="16"/>
  <c r="P6" i="16" s="1"/>
  <c r="V6" i="16"/>
  <c r="Q14" i="16"/>
  <c r="O14" i="16"/>
  <c r="R14" i="16" s="1"/>
  <c r="V14" i="16"/>
  <c r="V33" i="16"/>
  <c r="Q33" i="16"/>
  <c r="P33" i="16"/>
  <c r="O33" i="16"/>
  <c r="R33" i="16" s="1"/>
  <c r="O142" i="16"/>
  <c r="R142" i="16" s="1"/>
  <c r="V142" i="16"/>
  <c r="Q142" i="16"/>
  <c r="P254" i="16"/>
  <c r="V254" i="16"/>
  <c r="Q254" i="16"/>
  <c r="O254" i="16"/>
  <c r="R254" i="16"/>
  <c r="R17" i="16"/>
  <c r="Q17" i="16"/>
  <c r="O17" i="16"/>
  <c r="P17" i="16" s="1"/>
  <c r="V17" i="16"/>
  <c r="V71" i="16"/>
  <c r="Q71" i="16"/>
  <c r="R71" i="16" s="1"/>
  <c r="P71" i="16"/>
  <c r="O71" i="16"/>
  <c r="V138" i="16"/>
  <c r="O138" i="16"/>
  <c r="R138" i="16" s="1"/>
  <c r="Q138" i="16"/>
  <c r="P138" i="16"/>
  <c r="R166" i="16"/>
  <c r="P166" i="16"/>
  <c r="O166" i="16"/>
  <c r="V166" i="16"/>
  <c r="Q166" i="16"/>
  <c r="V202" i="16"/>
  <c r="O202" i="16"/>
  <c r="R202" i="16" s="1"/>
  <c r="Q202" i="16"/>
  <c r="V41" i="16"/>
  <c r="Q41" i="16"/>
  <c r="P41" i="16"/>
  <c r="O41" i="16"/>
  <c r="R41" i="16" s="1"/>
  <c r="R48" i="16"/>
  <c r="Q48" i="16"/>
  <c r="V48" i="16"/>
  <c r="O48" i="16"/>
  <c r="P48" i="16" s="1"/>
  <c r="Q143" i="16"/>
  <c r="O143" i="16"/>
  <c r="R143" i="16" s="1"/>
  <c r="V143" i="16"/>
  <c r="R10" i="16"/>
  <c r="Q10" i="16"/>
  <c r="O10" i="16"/>
  <c r="P10" i="16" s="1"/>
  <c r="V10" i="16"/>
  <c r="Q18" i="16"/>
  <c r="O18" i="16"/>
  <c r="R18" i="16" s="1"/>
  <c r="V18" i="16"/>
  <c r="O38" i="16"/>
  <c r="R38" i="16" s="1"/>
  <c r="V38" i="16"/>
  <c r="Q38" i="16"/>
  <c r="R103" i="16"/>
  <c r="P103" i="16"/>
  <c r="Q103" i="16"/>
  <c r="O103" i="16"/>
  <c r="V103" i="16"/>
  <c r="G5" i="1"/>
  <c r="S666" i="16"/>
  <c r="R666" i="16"/>
  <c r="O666" i="16"/>
  <c r="P666" i="16" s="1"/>
  <c r="Q55" i="16"/>
  <c r="R58" i="16"/>
  <c r="O58" i="16"/>
  <c r="P58" i="16" s="1"/>
  <c r="V70" i="16"/>
  <c r="Q70" i="16"/>
  <c r="Q76" i="16"/>
  <c r="O86" i="16"/>
  <c r="V86" i="16"/>
  <c r="P91" i="16"/>
  <c r="Q91" i="16"/>
  <c r="V91" i="16"/>
  <c r="Q93" i="16"/>
  <c r="R93" i="16" s="1"/>
  <c r="P95" i="16"/>
  <c r="V98" i="16"/>
  <c r="O98" i="16"/>
  <c r="R98" i="16" s="1"/>
  <c r="Q112" i="16"/>
  <c r="O112" i="16"/>
  <c r="R112" i="16" s="1"/>
  <c r="V112" i="16"/>
  <c r="R129" i="16"/>
  <c r="V129" i="16"/>
  <c r="O129" i="16"/>
  <c r="P129" i="16" s="1"/>
  <c r="Q129" i="16"/>
  <c r="O133" i="16"/>
  <c r="R133" i="16" s="1"/>
  <c r="V133" i="16"/>
  <c r="R135" i="16"/>
  <c r="Q135" i="16"/>
  <c r="P135" i="16"/>
  <c r="Q144" i="16"/>
  <c r="V144" i="16"/>
  <c r="P144" i="16"/>
  <c r="O144" i="16"/>
  <c r="R144" i="16" s="1"/>
  <c r="O150" i="16"/>
  <c r="P150" i="16" s="1"/>
  <c r="V150" i="16"/>
  <c r="V154" i="16"/>
  <c r="O154" i="16"/>
  <c r="R154" i="16" s="1"/>
  <c r="Q154" i="16"/>
  <c r="R168" i="16"/>
  <c r="Q168" i="16"/>
  <c r="O168" i="16"/>
  <c r="P168" i="16" s="1"/>
  <c r="Q172" i="16"/>
  <c r="V172" i="16"/>
  <c r="V186" i="16"/>
  <c r="O186" i="16"/>
  <c r="P186" i="16" s="1"/>
  <c r="R211" i="16"/>
  <c r="P211" i="16"/>
  <c r="V211" i="16"/>
  <c r="Q216" i="16"/>
  <c r="P216" i="16"/>
  <c r="V216" i="16"/>
  <c r="R218" i="16"/>
  <c r="V218" i="16"/>
  <c r="O218" i="16"/>
  <c r="P218" i="16" s="1"/>
  <c r="Q218" i="16"/>
  <c r="V225" i="16"/>
  <c r="Q240" i="16"/>
  <c r="O240" i="16"/>
  <c r="R240" i="16" s="1"/>
  <c r="V240" i="16"/>
  <c r="P284" i="16"/>
  <c r="R284" i="16"/>
  <c r="V284" i="16"/>
  <c r="Q284" i="16"/>
  <c r="O284" i="16"/>
  <c r="P286" i="16"/>
  <c r="V286" i="16"/>
  <c r="Q286" i="16"/>
  <c r="O286" i="16"/>
  <c r="P290" i="16"/>
  <c r="Q290" i="16"/>
  <c r="O290" i="16"/>
  <c r="R290" i="16"/>
  <c r="V290" i="16"/>
  <c r="P381" i="16"/>
  <c r="O381" i="16"/>
  <c r="R381" i="16"/>
  <c r="Q381" i="16"/>
  <c r="V381" i="16"/>
  <c r="P391" i="16"/>
  <c r="O391" i="16"/>
  <c r="Q391" i="16"/>
  <c r="V391" i="16"/>
  <c r="R391" i="16"/>
  <c r="P393" i="16"/>
  <c r="O393" i="16"/>
  <c r="R393" i="16"/>
  <c r="Q393" i="16"/>
  <c r="V393" i="16"/>
  <c r="V429" i="16"/>
  <c r="Q429" i="16"/>
  <c r="R429" i="16"/>
  <c r="P429" i="16"/>
  <c r="O429" i="16"/>
  <c r="Q669" i="16"/>
  <c r="P669" i="16"/>
  <c r="O669" i="16"/>
  <c r="R669" i="16" s="1"/>
  <c r="V675" i="16"/>
  <c r="Q675" i="16"/>
  <c r="O675" i="16"/>
  <c r="R675" i="16" s="1"/>
  <c r="V679" i="16"/>
  <c r="R679" i="16"/>
  <c r="Q679" i="16"/>
  <c r="P679" i="16"/>
  <c r="O679" i="16"/>
  <c r="V683" i="16"/>
  <c r="Q683" i="16"/>
  <c r="O683" i="16"/>
  <c r="R683" i="16" s="1"/>
  <c r="V687" i="16"/>
  <c r="R687" i="16"/>
  <c r="Q687" i="16"/>
  <c r="O687" i="16"/>
  <c r="P687" i="16" s="1"/>
  <c r="V691" i="16"/>
  <c r="Q691" i="16"/>
  <c r="O691" i="16"/>
  <c r="R691" i="16" s="1"/>
  <c r="V695" i="16"/>
  <c r="Q695" i="16"/>
  <c r="P695" i="16"/>
  <c r="O695" i="16"/>
  <c r="R695" i="16" s="1"/>
  <c r="V699" i="16"/>
  <c r="Q699" i="16"/>
  <c r="R699" i="16" s="1"/>
  <c r="O699" i="16"/>
  <c r="P699" i="16" s="1"/>
  <c r="S667" i="16"/>
  <c r="P667" i="16"/>
  <c r="O667" i="16"/>
  <c r="O26" i="16"/>
  <c r="R26" i="16" s="1"/>
  <c r="Q28" i="16"/>
  <c r="R37" i="16"/>
  <c r="O37" i="16"/>
  <c r="P37" i="16" s="1"/>
  <c r="R44" i="16"/>
  <c r="R51" i="16"/>
  <c r="O55" i="16"/>
  <c r="R55" i="16" s="1"/>
  <c r="O67" i="16"/>
  <c r="P67" i="16" s="1"/>
  <c r="O70" i="16"/>
  <c r="R70" i="16" s="1"/>
  <c r="O76" i="16"/>
  <c r="P76" i="16" s="1"/>
  <c r="V81" i="16"/>
  <c r="O81" i="16"/>
  <c r="R81" i="16" s="1"/>
  <c r="R83" i="16"/>
  <c r="P83" i="16"/>
  <c r="P86" i="16"/>
  <c r="R88" i="16"/>
  <c r="Q88" i="16"/>
  <c r="V88" i="16"/>
  <c r="O91" i="16"/>
  <c r="R91" i="16" s="1"/>
  <c r="O93" i="16"/>
  <c r="P93" i="16" s="1"/>
  <c r="O95" i="16"/>
  <c r="R95" i="16" s="1"/>
  <c r="Q98" i="16"/>
  <c r="O107" i="16"/>
  <c r="P107" i="16" s="1"/>
  <c r="P112" i="16"/>
  <c r="V114" i="16"/>
  <c r="O114" i="16"/>
  <c r="R114" i="16" s="1"/>
  <c r="P114" i="16"/>
  <c r="O118" i="16"/>
  <c r="R118" i="16" s="1"/>
  <c r="V118" i="16"/>
  <c r="Q120" i="16"/>
  <c r="V120" i="16"/>
  <c r="P133" i="16"/>
  <c r="O135" i="16"/>
  <c r="Q150" i="16"/>
  <c r="R150" i="16" s="1"/>
  <c r="P154" i="16"/>
  <c r="R158" i="16"/>
  <c r="O158" i="16"/>
  <c r="P158" i="16" s="1"/>
  <c r="V158" i="16"/>
  <c r="Q158" i="16"/>
  <c r="O172" i="16"/>
  <c r="R172" i="16" s="1"/>
  <c r="R184" i="16"/>
  <c r="Q184" i="16"/>
  <c r="O184" i="16"/>
  <c r="Q188" i="16"/>
  <c r="R188" i="16" s="1"/>
  <c r="V188" i="16"/>
  <c r="P188" i="16"/>
  <c r="R190" i="16"/>
  <c r="P190" i="16"/>
  <c r="O190" i="16"/>
  <c r="V190" i="16"/>
  <c r="Q190" i="16"/>
  <c r="O211" i="16"/>
  <c r="O216" i="16"/>
  <c r="R216" i="16" s="1"/>
  <c r="O225" i="16"/>
  <c r="R225" i="16" s="1"/>
  <c r="R227" i="16"/>
  <c r="Q227" i="16"/>
  <c r="Q233" i="16"/>
  <c r="V233" i="16"/>
  <c r="P262" i="16"/>
  <c r="V262" i="16"/>
  <c r="R262" i="16"/>
  <c r="P270" i="16"/>
  <c r="V270" i="16"/>
  <c r="O270" i="16"/>
  <c r="R270" i="16"/>
  <c r="R286" i="16"/>
  <c r="P288" i="16"/>
  <c r="V288" i="16"/>
  <c r="Q288" i="16"/>
  <c r="O288" i="16"/>
  <c r="R288" i="16"/>
  <c r="P319" i="16"/>
  <c r="O319" i="16"/>
  <c r="Q319" i="16"/>
  <c r="R319" i="16"/>
  <c r="V319" i="16"/>
  <c r="P356" i="16"/>
  <c r="O356" i="16"/>
  <c r="R356" i="16"/>
  <c r="V356" i="16"/>
  <c r="P411" i="16"/>
  <c r="O411" i="16"/>
  <c r="Q411" i="16"/>
  <c r="R411" i="16"/>
  <c r="V411" i="16"/>
  <c r="P413" i="16"/>
  <c r="O413" i="16"/>
  <c r="R413" i="16"/>
  <c r="Q413" i="16"/>
  <c r="V413" i="16"/>
  <c r="V421" i="16"/>
  <c r="R421" i="16"/>
  <c r="Q421" i="16"/>
  <c r="P421" i="16"/>
  <c r="O421" i="16"/>
  <c r="V427" i="16"/>
  <c r="Q427" i="16"/>
  <c r="P427" i="16"/>
  <c r="O427" i="16"/>
  <c r="R427" i="16"/>
  <c r="Q606" i="16"/>
  <c r="V606" i="16"/>
  <c r="O606" i="16"/>
  <c r="P606" i="16" s="1"/>
  <c r="O630" i="16"/>
  <c r="R630" i="16" s="1"/>
  <c r="V630" i="16"/>
  <c r="P630" i="16"/>
  <c r="Q630" i="16"/>
  <c r="S668" i="16"/>
  <c r="O668" i="16"/>
  <c r="P668" i="16" s="1"/>
  <c r="R24" i="16"/>
  <c r="P26" i="16"/>
  <c r="R32" i="16"/>
  <c r="R47" i="16"/>
  <c r="Q47" i="16"/>
  <c r="P47" i="16"/>
  <c r="R57" i="16"/>
  <c r="V57" i="16"/>
  <c r="Q58" i="16"/>
  <c r="Q60" i="16"/>
  <c r="R60" i="16" s="1"/>
  <c r="P60" i="16"/>
  <c r="R63" i="16"/>
  <c r="Q67" i="16"/>
  <c r="R72" i="16"/>
  <c r="Q81" i="16"/>
  <c r="R85" i="16"/>
  <c r="V85" i="16"/>
  <c r="Q86" i="16"/>
  <c r="R86" i="16" s="1"/>
  <c r="Q95" i="16"/>
  <c r="Q107" i="16"/>
  <c r="Q109" i="16"/>
  <c r="R109" i="16" s="1"/>
  <c r="V109" i="16"/>
  <c r="Q114" i="16"/>
  <c r="Q118" i="16"/>
  <c r="O120" i="16"/>
  <c r="P120" i="16" s="1"/>
  <c r="Q133" i="16"/>
  <c r="V145" i="16"/>
  <c r="V161" i="16"/>
  <c r="P172" i="16"/>
  <c r="R178" i="16"/>
  <c r="V178" i="16"/>
  <c r="O178" i="16"/>
  <c r="Q178" i="16"/>
  <c r="P178" i="16"/>
  <c r="O182" i="16"/>
  <c r="R182" i="16" s="1"/>
  <c r="V182" i="16"/>
  <c r="P184" i="16"/>
  <c r="Q186" i="16"/>
  <c r="O188" i="16"/>
  <c r="R197" i="16"/>
  <c r="O197" i="16"/>
  <c r="V197" i="16"/>
  <c r="Q207" i="16"/>
  <c r="R207" i="16" s="1"/>
  <c r="P207" i="16"/>
  <c r="V207" i="16"/>
  <c r="O207" i="16"/>
  <c r="Q211" i="16"/>
  <c r="Q223" i="16"/>
  <c r="O223" i="16"/>
  <c r="R223" i="16" s="1"/>
  <c r="P225" i="16"/>
  <c r="O227" i="16"/>
  <c r="P227" i="16" s="1"/>
  <c r="O233" i="16"/>
  <c r="R233" i="16" s="1"/>
  <c r="O262" i="16"/>
  <c r="P268" i="16"/>
  <c r="R268" i="16"/>
  <c r="Q268" i="16"/>
  <c r="O268" i="16"/>
  <c r="V268" i="16"/>
  <c r="Q270" i="16"/>
  <c r="P340" i="16"/>
  <c r="O340" i="16"/>
  <c r="R340" i="16"/>
  <c r="Q340" i="16"/>
  <c r="P347" i="16"/>
  <c r="O347" i="16"/>
  <c r="Q347" i="16"/>
  <c r="R347" i="16"/>
  <c r="P349" i="16"/>
  <c r="O349" i="16"/>
  <c r="R349" i="16"/>
  <c r="Q349" i="16"/>
  <c r="V349" i="16"/>
  <c r="Q356" i="16"/>
  <c r="P387" i="16"/>
  <c r="O387" i="16"/>
  <c r="Q387" i="16"/>
  <c r="R387" i="16"/>
  <c r="V387" i="16"/>
  <c r="Q26" i="16"/>
  <c r="R36" i="16"/>
  <c r="R43" i="16"/>
  <c r="V50" i="16"/>
  <c r="R54" i="16"/>
  <c r="P54" i="16"/>
  <c r="O54" i="16"/>
  <c r="V55" i="16"/>
  <c r="R66" i="16"/>
  <c r="O66" i="16"/>
  <c r="V66" i="16"/>
  <c r="P69" i="16"/>
  <c r="O69" i="16"/>
  <c r="R69" i="16" s="1"/>
  <c r="R75" i="16"/>
  <c r="P75" i="16"/>
  <c r="V75" i="16"/>
  <c r="R78" i="16"/>
  <c r="V78" i="16"/>
  <c r="Q78" i="16"/>
  <c r="V93" i="16"/>
  <c r="O126" i="16"/>
  <c r="R126" i="16" s="1"/>
  <c r="V126" i="16"/>
  <c r="Q128" i="16"/>
  <c r="R130" i="16"/>
  <c r="V130" i="16"/>
  <c r="O130" i="16"/>
  <c r="V135" i="16"/>
  <c r="R139" i="16"/>
  <c r="P139" i="16"/>
  <c r="Q139" i="16"/>
  <c r="O139" i="16"/>
  <c r="O145" i="16"/>
  <c r="P145" i="16" s="1"/>
  <c r="R147" i="16"/>
  <c r="P147" i="16"/>
  <c r="V147" i="16"/>
  <c r="R151" i="16"/>
  <c r="Q151" i="16"/>
  <c r="P151" i="16"/>
  <c r="V151" i="16"/>
  <c r="O161" i="16"/>
  <c r="P161" i="16" s="1"/>
  <c r="V168" i="16"/>
  <c r="Q182" i="16"/>
  <c r="Q191" i="16"/>
  <c r="R191" i="16" s="1"/>
  <c r="P191" i="16"/>
  <c r="V191" i="16"/>
  <c r="V193" i="16"/>
  <c r="Q193" i="16"/>
  <c r="O193" i="16"/>
  <c r="P193" i="16" s="1"/>
  <c r="P197" i="16"/>
  <c r="R219" i="16"/>
  <c r="P219" i="16"/>
  <c r="Q219" i="16"/>
  <c r="Q225" i="16"/>
  <c r="Q262" i="16"/>
  <c r="P266" i="16"/>
  <c r="Q266" i="16"/>
  <c r="O266" i="16"/>
  <c r="V266" i="16"/>
  <c r="R266" i="16"/>
  <c r="P331" i="16"/>
  <c r="O331" i="16"/>
  <c r="Q331" i="16"/>
  <c r="V331" i="16"/>
  <c r="R331" i="16"/>
  <c r="P333" i="16"/>
  <c r="O333" i="16"/>
  <c r="R333" i="16"/>
  <c r="Q333" i="16"/>
  <c r="V333" i="16"/>
  <c r="P336" i="16"/>
  <c r="O336" i="16"/>
  <c r="V336" i="16"/>
  <c r="R336" i="16"/>
  <c r="Q336" i="16"/>
  <c r="O31" i="16"/>
  <c r="P31" i="16" s="1"/>
  <c r="O36" i="16"/>
  <c r="P36" i="16" s="1"/>
  <c r="O43" i="16"/>
  <c r="P43" i="16" s="1"/>
  <c r="O50" i="16"/>
  <c r="P50" i="16" s="1"/>
  <c r="Q54" i="16"/>
  <c r="V58" i="16"/>
  <c r="P66" i="16"/>
  <c r="V67" i="16"/>
  <c r="Q69" i="16"/>
  <c r="O75" i="16"/>
  <c r="V76" i="16"/>
  <c r="O78" i="16"/>
  <c r="P78" i="16" s="1"/>
  <c r="R80" i="16"/>
  <c r="Q80" i="16"/>
  <c r="Q92" i="16"/>
  <c r="R92" i="16" s="1"/>
  <c r="V92" i="16"/>
  <c r="O94" i="16"/>
  <c r="P94" i="16" s="1"/>
  <c r="V94" i="16"/>
  <c r="V95" i="16"/>
  <c r="V107" i="16"/>
  <c r="R111" i="16"/>
  <c r="P111" i="16"/>
  <c r="Q111" i="16"/>
  <c r="O111" i="16"/>
  <c r="R115" i="16"/>
  <c r="P115" i="16"/>
  <c r="V115" i="16"/>
  <c r="Q126" i="16"/>
  <c r="O128" i="16"/>
  <c r="P128" i="16" s="1"/>
  <c r="P130" i="16"/>
  <c r="R149" i="16"/>
  <c r="O149" i="16"/>
  <c r="P149" i="16" s="1"/>
  <c r="Q149" i="16"/>
  <c r="V149" i="16"/>
  <c r="Q159" i="16"/>
  <c r="O159" i="16"/>
  <c r="R159" i="16" s="1"/>
  <c r="R163" i="16"/>
  <c r="P163" i="16"/>
  <c r="V163" i="16"/>
  <c r="Q163" i="16"/>
  <c r="R167" i="16"/>
  <c r="Q167" i="16"/>
  <c r="P167" i="16"/>
  <c r="V167" i="16"/>
  <c r="R169" i="16"/>
  <c r="V169" i="16"/>
  <c r="O169" i="16"/>
  <c r="P169" i="16" s="1"/>
  <c r="Q212" i="16"/>
  <c r="O212" i="16"/>
  <c r="R212" i="16" s="1"/>
  <c r="V212" i="16"/>
  <c r="P258" i="16"/>
  <c r="Q258" i="16"/>
  <c r="O258" i="16"/>
  <c r="R258" i="16"/>
  <c r="V258" i="16"/>
  <c r="V340" i="16"/>
  <c r="V347" i="16"/>
  <c r="V26" i="16"/>
  <c r="R29" i="16"/>
  <c r="R35" i="16"/>
  <c r="R42" i="16"/>
  <c r="V42" i="16"/>
  <c r="O46" i="16"/>
  <c r="R46" i="16" s="1"/>
  <c r="R49" i="16"/>
  <c r="V49" i="16"/>
  <c r="O53" i="16"/>
  <c r="P53" i="16" s="1"/>
  <c r="R56" i="16"/>
  <c r="Q56" i="16"/>
  <c r="R59" i="16"/>
  <c r="P59" i="16"/>
  <c r="O59" i="16"/>
  <c r="R62" i="16"/>
  <c r="V62" i="16"/>
  <c r="R68" i="16"/>
  <c r="Q68" i="16"/>
  <c r="O82" i="16"/>
  <c r="P82" i="16" s="1"/>
  <c r="V82" i="16"/>
  <c r="R87" i="16"/>
  <c r="O87" i="16"/>
  <c r="P87" i="16" s="1"/>
  <c r="Q87" i="16"/>
  <c r="R117" i="16"/>
  <c r="O117" i="16"/>
  <c r="Q117" i="16"/>
  <c r="R119" i="16"/>
  <c r="Q119" i="16"/>
  <c r="O119" i="16"/>
  <c r="P119" i="16" s="1"/>
  <c r="R132" i="16"/>
  <c r="Q132" i="16"/>
  <c r="O132" i="16"/>
  <c r="P132" i="16" s="1"/>
  <c r="V132" i="16"/>
  <c r="R134" i="16"/>
  <c r="P134" i="16"/>
  <c r="O134" i="16"/>
  <c r="V134" i="16"/>
  <c r="Q134" i="16"/>
  <c r="R157" i="16"/>
  <c r="O157" i="16"/>
  <c r="P157" i="16"/>
  <c r="R177" i="16"/>
  <c r="V177" i="16"/>
  <c r="Q177" i="16"/>
  <c r="Q208" i="16"/>
  <c r="R208" i="16" s="1"/>
  <c r="V208" i="16"/>
  <c r="P208" i="16"/>
  <c r="R210" i="16"/>
  <c r="V210" i="16"/>
  <c r="O210" i="16"/>
  <c r="P210" i="16" s="1"/>
  <c r="Q210" i="16"/>
  <c r="R230" i="16"/>
  <c r="Q230" i="16"/>
  <c r="O230" i="16"/>
  <c r="V230" i="16"/>
  <c r="P230" i="16"/>
  <c r="P242" i="16"/>
  <c r="Q242" i="16"/>
  <c r="O242" i="16"/>
  <c r="R242" i="16"/>
  <c r="V242" i="16"/>
  <c r="P245" i="16"/>
  <c r="V245" i="16"/>
  <c r="O245" i="16"/>
  <c r="P251" i="16"/>
  <c r="R251" i="16"/>
  <c r="Q251" i="16"/>
  <c r="V251" i="16"/>
  <c r="O251" i="16"/>
  <c r="P298" i="16"/>
  <c r="O298" i="16"/>
  <c r="V298" i="16"/>
  <c r="R298" i="16"/>
  <c r="Q298" i="16"/>
  <c r="P306" i="16"/>
  <c r="O306" i="16"/>
  <c r="V306" i="16"/>
  <c r="R306" i="16"/>
  <c r="Q306" i="16"/>
  <c r="P309" i="16"/>
  <c r="O309" i="16"/>
  <c r="R309" i="16"/>
  <c r="Q309" i="16"/>
  <c r="V309" i="16"/>
  <c r="Q65" i="16"/>
  <c r="P65" i="16"/>
  <c r="R96" i="16"/>
  <c r="Q96" i="16"/>
  <c r="O96" i="16"/>
  <c r="P96" i="16" s="1"/>
  <c r="R123" i="16"/>
  <c r="O125" i="16"/>
  <c r="P125" i="16" s="1"/>
  <c r="V125" i="16"/>
  <c r="Q183" i="16"/>
  <c r="P183" i="16"/>
  <c r="V183" i="16"/>
  <c r="O183" i="16"/>
  <c r="R183" i="16" s="1"/>
  <c r="R213" i="16"/>
  <c r="O213" i="16"/>
  <c r="V213" i="16"/>
  <c r="Q213" i="16"/>
  <c r="P213" i="16"/>
  <c r="V219" i="16"/>
  <c r="Q236" i="16"/>
  <c r="O236" i="16"/>
  <c r="P236" i="16" s="1"/>
  <c r="Q245" i="16"/>
  <c r="P249" i="16"/>
  <c r="O249" i="16"/>
  <c r="Q249" i="16"/>
  <c r="V249" i="16"/>
  <c r="R249" i="16"/>
  <c r="P325" i="16"/>
  <c r="O325" i="16"/>
  <c r="R325" i="16"/>
  <c r="Q325" i="16"/>
  <c r="V325" i="16"/>
  <c r="P329" i="16"/>
  <c r="O329" i="16"/>
  <c r="R329" i="16"/>
  <c r="Q329" i="16"/>
  <c r="V329" i="16"/>
  <c r="W667" i="2"/>
  <c r="O665" i="16"/>
  <c r="R665" i="16"/>
  <c r="S665" i="16"/>
  <c r="P665" i="16"/>
  <c r="V24" i="16"/>
  <c r="O28" i="16"/>
  <c r="P28" i="16" s="1"/>
  <c r="P29" i="16"/>
  <c r="V32" i="16"/>
  <c r="P35" i="16"/>
  <c r="P42" i="16"/>
  <c r="R45" i="16"/>
  <c r="O45" i="16"/>
  <c r="P45" i="16" s="1"/>
  <c r="P49" i="16"/>
  <c r="R52" i="16"/>
  <c r="Q53" i="16"/>
  <c r="P56" i="16"/>
  <c r="P62" i="16"/>
  <c r="V63" i="16"/>
  <c r="O65" i="16"/>
  <c r="R65" i="16" s="1"/>
  <c r="P68" i="16"/>
  <c r="V72" i="16"/>
  <c r="Q82" i="16"/>
  <c r="V87" i="16"/>
  <c r="R100" i="16"/>
  <c r="Q100" i="16"/>
  <c r="V100" i="16"/>
  <c r="R105" i="16"/>
  <c r="P105" i="16"/>
  <c r="Q105" i="16"/>
  <c r="O110" i="16"/>
  <c r="P110" i="16" s="1"/>
  <c r="V110" i="16"/>
  <c r="V119" i="16"/>
  <c r="O123" i="16"/>
  <c r="P123" i="16" s="1"/>
  <c r="V128" i="16"/>
  <c r="V146" i="16"/>
  <c r="O146" i="16"/>
  <c r="R146" i="16" s="1"/>
  <c r="Q152" i="16"/>
  <c r="R152" i="16" s="1"/>
  <c r="R170" i="16"/>
  <c r="V170" i="16"/>
  <c r="O170" i="16"/>
  <c r="P170" i="16" s="1"/>
  <c r="P177" i="16"/>
  <c r="R206" i="16"/>
  <c r="P206" i="16"/>
  <c r="O206" i="16"/>
  <c r="V206" i="16"/>
  <c r="Q206" i="16"/>
  <c r="O222" i="16"/>
  <c r="R222" i="16" s="1"/>
  <c r="V222" i="16"/>
  <c r="Q222" i="16"/>
  <c r="Q243" i="16"/>
  <c r="O243" i="16"/>
  <c r="P243" i="16" s="1"/>
  <c r="V243" i="16"/>
  <c r="R245" i="16"/>
  <c r="P299" i="16"/>
  <c r="O299" i="16"/>
  <c r="Q299" i="16"/>
  <c r="V299" i="16"/>
  <c r="R299" i="16"/>
  <c r="P318" i="16"/>
  <c r="O318" i="16"/>
  <c r="V318" i="16"/>
  <c r="R318" i="16"/>
  <c r="Q318" i="16"/>
  <c r="P361" i="16"/>
  <c r="O361" i="16"/>
  <c r="R361" i="16"/>
  <c r="Q361" i="16"/>
  <c r="V361" i="16"/>
  <c r="P377" i="16"/>
  <c r="O377" i="16"/>
  <c r="R377" i="16"/>
  <c r="Q377" i="16"/>
  <c r="V377" i="16"/>
  <c r="P399" i="16"/>
  <c r="O399" i="16"/>
  <c r="Q399" i="16"/>
  <c r="V399" i="16"/>
  <c r="R399" i="16"/>
  <c r="P401" i="16"/>
  <c r="O401" i="16"/>
  <c r="R401" i="16"/>
  <c r="Q401" i="16"/>
  <c r="V401" i="16"/>
  <c r="V440" i="16"/>
  <c r="Q440" i="16"/>
  <c r="R440" i="16"/>
  <c r="P440" i="16"/>
  <c r="O440" i="16"/>
  <c r="V185" i="16"/>
  <c r="P203" i="16"/>
  <c r="P241" i="16"/>
  <c r="O241" i="16"/>
  <c r="V241" i="16"/>
  <c r="Q241" i="16"/>
  <c r="P247" i="16"/>
  <c r="Q247" i="16"/>
  <c r="O247" i="16"/>
  <c r="V247" i="16"/>
  <c r="P274" i="16"/>
  <c r="Q274" i="16"/>
  <c r="O274" i="16"/>
  <c r="R274" i="16"/>
  <c r="P311" i="16"/>
  <c r="O311" i="16"/>
  <c r="V311" i="16"/>
  <c r="Q311" i="16"/>
  <c r="P313" i="16"/>
  <c r="O313" i="16"/>
  <c r="R313" i="16"/>
  <c r="Q313" i="16"/>
  <c r="V313" i="16"/>
  <c r="P341" i="16"/>
  <c r="O341" i="16"/>
  <c r="R341" i="16"/>
  <c r="Q341" i="16"/>
  <c r="V341" i="16"/>
  <c r="P371" i="16"/>
  <c r="O371" i="16"/>
  <c r="Q371" i="16"/>
  <c r="V371" i="16"/>
  <c r="P389" i="16"/>
  <c r="O389" i="16"/>
  <c r="R389" i="16"/>
  <c r="Q389" i="16"/>
  <c r="V389" i="16"/>
  <c r="V477" i="16"/>
  <c r="R477" i="16"/>
  <c r="P477" i="16"/>
  <c r="O477" i="16"/>
  <c r="Q477" i="16"/>
  <c r="V506" i="16"/>
  <c r="O506" i="16"/>
  <c r="R506" i="16"/>
  <c r="Q506" i="16"/>
  <c r="P506" i="16"/>
  <c r="Q84" i="16"/>
  <c r="R84" i="16" s="1"/>
  <c r="P84" i="16"/>
  <c r="V90" i="16"/>
  <c r="O90" i="16"/>
  <c r="R90" i="16" s="1"/>
  <c r="Q124" i="16"/>
  <c r="R136" i="16"/>
  <c r="Q136" i="16"/>
  <c r="V153" i="16"/>
  <c r="R160" i="16"/>
  <c r="Q160" i="16"/>
  <c r="V160" i="16"/>
  <c r="P160" i="16"/>
  <c r="R164" i="16"/>
  <c r="Q164" i="16"/>
  <c r="Q180" i="16"/>
  <c r="O185" i="16"/>
  <c r="R185" i="16" s="1"/>
  <c r="R189" i="16"/>
  <c r="O189" i="16"/>
  <c r="Q196" i="16"/>
  <c r="R196" i="16" s="1"/>
  <c r="O196" i="16"/>
  <c r="O198" i="16"/>
  <c r="R198" i="16" s="1"/>
  <c r="V198" i="16"/>
  <c r="O203" i="16"/>
  <c r="R203" i="16" s="1"/>
  <c r="O205" i="16"/>
  <c r="P205" i="16" s="1"/>
  <c r="Q215" i="16"/>
  <c r="Q224" i="16"/>
  <c r="V224" i="16"/>
  <c r="O224" i="16"/>
  <c r="R224" i="16" s="1"/>
  <c r="R226" i="16"/>
  <c r="Q226" i="16"/>
  <c r="O226" i="16"/>
  <c r="P226" i="16"/>
  <c r="Q228" i="16"/>
  <c r="O228" i="16"/>
  <c r="R228" i="16" s="1"/>
  <c r="R241" i="16"/>
  <c r="R247" i="16"/>
  <c r="P259" i="16"/>
  <c r="R259" i="16"/>
  <c r="Q259" i="16"/>
  <c r="V259" i="16"/>
  <c r="P297" i="16"/>
  <c r="O297" i="16"/>
  <c r="R297" i="16"/>
  <c r="Q297" i="16"/>
  <c r="V297" i="16"/>
  <c r="R311" i="16"/>
  <c r="P323" i="16"/>
  <c r="O323" i="16"/>
  <c r="Q323" i="16"/>
  <c r="V323" i="16"/>
  <c r="R323" i="16"/>
  <c r="P334" i="16"/>
  <c r="O334" i="16"/>
  <c r="V334" i="16"/>
  <c r="R334" i="16"/>
  <c r="Q334" i="16"/>
  <c r="R371" i="16"/>
  <c r="O64" i="16"/>
  <c r="P64" i="16" s="1"/>
  <c r="O77" i="16"/>
  <c r="P77" i="16" s="1"/>
  <c r="O84" i="16"/>
  <c r="R89" i="16"/>
  <c r="P90" i="16"/>
  <c r="R101" i="16"/>
  <c r="O101" i="16"/>
  <c r="P101" i="16" s="1"/>
  <c r="Q104" i="16"/>
  <c r="R104" i="16" s="1"/>
  <c r="R113" i="16"/>
  <c r="Q116" i="16"/>
  <c r="R116" i="16" s="1"/>
  <c r="R121" i="16"/>
  <c r="V121" i="16"/>
  <c r="P121" i="16"/>
  <c r="O124" i="16"/>
  <c r="R124" i="16" s="1"/>
  <c r="R131" i="16"/>
  <c r="P131" i="16"/>
  <c r="O136" i="16"/>
  <c r="P136" i="16" s="1"/>
  <c r="O141" i="16"/>
  <c r="P141" i="16" s="1"/>
  <c r="R148" i="16"/>
  <c r="Q148" i="16"/>
  <c r="O153" i="16"/>
  <c r="P153" i="16" s="1"/>
  <c r="R155" i="16"/>
  <c r="P155" i="16"/>
  <c r="O160" i="16"/>
  <c r="V162" i="16"/>
  <c r="O162" i="16"/>
  <c r="R162" i="16" s="1"/>
  <c r="O164" i="16"/>
  <c r="P164" i="16" s="1"/>
  <c r="R171" i="16"/>
  <c r="P171" i="16"/>
  <c r="O171" i="16"/>
  <c r="O173" i="16"/>
  <c r="R173" i="16" s="1"/>
  <c r="Q175" i="16"/>
  <c r="R175" i="16" s="1"/>
  <c r="P175" i="16"/>
  <c r="O180" i="16"/>
  <c r="P180" i="16" s="1"/>
  <c r="Q185" i="16"/>
  <c r="P187" i="16"/>
  <c r="O187" i="16"/>
  <c r="R187" i="16" s="1"/>
  <c r="P189" i="16"/>
  <c r="P196" i="16"/>
  <c r="Q198" i="16"/>
  <c r="R200" i="16"/>
  <c r="Q200" i="16"/>
  <c r="Q203" i="16"/>
  <c r="V209" i="16"/>
  <c r="O209" i="16"/>
  <c r="P209" i="16" s="1"/>
  <c r="O215" i="16"/>
  <c r="P215" i="16" s="1"/>
  <c r="R232" i="16"/>
  <c r="Q232" i="16"/>
  <c r="O232" i="16"/>
  <c r="P232" i="16" s="1"/>
  <c r="Q234" i="16"/>
  <c r="O234" i="16"/>
  <c r="P234" i="16" s="1"/>
  <c r="P244" i="16"/>
  <c r="R244" i="16"/>
  <c r="V244" i="16"/>
  <c r="Q244" i="16"/>
  <c r="P252" i="16"/>
  <c r="R252" i="16"/>
  <c r="O252" i="16"/>
  <c r="O259" i="16"/>
  <c r="P261" i="16"/>
  <c r="V261" i="16"/>
  <c r="Q261" i="16"/>
  <c r="O261" i="16"/>
  <c r="R261" i="16"/>
  <c r="P269" i="16"/>
  <c r="V269" i="16"/>
  <c r="R269" i="16"/>
  <c r="V274" i="16"/>
  <c r="P277" i="16"/>
  <c r="V277" i="16"/>
  <c r="Q277" i="16"/>
  <c r="O277" i="16"/>
  <c r="R277" i="16"/>
  <c r="P295" i="16"/>
  <c r="V295" i="16"/>
  <c r="Q295" i="16"/>
  <c r="O295" i="16"/>
  <c r="R295" i="16"/>
  <c r="P351" i="16"/>
  <c r="O351" i="16"/>
  <c r="Q351" i="16"/>
  <c r="R351" i="16"/>
  <c r="P367" i="16"/>
  <c r="O367" i="16"/>
  <c r="Q367" i="16"/>
  <c r="R367" i="16"/>
  <c r="V367" i="16"/>
  <c r="P378" i="16"/>
  <c r="O378" i="16"/>
  <c r="V378" i="16"/>
  <c r="R378" i="16"/>
  <c r="Q378" i="16"/>
  <c r="P275" i="16"/>
  <c r="R275" i="16"/>
  <c r="Q275" i="16"/>
  <c r="O275" i="16"/>
  <c r="V275" i="16"/>
  <c r="P281" i="16"/>
  <c r="O281" i="16"/>
  <c r="V281" i="16"/>
  <c r="R281" i="16"/>
  <c r="Q281" i="16"/>
  <c r="P283" i="16"/>
  <c r="R283" i="16"/>
  <c r="Q283" i="16"/>
  <c r="V283" i="16"/>
  <c r="O283" i="16"/>
  <c r="P314" i="16"/>
  <c r="O314" i="16"/>
  <c r="V314" i="16"/>
  <c r="R314" i="16"/>
  <c r="Q314" i="16"/>
  <c r="R221" i="16"/>
  <c r="O221" i="16"/>
  <c r="P221" i="16" s="1"/>
  <c r="Q229" i="16"/>
  <c r="R229" i="16" s="1"/>
  <c r="V229" i="16"/>
  <c r="V237" i="16"/>
  <c r="P256" i="16"/>
  <c r="V256" i="16"/>
  <c r="O256" i="16"/>
  <c r="P307" i="16"/>
  <c r="O307" i="16"/>
  <c r="Q307" i="16"/>
  <c r="V307" i="16"/>
  <c r="P345" i="16"/>
  <c r="O345" i="16"/>
  <c r="R345" i="16"/>
  <c r="Q345" i="16"/>
  <c r="V345" i="16"/>
  <c r="P350" i="16"/>
  <c r="O350" i="16"/>
  <c r="V350" i="16"/>
  <c r="R350" i="16"/>
  <c r="Q350" i="16"/>
  <c r="P363" i="16"/>
  <c r="O363" i="16"/>
  <c r="Q363" i="16"/>
  <c r="V363" i="16"/>
  <c r="R363" i="16"/>
  <c r="P365" i="16"/>
  <c r="O365" i="16"/>
  <c r="R365" i="16"/>
  <c r="Q365" i="16"/>
  <c r="V365" i="16"/>
  <c r="P372" i="16"/>
  <c r="O372" i="16"/>
  <c r="R372" i="16"/>
  <c r="Q372" i="16"/>
  <c r="P383" i="16"/>
  <c r="O383" i="16"/>
  <c r="Q383" i="16"/>
  <c r="V383" i="16"/>
  <c r="R383" i="16"/>
  <c r="P385" i="16"/>
  <c r="O385" i="16"/>
  <c r="R385" i="16"/>
  <c r="Q385" i="16"/>
  <c r="V385" i="16"/>
  <c r="P407" i="16"/>
  <c r="O407" i="16"/>
  <c r="Q407" i="16"/>
  <c r="V407" i="16"/>
  <c r="R407" i="16"/>
  <c r="P409" i="16"/>
  <c r="O409" i="16"/>
  <c r="R409" i="16"/>
  <c r="Q409" i="16"/>
  <c r="V409" i="16"/>
  <c r="R73" i="16"/>
  <c r="R97" i="16"/>
  <c r="Q108" i="16"/>
  <c r="R108" i="16" s="1"/>
  <c r="R137" i="16"/>
  <c r="V137" i="16"/>
  <c r="Q140" i="16"/>
  <c r="R140" i="16" s="1"/>
  <c r="R165" i="16"/>
  <c r="O165" i="16"/>
  <c r="P165" i="16" s="1"/>
  <c r="Q176" i="16"/>
  <c r="R176" i="16" s="1"/>
  <c r="P179" i="16"/>
  <c r="R201" i="16"/>
  <c r="V201" i="16"/>
  <c r="R204" i="16"/>
  <c r="Q204" i="16"/>
  <c r="O229" i="16"/>
  <c r="P229" i="16" s="1"/>
  <c r="O237" i="16"/>
  <c r="P237" i="16" s="1"/>
  <c r="P248" i="16"/>
  <c r="R248" i="16"/>
  <c r="Q256" i="16"/>
  <c r="P263" i="16"/>
  <c r="V263" i="16"/>
  <c r="O263" i="16"/>
  <c r="P291" i="16"/>
  <c r="R291" i="16"/>
  <c r="Q291" i="16"/>
  <c r="V291" i="16"/>
  <c r="O291" i="16"/>
  <c r="P293" i="16"/>
  <c r="V293" i="16"/>
  <c r="Q293" i="16"/>
  <c r="O293" i="16"/>
  <c r="P302" i="16"/>
  <c r="O302" i="16"/>
  <c r="V302" i="16"/>
  <c r="R302" i="16"/>
  <c r="Q302" i="16"/>
  <c r="R307" i="16"/>
  <c r="P315" i="16"/>
  <c r="O315" i="16"/>
  <c r="Q315" i="16"/>
  <c r="R315" i="16"/>
  <c r="P317" i="16"/>
  <c r="O317" i="16"/>
  <c r="R317" i="16"/>
  <c r="Q317" i="16"/>
  <c r="V317" i="16"/>
  <c r="P324" i="16"/>
  <c r="O324" i="16"/>
  <c r="R324" i="16"/>
  <c r="P339" i="16"/>
  <c r="O339" i="16"/>
  <c r="Q339" i="16"/>
  <c r="V339" i="16"/>
  <c r="P357" i="16"/>
  <c r="O357" i="16"/>
  <c r="R357" i="16"/>
  <c r="Q357" i="16"/>
  <c r="P368" i="16"/>
  <c r="O368" i="16"/>
  <c r="V368" i="16"/>
  <c r="R368" i="16"/>
  <c r="Q368" i="16"/>
  <c r="P379" i="16"/>
  <c r="O379" i="16"/>
  <c r="Q379" i="16"/>
  <c r="R379" i="16"/>
  <c r="P395" i="16"/>
  <c r="O395" i="16"/>
  <c r="Q395" i="16"/>
  <c r="R395" i="16"/>
  <c r="V395" i="16"/>
  <c r="P397" i="16"/>
  <c r="O397" i="16"/>
  <c r="R397" i="16"/>
  <c r="Q397" i="16"/>
  <c r="V397" i="16"/>
  <c r="V448" i="16"/>
  <c r="P448" i="16"/>
  <c r="R448" i="16"/>
  <c r="Q448" i="16"/>
  <c r="O448" i="16"/>
  <c r="P310" i="16"/>
  <c r="O310" i="16"/>
  <c r="V310" i="16"/>
  <c r="R310" i="16"/>
  <c r="Q310" i="16"/>
  <c r="P335" i="16"/>
  <c r="O335" i="16"/>
  <c r="Q335" i="16"/>
  <c r="R335" i="16"/>
  <c r="P415" i="16"/>
  <c r="O415" i="16"/>
  <c r="Q415" i="16"/>
  <c r="V415" i="16"/>
  <c r="R415" i="16"/>
  <c r="P417" i="16"/>
  <c r="O417" i="16"/>
  <c r="R417" i="16"/>
  <c r="Q417" i="16"/>
  <c r="V417" i="16"/>
  <c r="V437" i="16"/>
  <c r="Q437" i="16"/>
  <c r="R437" i="16"/>
  <c r="P437" i="16"/>
  <c r="O437" i="16"/>
  <c r="Q156" i="16"/>
  <c r="R156" i="16" s="1"/>
  <c r="P176" i="16"/>
  <c r="Q179" i="16"/>
  <c r="R179" i="16" s="1"/>
  <c r="O181" i="16"/>
  <c r="P181" i="16" s="1"/>
  <c r="Q192" i="16"/>
  <c r="R192" i="16" s="1"/>
  <c r="R195" i="16"/>
  <c r="P195" i="16"/>
  <c r="P201" i="16"/>
  <c r="P204" i="16"/>
  <c r="R217" i="16"/>
  <c r="V217" i="16"/>
  <c r="Q220" i="16"/>
  <c r="R220" i="16" s="1"/>
  <c r="R239" i="16"/>
  <c r="Q248" i="16"/>
  <c r="P255" i="16"/>
  <c r="R255" i="16"/>
  <c r="R263" i="16"/>
  <c r="P265" i="16"/>
  <c r="O265" i="16"/>
  <c r="R265" i="16"/>
  <c r="Q265" i="16"/>
  <c r="P267" i="16"/>
  <c r="R267" i="16"/>
  <c r="Q267" i="16"/>
  <c r="P303" i="16"/>
  <c r="O303" i="16"/>
  <c r="V303" i="16"/>
  <c r="Q303" i="16"/>
  <c r="P305" i="16"/>
  <c r="O305" i="16"/>
  <c r="R305" i="16"/>
  <c r="Q305" i="16"/>
  <c r="V305" i="16"/>
  <c r="V315" i="16"/>
  <c r="P346" i="16"/>
  <c r="O346" i="16"/>
  <c r="V346" i="16"/>
  <c r="R346" i="16"/>
  <c r="Q346" i="16"/>
  <c r="P355" i="16"/>
  <c r="O355" i="16"/>
  <c r="Q355" i="16"/>
  <c r="V355" i="16"/>
  <c r="R355" i="16"/>
  <c r="V357" i="16"/>
  <c r="P366" i="16"/>
  <c r="O366" i="16"/>
  <c r="V366" i="16"/>
  <c r="R366" i="16"/>
  <c r="P373" i="16"/>
  <c r="O373" i="16"/>
  <c r="R373" i="16"/>
  <c r="Q373" i="16"/>
  <c r="V379" i="16"/>
  <c r="P386" i="16"/>
  <c r="O386" i="16"/>
  <c r="V386" i="16"/>
  <c r="R386" i="16"/>
  <c r="Q386" i="16"/>
  <c r="P403" i="16"/>
  <c r="O403" i="16"/>
  <c r="Q403" i="16"/>
  <c r="R403" i="16"/>
  <c r="V403" i="16"/>
  <c r="P405" i="16"/>
  <c r="O405" i="16"/>
  <c r="R405" i="16"/>
  <c r="Q405" i="16"/>
  <c r="V405" i="16"/>
  <c r="V420" i="16"/>
  <c r="R420" i="16"/>
  <c r="Q420" i="16"/>
  <c r="P420" i="16"/>
  <c r="O420" i="16"/>
  <c r="V426" i="16"/>
  <c r="P426" i="16"/>
  <c r="O426" i="16"/>
  <c r="R426" i="16"/>
  <c r="Q426" i="16"/>
  <c r="V433" i="16"/>
  <c r="Q433" i="16"/>
  <c r="R433" i="16"/>
  <c r="P433" i="16"/>
  <c r="O433" i="16"/>
  <c r="V493" i="16"/>
  <c r="R493" i="16"/>
  <c r="Q493" i="16"/>
  <c r="P493" i="16"/>
  <c r="O493" i="16"/>
  <c r="V508" i="16"/>
  <c r="Q508" i="16"/>
  <c r="R508" i="16"/>
  <c r="P508" i="16"/>
  <c r="O508" i="16"/>
  <c r="P394" i="16"/>
  <c r="O394" i="16"/>
  <c r="V394" i="16"/>
  <c r="P402" i="16"/>
  <c r="O402" i="16"/>
  <c r="V402" i="16"/>
  <c r="P410" i="16"/>
  <c r="O410" i="16"/>
  <c r="V410" i="16"/>
  <c r="V418" i="16"/>
  <c r="P418" i="16"/>
  <c r="O418" i="16"/>
  <c r="V435" i="16"/>
  <c r="Q435" i="16"/>
  <c r="P435" i="16"/>
  <c r="O435" i="16"/>
  <c r="V456" i="16"/>
  <c r="P456" i="16"/>
  <c r="Q456" i="16"/>
  <c r="O456" i="16"/>
  <c r="V490" i="16"/>
  <c r="O490" i="16"/>
  <c r="Q490" i="16"/>
  <c r="R490" i="16"/>
  <c r="P490" i="16"/>
  <c r="V516" i="16"/>
  <c r="R516" i="16"/>
  <c r="Q516" i="16"/>
  <c r="O516" i="16"/>
  <c r="Q672" i="16"/>
  <c r="O672" i="16"/>
  <c r="R672" i="16" s="1"/>
  <c r="V272" i="16"/>
  <c r="V279" i="16"/>
  <c r="P316" i="16"/>
  <c r="O316" i="16"/>
  <c r="P326" i="16"/>
  <c r="O326" i="16"/>
  <c r="V326" i="16"/>
  <c r="P348" i="16"/>
  <c r="O348" i="16"/>
  <c r="P358" i="16"/>
  <c r="O358" i="16"/>
  <c r="V358" i="16"/>
  <c r="Q394" i="16"/>
  <c r="Q402" i="16"/>
  <c r="Q410" i="16"/>
  <c r="Q418" i="16"/>
  <c r="V422" i="16"/>
  <c r="P422" i="16"/>
  <c r="V425" i="16"/>
  <c r="O425" i="16"/>
  <c r="R425" i="16"/>
  <c r="Q425" i="16"/>
  <c r="R435" i="16"/>
  <c r="R456" i="16"/>
  <c r="V487" i="16"/>
  <c r="P487" i="16"/>
  <c r="O487" i="16"/>
  <c r="R487" i="16"/>
  <c r="Q487" i="16"/>
  <c r="V507" i="16"/>
  <c r="P507" i="16"/>
  <c r="Q507" i="16"/>
  <c r="O507" i="16"/>
  <c r="R507" i="16"/>
  <c r="P516" i="16"/>
  <c r="V540" i="16"/>
  <c r="R540" i="16"/>
  <c r="Q540" i="16"/>
  <c r="O540" i="16"/>
  <c r="V546" i="16"/>
  <c r="P546" i="16"/>
  <c r="O546" i="16"/>
  <c r="R546" i="16"/>
  <c r="Q546" i="16"/>
  <c r="Q592" i="16"/>
  <c r="O592" i="16"/>
  <c r="P592" i="16" s="1"/>
  <c r="R592" i="16"/>
  <c r="V592" i="16"/>
  <c r="P273" i="16"/>
  <c r="O273" i="16"/>
  <c r="P276" i="16"/>
  <c r="R276" i="16"/>
  <c r="P294" i="16"/>
  <c r="V294" i="16"/>
  <c r="P300" i="16"/>
  <c r="O300" i="16"/>
  <c r="P308" i="16"/>
  <c r="O308" i="16"/>
  <c r="P321" i="16"/>
  <c r="O321" i="16"/>
  <c r="R321" i="16"/>
  <c r="Q321" i="16"/>
  <c r="P328" i="16"/>
  <c r="O328" i="16"/>
  <c r="P338" i="16"/>
  <c r="O338" i="16"/>
  <c r="V338" i="16"/>
  <c r="P343" i="16"/>
  <c r="O343" i="16"/>
  <c r="Q343" i="16"/>
  <c r="P353" i="16"/>
  <c r="O353" i="16"/>
  <c r="R353" i="16"/>
  <c r="Q353" i="16"/>
  <c r="P360" i="16"/>
  <c r="O360" i="16"/>
  <c r="P370" i="16"/>
  <c r="O370" i="16"/>
  <c r="V370" i="16"/>
  <c r="P375" i="16"/>
  <c r="O375" i="16"/>
  <c r="Q375" i="16"/>
  <c r="R394" i="16"/>
  <c r="R402" i="16"/>
  <c r="R410" i="16"/>
  <c r="R418" i="16"/>
  <c r="V462" i="16"/>
  <c r="R462" i="16"/>
  <c r="Q462" i="16"/>
  <c r="P462" i="16"/>
  <c r="V543" i="16"/>
  <c r="R543" i="16"/>
  <c r="P543" i="16"/>
  <c r="O543" i="16"/>
  <c r="Q543" i="16"/>
  <c r="P320" i="16"/>
  <c r="O320" i="16"/>
  <c r="P330" i="16"/>
  <c r="O330" i="16"/>
  <c r="V330" i="16"/>
  <c r="P352" i="16"/>
  <c r="O352" i="16"/>
  <c r="P362" i="16"/>
  <c r="O362" i="16"/>
  <c r="V362" i="16"/>
  <c r="P382" i="16"/>
  <c r="O382" i="16"/>
  <c r="V382" i="16"/>
  <c r="P390" i="16"/>
  <c r="O390" i="16"/>
  <c r="V390" i="16"/>
  <c r="P398" i="16"/>
  <c r="O398" i="16"/>
  <c r="V398" i="16"/>
  <c r="P406" i="16"/>
  <c r="O406" i="16"/>
  <c r="V406" i="16"/>
  <c r="P414" i="16"/>
  <c r="O414" i="16"/>
  <c r="V414" i="16"/>
  <c r="V436" i="16"/>
  <c r="Q436" i="16"/>
  <c r="R436" i="16"/>
  <c r="P436" i="16"/>
  <c r="O436" i="16"/>
  <c r="V447" i="16"/>
  <c r="R447" i="16"/>
  <c r="O447" i="16"/>
  <c r="Q447" i="16"/>
  <c r="V460" i="16"/>
  <c r="P460" i="16"/>
  <c r="O460" i="16"/>
  <c r="R460" i="16"/>
  <c r="V529" i="16"/>
  <c r="O529" i="16"/>
  <c r="Q529" i="16"/>
  <c r="P529" i="16"/>
  <c r="R529" i="16"/>
  <c r="O272" i="16"/>
  <c r="O279" i="16"/>
  <c r="R280" i="16"/>
  <c r="R287" i="16"/>
  <c r="R294" i="16"/>
  <c r="V316" i="16"/>
  <c r="Q320" i="16"/>
  <c r="Q330" i="16"/>
  <c r="P332" i="16"/>
  <c r="O332" i="16"/>
  <c r="P342" i="16"/>
  <c r="O342" i="16"/>
  <c r="V342" i="16"/>
  <c r="V343" i="16"/>
  <c r="V348" i="16"/>
  <c r="Q352" i="16"/>
  <c r="Q362" i="16"/>
  <c r="P364" i="16"/>
  <c r="O364" i="16"/>
  <c r="P374" i="16"/>
  <c r="O374" i="16"/>
  <c r="V374" i="16"/>
  <c r="V375" i="16"/>
  <c r="Q382" i="16"/>
  <c r="Q390" i="16"/>
  <c r="Q398" i="16"/>
  <c r="Q406" i="16"/>
  <c r="Q414" i="16"/>
  <c r="V419" i="16"/>
  <c r="Q419" i="16"/>
  <c r="P419" i="16"/>
  <c r="R419" i="16"/>
  <c r="P447" i="16"/>
  <c r="Q460" i="16"/>
  <c r="V463" i="16"/>
  <c r="R463" i="16"/>
  <c r="O463" i="16"/>
  <c r="P463" i="16"/>
  <c r="Q463" i="16"/>
  <c r="V479" i="16"/>
  <c r="R479" i="16"/>
  <c r="O479" i="16"/>
  <c r="Q479" i="16"/>
  <c r="Q231" i="16"/>
  <c r="R231" i="16" s="1"/>
  <c r="R235" i="16"/>
  <c r="Q235" i="16"/>
  <c r="P239" i="16"/>
  <c r="P246" i="16"/>
  <c r="V246" i="16"/>
  <c r="P250" i="16"/>
  <c r="Q250" i="16"/>
  <c r="O250" i="16"/>
  <c r="P253" i="16"/>
  <c r="V253" i="16"/>
  <c r="P257" i="16"/>
  <c r="O257" i="16"/>
  <c r="P260" i="16"/>
  <c r="R260" i="16"/>
  <c r="Q272" i="16"/>
  <c r="V273" i="16"/>
  <c r="V276" i="16"/>
  <c r="P278" i="16"/>
  <c r="V278" i="16"/>
  <c r="Q279" i="16"/>
  <c r="P282" i="16"/>
  <c r="Q282" i="16"/>
  <c r="O282" i="16"/>
  <c r="P285" i="16"/>
  <c r="V285" i="16"/>
  <c r="P289" i="16"/>
  <c r="O289" i="16"/>
  <c r="P292" i="16"/>
  <c r="R292" i="16"/>
  <c r="P296" i="16"/>
  <c r="O296" i="16"/>
  <c r="V300" i="16"/>
  <c r="P304" i="16"/>
  <c r="O304" i="16"/>
  <c r="V308" i="16"/>
  <c r="P312" i="16"/>
  <c r="O312" i="16"/>
  <c r="R320" i="16"/>
  <c r="P322" i="16"/>
  <c r="O322" i="16"/>
  <c r="V322" i="16"/>
  <c r="P327" i="16"/>
  <c r="O327" i="16"/>
  <c r="Q327" i="16"/>
  <c r="V328" i="16"/>
  <c r="R330" i="16"/>
  <c r="P337" i="16"/>
  <c r="O337" i="16"/>
  <c r="R337" i="16"/>
  <c r="Q337" i="16"/>
  <c r="P344" i="16"/>
  <c r="O344" i="16"/>
  <c r="R352" i="16"/>
  <c r="P354" i="16"/>
  <c r="O354" i="16"/>
  <c r="V354" i="16"/>
  <c r="P359" i="16"/>
  <c r="O359" i="16"/>
  <c r="Q359" i="16"/>
  <c r="V360" i="16"/>
  <c r="R362" i="16"/>
  <c r="P369" i="16"/>
  <c r="O369" i="16"/>
  <c r="R369" i="16"/>
  <c r="Q369" i="16"/>
  <c r="P376" i="16"/>
  <c r="O376" i="16"/>
  <c r="R382" i="16"/>
  <c r="R390" i="16"/>
  <c r="R398" i="16"/>
  <c r="R406" i="16"/>
  <c r="R414" i="16"/>
  <c r="V458" i="16"/>
  <c r="R458" i="16"/>
  <c r="P458" i="16"/>
  <c r="Q458" i="16"/>
  <c r="V489" i="16"/>
  <c r="R489" i="16"/>
  <c r="O489" i="16"/>
  <c r="Q489" i="16"/>
  <c r="P489" i="16"/>
  <c r="V509" i="16"/>
  <c r="R509" i="16"/>
  <c r="P509" i="16"/>
  <c r="O509" i="16"/>
  <c r="Q509" i="16"/>
  <c r="V523" i="16"/>
  <c r="Q523" i="16"/>
  <c r="P523" i="16"/>
  <c r="R523" i="16"/>
  <c r="O523" i="16"/>
  <c r="V469" i="16"/>
  <c r="R469" i="16"/>
  <c r="O469" i="16"/>
  <c r="V471" i="16"/>
  <c r="R471" i="16"/>
  <c r="O471" i="16"/>
  <c r="V532" i="16"/>
  <c r="R532" i="16"/>
  <c r="Q532" i="16"/>
  <c r="P532" i="16"/>
  <c r="O532" i="16"/>
  <c r="O646" i="16"/>
  <c r="R646" i="16" s="1"/>
  <c r="V646" i="16"/>
  <c r="P646" i="16"/>
  <c r="Q646" i="16"/>
  <c r="V428" i="16"/>
  <c r="Q428" i="16"/>
  <c r="R428" i="16"/>
  <c r="V431" i="16"/>
  <c r="Q431" i="16"/>
  <c r="P431" i="16"/>
  <c r="O431" i="16"/>
  <c r="V451" i="16"/>
  <c r="O451" i="16"/>
  <c r="R451" i="16"/>
  <c r="Q451" i="16"/>
  <c r="V475" i="16"/>
  <c r="P475" i="16"/>
  <c r="Q475" i="16"/>
  <c r="R475" i="16"/>
  <c r="O475" i="16"/>
  <c r="V483" i="16"/>
  <c r="P483" i="16"/>
  <c r="R483" i="16"/>
  <c r="Q483" i="16"/>
  <c r="V485" i="16"/>
  <c r="R485" i="16"/>
  <c r="Q485" i="16"/>
  <c r="P485" i="16"/>
  <c r="O485" i="16"/>
  <c r="V502" i="16"/>
  <c r="Q502" i="16"/>
  <c r="P502" i="16"/>
  <c r="O502" i="16"/>
  <c r="V514" i="16"/>
  <c r="P514" i="16"/>
  <c r="O514" i="16"/>
  <c r="R514" i="16"/>
  <c r="V524" i="16"/>
  <c r="R524" i="16"/>
  <c r="Q524" i="16"/>
  <c r="O524" i="16"/>
  <c r="V526" i="16"/>
  <c r="P526" i="16"/>
  <c r="O526" i="16"/>
  <c r="Q526" i="16"/>
  <c r="V547" i="16"/>
  <c r="Q547" i="16"/>
  <c r="P547" i="16"/>
  <c r="R547" i="16"/>
  <c r="O547" i="16"/>
  <c r="V557" i="16"/>
  <c r="R557" i="16"/>
  <c r="Q557" i="16"/>
  <c r="O557" i="16"/>
  <c r="P557" i="16"/>
  <c r="Q577" i="16"/>
  <c r="P577" i="16"/>
  <c r="R577" i="16"/>
  <c r="O577" i="16"/>
  <c r="V577" i="16"/>
  <c r="V444" i="16"/>
  <c r="P444" i="16"/>
  <c r="O444" i="16"/>
  <c r="V446" i="16"/>
  <c r="R446" i="16"/>
  <c r="Q446" i="16"/>
  <c r="V455" i="16"/>
  <c r="R455" i="16"/>
  <c r="O455" i="16"/>
  <c r="Q455" i="16"/>
  <c r="V457" i="16"/>
  <c r="Q457" i="16"/>
  <c r="R457" i="16"/>
  <c r="V459" i="16"/>
  <c r="O459" i="16"/>
  <c r="Q459" i="16"/>
  <c r="P459" i="16"/>
  <c r="V465" i="16"/>
  <c r="Q465" i="16"/>
  <c r="R465" i="16"/>
  <c r="P465" i="16"/>
  <c r="V473" i="16"/>
  <c r="Q473" i="16"/>
  <c r="P473" i="16"/>
  <c r="R473" i="16"/>
  <c r="O483" i="16"/>
  <c r="V500" i="16"/>
  <c r="Q500" i="16"/>
  <c r="R500" i="16"/>
  <c r="P500" i="16"/>
  <c r="R502" i="16"/>
  <c r="Q514" i="16"/>
  <c r="V522" i="16"/>
  <c r="P522" i="16"/>
  <c r="O522" i="16"/>
  <c r="R522" i="16"/>
  <c r="P524" i="16"/>
  <c r="R526" i="16"/>
  <c r="V530" i="16"/>
  <c r="P530" i="16"/>
  <c r="O530" i="16"/>
  <c r="R530" i="16"/>
  <c r="Q530" i="16"/>
  <c r="V533" i="16"/>
  <c r="R533" i="16"/>
  <c r="O533" i="16"/>
  <c r="P533" i="16"/>
  <c r="V561" i="16"/>
  <c r="O561" i="16"/>
  <c r="Q561" i="16"/>
  <c r="P561" i="16"/>
  <c r="R561" i="16"/>
  <c r="Q608" i="16"/>
  <c r="R608" i="16" s="1"/>
  <c r="P608" i="16"/>
  <c r="V608" i="16"/>
  <c r="O608" i="16"/>
  <c r="P428" i="16"/>
  <c r="V430" i="16"/>
  <c r="Q430" i="16"/>
  <c r="V439" i="16"/>
  <c r="Q439" i="16"/>
  <c r="P439" i="16"/>
  <c r="O439" i="16"/>
  <c r="Q444" i="16"/>
  <c r="O446" i="16"/>
  <c r="P455" i="16"/>
  <c r="O457" i="16"/>
  <c r="R459" i="16"/>
  <c r="V461" i="16"/>
  <c r="Q461" i="16"/>
  <c r="P461" i="16"/>
  <c r="R461" i="16"/>
  <c r="V476" i="16"/>
  <c r="Q476" i="16"/>
  <c r="O476" i="16"/>
  <c r="V480" i="16"/>
  <c r="P480" i="16"/>
  <c r="R480" i="16"/>
  <c r="Q480" i="16"/>
  <c r="V486" i="16"/>
  <c r="O486" i="16"/>
  <c r="P486" i="16"/>
  <c r="V519" i="16"/>
  <c r="P519" i="16"/>
  <c r="O519" i="16"/>
  <c r="R519" i="16"/>
  <c r="Q522" i="16"/>
  <c r="Q533" i="16"/>
  <c r="V539" i="16"/>
  <c r="Q539" i="16"/>
  <c r="P539" i="16"/>
  <c r="O539" i="16"/>
  <c r="R539" i="16"/>
  <c r="Q575" i="16"/>
  <c r="P575" i="16"/>
  <c r="V575" i="16"/>
  <c r="R575" i="16"/>
  <c r="O575" i="16"/>
  <c r="O424" i="16"/>
  <c r="O430" i="16"/>
  <c r="R439" i="16"/>
  <c r="V441" i="16"/>
  <c r="Q441" i="16"/>
  <c r="R444" i="16"/>
  <c r="P446" i="16"/>
  <c r="V452" i="16"/>
  <c r="P452" i="16"/>
  <c r="O452" i="16"/>
  <c r="P457" i="16"/>
  <c r="O461" i="16"/>
  <c r="P476" i="16"/>
  <c r="O480" i="16"/>
  <c r="Q486" i="16"/>
  <c r="V488" i="16"/>
  <c r="Q488" i="16"/>
  <c r="P488" i="16"/>
  <c r="R488" i="16"/>
  <c r="V492" i="16"/>
  <c r="Q492" i="16"/>
  <c r="P492" i="16"/>
  <c r="O492" i="16"/>
  <c r="V494" i="16"/>
  <c r="P494" i="16"/>
  <c r="Q494" i="16"/>
  <c r="V503" i="16"/>
  <c r="R503" i="16"/>
  <c r="Q503" i="16"/>
  <c r="P503" i="16"/>
  <c r="O503" i="16"/>
  <c r="Q519" i="16"/>
  <c r="V525" i="16"/>
  <c r="R525" i="16"/>
  <c r="Q525" i="16"/>
  <c r="V542" i="16"/>
  <c r="R542" i="16"/>
  <c r="Q542" i="16"/>
  <c r="O542" i="16"/>
  <c r="P542" i="16"/>
  <c r="V558" i="16"/>
  <c r="Q558" i="16"/>
  <c r="P558" i="16"/>
  <c r="R558" i="16"/>
  <c r="O558" i="16"/>
  <c r="V562" i="16"/>
  <c r="P562" i="16"/>
  <c r="O562" i="16"/>
  <c r="Q562" i="16"/>
  <c r="Q585" i="16"/>
  <c r="P585" i="16"/>
  <c r="V585" i="16"/>
  <c r="O585" i="16"/>
  <c r="R585" i="16" s="1"/>
  <c r="Q588" i="16"/>
  <c r="P588" i="16"/>
  <c r="O588" i="16"/>
  <c r="R588" i="16"/>
  <c r="V588" i="16"/>
  <c r="P380" i="16"/>
  <c r="O380" i="16"/>
  <c r="P384" i="16"/>
  <c r="O384" i="16"/>
  <c r="P388" i="16"/>
  <c r="O388" i="16"/>
  <c r="P392" i="16"/>
  <c r="O392" i="16"/>
  <c r="P396" i="16"/>
  <c r="O396" i="16"/>
  <c r="P400" i="16"/>
  <c r="O400" i="16"/>
  <c r="P404" i="16"/>
  <c r="O404" i="16"/>
  <c r="P408" i="16"/>
  <c r="O408" i="16"/>
  <c r="P412" i="16"/>
  <c r="O412" i="16"/>
  <c r="P416" i="16"/>
  <c r="O416" i="16"/>
  <c r="P424" i="16"/>
  <c r="P430" i="16"/>
  <c r="V432" i="16"/>
  <c r="Q432" i="16"/>
  <c r="R432" i="16"/>
  <c r="V443" i="16"/>
  <c r="O443" i="16"/>
  <c r="R443" i="16"/>
  <c r="V454" i="16"/>
  <c r="R454" i="16"/>
  <c r="Q454" i="16"/>
  <c r="V464" i="16"/>
  <c r="P464" i="16"/>
  <c r="O464" i="16"/>
  <c r="V466" i="16"/>
  <c r="R466" i="16"/>
  <c r="O466" i="16"/>
  <c r="V468" i="16"/>
  <c r="Q468" i="16"/>
  <c r="R468" i="16"/>
  <c r="P468" i="16"/>
  <c r="V470" i="16"/>
  <c r="Q470" i="16"/>
  <c r="R470" i="16"/>
  <c r="P470" i="16"/>
  <c r="V474" i="16"/>
  <c r="O474" i="16"/>
  <c r="R474" i="16"/>
  <c r="Q474" i="16"/>
  <c r="R476" i="16"/>
  <c r="V484" i="16"/>
  <c r="Q484" i="16"/>
  <c r="O484" i="16"/>
  <c r="R484" i="16"/>
  <c r="R486" i="16"/>
  <c r="O488" i="16"/>
  <c r="R492" i="16"/>
  <c r="O494" i="16"/>
  <c r="V499" i="16"/>
  <c r="P499" i="16"/>
  <c r="O499" i="16"/>
  <c r="V501" i="16"/>
  <c r="R501" i="16"/>
  <c r="O501" i="16"/>
  <c r="Q501" i="16"/>
  <c r="V510" i="16"/>
  <c r="R510" i="16"/>
  <c r="P510" i="16"/>
  <c r="O510" i="16"/>
  <c r="V521" i="16"/>
  <c r="O521" i="16"/>
  <c r="P521" i="16"/>
  <c r="O525" i="16"/>
  <c r="R562" i="16"/>
  <c r="Q583" i="16"/>
  <c r="P583" i="16"/>
  <c r="V583" i="16"/>
  <c r="R583" i="16"/>
  <c r="O583" i="16"/>
  <c r="V449" i="16"/>
  <c r="Q449" i="16"/>
  <c r="V478" i="16"/>
  <c r="R478" i="16"/>
  <c r="Q478" i="16"/>
  <c r="V497" i="16"/>
  <c r="P497" i="16"/>
  <c r="O497" i="16"/>
  <c r="V504" i="16"/>
  <c r="R504" i="16"/>
  <c r="O504" i="16"/>
  <c r="V511" i="16"/>
  <c r="O511" i="16"/>
  <c r="V518" i="16"/>
  <c r="O518" i="16"/>
  <c r="V531" i="16"/>
  <c r="Q531" i="16"/>
  <c r="P531" i="16"/>
  <c r="R531" i="16"/>
  <c r="V538" i="16"/>
  <c r="P538" i="16"/>
  <c r="O538" i="16"/>
  <c r="Q538" i="16"/>
  <c r="V548" i="16"/>
  <c r="R548" i="16"/>
  <c r="Q548" i="16"/>
  <c r="V559" i="16"/>
  <c r="R559" i="16"/>
  <c r="Q559" i="16"/>
  <c r="Q582" i="16"/>
  <c r="P582" i="16"/>
  <c r="R582" i="16"/>
  <c r="O582" i="16"/>
  <c r="V582" i="16"/>
  <c r="Q597" i="16"/>
  <c r="O597" i="16"/>
  <c r="P597" i="16" s="1"/>
  <c r="Q614" i="16"/>
  <c r="R614" i="16" s="1"/>
  <c r="P614" i="16"/>
  <c r="V614" i="16"/>
  <c r="O614" i="16"/>
  <c r="O636" i="16"/>
  <c r="Q636" i="16"/>
  <c r="R636" i="16" s="1"/>
  <c r="P636" i="16"/>
  <c r="V636" i="16"/>
  <c r="V550" i="16"/>
  <c r="R550" i="16"/>
  <c r="P550" i="16"/>
  <c r="O550" i="16"/>
  <c r="V555" i="16"/>
  <c r="Q555" i="16"/>
  <c r="P555" i="16"/>
  <c r="R555" i="16"/>
  <c r="Q565" i="16"/>
  <c r="V565" i="16"/>
  <c r="R565" i="16"/>
  <c r="P565" i="16"/>
  <c r="Q593" i="16"/>
  <c r="V593" i="16"/>
  <c r="O593" i="16"/>
  <c r="R593" i="16" s="1"/>
  <c r="Q595" i="16"/>
  <c r="R595" i="16" s="1"/>
  <c r="P595" i="16"/>
  <c r="V595" i="16"/>
  <c r="Q563" i="16"/>
  <c r="V563" i="16"/>
  <c r="R563" i="16"/>
  <c r="P563" i="16"/>
  <c r="O565" i="16"/>
  <c r="Q567" i="16"/>
  <c r="P567" i="16"/>
  <c r="O567" i="16"/>
  <c r="V567" i="16"/>
  <c r="R567" i="16"/>
  <c r="Q580" i="16"/>
  <c r="P580" i="16"/>
  <c r="O580" i="16"/>
  <c r="V580" i="16"/>
  <c r="R580" i="16"/>
  <c r="Q590" i="16"/>
  <c r="O590" i="16"/>
  <c r="P590" i="16" s="1"/>
  <c r="V590" i="16"/>
  <c r="O595" i="16"/>
  <c r="Q615" i="16"/>
  <c r="V615" i="16"/>
  <c r="O615" i="16"/>
  <c r="P615" i="16" s="1"/>
  <c r="Q618" i="16"/>
  <c r="V618" i="16"/>
  <c r="O618" i="16"/>
  <c r="P618" i="16" s="1"/>
  <c r="V442" i="16"/>
  <c r="R442" i="16"/>
  <c r="V445" i="16"/>
  <c r="Q445" i="16"/>
  <c r="P445" i="16"/>
  <c r="V467" i="16"/>
  <c r="P467" i="16"/>
  <c r="O467" i="16"/>
  <c r="V495" i="16"/>
  <c r="Q495" i="16"/>
  <c r="V505" i="16"/>
  <c r="Q505" i="16"/>
  <c r="V515" i="16"/>
  <c r="Q515" i="16"/>
  <c r="P515" i="16"/>
  <c r="O515" i="16"/>
  <c r="V517" i="16"/>
  <c r="R517" i="16"/>
  <c r="Q517" i="16"/>
  <c r="V527" i="16"/>
  <c r="Q527" i="16"/>
  <c r="P527" i="16"/>
  <c r="V534" i="16"/>
  <c r="Q534" i="16"/>
  <c r="P534" i="16"/>
  <c r="V537" i="16"/>
  <c r="O537" i="16"/>
  <c r="R537" i="16"/>
  <c r="V541" i="16"/>
  <c r="R541" i="16"/>
  <c r="P541" i="16"/>
  <c r="O541" i="16"/>
  <c r="V556" i="16"/>
  <c r="R556" i="16"/>
  <c r="Q556" i="16"/>
  <c r="O556" i="16"/>
  <c r="Q570" i="16"/>
  <c r="V570" i="16"/>
  <c r="R570" i="16"/>
  <c r="P570" i="16"/>
  <c r="Q581" i="16"/>
  <c r="P581" i="16"/>
  <c r="V581" i="16"/>
  <c r="Q616" i="16"/>
  <c r="V616" i="16"/>
  <c r="O616" i="16"/>
  <c r="P616" i="16" s="1"/>
  <c r="R616" i="16"/>
  <c r="V434" i="16"/>
  <c r="Q434" i="16"/>
  <c r="V438" i="16"/>
  <c r="Q438" i="16"/>
  <c r="O442" i="16"/>
  <c r="O445" i="16"/>
  <c r="V450" i="16"/>
  <c r="R450" i="16"/>
  <c r="V453" i="16"/>
  <c r="Q453" i="16"/>
  <c r="P453" i="16"/>
  <c r="Q467" i="16"/>
  <c r="V482" i="16"/>
  <c r="O482" i="16"/>
  <c r="P482" i="16"/>
  <c r="O495" i="16"/>
  <c r="V498" i="16"/>
  <c r="O498" i="16"/>
  <c r="R498" i="16"/>
  <c r="Q498" i="16"/>
  <c r="O505" i="16"/>
  <c r="R515" i="16"/>
  <c r="O517" i="16"/>
  <c r="O527" i="16"/>
  <c r="O534" i="16"/>
  <c r="P537" i="16"/>
  <c r="Q541" i="16"/>
  <c r="V551" i="16"/>
  <c r="Q551" i="16"/>
  <c r="P551" i="16"/>
  <c r="P556" i="16"/>
  <c r="Q568" i="16"/>
  <c r="R568" i="16"/>
  <c r="P568" i="16"/>
  <c r="V568" i="16"/>
  <c r="O570" i="16"/>
  <c r="Q586" i="16"/>
  <c r="O586" i="16"/>
  <c r="P586" i="16" s="1"/>
  <c r="Q591" i="16"/>
  <c r="R591" i="16" s="1"/>
  <c r="P591" i="16"/>
  <c r="V591" i="16"/>
  <c r="O591" i="16"/>
  <c r="Q607" i="16"/>
  <c r="V607" i="16"/>
  <c r="O607" i="16"/>
  <c r="P607" i="16" s="1"/>
  <c r="R607" i="16"/>
  <c r="Q610" i="16"/>
  <c r="V610" i="16"/>
  <c r="O610" i="16"/>
  <c r="P610" i="16" s="1"/>
  <c r="V513" i="16"/>
  <c r="O513" i="16"/>
  <c r="Q587" i="16"/>
  <c r="P587" i="16"/>
  <c r="V587" i="16"/>
  <c r="O587" i="16"/>
  <c r="R587" i="16" s="1"/>
  <c r="Q598" i="16"/>
  <c r="O598" i="16"/>
  <c r="P598" i="16" s="1"/>
  <c r="R605" i="16"/>
  <c r="Q611" i="16"/>
  <c r="V611" i="16"/>
  <c r="O611" i="16"/>
  <c r="P611" i="16" s="1"/>
  <c r="O619" i="16"/>
  <c r="P619" i="16" s="1"/>
  <c r="Q619" i="16"/>
  <c r="V619" i="16"/>
  <c r="O642" i="16"/>
  <c r="R642" i="16" s="1"/>
  <c r="Q642" i="16"/>
  <c r="P642" i="16"/>
  <c r="V642" i="16"/>
  <c r="O654" i="16"/>
  <c r="V654" i="16"/>
  <c r="P654" i="16"/>
  <c r="Q654" i="16"/>
  <c r="R654" i="16"/>
  <c r="V549" i="16"/>
  <c r="R549" i="16"/>
  <c r="V554" i="16"/>
  <c r="P554" i="16"/>
  <c r="O554" i="16"/>
  <c r="Q564" i="16"/>
  <c r="V564" i="16"/>
  <c r="Q572" i="16"/>
  <c r="P572" i="16"/>
  <c r="R572" i="16"/>
  <c r="O572" i="16"/>
  <c r="Q574" i="16"/>
  <c r="P574" i="16"/>
  <c r="R574" i="16"/>
  <c r="O574" i="16"/>
  <c r="Q576" i="16"/>
  <c r="P576" i="16"/>
  <c r="O576" i="16"/>
  <c r="Q578" i="16"/>
  <c r="P578" i="16"/>
  <c r="R578" i="16"/>
  <c r="O578" i="16"/>
  <c r="Q596" i="16"/>
  <c r="P596" i="16"/>
  <c r="O596" i="16"/>
  <c r="R596" i="16" s="1"/>
  <c r="Q600" i="16"/>
  <c r="O600" i="16"/>
  <c r="V600" i="16"/>
  <c r="Q602" i="16"/>
  <c r="R602" i="16"/>
  <c r="O602" i="16"/>
  <c r="P602" i="16" s="1"/>
  <c r="O622" i="16"/>
  <c r="R622" i="16" s="1"/>
  <c r="V622" i="16"/>
  <c r="Q622" i="16"/>
  <c r="O640" i="16"/>
  <c r="R640" i="16"/>
  <c r="V640" i="16"/>
  <c r="P640" i="16"/>
  <c r="Q640" i="16"/>
  <c r="R513" i="16"/>
  <c r="Q535" i="16"/>
  <c r="P549" i="16"/>
  <c r="V553" i="16"/>
  <c r="O553" i="16"/>
  <c r="R554" i="16"/>
  <c r="P564" i="16"/>
  <c r="Q569" i="16"/>
  <c r="R569" i="16"/>
  <c r="P569" i="16"/>
  <c r="O569" i="16"/>
  <c r="V572" i="16"/>
  <c r="V574" i="16"/>
  <c r="V578" i="16"/>
  <c r="V602" i="16"/>
  <c r="Q609" i="16"/>
  <c r="P609" i="16"/>
  <c r="V609" i="16"/>
  <c r="O609" i="16"/>
  <c r="R609" i="16" s="1"/>
  <c r="Q617" i="16"/>
  <c r="P617" i="16"/>
  <c r="V617" i="16"/>
  <c r="O617" i="16"/>
  <c r="R617" i="16" s="1"/>
  <c r="O628" i="16"/>
  <c r="V628" i="16"/>
  <c r="Q628" i="16"/>
  <c r="R628" i="16" s="1"/>
  <c r="P628" i="16"/>
  <c r="O472" i="16"/>
  <c r="V491" i="16"/>
  <c r="P491" i="16"/>
  <c r="R535" i="16"/>
  <c r="V545" i="16"/>
  <c r="O545" i="16"/>
  <c r="Q549" i="16"/>
  <c r="P553" i="16"/>
  <c r="R564" i="16"/>
  <c r="Q571" i="16"/>
  <c r="V571" i="16"/>
  <c r="O571" i="16"/>
  <c r="Q573" i="16"/>
  <c r="P573" i="16"/>
  <c r="V573" i="16"/>
  <c r="V576" i="16"/>
  <c r="V596" i="16"/>
  <c r="O650" i="16"/>
  <c r="P650" i="16" s="1"/>
  <c r="Q650" i="16"/>
  <c r="R650" i="16" s="1"/>
  <c r="V650" i="16"/>
  <c r="Q603" i="16"/>
  <c r="R603" i="16" s="1"/>
  <c r="P603" i="16"/>
  <c r="V603" i="16"/>
  <c r="O626" i="16"/>
  <c r="Q626" i="16"/>
  <c r="V626" i="16"/>
  <c r="O653" i="16"/>
  <c r="P653" i="16" s="1"/>
  <c r="V653" i="16"/>
  <c r="Q653" i="16"/>
  <c r="R653" i="16" s="1"/>
  <c r="O658" i="16"/>
  <c r="P658" i="16" s="1"/>
  <c r="Q658" i="16"/>
  <c r="V658" i="16"/>
  <c r="R658" i="16"/>
  <c r="O637" i="16"/>
  <c r="R637" i="16" s="1"/>
  <c r="V637" i="16"/>
  <c r="O643" i="16"/>
  <c r="P643" i="16" s="1"/>
  <c r="Q643" i="16"/>
  <c r="O651" i="16"/>
  <c r="P651" i="16" s="1"/>
  <c r="R651" i="16"/>
  <c r="Q651" i="16"/>
  <c r="V651" i="16"/>
  <c r="O629" i="16"/>
  <c r="P629" i="16" s="1"/>
  <c r="V629" i="16"/>
  <c r="Q629" i="16"/>
  <c r="O631" i="16"/>
  <c r="Q631" i="16"/>
  <c r="V631" i="16"/>
  <c r="R631" i="16"/>
  <c r="O659" i="16"/>
  <c r="R659" i="16"/>
  <c r="Q659" i="16"/>
  <c r="V659" i="16"/>
  <c r="O627" i="16"/>
  <c r="R627" i="16"/>
  <c r="Q627" i="16"/>
  <c r="P627" i="16"/>
  <c r="P631" i="16"/>
  <c r="O639" i="16"/>
  <c r="Q639" i="16"/>
  <c r="R639" i="16"/>
  <c r="P639" i="16"/>
  <c r="O656" i="16"/>
  <c r="P656" i="16" s="1"/>
  <c r="V656" i="16"/>
  <c r="Q656" i="16"/>
  <c r="P659" i="16"/>
  <c r="Q566" i="16"/>
  <c r="O566" i="16"/>
  <c r="Q589" i="16"/>
  <c r="R589" i="16" s="1"/>
  <c r="P589" i="16"/>
  <c r="Q599" i="16"/>
  <c r="R599" i="16" s="1"/>
  <c r="P599" i="16"/>
  <c r="V599" i="16"/>
  <c r="O625" i="16"/>
  <c r="P625" i="16"/>
  <c r="R625" i="16"/>
  <c r="R629" i="16"/>
  <c r="V643" i="16"/>
  <c r="Q579" i="16"/>
  <c r="P579" i="16"/>
  <c r="V579" i="16"/>
  <c r="Q584" i="16"/>
  <c r="P584" i="16"/>
  <c r="O584" i="16"/>
  <c r="Q594" i="16"/>
  <c r="R594" i="16" s="1"/>
  <c r="P594" i="16"/>
  <c r="O594" i="16"/>
  <c r="Q604" i="16"/>
  <c r="O604" i="16"/>
  <c r="R604" i="16" s="1"/>
  <c r="Q612" i="16"/>
  <c r="R612" i="16" s="1"/>
  <c r="P612" i="16"/>
  <c r="V612" i="16"/>
  <c r="V627" i="16"/>
  <c r="O632" i="16"/>
  <c r="P632" i="16" s="1"/>
  <c r="Q632" i="16"/>
  <c r="R632" i="16" s="1"/>
  <c r="O634" i="16"/>
  <c r="R634" i="16" s="1"/>
  <c r="Q634" i="16"/>
  <c r="P634" i="16"/>
  <c r="V634" i="16"/>
  <c r="V639" i="16"/>
  <c r="O657" i="16"/>
  <c r="P657" i="16"/>
  <c r="V657" i="16"/>
  <c r="R657" i="16"/>
  <c r="O662" i="16"/>
  <c r="P662" i="16" s="1"/>
  <c r="V662" i="16"/>
  <c r="Q662" i="16"/>
  <c r="O620" i="16"/>
  <c r="P620" i="16" s="1"/>
  <c r="R620" i="16"/>
  <c r="O623" i="16"/>
  <c r="Q623" i="16"/>
  <c r="O645" i="16"/>
  <c r="V645" i="16"/>
  <c r="O648" i="16"/>
  <c r="P648" i="16" s="1"/>
  <c r="Q670" i="16"/>
  <c r="P670" i="16"/>
  <c r="O670" i="16"/>
  <c r="R670" i="16" s="1"/>
  <c r="O661" i="16"/>
  <c r="R661" i="16" s="1"/>
  <c r="V661" i="16"/>
  <c r="O664" i="16"/>
  <c r="R664" i="16" s="1"/>
  <c r="V673" i="16"/>
  <c r="Q673" i="16"/>
  <c r="O673" i="16"/>
  <c r="R673" i="16" s="1"/>
  <c r="O633" i="16"/>
  <c r="P633" i="16"/>
  <c r="O644" i="16"/>
  <c r="O647" i="16"/>
  <c r="Q647" i="16"/>
  <c r="P664" i="16"/>
  <c r="V620" i="16"/>
  <c r="V623" i="16"/>
  <c r="Q633" i="16"/>
  <c r="O641" i="16"/>
  <c r="R641" i="16" s="1"/>
  <c r="P641" i="16"/>
  <c r="P644" i="16"/>
  <c r="P647" i="16"/>
  <c r="V648" i="16"/>
  <c r="O652" i="16"/>
  <c r="R652" i="16"/>
  <c r="O655" i="16"/>
  <c r="Q655" i="16"/>
  <c r="Q661" i="16"/>
  <c r="Q664" i="16"/>
  <c r="Q668" i="16"/>
  <c r="R668" i="16" s="1"/>
  <c r="V668" i="16"/>
  <c r="Q601" i="16"/>
  <c r="R601" i="16" s="1"/>
  <c r="P601" i="16"/>
  <c r="Q605" i="16"/>
  <c r="P605" i="16"/>
  <c r="V605" i="16"/>
  <c r="Q613" i="16"/>
  <c r="R613" i="16" s="1"/>
  <c r="P613" i="16"/>
  <c r="V613" i="16"/>
  <c r="O621" i="16"/>
  <c r="V621" i="16"/>
  <c r="O624" i="16"/>
  <c r="P624" i="16" s="1"/>
  <c r="R624" i="16"/>
  <c r="R633" i="16"/>
  <c r="O635" i="16"/>
  <c r="P635" i="16" s="1"/>
  <c r="R635" i="16"/>
  <c r="Q635" i="16"/>
  <c r="O638" i="16"/>
  <c r="R638" i="16" s="1"/>
  <c r="V638" i="16"/>
  <c r="Q644" i="16"/>
  <c r="R644" i="16" s="1"/>
  <c r="R647" i="16"/>
  <c r="O649" i="16"/>
  <c r="R649" i="16" s="1"/>
  <c r="P649" i="16"/>
  <c r="P652" i="16"/>
  <c r="P655" i="16"/>
  <c r="O660" i="16"/>
  <c r="P660" i="16" s="1"/>
  <c r="R660" i="16"/>
  <c r="O663" i="16"/>
  <c r="Q663" i="16"/>
  <c r="V676" i="16"/>
  <c r="Q676" i="16"/>
  <c r="R676" i="16" s="1"/>
  <c r="O676" i="16"/>
  <c r="P676" i="16" s="1"/>
  <c r="V680" i="16"/>
  <c r="R680" i="16"/>
  <c r="Q680" i="16"/>
  <c r="P680" i="16"/>
  <c r="O680" i="16"/>
  <c r="V684" i="16"/>
  <c r="Q684" i="16"/>
  <c r="O684" i="16"/>
  <c r="R684" i="16" s="1"/>
  <c r="V688" i="16"/>
  <c r="R688" i="16"/>
  <c r="Q688" i="16"/>
  <c r="P688" i="16"/>
  <c r="O688" i="16"/>
  <c r="V692" i="16"/>
  <c r="Q692" i="16"/>
  <c r="O692" i="16"/>
  <c r="R692" i="16" s="1"/>
  <c r="V696" i="16"/>
  <c r="R696" i="16"/>
  <c r="Q696" i="16"/>
  <c r="O696" i="16"/>
  <c r="P696" i="16" s="1"/>
  <c r="V700" i="16"/>
  <c r="Q700" i="16"/>
  <c r="R700" i="16" s="1"/>
  <c r="O700" i="16"/>
  <c r="P700" i="16" s="1"/>
  <c r="V677" i="16"/>
  <c r="Q677" i="16"/>
  <c r="P677" i="16"/>
  <c r="O677" i="16"/>
  <c r="R677" i="16" s="1"/>
  <c r="V681" i="16"/>
  <c r="Q681" i="16"/>
  <c r="R681" i="16" s="1"/>
  <c r="O681" i="16"/>
  <c r="P681" i="16" s="1"/>
  <c r="V685" i="16"/>
  <c r="R685" i="16"/>
  <c r="Q685" i="16"/>
  <c r="P685" i="16"/>
  <c r="O685" i="16"/>
  <c r="V689" i="16"/>
  <c r="Q689" i="16"/>
  <c r="O689" i="16"/>
  <c r="R689" i="16" s="1"/>
  <c r="V693" i="16"/>
  <c r="R693" i="16"/>
  <c r="Q693" i="16"/>
  <c r="P693" i="16"/>
  <c r="O693" i="16"/>
  <c r="V697" i="16"/>
  <c r="Q697" i="16"/>
  <c r="O697" i="16"/>
  <c r="R697" i="16" s="1"/>
  <c r="V701" i="16"/>
  <c r="R701" i="16"/>
  <c r="Q701" i="16"/>
  <c r="O701" i="16"/>
  <c r="P701" i="16" s="1"/>
  <c r="R671" i="16"/>
  <c r="Q671" i="16"/>
  <c r="P671" i="16"/>
  <c r="O671" i="16"/>
  <c r="V674" i="16"/>
  <c r="Q674" i="16"/>
  <c r="O674" i="16"/>
  <c r="R674" i="16" s="1"/>
  <c r="V678" i="16"/>
  <c r="R678" i="16"/>
  <c r="Q678" i="16"/>
  <c r="P678" i="16"/>
  <c r="O678" i="16"/>
  <c r="V682" i="16"/>
  <c r="Q682" i="16"/>
  <c r="O682" i="16"/>
  <c r="R682" i="16" s="1"/>
  <c r="V686" i="16"/>
  <c r="R686" i="16"/>
  <c r="Q686" i="16"/>
  <c r="O686" i="16"/>
  <c r="P686" i="16" s="1"/>
  <c r="V690" i="16"/>
  <c r="Q690" i="16"/>
  <c r="R690" i="16" s="1"/>
  <c r="O690" i="16"/>
  <c r="P690" i="16" s="1"/>
  <c r="V694" i="16"/>
  <c r="Q694" i="16"/>
  <c r="P694" i="16"/>
  <c r="O694" i="16"/>
  <c r="R694" i="16" s="1"/>
  <c r="V698" i="16"/>
  <c r="Q698" i="16"/>
  <c r="R698" i="16" s="1"/>
  <c r="O698" i="16"/>
  <c r="P698" i="16" s="1"/>
  <c r="V702" i="16"/>
  <c r="R702" i="16"/>
  <c r="Q702" i="16"/>
  <c r="P702" i="16"/>
  <c r="O702" i="16"/>
  <c r="V667" i="16"/>
  <c r="Q667" i="16"/>
  <c r="R667" i="16" s="1"/>
  <c r="R621" i="16" l="1"/>
  <c r="P621" i="16"/>
  <c r="R662" i="16"/>
  <c r="P622" i="16"/>
  <c r="R600" i="16"/>
  <c r="R656" i="16"/>
  <c r="P637" i="16"/>
  <c r="R626" i="16"/>
  <c r="P600" i="16"/>
  <c r="R619" i="16"/>
  <c r="R615" i="16"/>
  <c r="R215" i="16"/>
  <c r="P146" i="16"/>
  <c r="P212" i="16"/>
  <c r="R107" i="16"/>
  <c r="R67" i="16"/>
  <c r="P202" i="16"/>
  <c r="P691" i="16"/>
  <c r="P98" i="16"/>
  <c r="P18" i="16"/>
  <c r="P142" i="16"/>
  <c r="R102" i="16"/>
  <c r="P9" i="16"/>
  <c r="P30" i="16"/>
  <c r="P682" i="16"/>
  <c r="P697" i="16"/>
  <c r="P692" i="16"/>
  <c r="P661" i="16"/>
  <c r="P673" i="16"/>
  <c r="R598" i="16"/>
  <c r="R590" i="16"/>
  <c r="P672" i="16"/>
  <c r="P228" i="16"/>
  <c r="P224" i="16"/>
  <c r="R205" i="16"/>
  <c r="P124" i="16"/>
  <c r="R110" i="16"/>
  <c r="R125" i="16"/>
  <c r="P46" i="16"/>
  <c r="P159" i="16"/>
  <c r="P126" i="16"/>
  <c r="R31" i="16"/>
  <c r="P223" i="16"/>
  <c r="P118" i="16"/>
  <c r="R76" i="16"/>
  <c r="P14" i="16"/>
  <c r="B93" i="1"/>
  <c r="P19" i="16"/>
  <c r="P39" i="16"/>
  <c r="P162" i="16"/>
  <c r="R77" i="16"/>
  <c r="P222" i="16"/>
  <c r="R236" i="16"/>
  <c r="R82" i="16"/>
  <c r="P182" i="16"/>
  <c r="P233" i="16"/>
  <c r="P683" i="16"/>
  <c r="P240" i="16"/>
  <c r="P70" i="16"/>
  <c r="P55" i="16"/>
  <c r="P143" i="16"/>
  <c r="P174" i="16"/>
  <c r="P12" i="16"/>
  <c r="R194" i="16"/>
  <c r="P34" i="16"/>
  <c r="P11" i="16"/>
  <c r="R645" i="16"/>
  <c r="P645" i="16"/>
  <c r="R663" i="16"/>
  <c r="P663" i="16"/>
  <c r="R623" i="16"/>
  <c r="P623" i="16"/>
  <c r="R234" i="16"/>
  <c r="R209" i="16"/>
  <c r="P173" i="16"/>
  <c r="R64" i="16"/>
  <c r="P185" i="16"/>
  <c r="R28" i="16"/>
  <c r="B92" i="1" s="1"/>
  <c r="R161" i="16"/>
  <c r="R186" i="16"/>
  <c r="P99" i="16"/>
  <c r="P199" i="16"/>
  <c r="P79" i="16"/>
  <c r="P674" i="16"/>
  <c r="R611" i="16"/>
  <c r="R586" i="16"/>
  <c r="R618" i="16"/>
  <c r="R606" i="16"/>
  <c r="P81" i="16"/>
  <c r="P675" i="16"/>
  <c r="P38" i="16"/>
  <c r="P4" i="16"/>
  <c r="P3" i="16"/>
  <c r="P593" i="16"/>
  <c r="P689" i="16"/>
  <c r="P684" i="16"/>
  <c r="P604" i="16"/>
  <c r="R597" i="16"/>
  <c r="P638" i="16"/>
  <c r="R610" i="16"/>
  <c r="R237" i="16"/>
  <c r="R655" i="16"/>
  <c r="R648" i="16"/>
  <c r="R643" i="16"/>
  <c r="P626" i="16"/>
  <c r="R141" i="16"/>
  <c r="P198" i="16"/>
  <c r="R243" i="16"/>
  <c r="R53" i="16"/>
  <c r="R193" i="16"/>
  <c r="R145" i="16"/>
  <c r="R181" i="16"/>
  <c r="R180" i="16"/>
  <c r="R153" i="16"/>
  <c r="R94" i="16"/>
  <c r="R128" i="16"/>
  <c r="R50" i="16"/>
  <c r="R120" i="16"/>
</calcChain>
</file>

<file path=xl/sharedStrings.xml><?xml version="1.0" encoding="utf-8"?>
<sst xmlns="http://schemas.openxmlformats.org/spreadsheetml/2006/main" count="39685" uniqueCount="4585">
  <si>
    <t>Pulse table 整理與測站座標</t>
  </si>
  <si>
    <t>來源記錄數</t>
  </si>
  <si>
    <t>原表已有座標</t>
  </si>
  <si>
    <t>本次比對補齊</t>
  </si>
  <si>
    <t>座標有歧義</t>
  </si>
  <si>
    <t>尚未找到</t>
  </si>
  <si>
    <t>座標涵蓋率</t>
  </si>
  <si>
    <t>總計（含跨來源重複）</t>
  </si>
  <si>
    <t>Pulse_records 可篩選來源、處理版本、測站與座標狀態。</t>
  </si>
  <si>
    <t>Tp、Tf、水平／垂直 Tp 及各分量 PGV 分別保存。</t>
  </si>
  <si>
    <t>汶川 051* 座標僅至 0.1°。TCU074 有來源位置衝突，請先讀備註。</t>
  </si>
  <si>
    <t>Event / finite-fault update</t>
  </si>
  <si>
    <t>2026-09-10; latest user workbook retained; source enrichments are a dated snapshot.</t>
  </si>
  <si>
    <t>Merged records</t>
  </si>
  <si>
    <t>Earthquake sources</t>
  </si>
  <si>
    <t>USGS finite-fault coverage</t>
  </si>
  <si>
    <t>9 matched models, 23 fault segments. No matching USGS product does not mean no published finite-fault model exists.</t>
  </si>
  <si>
    <t>Ilan–Suao event</t>
  </si>
  <si>
    <t>User confirmed 2005-03-05 19:08 UTC; linked to USGS usp000dhkp.</t>
  </si>
  <si>
    <t>Missing source angles</t>
  </si>
  <si>
    <t>2001 Taipo and 2007 Taitung lack moment-tensor/focal-mechanism products in retrieved USGS detail; angles left blank.</t>
  </si>
  <si>
    <t>Plane definitions</t>
  </si>
  <si>
    <t>Finite-fault units</t>
  </si>
  <si>
    <t>Lengths, widths and depths: km; slip: m; moment: N m; rise time: s; rupture speed: km/s. Model area sums segment LEN × WID, not slipped area.</t>
  </si>
  <si>
    <t>Finite-fault slip / rake</t>
  </si>
  <si>
    <t>Max slip calculated from all FSP subfault SLIP values (m). Segment rake ranges retain FSP angle convention; no single rake imposed on multi-segment models.</t>
  </si>
  <si>
    <t>Model geometry</t>
  </si>
  <si>
    <t>Full FSP modeled dimensions are reported, not effective slipped-patch dimensions. Segment lengths are not summed as physical rupture length; negative source top depth is retained.</t>
  </si>
  <si>
    <t>Source priority</t>
  </si>
  <si>
    <t>Update behavior</t>
  </si>
  <si>
    <t>Event-match audit</t>
  </si>
  <si>
    <t>The prior NGA HRMN-to-UTC assumption was incorrect for some events. Corrected using USGS origin timestamps; see Event_match_audit for every event.</t>
  </si>
  <si>
    <t>Finite-fault identity</t>
  </si>
  <si>
    <t>All 9 assigned finite-fault models have the same USGS event IDs as the audited events. Model-specific magnitudes, hypocenters and rupture planes remain separate.</t>
  </si>
  <si>
    <t>資料完整性與一致性檢查 — 2026-09-10</t>
  </si>
  <si>
    <t>狀態</t>
  </si>
  <si>
    <t>檢查項目</t>
  </si>
  <si>
    <t>結果、位置與建議</t>
  </si>
  <si>
    <t>需確認</t>
  </si>
  <si>
    <t>缺值</t>
  </si>
  <si>
    <t>Duzce 2022 的 R_rup</t>
  </si>
  <si>
    <t>YEN!E86:E89，4筆（8101/8102/8104/8109）空白。不能用 R_hypo 或震央距離代替 R_rup；需要相應斷層面模型。</t>
  </si>
  <si>
    <t>Iburi 斷層平行方位</t>
  </si>
  <si>
    <t>YEN!J82:J85，4筆空白（HKD126/HKD128/IBUH01/47004）。需先選定適用的斷層走向與角度定義。</t>
  </si>
  <si>
    <t>Pardee–SCE 兩種方位</t>
  </si>
  <si>
    <t>S&amp;B!J108:K108 為 -999 缺值碼；不是有效角度。同列 Fault Normal Pulse（L108）也為 -999，不能直接作布林值。</t>
  </si>
  <si>
    <t>NCREE 的 Vs30</t>
  </si>
  <si>
    <t>NCREE!J279/J319/J321/J341 為文字 None：Kanti Path、SHH、TRB029、TRB042。需站址資料；未補值。</t>
  </si>
  <si>
    <t>2 個事件的斷層角度</t>
  </si>
  <si>
    <t>Event_sources 的 2001_taipo、2007_taitung 缺 strike/dip/rake。先前取得的 USGS 事件資料沒有 moment-tensor/focal-mechanism；保留空白，並非誤配的直接證據。</t>
  </si>
  <si>
    <t>適用性</t>
  </si>
  <si>
    <t>NCREE 週期的 -999</t>
  </si>
  <si>
    <t>Tp_H 缺值碼7筆、Tp_V缺值碼308筆；均與對應 Ipulse_H/Ipulse_V = FALSE 一致。已辨識為無該分量脈衝，不列為應補齊的週期；分析前將 -999 當缺值，勿當負週期。</t>
  </si>
  <si>
    <t>注意</t>
  </si>
  <si>
    <t>來源名稱和位置精度</t>
  </si>
  <si>
    <t>涵蓋限制</t>
  </si>
  <si>
    <t>有限斷層資料</t>
  </si>
  <si>
    <t>75事件中9個有已配對USGS有限斷層模型，共23段；66個沒有本次配對模型，不能解讀成沒有任何已發表模型。節段面積／最大滑移為模型量，與原表 Mw、catalog 震源分欄。</t>
  </si>
  <si>
    <t>通過</t>
  </si>
  <si>
    <t>事件資料與表間連結</t>
  </si>
  <si>
    <t>結構與基本數值檢查</t>
  </si>
  <si>
    <t>Turkey 的 R_hypo</t>
  </si>
  <si>
    <t>YEN Pazarcik23筆、Elbistan7筆，30個公式均有數值。沿用球面半徑6371 km、R_hypo=SQRT(R_epi²+depth²)、零測站高程假設；公式仍引用主表測站座標。顯示0.01 km不代表此精度。</t>
  </si>
  <si>
    <t>檢查界限</t>
  </si>
  <si>
    <t>本次為工作簿資料稽核</t>
  </si>
  <si>
    <t>source_id</t>
  </si>
  <si>
    <t>source</t>
  </si>
  <si>
    <t>locator</t>
  </si>
  <si>
    <t>source_note</t>
  </si>
  <si>
    <t>accessed_or_read</t>
  </si>
  <si>
    <t>S01</t>
  </si>
  <si>
    <t>使用者原始 pulse table</t>
  </si>
  <si>
    <t>scaling_2024.xlsx</t>
  </si>
  <si>
    <t>原始檔保留不變；每筆記錄有來源工作表與原始列號。</t>
  </si>
  <si>
    <t>2026-09-09</t>
  </si>
  <si>
    <t>S02</t>
  </si>
  <si>
    <t>NGA-West2 更新 flatfile（2015，公開檔鏡像）</t>
  </si>
  <si>
    <t>https://raw.githubusercontent.com/personlin/NGA-West2_Flatfile/main/data/Updated_NGA_West2_Flatfile_RotD50_d050_public_version.xlsx</t>
  </si>
  <si>
    <t>PEER 官方下載回傳 403，使用公開原始 XLSX 鏡像；未驗證與官方檔案的雜湊一致性。官方索引：https://peer.berkeley.edu/node/74</t>
  </si>
  <si>
    <t>S03</t>
  </si>
  <si>
    <t>熊本本地測站清單</t>
  </si>
  <si>
    <t>pulse/data/events/2016_Kumamoto/station_list</t>
  </si>
  <si>
    <t>無欄名；依數值範圍辨識 station, longitude, latitude；未額外確認座標基準。</t>
  </si>
  <si>
    <t>S04</t>
  </si>
  <si>
    <t>集集本地測站資訊</t>
  </si>
  <si>
    <t>pulse/data/events/1999_ChiChi/1999_station_inf</t>
  </si>
  <si>
    <t>欄名明列 sta, lat, lon。</t>
  </si>
  <si>
    <t>S05</t>
  </si>
  <si>
    <t>土耳其 2023 第一主震 pulse flatfile</t>
  </si>
  <si>
    <t>pulse/03_scaling/tables/Turkey_202302060117_flatfile_geometric_mean_pulse.csv</t>
  </si>
  <si>
    <t>S06</t>
  </si>
  <si>
    <t>土耳其 2023 第二主震 pulse flatfile</t>
  </si>
  <si>
    <t>pulse/03_scaling/tables/Turkey_202302061024_flatfile_geometric_mean_pulse.csv</t>
  </si>
  <si>
    <t>131、132 保留原代碼，不自行加 TK 網路前綴。</t>
  </si>
  <si>
    <t>S07</t>
  </si>
  <si>
    <t>土耳其 2023 第一主震完整 flatfile</t>
  </si>
  <si>
    <t>pulse/data/events/2023_Turkey/Turkey_202302060117_flatfile_geometric_mean.csv</t>
  </si>
  <si>
    <t>TK-#### 或 KO-代碼去除已列明的網路前綴後比對。</t>
  </si>
  <si>
    <t>S08</t>
  </si>
  <si>
    <t>NIED 歷史測站位置（2022-02-01 前）</t>
  </si>
  <si>
    <t>https://www.kyoshin.bosai.go.jp/en/stationlocationinfobefore20220201/</t>
  </si>
  <si>
    <t>S09</t>
  </si>
  <si>
    <t>Düzce 2022 研究 Table 2</t>
  </si>
  <si>
    <t>https://dergipark.org.tr/en/download/article-file/3476680</t>
  </si>
  <si>
    <t>使用表列四位小數測站經緯度。</t>
  </si>
  <si>
    <t>S10</t>
  </si>
  <si>
    <t>NIED Hi-net 追分測站更新資訊</t>
  </si>
  <si>
    <t>https://www.hinet.bosai.go.jp/st_info/st_update/?LANG=ja&amp;r=HFHKS2007&amp;rym=200710</t>
  </si>
  <si>
    <t>IBUH01，2007-10 起位置。</t>
  </si>
  <si>
    <t>S11</t>
  </si>
  <si>
    <t>土耳其測站代碼對照，PEER 研究報告 Table 1</t>
  </si>
  <si>
    <t>https://apps.peer.berkeley.edu/lifelines/lifelines_pre_2006/final_reports/2A02a-FR.pdf</t>
  </si>
  <si>
    <t>IZT=Izmit；SKR=Sakarya；YPT=Yarimca；BOL=Bolu；DZC=Duzce。</t>
  </si>
  <si>
    <t>S12</t>
  </si>
  <si>
    <t>L’Aquila 記錄代碼／測站對照</t>
  </si>
  <si>
    <t>https://www.reluis.it/doc/pdf/Aquila/Confronto_L%27Aquila-NTC_V1.pdf</t>
  </si>
  <si>
    <t>AM043=AQK Parking；CU104=AQA F. Aterno；FA030=AQG Colle Grilli；GX066=AQV Centro Valle。</t>
  </si>
  <si>
    <t>項目</t>
  </si>
  <si>
    <t>整理規則與限制</t>
  </si>
  <si>
    <t>整理範圍</t>
  </si>
  <si>
    <t>7 個記錄表合併為 976 筆來源記錄。regression 為關係式／曲線資料，保留在原表快照，不併入觀測記錄。</t>
  </si>
  <si>
    <t>完整原始資料</t>
  </si>
  <si>
    <t>後方 8 個同名工作表保留原始儲存值快照（含旁欄統計）。原檔未修改；公式、圖表與樣式未複製，快照不作動態試算。</t>
  </si>
  <si>
    <t>文字 NaN、None 在整理表改為空白；missing_fields_original 保留原缺值標記。真實 0 與 FALSE 不轉成缺值。</t>
  </si>
  <si>
    <t>測站識別</t>
  </si>
  <si>
    <t>station_original 保留原名；station_key 以事件推定區域加名稱的英數正規化值建立。比對鍵不是經權威機構核定的全球唯一測站 ID。</t>
  </si>
  <si>
    <t>Station_coords 粒度</t>
  </si>
  <si>
    <t>每列為測站比對鍵、座標值與狀態的組合。同一測站可因事件、來源或小數精度不同而有多列；不可直接當唯一測站數。</t>
  </si>
  <si>
    <t>版本與重複</t>
  </si>
  <si>
    <t>保留 Baker_moderate、Baker(2014)、校正／未校正 fling、NCREE 的全部來源記錄；不可將跨來源記錄直接當獨立樣本。</t>
  </si>
  <si>
    <t>repeat_group</t>
  </si>
  <si>
    <t>有 RSN 時採 NGA:RSN；否則以原事件名稱、年份與測站比對鍵分組。未跨事件別名整併，因此僅為部分重複提示。</t>
  </si>
  <si>
    <t>Tp 與 Tf</t>
  </si>
  <si>
    <t>Tp_s、Tf_s、Tp_H_s、Tp_V_s 分欄保存，不互相替代。NCREE 水平及垂直週期不直接併入 Tp_s。</t>
  </si>
  <si>
    <t>距離</t>
  </si>
  <si>
    <t>Baker Closest Dist. 保留為 closest_distance_km，不自動宣稱為 Rrup。明列 Rrup 的資料才填 Rrup_km。</t>
  </si>
  <si>
    <t>PGV</t>
  </si>
  <si>
    <t>PGV_cm_s 為來源 pulse 表的 PGV；NCREE 各分量 PGV_*_original 分開保存，不自行取最大值或合成。</t>
  </si>
  <si>
    <t>未明示單位</t>
  </si>
  <si>
    <t>*_original 與 Kamai displacement 欄位保留原值；原欄名未明示的單位或機制代碼定義，不自行推定。</t>
  </si>
  <si>
    <t>座標基準</t>
  </si>
  <si>
    <t>以度為單位、北緯與東經為正；保留來源數值，未做座標基準轉換，也未逐筆確認是否為 WGS84。</t>
  </si>
  <si>
    <t>座標精度</t>
  </si>
  <si>
    <t>顯示至最多六位小數不代表六位小數精度。汶川 051* 的 NGA 值僅至 0.1°，不可用來精算近斷層距離。</t>
  </si>
  <si>
    <t>TCU074</t>
  </si>
  <si>
    <t>本地 1999 清單同代碼有兩個不同位置；Kamai 主震記錄採 NGA 主震位置。NCREE 2013 記錄的不同位置保留，不當作同時期值。</t>
  </si>
  <si>
    <t>未找到座標</t>
  </si>
  <si>
    <t>Port Island (83 m)、SERVICE HALL:50.8 M DEPTH、LCNWI、47004 共 6 筆。NGA 前兩者為 -999；未以地表站或同地名推填。</t>
  </si>
  <si>
    <t>來源年份</t>
  </si>
  <si>
    <t>Kamai 年份依事件名稱補上。NCREE 年份擷取事件名稱前四碼；其餘保留原年份。</t>
  </si>
  <si>
    <t>來源與精度差異</t>
  </si>
  <si>
    <t>優先保留原表座標。Baker 以 RSN、事件與年份核對；名稱更新以對照確認。其餘採同區域、測站碼及年份；明確別名參考 S11/S12。</t>
  </si>
  <si>
    <t>原表計算錯誤</t>
  </si>
  <si>
    <t>Kamai Normalized Dsite 原表有 7 個 #VALUE!。整理表該值留空，source_error 記錄錯誤；原表快照保留錯誤，未擅自重算。</t>
  </si>
  <si>
    <t>重新整理</t>
  </si>
  <si>
    <t>本檔為 2026-09-09 整理快照。修改來源表不會自動重新執行座標比對；Overview 計數會隨 Pulse_records 更新。</t>
  </si>
  <si>
    <t>E01</t>
  </si>
  <si>
    <t>USGS finite-fault catalog</t>
  </si>
  <si>
    <t>https://earthquake.usgs.gov/data/finitefault/</t>
  </si>
  <si>
    <t>Archive queried for 1900–2023 producttype=finite-fault; preferred product by preferredWeight then updateTime. Full model FSP geometry and download URLs in Event_sources / Finite_fault_segments.</t>
  </si>
  <si>
    <t>2026-09-10</t>
  </si>
  <si>
    <t>E02</t>
  </si>
  <si>
    <t>USGS ComCat event details</t>
  </si>
  <si>
    <t>https://earthquake.usgs.gov/fdsnws/event/1/</t>
  </si>
  <si>
    <t>Matched events reviewed by date, location, magnitude and sequence. Origin uses preferred event geometry/time; moment-tensor product source/version recorded separately.</t>
  </si>
  <si>
    <t>E03</t>
  </si>
  <si>
    <t>NGA-West2 updated2015 flatfile official index</t>
  </si>
  <si>
    <t>https://peer.berkeley.edu/node/74</t>
  </si>
  <si>
    <t>47 event metadata matches by normalized event/year; original NGA row and EQID retained. No -999 sentinel used as a physical value.</t>
  </si>
  <si>
    <t>E04</t>
  </si>
  <si>
    <t>NGA flatfile download mirror</t>
  </si>
  <si>
    <t>Official download unavailable; used this mirror, not independently hash-verified against official distribution. Magnitude type U and NGA finite-fault flags retained as source codes.</t>
  </si>
  <si>
    <t>E05</t>
  </si>
  <si>
    <t>Wang et al. 2004 Table1 (Chi-Chi sequence)</t>
  </si>
  <si>
    <t>https://citeseerx.ist.psu.edu/document?doi=3c7c3853c5d32c9f6a371bf9461e847d08a9099f&amp;repid=rep1&amp;type=pdf</t>
  </si>
  <si>
    <t>Event alias checks: NCREE Chiayi = NGA Chi-Chi04; NCREE Chi-Chi07 = NGA Chi-Chi06, based on identical hypocenters and event dates.</t>
  </si>
  <si>
    <t>E06</t>
  </si>
  <si>
    <t>Finite-fault derived fields</t>
  </si>
  <si>
    <t>FSP complete_inversion.fsp for each matched model</t>
  </si>
  <si>
    <t>Segment count and subfault counts verified against FSP. Model area = sum(LEN*WID); maximum slip = max(SLIP); rake_min/max are raw extrema, not a circular average. Model origin not catalog origin.</t>
  </si>
  <si>
    <t>E07</t>
  </si>
  <si>
    <t>UTC and identity audit</t>
  </si>
  <si>
    <t>NGA matching independently checked within date +/- 1 day, 100 km and magnitude +/- 0.7; multi-candidate sequences resolved using origin time. Source HRMN is not uniformly UTC.</t>
  </si>
  <si>
    <t>E08</t>
  </si>
  <si>
    <t>CWA Taipo confirmation</t>
  </si>
  <si>
    <t>https://scweb.cwa.gov.tw/zh-tw/earthquake/imgs/2001091806444450101</t>
  </si>
  <si>
    <t>2001-09-18 06:44:44 Taiwan local = 2001-09-17 22:44:44 UTC; confirms Taipo identity independently of USGS catalog location.</t>
  </si>
  <si>
    <t>E09</t>
  </si>
  <si>
    <t>CWA Taitung confirmation</t>
  </si>
  <si>
    <t>https://scweb.cwa.gov.tw/zh-tw/earthquake/imgs/2007080908554757050</t>
  </si>
  <si>
    <t>2007-08-09 08:55:47 Taiwan local = 00:55:47 UTC; confirms Taitung identity.</t>
  </si>
  <si>
    <t>E10</t>
  </si>
  <si>
    <t>Calculated Yen(2025) Turkey R_hypo</t>
  </si>
  <si>
    <t>R_hypo = SQRT(R_epi^2 + depth^2). R_epi: haversine great-circle distance, spherical Earth radius 6371 km. Hypocenter: same-row catalog latitude/longitude/depth (R:S:T). Station elevation assumed zero; local flat-depth approximation. Values calculated, not original published distances. Display 0.01 km is not accuracy.</t>
  </si>
  <si>
    <t>event_key</t>
  </si>
  <si>
    <t>usgs_event_id</t>
  </si>
  <si>
    <t>segment</t>
  </si>
  <si>
    <t>strike_deg</t>
  </si>
  <si>
    <t>dip_deg</t>
  </si>
  <si>
    <t>model_length_km</t>
  </si>
  <si>
    <t>model_width_km</t>
  </si>
  <si>
    <t>model_area_km2</t>
  </si>
  <si>
    <t>top_depth_km</t>
  </si>
  <si>
    <t>subfault_count</t>
  </si>
  <si>
    <t>max_slip_m</t>
  </si>
  <si>
    <t>rake_min_deg</t>
  </si>
  <si>
    <t>rake_max_deg</t>
  </si>
  <si>
    <t>fsp_url</t>
  </si>
  <si>
    <t>1999_kocaeli</t>
  </si>
  <si>
    <t>usp0009d4z</t>
  </si>
  <si>
    <t>https://earthquake.usgs.gov/product/finite-fault/usp0009d4z/us/1539796243080/complete_inversion.fsp</t>
  </si>
  <si>
    <t>1999_chichi</t>
  </si>
  <si>
    <t>usp0009eq0</t>
  </si>
  <si>
    <t>https://earthquake.usgs.gov/product/finite-fault/usp0009eq0/us/1539796251799/complete_inversion.fsp</t>
  </si>
  <si>
    <t>2002_denali</t>
  </si>
  <si>
    <t>ak002e435qpj</t>
  </si>
  <si>
    <t>https://earthquake.usgs.gov/product/finite-fault/usp000bg0m/us/1539805514087/complete_inversion.fsp</t>
  </si>
  <si>
    <t>2008_wenchuan</t>
  </si>
  <si>
    <t>usp000g650</t>
  </si>
  <si>
    <t>https://earthquake.usgs.gov/product/finite-fault/usp000g650/us/1539808177870/complete_inversion.fsp</t>
  </si>
  <si>
    <t>2015_gorkha</t>
  </si>
  <si>
    <t>us20002926</t>
  </si>
  <si>
    <t>https://earthquake.usgs.gov/product/finite-fault/us20002926/us/1539809906375/complete_inversion.fsp</t>
  </si>
  <si>
    <t>2016_kaikoura</t>
  </si>
  <si>
    <t>us1000778i</t>
  </si>
  <si>
    <t>https://earthquake.usgs.gov/product/finite-fault/us1000778i/us/1539813034137/complete_inversion.fsp</t>
  </si>
  <si>
    <t>2016_kumamoto</t>
  </si>
  <si>
    <t>us20005iis</t>
  </si>
  <si>
    <t>https://earthquake.usgs.gov/product/finite-fault/us20005iis/us/1539812954400/complete_inversion.fsp</t>
  </si>
  <si>
    <t>2023_elbistan</t>
  </si>
  <si>
    <t>us6000jlqa</t>
  </si>
  <si>
    <t>https://earthquake.usgs.gov/product/finite-fault/us6000jlqa_1/us/1676676771092/complete_inversion.fsp</t>
  </si>
  <si>
    <t>2023_pazarcik</t>
  </si>
  <si>
    <t>us6000jllz</t>
  </si>
  <si>
    <t>https://earthquake.usgs.gov/product/finite-fault/us6000jllz_1/us/1676951251912/complete_inversion.fsp</t>
  </si>
  <si>
    <t>workbook_names</t>
  </si>
  <si>
    <t>match_status</t>
  </si>
  <si>
    <t>match_basis</t>
  </si>
  <si>
    <t>usgs_origin_utc</t>
  </si>
  <si>
    <t>usgs_magnitude</t>
  </si>
  <si>
    <t>usgs_magnitude_type</t>
  </si>
  <si>
    <t>usgs_latitude</t>
  </si>
  <si>
    <t>usgs_longitude</t>
  </si>
  <si>
    <t>usgs_depth_km</t>
  </si>
  <si>
    <t>workbook_hypocenters</t>
  </si>
  <si>
    <t>minimum_epicenter_difference_km</t>
  </si>
  <si>
    <t>nga_date_raw</t>
  </si>
  <si>
    <t>nga_HRMN_raw</t>
  </si>
  <si>
    <t>usgs_minus_nga_time_seconds</t>
  </si>
  <si>
    <t>usgs_candidates_in_audit_window</t>
  </si>
  <si>
    <t>finite_fault_identity_check</t>
  </si>
  <si>
    <t>evidence_urls</t>
  </si>
  <si>
    <t>1954_northerncalif3</t>
  </si>
  <si>
    <t>Northern Calif-03</t>
  </si>
  <si>
    <t>Catalog cross-check supports identity</t>
  </si>
  <si>
    <t>NGA event name/year and EQID; USGS date, magnitude and location; sequence distinguished by origin time.</t>
  </si>
  <si>
    <t>iscgem891371</t>
  </si>
  <si>
    <t>mw</t>
  </si>
  <si>
    <t>1954-1221</t>
  </si>
  <si>
    <t>1956</t>
  </si>
  <si>
    <t>No matched finite-fault product</t>
  </si>
  <si>
    <t>https://earthquake.usgs.gov/earthquakes/eventpage/iscgem891371</t>
  </si>
  <si>
    <t>1971_sanfernando</t>
  </si>
  <si>
    <t>San Fernando | 1971_SanFernando_USA</t>
  </si>
  <si>
    <t>ci3347678</t>
  </si>
  <si>
    <t>[[34.44, -118.41, 13]]</t>
  </si>
  <si>
    <t>1971-0209</t>
  </si>
  <si>
    <t>1400</t>
  </si>
  <si>
    <t>https://earthquake.usgs.gov/earthquakes/eventpage/ci3347678</t>
  </si>
  <si>
    <t>1978_tabas</t>
  </si>
  <si>
    <t>Tabas, Iran | 1978_Tabas_Iran</t>
  </si>
  <si>
    <t>usp0000wjx</t>
  </si>
  <si>
    <t>ms</t>
  </si>
  <si>
    <t>[[33.215, 57.323, 5.75]]</t>
  </si>
  <si>
    <t>1978-0916</t>
  </si>
  <si>
    <t>-999</t>
  </si>
  <si>
    <t>https://earthquake.usgs.gov/earthquakes/eventpage/usp0000wjx</t>
  </si>
  <si>
    <t>1979_coyotelake</t>
  </si>
  <si>
    <t>Coyote Lake | 1979_CoyoteLake_USA</t>
  </si>
  <si>
    <t>nc1046962</t>
  </si>
  <si>
    <t>ml</t>
  </si>
  <si>
    <t>[[37.065, -121.49, 8]]</t>
  </si>
  <si>
    <t>1979-0806</t>
  </si>
  <si>
    <t>1705</t>
  </si>
  <si>
    <t>https://earthquake.usgs.gov/earthquakes/eventpage/nc1046962</t>
  </si>
  <si>
    <t>1979_imperialvalley6</t>
  </si>
  <si>
    <t>Imperial Valley-06 | 1979_ImperialValley_06_USA</t>
  </si>
  <si>
    <t>ci3352060</t>
  </si>
  <si>
    <t>[[32.644, -115.307, 9.96]]</t>
  </si>
  <si>
    <t>1979-1015</t>
  </si>
  <si>
    <t>2316</t>
  </si>
  <si>
    <t>https://earthquake.usgs.gov/earthquakes/eventpage/ci3352060</t>
  </si>
  <si>
    <t>1979_imperialvalley7</t>
  </si>
  <si>
    <t>Imperial Valley-07</t>
  </si>
  <si>
    <t>ci9712718</t>
  </si>
  <si>
    <t>mh</t>
  </si>
  <si>
    <t>2319</t>
  </si>
  <si>
    <t>https://earthquake.usgs.gov/earthquakes/eventpage/ci9712718</t>
  </si>
  <si>
    <t>1979_montenegro</t>
  </si>
  <si>
    <t>Montenegro, Yugo. | 1979_Montenegro_Yugoslavia</t>
  </si>
  <si>
    <t>usp000100b</t>
  </si>
  <si>
    <t>[[42.04, 19.21, 7]]</t>
  </si>
  <si>
    <t>1979-0415</t>
  </si>
  <si>
    <t>0619</t>
  </si>
  <si>
    <t>https://earthquake.usgs.gov/earthquakes/eventpage/usp000100b</t>
  </si>
  <si>
    <t>1980_irpinia1</t>
  </si>
  <si>
    <t>Irpinia, Italy-01 | 1980_Irpinia_01_Italy</t>
  </si>
  <si>
    <t>usp0001ay4</t>
  </si>
  <si>
    <t>[[40.8059, 15.3372, 9.5]]</t>
  </si>
  <si>
    <t>1980-1123</t>
  </si>
  <si>
    <t>1934</t>
  </si>
  <si>
    <t>https://earthquake.usgs.gov/earthquakes/eventpage/usp0001ay4</t>
  </si>
  <si>
    <t>1980_mammothlakes6</t>
  </si>
  <si>
    <t>Mammoth Lakes-06</t>
  </si>
  <si>
    <t>nc1053177</t>
  </si>
  <si>
    <t>1980-0527</t>
  </si>
  <si>
    <t>1451</t>
  </si>
  <si>
    <t>https://earthquake.usgs.gov/earthquakes/eventpage/nc1053177</t>
  </si>
  <si>
    <t>1981_westmorland</t>
  </si>
  <si>
    <t>Westmorland | 1981_Westmorland_USA</t>
  </si>
  <si>
    <t>ci514869</t>
  </si>
  <si>
    <t>[[33.1, -115.62, 2.3]]</t>
  </si>
  <si>
    <t>1981-0426</t>
  </si>
  <si>
    <t>1209</t>
  </si>
  <si>
    <t>https://earthquake.usgs.gov/earthquakes/eventpage/ci514869</t>
  </si>
  <si>
    <t>1983_coalinga2</t>
  </si>
  <si>
    <t>Coalinga-02</t>
  </si>
  <si>
    <t>nc1093715</t>
  </si>
  <si>
    <t>1983-0509</t>
  </si>
  <si>
    <t>0249</t>
  </si>
  <si>
    <t>https://earthquake.usgs.gov/earthquakes/eventpage/nc1093715</t>
  </si>
  <si>
    <t>1983_coalinga5</t>
  </si>
  <si>
    <t>Coalinga-05</t>
  </si>
  <si>
    <t>nc1098982</t>
  </si>
  <si>
    <t>ma</t>
  </si>
  <si>
    <t>1983-0722</t>
  </si>
  <si>
    <t>0239</t>
  </si>
  <si>
    <t>https://earthquake.usgs.gov/earthquakes/eventpage/nc1098982</t>
  </si>
  <si>
    <t>1983_coalinga7</t>
  </si>
  <si>
    <t>Coalinga-07</t>
  </si>
  <si>
    <t>nc1099288</t>
  </si>
  <si>
    <t>md</t>
  </si>
  <si>
    <t>1983-0725</t>
  </si>
  <si>
    <t>2231</t>
  </si>
  <si>
    <t>https://earthquake.usgs.gov/earthquakes/eventpage/nc1099288</t>
  </si>
  <si>
    <t>1984_morganhill</t>
  </si>
  <si>
    <t>Morgan Hill | 1984_MorganHill_USA</t>
  </si>
  <si>
    <t>nc17204</t>
  </si>
  <si>
    <t>[[37.306, -121.695, 8.5]]</t>
  </si>
  <si>
    <t>1984-0424</t>
  </si>
  <si>
    <t>2115</t>
  </si>
  <si>
    <t>https://earthquake.usgs.gov/earthquakes/eventpage/nc17204</t>
  </si>
  <si>
    <t>1986_kalamata2</t>
  </si>
  <si>
    <t>Kalamata, Greece-02 | 1986_Kalamata_02_Greece</t>
  </si>
  <si>
    <t>usp0002y3u</t>
  </si>
  <si>
    <t>mb</t>
  </si>
  <si>
    <t>[[37.1, 22.19, 5]]</t>
  </si>
  <si>
    <t>1986-0915</t>
  </si>
  <si>
    <t>1141</t>
  </si>
  <si>
    <t>https://earthquake.usgs.gov/earthquakes/eventpage/usp0002y3u</t>
  </si>
  <si>
    <t>1986_npalmsprings</t>
  </si>
  <si>
    <t>N. Palm Springs</t>
  </si>
  <si>
    <t>ci700917</t>
  </si>
  <si>
    <t>1986-0708</t>
  </si>
  <si>
    <t>0920</t>
  </si>
  <si>
    <t>https://earthquake.usgs.gov/earthquakes/eventpage/ci700917</t>
  </si>
  <si>
    <t>1986_sansalvador</t>
  </si>
  <si>
    <t>San Salvador | 1986_SanSalvador_USA</t>
  </si>
  <si>
    <t>usp0002yu9</t>
  </si>
  <si>
    <t>[[13.633, -89.2, 10.9]]</t>
  </si>
  <si>
    <t>1986-1010</t>
  </si>
  <si>
    <t>1749</t>
  </si>
  <si>
    <t>https://earthquake.usgs.gov/earthquakes/eventpage/usp0002yu9</t>
  </si>
  <si>
    <t>1986_smart140</t>
  </si>
  <si>
    <t>Taiwan SMART1(40)</t>
  </si>
  <si>
    <t>usp0002u79</t>
  </si>
  <si>
    <t>1986-0520</t>
  </si>
  <si>
    <t>0525</t>
  </si>
  <si>
    <t>https://earthquake.usgs.gov/earthquakes/eventpage/usp0002u79</t>
  </si>
  <si>
    <t>1987_superstitionhills2</t>
  </si>
  <si>
    <t>Superstition Hills-02 | 1987_SuperstitionHills_02_USA</t>
  </si>
  <si>
    <t>ci628016</t>
  </si>
  <si>
    <t>[[33.0222, -115.8314, 9]]</t>
  </si>
  <si>
    <t>1987-1124</t>
  </si>
  <si>
    <t>1316</t>
  </si>
  <si>
    <t>https://earthquake.usgs.gov/earthquakes/eventpage/ci628016</t>
  </si>
  <si>
    <t>1987_whittiernarrows1</t>
  </si>
  <si>
    <t>Whittier Narrows-01</t>
  </si>
  <si>
    <t>ci731691</t>
  </si>
  <si>
    <t>1987-1001</t>
  </si>
  <si>
    <t>1442</t>
  </si>
  <si>
    <t>https://earthquake.usgs.gov/earthquakes/eventpage/ci731691</t>
  </si>
  <si>
    <t>1989_lomaprieta</t>
  </si>
  <si>
    <t>Loma Prieta | 1989_LomaPrieta_USA</t>
  </si>
  <si>
    <t>nc216859</t>
  </si>
  <si>
    <t>[[37.0407, -121.8829, 17.48]]</t>
  </si>
  <si>
    <t>1989-1018</t>
  </si>
  <si>
    <t>0005</t>
  </si>
  <si>
    <t>https://earthquake.usgs.gov/earthquakes/eventpage/nc216859</t>
  </si>
  <si>
    <t>1992_capemendocino</t>
  </si>
  <si>
    <t>Cape Mendocino | 1992_CapeMendocino_USA</t>
  </si>
  <si>
    <t>nc269151</t>
  </si>
  <si>
    <t>[[40.327, -124.233, 9.5]]</t>
  </si>
  <si>
    <t>1992-0425</t>
  </si>
  <si>
    <t>1806</t>
  </si>
  <si>
    <t>https://earthquake.usgs.gov/earthquakes/eventpage/nc269151</t>
  </si>
  <si>
    <t>1992_joshuatreeca</t>
  </si>
  <si>
    <t>Joshua Tree, CA</t>
  </si>
  <si>
    <t>ci3019681</t>
  </si>
  <si>
    <t>1992-0423</t>
  </si>
  <si>
    <t>0450</t>
  </si>
  <si>
    <t>https://earthquake.usgs.gov/earthquakes/eventpage/ci3019681</t>
  </si>
  <si>
    <t>1992_landers</t>
  </si>
  <si>
    <t>Landers | LANDERS | 1992_Landers_USA</t>
  </si>
  <si>
    <t>ci3031111</t>
  </si>
  <si>
    <t>[[34.2, -116.436, 7]]</t>
  </si>
  <si>
    <t>1992-0628</t>
  </si>
  <si>
    <t>1158</t>
  </si>
  <si>
    <t>https://earthquake.usgs.gov/earthquakes/eventpage/ci3031111</t>
  </si>
  <si>
    <t>1994_northridge1</t>
  </si>
  <si>
    <t>Northridge-01 | 1994_Northridge_01_USA</t>
  </si>
  <si>
    <t>ci3144585</t>
  </si>
  <si>
    <t>[[34.2057, -118.5539, 17.5]]</t>
  </si>
  <si>
    <t>1994-0117</t>
  </si>
  <si>
    <t>1231</t>
  </si>
  <si>
    <t>https://earthquake.usgs.gov/earthquakes/eventpage/ci3144585</t>
  </si>
  <si>
    <t>1995_kobe</t>
  </si>
  <si>
    <t>Kobe, Japan | 1995_Kobe_Japan</t>
  </si>
  <si>
    <t>usp0006rew</t>
  </si>
  <si>
    <t>[[34.596, 135.011, 17.9]]</t>
  </si>
  <si>
    <t>1995-0116</t>
  </si>
  <si>
    <t>2046</t>
  </si>
  <si>
    <t>https://earthquake.usgs.gov/earthquakes/eventpage/usp0006rew</t>
  </si>
  <si>
    <t>1997_northwest3</t>
  </si>
  <si>
    <t>Northwest China-03</t>
  </si>
  <si>
    <t>usp00080b7</t>
  </si>
  <si>
    <t>mwc</t>
  </si>
  <si>
    <t>1997-0411</t>
  </si>
  <si>
    <t>0534</t>
  </si>
  <si>
    <t>https://earthquake.usgs.gov/earthquakes/eventpage/usp00080b7</t>
  </si>
  <si>
    <t>1998_rayli</t>
  </si>
  <si>
    <t>1998_Rayli_Taiwan</t>
  </si>
  <si>
    <t>Name/sequence and regional catalog match</t>
  </si>
  <si>
    <t>Workbook name/year, magnitude and hypocenter where present; event sequence reviewed. Original waveform header not available.</t>
  </si>
  <si>
    <t>usp0008rnv</t>
  </si>
  <si>
    <t>[[23.5023, 120.6612, 6.18]]</t>
  </si>
  <si>
    <t>https://earthquake.usgs.gov/earthquakes/eventpage/usp0008rnv</t>
  </si>
  <si>
    <t>1999_chiayi1</t>
  </si>
  <si>
    <t>1999_Chiayi_01_Taiwan</t>
  </si>
  <si>
    <t>usp0009gd0</t>
  </si>
  <si>
    <t>mwb</t>
  </si>
  <si>
    <t>[[23.5292, 120.4506, 16]]</t>
  </si>
  <si>
    <t>https://earthquake.usgs.gov/earthquakes/eventpage/usp0009gd0</t>
  </si>
  <si>
    <t>1999_chiayi2</t>
  </si>
  <si>
    <t>1999_Chiayi_02_Taiwan</t>
  </si>
  <si>
    <t>usp0009gd5</t>
  </si>
  <si>
    <t>[[23.5331, 120.4308, 16.74]]</t>
  </si>
  <si>
    <t>https://earthquake.usgs.gov/earthquakes/eventpage/usp0009gd5</t>
  </si>
  <si>
    <t>Chi-Chi, Taiwan | CHICHI | 1999_ChiChi_Taiwan</t>
  </si>
  <si>
    <t>[[23.85, 120.82, 8]]</t>
  </si>
  <si>
    <t>1999-0920</t>
  </si>
  <si>
    <t>Same USGS event ID as matched event; model geometry may use a different hypocenter.</t>
  </si>
  <si>
    <t>https://earthquake.usgs.gov/earthquakes/eventpage/usp0009eq0</t>
  </si>
  <si>
    <t>1999_chichi3</t>
  </si>
  <si>
    <t>Chi-Chi, Taiwan-03 | 1999_ChiChi_03_Taiwan</t>
  </si>
  <si>
    <t>usp0009eq5</t>
  </si>
  <si>
    <t>[[23.81, 120.85, 7.8]]</t>
  </si>
  <si>
    <t>1803</t>
  </si>
  <si>
    <t>https://earthquake.usgs.gov/earthquakes/eventpage/usp0009eq5</t>
  </si>
  <si>
    <t>1999_chichi4</t>
  </si>
  <si>
    <t>Chi-Chi, Taiwan-04 | 1999_Chiayi_Taiwan</t>
  </si>
  <si>
    <t>Catalog cross-check; alias inferred from hypocenter</t>
  </si>
  <si>
    <t>NGA event name/year and EQID; USGS date, magnitude and location; sequence distinguished by origin time. Cross-sheet aliases inferred from identical original hypocenters and sequence table (Wang et al. 2004); workbook names differ.</t>
  </si>
  <si>
    <t>usp0009erf</t>
  </si>
  <si>
    <t>[[23.6, 120.82, 18]]</t>
  </si>
  <si>
    <t>2146</t>
  </si>
  <si>
    <t>https://earthquake.usgs.gov/earthquakes/eventpage/usp0009erf</t>
  </si>
  <si>
    <t>1999_chichi5</t>
  </si>
  <si>
    <t>1999_ChiChi_05_Taiwan</t>
  </si>
  <si>
    <t>usp0009euk</t>
  </si>
  <si>
    <t>[[23.865, 121.0395, 19.08]]</t>
  </si>
  <si>
    <t>1999-0922</t>
  </si>
  <si>
    <t>0014</t>
  </si>
  <si>
    <t>https://earthquake.usgs.gov/earthquakes/eventpage/usp0009euk</t>
  </si>
  <si>
    <t>1999_chichi6</t>
  </si>
  <si>
    <t>Chi-Chi, Taiwan-06 | 1999_ChiChi_07_Taiwan</t>
  </si>
  <si>
    <t>usp0009f1e</t>
  </si>
  <si>
    <t>[[23.87, 121.01, 16]]</t>
  </si>
  <si>
    <t>1999-0925</t>
  </si>
  <si>
    <t>2352</t>
  </si>
  <si>
    <t>https://earthquake.usgs.gov/earthquakes/eventpage/usp0009f1e</t>
  </si>
  <si>
    <t>1999_duzce</t>
  </si>
  <si>
    <t>Duzce, Turkey | DUZCE | 1999_Duzce_Turkey</t>
  </si>
  <si>
    <t>usp0009hev</t>
  </si>
  <si>
    <t>[[40.8345, 31.1346, 14]]</t>
  </si>
  <si>
    <t>1999-1112</t>
  </si>
  <si>
    <t>https://earthquake.usgs.gov/earthquakes/eventpage/usp0009hev</t>
  </si>
  <si>
    <t>1999_hualien</t>
  </si>
  <si>
    <t>1999_Hualien_Taiwan</t>
  </si>
  <si>
    <t>usp0009gyc</t>
  </si>
  <si>
    <t>[[23.3688, 121.693, 33.37]]</t>
  </si>
  <si>
    <t>https://earthquake.usgs.gov/earthquakes/eventpage/usp0009gyc</t>
  </si>
  <si>
    <t>Kocaeli, Turkey | KOCAELI | 1999_Kocaeli_Turkey</t>
  </si>
  <si>
    <t>[[40.748, 29.99, 16]]</t>
  </si>
  <si>
    <t>1999-0817</t>
  </si>
  <si>
    <t>https://earthquake.usgs.gov/earthquakes/eventpage/usp0009d4z</t>
  </si>
  <si>
    <t>2000_tottori</t>
  </si>
  <si>
    <t>Tottori, Japan | 2000_Tottori_Japan</t>
  </si>
  <si>
    <t>usp000a1b0</t>
  </si>
  <si>
    <t>[[35.275, 133.35, 12.5]]</t>
  </si>
  <si>
    <t>2000-1006</t>
  </si>
  <si>
    <t>0430</t>
  </si>
  <si>
    <t>https://earthquake.usgs.gov/earthquakes/eventpage/usp000a1b0</t>
  </si>
  <si>
    <t>2000_yountville</t>
  </si>
  <si>
    <t>Yountville</t>
  </si>
  <si>
    <t>nc21123384</t>
  </si>
  <si>
    <t>2000-0903</t>
  </si>
  <si>
    <t>https://earthquake.usgs.gov/earthquakes/eventpage/nc21123384</t>
  </si>
  <si>
    <t>2001_taipo</t>
  </si>
  <si>
    <t>2001_TaiPo_Taiwan</t>
  </si>
  <si>
    <t>Workbook name/year, magnitude and hypocenter where present; event sequence reviewed. Original waveform header not available. CWA 2001-09-18 06:44:44 local, 23.28N 120.65E confirms Taipo.</t>
  </si>
  <si>
    <t>usp000apcg</t>
  </si>
  <si>
    <t>[[23.2803, 120.6587, 5.83]]</t>
  </si>
  <si>
    <t>https://earthquake.usgs.gov/earthquakes/eventpage/usp000apcg | https://scweb.cwa.gov.tw/zh-tw/earthquake/imgs/2001091806444450101</t>
  </si>
  <si>
    <t>Denali, Alaska | DENALI | 2002_Denali_Alaska</t>
  </si>
  <si>
    <t>[[63.542, -147.4444, 8.9]]</t>
  </si>
  <si>
    <t>2002-1103</t>
  </si>
  <si>
    <t>https://earthquake.usgs.gov/earthquakes/eventpage/ak002e435qpj</t>
  </si>
  <si>
    <t>2002_hualienoffshore</t>
  </si>
  <si>
    <t>2002_Hualien_Offshore_Taiwan</t>
  </si>
  <si>
    <t>usp000b1e2</t>
  </si>
  <si>
    <t>[[24.1602, 122.172, 33]]</t>
  </si>
  <si>
    <t>https://earthquake.usgs.gov/earthquakes/eventpage/usp000b1e2</t>
  </si>
  <si>
    <t>2003_bam</t>
  </si>
  <si>
    <t>Bam, Iran | 2003_Bam_Iran</t>
  </si>
  <si>
    <t>usp000cg2d</t>
  </si>
  <si>
    <t>[[28.984, 58.359, 6]]</t>
  </si>
  <si>
    <t>2003-1226</t>
  </si>
  <si>
    <t>0156</t>
  </si>
  <si>
    <t>https://earthquake.usgs.gov/earthquakes/eventpage/usp000cg2d</t>
  </si>
  <si>
    <t>2004_niigata</t>
  </si>
  <si>
    <t>Niigata, Japan | 2004_Niigata_Japan</t>
  </si>
  <si>
    <t>usp000d6vk</t>
  </si>
  <si>
    <t>[[37.307, 138.839, 10.6]]</t>
  </si>
  <si>
    <t>2004-1023</t>
  </si>
  <si>
    <t>0856</t>
  </si>
  <si>
    <t>https://earthquake.usgs.gov/earthquakes/eventpage/usp000d6vk</t>
  </si>
  <si>
    <t>2004_parkfield02ca</t>
  </si>
  <si>
    <t>Parkfield-02, CA | 2004_Parkfield_02_CA</t>
  </si>
  <si>
    <t>nc30228270</t>
  </si>
  <si>
    <t>[[35.817, -120.365, 8.1]]</t>
  </si>
  <si>
    <t>2004-0928</t>
  </si>
  <si>
    <t>1715</t>
  </si>
  <si>
    <t>https://earthquake.usgs.gov/earthquakes/eventpage/nc30228270</t>
  </si>
  <si>
    <t>2004_taitung</t>
  </si>
  <si>
    <t>2004_Taitung_Taiwan</t>
  </si>
  <si>
    <t>usp000cvj3</t>
  </si>
  <si>
    <t>[[22.7262, 121.3695, 24.03]]</t>
  </si>
  <si>
    <t>https://earthquake.usgs.gov/earthquakes/eventpage/usp000cvj3</t>
  </si>
  <si>
    <t>2005_ilansuao</t>
  </si>
  <si>
    <t>2005_Ilan_Suao_Taiwan</t>
  </si>
  <si>
    <t>User-confirmed doublet member</t>
  </si>
  <si>
    <t>User explicitly confirmed 19:08 UTC event; USGS usp000dhkp.</t>
  </si>
  <si>
    <t>usp000dhkp</t>
  </si>
  <si>
    <t>[[24.6573, 121.8135, 10.17]]</t>
  </si>
  <si>
    <t>https://earthquake.usgs.gov/earthquakes/eventpage/usp000dhkp</t>
  </si>
  <si>
    <t>2006_hengchunoffshore</t>
  </si>
  <si>
    <t>2006_Hengchun_Offshore_Taiwan</t>
  </si>
  <si>
    <t>usp000f115</t>
  </si>
  <si>
    <t>[[22.0297, 120.4051, 33.8]]</t>
  </si>
  <si>
    <t>https://earthquake.usgs.gov/earthquakes/eventpage/usp000f115</t>
  </si>
  <si>
    <t>2006_hengchunoffshore1</t>
  </si>
  <si>
    <t>2006_Hengchun_Offshore_01_Taiwan</t>
  </si>
  <si>
    <t>usp000f114</t>
  </si>
  <si>
    <t>[[21.887, 120.5684, 44.1]]</t>
  </si>
  <si>
    <t>https://earthquake.usgs.gov/earthquakes/eventpage/usp000f114</t>
  </si>
  <si>
    <t>2006_taitung</t>
  </si>
  <si>
    <t>2006_Taitung_Taiwan</t>
  </si>
  <si>
    <t>usp000ede6</t>
  </si>
  <si>
    <t>[[22.881, 121.0648, 9.71]]</t>
  </si>
  <si>
    <t>https://earthquake.usgs.gov/earthquakes/eventpage/usp000ede6</t>
  </si>
  <si>
    <t>2007_chuetsuoki</t>
  </si>
  <si>
    <t>Chuetsu-oki | 2007_Chuetsu-oki_Japan</t>
  </si>
  <si>
    <t>usp000fg9t</t>
  </si>
  <si>
    <t>[[37.5382, 138.6174, 9]]</t>
  </si>
  <si>
    <t>2007-0716</t>
  </si>
  <si>
    <t>1013</t>
  </si>
  <si>
    <t>https://earthquake.usgs.gov/earthquakes/eventpage/usp000fg9t</t>
  </si>
  <si>
    <t>2007_taitung</t>
  </si>
  <si>
    <t>2007_Taitung_Taiwan</t>
  </si>
  <si>
    <t>Workbook name/year, magnitude and hypocenter where present; event sequence reviewed. Original waveform header not available. CWA 2007-08-09 08:55:47 local confirms Taitung.</t>
  </si>
  <si>
    <t>usp000fj7j</t>
  </si>
  <si>
    <t>[[22.6458, 121.0633, 5.62]]</t>
  </si>
  <si>
    <t>https://earthquake.usgs.gov/earthquakes/eventpage/usp000fj7j | https://scweb.cwa.gov.tw/zh-tw/earthquake/imgs/2007080908554757050</t>
  </si>
  <si>
    <t>2008_iwate</t>
  </si>
  <si>
    <t>Iwate</t>
  </si>
  <si>
    <t>usp000g9h6</t>
  </si>
  <si>
    <t>2008-0613</t>
  </si>
  <si>
    <t>2343</t>
  </si>
  <si>
    <t>https://earthquake.usgs.gov/earthquakes/eventpage/usp000g9h6</t>
  </si>
  <si>
    <t>Wenchuan, China | WENCHUAN</t>
  </si>
  <si>
    <t>2008-0512</t>
  </si>
  <si>
    <t>https://earthquake.usgs.gov/earthquakes/eventpage/usp000g650</t>
  </si>
  <si>
    <t>2009_hualienoffshore</t>
  </si>
  <si>
    <t>2009_Hualien_Offshore_Taiwan</t>
  </si>
  <si>
    <t>usp000h56g</t>
  </si>
  <si>
    <t>[[23.7988, 121.657, 43.05]]</t>
  </si>
  <si>
    <t>https://earthquake.usgs.gov/earthquakes/eventpage/usp000h56g</t>
  </si>
  <si>
    <t>2009_laquila</t>
  </si>
  <si>
    <t>L'Aquila, Italy | L-AQUILA | 2009_LAquila_Italy</t>
  </si>
  <si>
    <t>usp000gvtu</t>
  </si>
  <si>
    <t>[[42.3476, 13.38, 9.27]]</t>
  </si>
  <si>
    <t>2009-0406</t>
  </si>
  <si>
    <t>0133</t>
  </si>
  <si>
    <t>https://earthquake.usgs.gov/earthquakes/eventpage/usp000gvtu</t>
  </si>
  <si>
    <t>2009_nantou</t>
  </si>
  <si>
    <t>2009_Nantou_Taiwan</t>
  </si>
  <si>
    <t>usp000h3s7</t>
  </si>
  <si>
    <t>[[23.7878, 120.7282, 23.55]]</t>
  </si>
  <si>
    <t>https://earthquake.usgs.gov/earthquakes/eventpage/usp000h3s7</t>
  </si>
  <si>
    <t>2010_darfield</t>
  </si>
  <si>
    <t>Darfield, New Zealand | DARFIELD | Darfield | 2010_Darfield_NewZealand</t>
  </si>
  <si>
    <t>usp000hk46</t>
  </si>
  <si>
    <t>[[-43.615, 172.049, 10.9]]</t>
  </si>
  <si>
    <t>2010-0903</t>
  </si>
  <si>
    <t>1635</t>
  </si>
  <si>
    <t>2010_elmayorcucapah</t>
  </si>
  <si>
    <t>El Mayor-Cucapah | 2010_ElMayor-Cucapah_Mexico</t>
  </si>
  <si>
    <t>ci14607652</t>
  </si>
  <si>
    <t>[[32.3, -115.267, 5.45]]</t>
  </si>
  <si>
    <t>2010-0404</t>
  </si>
  <si>
    <t>2240</t>
  </si>
  <si>
    <t>https://earthquake.usgs.gov/earthquakes/eventpage/ci14607652</t>
  </si>
  <si>
    <t>2010_jiaxian</t>
  </si>
  <si>
    <t>2010_Jiaxian_Taiwan</t>
  </si>
  <si>
    <t>usp000h8nd</t>
  </si>
  <si>
    <t>[[22.979, 120.7316, 22.6]]</t>
  </si>
  <si>
    <t>https://earthquake.usgs.gov/earthquakes/eventpage/usp000h8nd</t>
  </si>
  <si>
    <t>2011_christchurch</t>
  </si>
  <si>
    <t>Christchurch, New Zealand | 2011_Christchurch_NewZealand</t>
  </si>
  <si>
    <t>usp000huvq</t>
  </si>
  <si>
    <t>mww</t>
  </si>
  <si>
    <t>[[-43.571, 172.703, 6]]</t>
  </si>
  <si>
    <t>2011-0221</t>
  </si>
  <si>
    <t>2351</t>
  </si>
  <si>
    <t>https://earthquake.usgs.gov/earthquakes/eventpage/usp000huvq</t>
  </si>
  <si>
    <t>2013_nantou1</t>
  </si>
  <si>
    <t>2013_Nantou_01_Taiwan</t>
  </si>
  <si>
    <t>usb000ftgc</t>
  </si>
  <si>
    <t>[[23.9004, 121.0537, 19.4]]</t>
  </si>
  <si>
    <t>https://earthquake.usgs.gov/earthquakes/eventpage/usb000ftgc</t>
  </si>
  <si>
    <t>2013_nantou2</t>
  </si>
  <si>
    <t>2013_Nantou_02_Taiwan</t>
  </si>
  <si>
    <t>usb000hbrt</t>
  </si>
  <si>
    <t>[[23.8583, 120.9762, 14.5]]</t>
  </si>
  <si>
    <t>https://earthquake.usgs.gov/earthquakes/eventpage/usb000hbrt</t>
  </si>
  <si>
    <t>2013_ruisui</t>
  </si>
  <si>
    <t>2013_Ruisui_Taiwan</t>
  </si>
  <si>
    <t>usc000ksdy</t>
  </si>
  <si>
    <t>[[23.5679, 121.3463, 14.98]]</t>
  </si>
  <si>
    <t>https://earthquake.usgs.gov/earthquakes/eventpage/usc000ksdy</t>
  </si>
  <si>
    <t>2015_Gorkha_Nepal</t>
  </si>
  <si>
    <t>[[28.231, 84.731, 8.2]]</t>
  </si>
  <si>
    <t>https://earthquake.usgs.gov/earthquakes/eventpage/us20002926</t>
  </si>
  <si>
    <t>2016_Kaikoura_NewZealand</t>
  </si>
  <si>
    <t>[[-42.737, 173.054, 15.1]]</t>
  </si>
  <si>
    <t>https://earthquake.usgs.gov/earthquakes/eventpage/us1000778i</t>
  </si>
  <si>
    <t>Kumamoto | 2016_Kumamoto_Japan</t>
  </si>
  <si>
    <t>[[32.791, 130.754, 15.1]]</t>
  </si>
  <si>
    <t>2016_kumamotoforeshock</t>
  </si>
  <si>
    <t>KumaFore</t>
  </si>
  <si>
    <t>us20005hzn</t>
  </si>
  <si>
    <t>2016_meinong</t>
  </si>
  <si>
    <t>Meinong | 2016_Meinong_Taiwan</t>
  </si>
  <si>
    <t>us20004y6h</t>
  </si>
  <si>
    <t>[[22.922, 120.544, 14.6]]</t>
  </si>
  <si>
    <t>2018_hualien</t>
  </si>
  <si>
    <t>Hualien | 2018_Hualien_Taiwan</t>
  </si>
  <si>
    <t>us1000chhc</t>
  </si>
  <si>
    <t>[[24.1162, 121.7225, 4.89]]</t>
  </si>
  <si>
    <t>2018_iburi</t>
  </si>
  <si>
    <t>Iburi</t>
  </si>
  <si>
    <t>us2000h8ty</t>
  </si>
  <si>
    <t>https://earthquake.usgs.gov/earthquakes/eventpage/us2000h8ty</t>
  </si>
  <si>
    <t>2022_duzce</t>
  </si>
  <si>
    <t>Duzce</t>
  </si>
  <si>
    <t>us7000irp8</t>
  </si>
  <si>
    <t>https://earthquake.usgs.gov/earthquakes/eventpage/us7000irp8</t>
  </si>
  <si>
    <t>turkey-2 | Elbistan</t>
  </si>
  <si>
    <t>https://earthquake.usgs.gov/earthquakes/eventpage/us6000jlqa</t>
  </si>
  <si>
    <t>turkey-1 | Pazarcik</t>
  </si>
  <si>
    <t>https://earthquake.usgs.gov/earthquakes/eventpage/us6000jllz</t>
  </si>
  <si>
    <t>NGA Record Sequence Number</t>
  </si>
  <si>
    <t>Earthquake Name</t>
  </si>
  <si>
    <t>Year</t>
  </si>
  <si>
    <t>Station Name</t>
  </si>
  <si>
    <t>Magnitude</t>
  </si>
  <si>
    <t>Closest Dist. (km)</t>
  </si>
  <si>
    <t>Hypocentral Dist. (km)</t>
  </si>
  <si>
    <t>Tp (s)</t>
  </si>
  <si>
    <t>PGV (cm/s)</t>
  </si>
  <si>
    <t>Orientation (w.r.t. North)</t>
  </si>
  <si>
    <t>Orientation (w.r.t. Fault Parallel)</t>
  </si>
  <si>
    <t>Fault Normal Pulse</t>
  </si>
  <si>
    <t>Directivity Effect</t>
  </si>
  <si>
    <t>Mechanism</t>
  </si>
  <si>
    <t>origin_date_utc</t>
  </si>
  <si>
    <t>origin_time_utc</t>
  </si>
  <si>
    <t>catalog_magnitude</t>
  </si>
  <si>
    <t>magnitude_type</t>
  </si>
  <si>
    <t>hypo_latitude_deg</t>
  </si>
  <si>
    <t>hypo_longitude_deg</t>
  </si>
  <si>
    <t>hypo_depth_km</t>
  </si>
  <si>
    <t>mechanism</t>
  </si>
  <si>
    <t>plane_definition</t>
  </si>
  <si>
    <t>strike1_deg</t>
  </si>
  <si>
    <t>dip1_deg</t>
  </si>
  <si>
    <t>rake1_deg</t>
  </si>
  <si>
    <t>strike2_deg</t>
  </si>
  <si>
    <t>dip2_deg</t>
  </si>
  <si>
    <t>rake2_deg</t>
  </si>
  <si>
    <t>source_status</t>
  </si>
  <si>
    <t>ff_status</t>
  </si>
  <si>
    <t>ff_segment_count</t>
  </si>
  <si>
    <t>ff_model_Mw</t>
  </si>
  <si>
    <t>ff_max_slip_m</t>
  </si>
  <si>
    <t>ff_model_area_km2</t>
  </si>
  <si>
    <t>ff_url</t>
  </si>
  <si>
    <t>source_url</t>
  </si>
  <si>
    <t>Ferndale City Hall</t>
  </si>
  <si>
    <t>Strike slip</t>
  </si>
  <si>
    <t>No matching USGS product in queried archive</t>
  </si>
  <si>
    <t>San Fernando</t>
  </si>
  <si>
    <t>Pacoima Dam (upper left abut)</t>
  </si>
  <si>
    <t>Reverse-oblique</t>
  </si>
  <si>
    <t>Tabas, Iran</t>
  </si>
  <si>
    <t>Tabas</t>
  </si>
  <si>
    <t>Montenegro, Yugo.</t>
  </si>
  <si>
    <t>Bar-Skupstina Opstine</t>
  </si>
  <si>
    <t>Ulcinj - Hotel Olimpic</t>
  </si>
  <si>
    <t>Coyote Lake</t>
  </si>
  <si>
    <t>Gilroy Array #2</t>
  </si>
  <si>
    <t>Gilroy Array #3</t>
  </si>
  <si>
    <t>Gilroy Array #4</t>
  </si>
  <si>
    <t>Gilroy Array #6</t>
  </si>
  <si>
    <t>Imperial Valley-06</t>
  </si>
  <si>
    <t>Agrarias</t>
  </si>
  <si>
    <t>Brawley Airport</t>
  </si>
  <si>
    <t>EC County Center FF</t>
  </si>
  <si>
    <t>El Centro - Meloland Geot. Array</t>
  </si>
  <si>
    <t>El Centro Array #10</t>
  </si>
  <si>
    <t>El Centro Array #3</t>
  </si>
  <si>
    <t>El Centro Array #4</t>
  </si>
  <si>
    <t>El Centro Array #5</t>
  </si>
  <si>
    <t>El Centro Array #6</t>
  </si>
  <si>
    <t>El Centro Array #7</t>
  </si>
  <si>
    <t>El Centro Differential Array</t>
  </si>
  <si>
    <t>Holtville Post Office</t>
  </si>
  <si>
    <t>Irpinia, Italy-01</t>
  </si>
  <si>
    <t>Bagnoli Irpinio</t>
  </si>
  <si>
    <t>Normal</t>
  </si>
  <si>
    <t>Sturno (STN)</t>
  </si>
  <si>
    <t>Long Valley Dam (Upr L Abut)</t>
  </si>
  <si>
    <t>Westmorland</t>
  </si>
  <si>
    <t>Parachute Test Site</t>
  </si>
  <si>
    <t>Westmorland Fire Sta</t>
  </si>
  <si>
    <t>Anticline Ridge Free-Field</t>
  </si>
  <si>
    <t>Anticline Ridge Pad</t>
  </si>
  <si>
    <t>Transmitter Hill</t>
  </si>
  <si>
    <t>Coalinga-14th &amp; Elm (Old CHP)</t>
  </si>
  <si>
    <t>Morgan Hill</t>
  </si>
  <si>
    <t>Coyote Lake Dam (SW Abut)</t>
  </si>
  <si>
    <t>Kalamata, Greece-02</t>
  </si>
  <si>
    <t>Kalamata (bsmt) (2nd trigger)</t>
  </si>
  <si>
    <t>Morongo Valley Fire Station</t>
  </si>
  <si>
    <t>SMART1 C00</t>
  </si>
  <si>
    <t>SMART1 E01</t>
  </si>
  <si>
    <t>SMART1 I01</t>
  </si>
  <si>
    <t>SMART1 I07</t>
  </si>
  <si>
    <t>SMART1 M01</t>
  </si>
  <si>
    <t>SMART1 M07</t>
  </si>
  <si>
    <t>SMART1 O07</t>
  </si>
  <si>
    <t>SMART1 I02</t>
  </si>
  <si>
    <t>SMART1 I03</t>
  </si>
  <si>
    <t>SMART1 I04</t>
  </si>
  <si>
    <t>SMART1 I05</t>
  </si>
  <si>
    <t>SMART1 I06</t>
  </si>
  <si>
    <t>SMART1 I08</t>
  </si>
  <si>
    <t>SMART1 I09</t>
  </si>
  <si>
    <t>SMART1 I11</t>
  </si>
  <si>
    <t>SMART1 I12</t>
  </si>
  <si>
    <t>SMART1 M02</t>
  </si>
  <si>
    <t>SMART1 M03</t>
  </si>
  <si>
    <t>SMART1 M04</t>
  </si>
  <si>
    <t>SMART1 M05</t>
  </si>
  <si>
    <t>SMART1 M06</t>
  </si>
  <si>
    <t>SMART1 M09</t>
  </si>
  <si>
    <t>SMART1 M10</t>
  </si>
  <si>
    <t>SMART1 M12</t>
  </si>
  <si>
    <t>SMART1 O04</t>
  </si>
  <si>
    <t>SMART1 O05</t>
  </si>
  <si>
    <t>SMART1 O06</t>
  </si>
  <si>
    <t>SMART1 O08</t>
  </si>
  <si>
    <t>SMART1 O11</t>
  </si>
  <si>
    <t>San Salvador</t>
  </si>
  <si>
    <t>Geotech Investig Center</t>
  </si>
  <si>
    <t>National Geografical Inst</t>
  </si>
  <si>
    <t>Bell Gardens - Jaboneria</t>
  </si>
  <si>
    <t>Compton - Castlegate St</t>
  </si>
  <si>
    <t>Downey - Birchdale</t>
  </si>
  <si>
    <t>Downey - Co Maint Bldg</t>
  </si>
  <si>
    <t>LB - Orange Ave</t>
  </si>
  <si>
    <t>Norwalk - Imp Hwy, S Grnd</t>
  </si>
  <si>
    <t>Santa Fe Springs - E.Joslin</t>
  </si>
  <si>
    <t>Superstition Hills-02</t>
  </si>
  <si>
    <t>Kornbloom Road (temp)</t>
  </si>
  <si>
    <t>Poe Road (temp)</t>
  </si>
  <si>
    <t>Loma Prieta</t>
  </si>
  <si>
    <t>Alameda Naval Air Stn Hanger</t>
  </si>
  <si>
    <t>Emeryville - 6363 Christie</t>
  </si>
  <si>
    <t>Gilroy - Historic Bldg.</t>
  </si>
  <si>
    <t>Oakland - Outer Harbor Wharf</t>
  </si>
  <si>
    <t>Oakland - Title &amp; Trust</t>
  </si>
  <si>
    <t>SF - Presidio</t>
  </si>
  <si>
    <t>Saratoga - Aloha Ave</t>
  </si>
  <si>
    <t>Saratoga - W Valley Coll.</t>
  </si>
  <si>
    <t>Treasure Island</t>
  </si>
  <si>
    <t>Los Gatos - Lexington Dam</t>
  </si>
  <si>
    <t>Cape Mendocino</t>
  </si>
  <si>
    <t>Petrolia</t>
  </si>
  <si>
    <t>Bunker Hill FAA</t>
  </si>
  <si>
    <t>Centerville Beach, Naval Fac</t>
  </si>
  <si>
    <t>Indio - Jackson Road</t>
  </si>
  <si>
    <t>Landers</t>
  </si>
  <si>
    <t>Barstow</t>
  </si>
  <si>
    <t>Lucerne</t>
  </si>
  <si>
    <t>Yermo Fire Station</t>
  </si>
  <si>
    <t>Northridge-01</t>
  </si>
  <si>
    <t>Jensen Filter Plant</t>
  </si>
  <si>
    <t>Jensen Filter Plant Generator</t>
  </si>
  <si>
    <t>LA - Saturn St</t>
  </si>
  <si>
    <t>LA - Sepulveda VA Hospital</t>
  </si>
  <si>
    <t>LA Dam</t>
  </si>
  <si>
    <t>Newhall - Fire Sta</t>
  </si>
  <si>
    <t>Newhall - W Pico Canyon Rd.</t>
  </si>
  <si>
    <t>Pacoima Dam (downstr)</t>
  </si>
  <si>
    <t>Pacoima Dam (upper left)</t>
  </si>
  <si>
    <t>Pacoima Kagel Canyon</t>
  </si>
  <si>
    <t>Pardee - SCE</t>
  </si>
  <si>
    <t>Rinaldi Receiving Sta</t>
  </si>
  <si>
    <t>Sylmar - Converter Sta</t>
  </si>
  <si>
    <t>Sylmar - Converter Sta East</t>
  </si>
  <si>
    <t>Sylmar - Olive View Med FF</t>
  </si>
  <si>
    <t>Kobe, Japan</t>
  </si>
  <si>
    <t>KJMA</t>
  </si>
  <si>
    <t>Port Island (0 m)</t>
  </si>
  <si>
    <t>Takarazuka</t>
  </si>
  <si>
    <t>Takatori</t>
  </si>
  <si>
    <t>Port Island (83 m)</t>
  </si>
  <si>
    <t>Jiashi</t>
  </si>
  <si>
    <t>Chi-Chi, Taiwan</t>
  </si>
  <si>
    <t>CHY006</t>
  </si>
  <si>
    <t>USGS model matched</t>
  </si>
  <si>
    <t>https://earthquake.usgs.gov/earthquakes/eventpage/usp0009eq0/finite-fault</t>
  </si>
  <si>
    <t>CHY024</t>
  </si>
  <si>
    <t>CHY101</t>
  </si>
  <si>
    <t>NST</t>
  </si>
  <si>
    <t>NSY</t>
  </si>
  <si>
    <t>TCU</t>
  </si>
  <si>
    <t>TCU006</t>
  </si>
  <si>
    <t>TCU014</t>
  </si>
  <si>
    <t>TCU015</t>
  </si>
  <si>
    <t>TCU017</t>
  </si>
  <si>
    <t>TCU018</t>
  </si>
  <si>
    <t>TCU026</t>
  </si>
  <si>
    <t>TCU029</t>
  </si>
  <si>
    <t>TCU031</t>
  </si>
  <si>
    <t>TCU033</t>
  </si>
  <si>
    <t>TCU034</t>
  </si>
  <si>
    <t>TCU036</t>
  </si>
  <si>
    <t>TCU038</t>
  </si>
  <si>
    <t>TCU039</t>
  </si>
  <si>
    <t>TCU040</t>
  </si>
  <si>
    <t>TCU045</t>
  </si>
  <si>
    <t>TCU046</t>
  </si>
  <si>
    <t>TCU047</t>
  </si>
  <si>
    <t>TCU049</t>
  </si>
  <si>
    <t>TCU051</t>
  </si>
  <si>
    <t>TCU052</t>
  </si>
  <si>
    <t>TCU053</t>
  </si>
  <si>
    <t>TCU056</t>
  </si>
  <si>
    <t>TCU059</t>
  </si>
  <si>
    <t>TCU063</t>
  </si>
  <si>
    <t>TCU064</t>
  </si>
  <si>
    <t>TCU065</t>
  </si>
  <si>
    <t>TCU068</t>
  </si>
  <si>
    <t>TCU075</t>
  </si>
  <si>
    <t>TCU076</t>
  </si>
  <si>
    <t>TCU081</t>
  </si>
  <si>
    <t>TCU082</t>
  </si>
  <si>
    <t>TCU087</t>
  </si>
  <si>
    <t>TCU088</t>
  </si>
  <si>
    <t>TCU094</t>
  </si>
  <si>
    <t>TCU095</t>
  </si>
  <si>
    <t>TCU096</t>
  </si>
  <si>
    <t>TCU098</t>
  </si>
  <si>
    <t>TCU101</t>
  </si>
  <si>
    <t>TCU102</t>
  </si>
  <si>
    <t>TCU103</t>
  </si>
  <si>
    <t>TCU104</t>
  </si>
  <si>
    <t>TCU128</t>
  </si>
  <si>
    <t>TCU136</t>
  </si>
  <si>
    <t>WGK</t>
  </si>
  <si>
    <t>Chi-Chi, Taiwan-03</t>
  </si>
  <si>
    <t>CHY035</t>
  </si>
  <si>
    <t>CHY080</t>
  </si>
  <si>
    <t>TCU078</t>
  </si>
  <si>
    <t>Chi-Chi, Taiwan-06</t>
  </si>
  <si>
    <t>TCU080</t>
  </si>
  <si>
    <t>Chi-Chi, Taiwan-04</t>
  </si>
  <si>
    <t>CHY074</t>
  </si>
  <si>
    <t>Duzce, Turkey</t>
  </si>
  <si>
    <t>Bolu</t>
  </si>
  <si>
    <t>IRIGM 487</t>
  </si>
  <si>
    <t>Kocaeli, Turkey</t>
  </si>
  <si>
    <t>Arcelik</t>
  </si>
  <si>
    <t>https://earthquake.usgs.gov/earthquakes/eventpage/usp0009d4z/finite-fault</t>
  </si>
  <si>
    <t>Gebze</t>
  </si>
  <si>
    <t>Izmit</t>
  </si>
  <si>
    <t>Yarimca</t>
  </si>
  <si>
    <t>Tottori, Japan</t>
  </si>
  <si>
    <t>TTR008</t>
  </si>
  <si>
    <t>Napa Fire Station #3</t>
  </si>
  <si>
    <t>Denali, Alaska</t>
  </si>
  <si>
    <t>TAPS Pump Station #10</t>
  </si>
  <si>
    <t>https://earthquake.usgs.gov/earthquakes/eventpage/ak002e435qpj/finite-fault</t>
  </si>
  <si>
    <t>Bam, Iran</t>
  </si>
  <si>
    <t>Bam</t>
  </si>
  <si>
    <t>Niigata, Japan</t>
  </si>
  <si>
    <t>NIG021</t>
  </si>
  <si>
    <t>NIGH11</t>
  </si>
  <si>
    <t>Parkfield-02, CA</t>
  </si>
  <si>
    <t>PARKFIELD - EADES</t>
  </si>
  <si>
    <t>Slack Canyon</t>
  </si>
  <si>
    <t>Parkfield - Cholame 1E</t>
  </si>
  <si>
    <t>Parkfield - Cholame 2WA</t>
  </si>
  <si>
    <t>Parkfield - Cholame 3E</t>
  </si>
  <si>
    <t>Parkfield - Cholame 3W</t>
  </si>
  <si>
    <t>Parkfield - Cholame 4W</t>
  </si>
  <si>
    <t>Parkfield - Fault Zone 1</t>
  </si>
  <si>
    <t>Parkfield - Fault Zone 9</t>
  </si>
  <si>
    <t>Parkfield - Fault Zone 12</t>
  </si>
  <si>
    <t>Parkfield - Stone Corral 4E</t>
  </si>
  <si>
    <t>PARKFIELD - STONE CORRAL 1E</t>
  </si>
  <si>
    <t>Chuetsu-oki</t>
  </si>
  <si>
    <t>Joetsu Kakizakiku Kakizaki</t>
  </si>
  <si>
    <t>Yoshikawaku Joetsu City</t>
  </si>
  <si>
    <t>Kashiwazaki City Center</t>
  </si>
  <si>
    <t>Oguni Nagaoka</t>
  </si>
  <si>
    <t>Kariwa</t>
  </si>
  <si>
    <t>Yan Sakuramachi City watershed</t>
  </si>
  <si>
    <t>Joetsu Otemachi</t>
  </si>
  <si>
    <t>Iizuna Imokawa</t>
  </si>
  <si>
    <t>SERVICE HALL: 2.4 M DEPTH</t>
  </si>
  <si>
    <t>SERVICE HALL:50.8 M DEPTH</t>
  </si>
  <si>
    <t>IWTH26</t>
  </si>
  <si>
    <t>Machimukai Town</t>
  </si>
  <si>
    <t>Wenchuan, China</t>
  </si>
  <si>
    <t>Deyangbaima</t>
  </si>
  <si>
    <t>https://earthquake.usgs.gov/earthquakes/eventpage/usp000g650/finite-fault</t>
  </si>
  <si>
    <t>Mianzuqingping</t>
  </si>
  <si>
    <t>L'Aquila, Italy</t>
  </si>
  <si>
    <t>L'Aquila - V. Aterno - Centro Valle</t>
  </si>
  <si>
    <t>L'Aquila - V. Aterno -F. Aterno</t>
  </si>
  <si>
    <t>L'Aquila - Parking</t>
  </si>
  <si>
    <t>Darfield, New Zealand</t>
  </si>
  <si>
    <t>CBGS</t>
  </si>
  <si>
    <t>DSLC</t>
  </si>
  <si>
    <t>GDLC</t>
  </si>
  <si>
    <t>HORC</t>
  </si>
  <si>
    <t>LINC</t>
  </si>
  <si>
    <t>LPCC</t>
  </si>
  <si>
    <t>NNBS</t>
  </si>
  <si>
    <t>REHS</t>
  </si>
  <si>
    <t>RHSC</t>
  </si>
  <si>
    <t>ROLC</t>
  </si>
  <si>
    <t>SHLC</t>
  </si>
  <si>
    <t>SMTC</t>
  </si>
  <si>
    <t>TPLC</t>
  </si>
  <si>
    <t>El Mayor-Cucapah</t>
  </si>
  <si>
    <t>TAMAULIPAS</t>
  </si>
  <si>
    <t>El Centro Array #12</t>
  </si>
  <si>
    <t>Westside Elementary School</t>
  </si>
  <si>
    <t>Christchurch, New Zealand</t>
  </si>
  <si>
    <t>CCCC</t>
  </si>
  <si>
    <t>CHHC</t>
  </si>
  <si>
    <t>CMHS</t>
  </si>
  <si>
    <t>HPSC</t>
  </si>
  <si>
    <t>PRPC</t>
  </si>
  <si>
    <t>EQ_name</t>
  </si>
  <si>
    <t>Hypo lat</t>
  </si>
  <si>
    <t>hypo lon</t>
  </si>
  <si>
    <t>hypo depth</t>
  </si>
  <si>
    <t>Mw</t>
  </si>
  <si>
    <t>fault type</t>
  </si>
  <si>
    <t>sta id</t>
  </si>
  <si>
    <t>sta lon</t>
  </si>
  <si>
    <t>sta lat</t>
  </si>
  <si>
    <t>vs30</t>
  </si>
  <si>
    <t>rrup</t>
  </si>
  <si>
    <t>Ipulse_H</t>
  </si>
  <si>
    <t>Tp_H</t>
  </si>
  <si>
    <t>Ipulse_V</t>
  </si>
  <si>
    <t>Tp_V</t>
  </si>
  <si>
    <t>fling</t>
  </si>
  <si>
    <t>PGA_EW</t>
  </si>
  <si>
    <t>PGA_NS</t>
  </si>
  <si>
    <t>PGA_V</t>
  </si>
  <si>
    <t>PGV_EW</t>
  </si>
  <si>
    <t>PGV_NS</t>
  </si>
  <si>
    <t>PGV_V</t>
  </si>
  <si>
    <t>PGD_EW</t>
  </si>
  <si>
    <t>PGD_NS</t>
  </si>
  <si>
    <t>PGD_V</t>
  </si>
  <si>
    <t>RD_EW</t>
  </si>
  <si>
    <t>RD_NS</t>
  </si>
  <si>
    <t>RD_V</t>
  </si>
  <si>
    <t>1971_SanFernando_USA</t>
  </si>
  <si>
    <t>RV</t>
  </si>
  <si>
    <t>None</t>
  </si>
  <si>
    <t>1978_Tabas_Iran</t>
  </si>
  <si>
    <t>1979_CoyoteLake_USA</t>
  </si>
  <si>
    <t>SS</t>
  </si>
  <si>
    <t>Gilroy Array 2</t>
  </si>
  <si>
    <t>Gilroy Array 3</t>
  </si>
  <si>
    <t>Gilroy Array 4</t>
  </si>
  <si>
    <t>Gilroy Array 6</t>
  </si>
  <si>
    <t>1979_ImperialValley_06_USA</t>
  </si>
  <si>
    <t>El Centro Meloland Geot. Array</t>
  </si>
  <si>
    <t>El Centro Array 10</t>
  </si>
  <si>
    <t>El Centro Array 3</t>
  </si>
  <si>
    <t>El Centro Array 4</t>
  </si>
  <si>
    <t>El Centro Array 5</t>
  </si>
  <si>
    <t>El Centro Array 6</t>
  </si>
  <si>
    <t>El Centro Array 7</t>
  </si>
  <si>
    <t>1979_Montenegro_Yugoslavia</t>
  </si>
  <si>
    <t>1980_Irpinia_01_Italy</t>
  </si>
  <si>
    <t>NM</t>
  </si>
  <si>
    <t>1981_Westmorland_USA</t>
  </si>
  <si>
    <t>1984_MorganHill_USA</t>
  </si>
  <si>
    <t>Coyote Lake Dam - Southwest Abutment</t>
  </si>
  <si>
    <t>1986_Kalamata_02_Greece</t>
  </si>
  <si>
    <t>1986_SanSalvador_USA</t>
  </si>
  <si>
    <t>1987_SuperstitionHills_02_USA</t>
  </si>
  <si>
    <t>1989_LomaPrieta_USA</t>
  </si>
  <si>
    <t>RO</t>
  </si>
  <si>
    <t>1992_CapeMendocino_USA</t>
  </si>
  <si>
    <t>Centerville Beach_ Naval Fac</t>
  </si>
  <si>
    <t>1992_Landers_USA</t>
  </si>
  <si>
    <t>1994_Northridge_01_USA</t>
  </si>
  <si>
    <t>Jensen Filter Plant Administrative Building</t>
  </si>
  <si>
    <t>Jensen Filter Plant Generator Building</t>
  </si>
  <si>
    <t>1995_Kobe_Japan</t>
  </si>
  <si>
    <t>CHY011</t>
  </si>
  <si>
    <t>CHY048</t>
  </si>
  <si>
    <t>1999_ChiChi_03_Taiwan</t>
  </si>
  <si>
    <t>TCU116</t>
  </si>
  <si>
    <t>TCU138</t>
  </si>
  <si>
    <t>TCU067</t>
  </si>
  <si>
    <t>TCU071</t>
  </si>
  <si>
    <t>TCU079</t>
  </si>
  <si>
    <t>TCU084</t>
  </si>
  <si>
    <t>TCU133</t>
  </si>
  <si>
    <t>1999_ChiChi_07_Taiwan</t>
  </si>
  <si>
    <t>1999_ChiChi_Taiwan</t>
  </si>
  <si>
    <t>TCU042</t>
  </si>
  <si>
    <t>TCU050</t>
  </si>
  <si>
    <t>TCU054</t>
  </si>
  <si>
    <t>TCU055</t>
  </si>
  <si>
    <t>TCU100</t>
  </si>
  <si>
    <t>TCU129</t>
  </si>
  <si>
    <t>TCU137</t>
  </si>
  <si>
    <t>CHY009</t>
  </si>
  <si>
    <t>CHY010</t>
  </si>
  <si>
    <t>CHY034</t>
  </si>
  <si>
    <t>CHY036</t>
  </si>
  <si>
    <t>CHY037</t>
  </si>
  <si>
    <t>CHY038</t>
  </si>
  <si>
    <t>CHY046</t>
  </si>
  <si>
    <t>CHY047</t>
  </si>
  <si>
    <t>CHY073</t>
  </si>
  <si>
    <t>CHY106</t>
  </si>
  <si>
    <t>CHY008</t>
  </si>
  <si>
    <t>CHY013</t>
  </si>
  <si>
    <t>CHY032</t>
  </si>
  <si>
    <t>CHY039</t>
  </si>
  <si>
    <t>CHY095</t>
  </si>
  <si>
    <t>1999_Chiayi_Taiwan</t>
  </si>
  <si>
    <t>1999_Duzce_Turkey</t>
  </si>
  <si>
    <t>HWA011</t>
  </si>
  <si>
    <t>HWA033</t>
  </si>
  <si>
    <t>HWA049</t>
  </si>
  <si>
    <t>HWA051</t>
  </si>
  <si>
    <t>HWA055</t>
  </si>
  <si>
    <t>HWA059</t>
  </si>
  <si>
    <t>1999_Kocaeli_Turkey</t>
  </si>
  <si>
    <t>2000_Tottori_Japan</t>
  </si>
  <si>
    <t>CHY014</t>
  </si>
  <si>
    <t>2002_Denali_Alaska</t>
  </si>
  <si>
    <t>TAPS Pump Station 10</t>
  </si>
  <si>
    <t>ILA027</t>
  </si>
  <si>
    <t>ILA028</t>
  </si>
  <si>
    <t>ILA038</t>
  </si>
  <si>
    <t>ILA040</t>
  </si>
  <si>
    <t>ILA049</t>
  </si>
  <si>
    <t>TAP013</t>
  </si>
  <si>
    <t>TAP017</t>
  </si>
  <si>
    <t>TAP020</t>
  </si>
  <si>
    <t>TAP037</t>
  </si>
  <si>
    <t>TAP040</t>
  </si>
  <si>
    <t>TAP041</t>
  </si>
  <si>
    <t>TAP100</t>
  </si>
  <si>
    <t>2003_Bam_Iran</t>
  </si>
  <si>
    <t>2004_Niigata_Japan</t>
  </si>
  <si>
    <t>2004_Parkfield_02_CA</t>
  </si>
  <si>
    <t>Parkfield - Stone Corral 1E</t>
  </si>
  <si>
    <t>TTN045</t>
  </si>
  <si>
    <t>NO</t>
  </si>
  <si>
    <t>KAU046</t>
  </si>
  <si>
    <t>KAU081</t>
  </si>
  <si>
    <t>KAU082</t>
  </si>
  <si>
    <t>TTN011</t>
  </si>
  <si>
    <t>TTN012</t>
  </si>
  <si>
    <t>TTN027</t>
  </si>
  <si>
    <t>TTN048</t>
  </si>
  <si>
    <t>TTN049</t>
  </si>
  <si>
    <t>TTN054</t>
  </si>
  <si>
    <t>2007_Chuetsu-oki_Japan</t>
  </si>
  <si>
    <t>HWA015</t>
  </si>
  <si>
    <t>HWA016</t>
  </si>
  <si>
    <t>HWA027</t>
  </si>
  <si>
    <t>HWA028</t>
  </si>
  <si>
    <t>HWA048</t>
  </si>
  <si>
    <t>HWA050</t>
  </si>
  <si>
    <t>HWA061</t>
  </si>
  <si>
    <t>2009_LAquila_Italy</t>
  </si>
  <si>
    <t>TCU124</t>
  </si>
  <si>
    <t>2010_Darfield_NewZealand</t>
  </si>
  <si>
    <t>Christchurch Botanical Gardens</t>
  </si>
  <si>
    <t>Christchurch Resthaven</t>
  </si>
  <si>
    <t>NNBS North New Brighton School</t>
  </si>
  <si>
    <t>Riccarton High School</t>
  </si>
  <si>
    <t>Shirley Library</t>
  </si>
  <si>
    <t>Styx Mill Transfer Station</t>
  </si>
  <si>
    <t>2010_ElMayor-Cucapah_Mexico</t>
  </si>
  <si>
    <t>El Centro Array 12</t>
  </si>
  <si>
    <t>CHY016</t>
  </si>
  <si>
    <t>CHY017</t>
  </si>
  <si>
    <t>CHY044</t>
  </si>
  <si>
    <t>CHY049</t>
  </si>
  <si>
    <t>CHY055</t>
  </si>
  <si>
    <t>CHY056</t>
  </si>
  <si>
    <t>CHY058</t>
  </si>
  <si>
    <t>CHY059</t>
  </si>
  <si>
    <t>CHY063</t>
  </si>
  <si>
    <t>CHY089</t>
  </si>
  <si>
    <t>CHY107</t>
  </si>
  <si>
    <t>CHY113</t>
  </si>
  <si>
    <t>CHY115</t>
  </si>
  <si>
    <t>CHY122</t>
  </si>
  <si>
    <t>CHY123</t>
  </si>
  <si>
    <t>CHY128</t>
  </si>
  <si>
    <t>CHY129</t>
  </si>
  <si>
    <t>CHY131</t>
  </si>
  <si>
    <t>CHY134</t>
  </si>
  <si>
    <t>2011_Christchurch_NewZealand</t>
  </si>
  <si>
    <t>Pages Road Pumping Station</t>
  </si>
  <si>
    <t>TCU077</t>
  </si>
  <si>
    <t>TCU125</t>
  </si>
  <si>
    <t>TCU143</t>
  </si>
  <si>
    <t>CHY083</t>
  </si>
  <si>
    <t>TCU126</t>
  </si>
  <si>
    <t>TCU167</t>
  </si>
  <si>
    <t>HWA005</t>
  </si>
  <si>
    <t>HWA006</t>
  </si>
  <si>
    <t>HWA030</t>
  </si>
  <si>
    <t>HWA032</t>
  </si>
  <si>
    <t>HWA035</t>
  </si>
  <si>
    <t>HWA044</t>
  </si>
  <si>
    <t>Kanti Path</t>
  </si>
  <si>
    <t>https://earthquake.usgs.gov/earthquakes/eventpage/us20002926/finite-fault</t>
  </si>
  <si>
    <t>Kaikoura</t>
  </si>
  <si>
    <t>https://earthquake.usgs.gov/earthquakes/eventpage/us1000778i/finite-fault</t>
  </si>
  <si>
    <t>Seddon Fire Station</t>
  </si>
  <si>
    <t>2016_Kumamoto_Japan</t>
  </si>
  <si>
    <t>KMM004</t>
  </si>
  <si>
    <t>https://earthquake.usgs.gov/earthquakes/eventpage/us20005iis/finite-fault</t>
  </si>
  <si>
    <t>KMM005</t>
  </si>
  <si>
    <t>KMM006</t>
  </si>
  <si>
    <t>KMM007</t>
  </si>
  <si>
    <t>KMMH03S(0m)</t>
  </si>
  <si>
    <t>KMMH16D(-252m)</t>
  </si>
  <si>
    <t>2016_Meinong_Taiwan</t>
  </si>
  <si>
    <t>CHY005</t>
  </si>
  <si>
    <t>CHY012</t>
  </si>
  <si>
    <t>CHY018</t>
  </si>
  <si>
    <t>CHY020</t>
  </si>
  <si>
    <t>CHY051</t>
  </si>
  <si>
    <t>CHY060</t>
  </si>
  <si>
    <t>CHY062</t>
  </si>
  <si>
    <t>CHY065</t>
  </si>
  <si>
    <t>CHY067</t>
  </si>
  <si>
    <t>CHY068</t>
  </si>
  <si>
    <t>CHY069</t>
  </si>
  <si>
    <t>CHY070</t>
  </si>
  <si>
    <t>CHY071</t>
  </si>
  <si>
    <t>CHY085</t>
  </si>
  <si>
    <t>CHY097</t>
  </si>
  <si>
    <t>CHY098</t>
  </si>
  <si>
    <t>CHY105</t>
  </si>
  <si>
    <t>CHY116</t>
  </si>
  <si>
    <t>CHY125</t>
  </si>
  <si>
    <t>SHH</t>
  </si>
  <si>
    <t>SSH</t>
  </si>
  <si>
    <t>TRB029</t>
  </si>
  <si>
    <t>2018_Hualien_Taiwan</t>
  </si>
  <si>
    <t>HWA007</t>
  </si>
  <si>
    <t>HWA008</t>
  </si>
  <si>
    <t>HWA009</t>
  </si>
  <si>
    <t>HWA010</t>
  </si>
  <si>
    <t>HWA012</t>
  </si>
  <si>
    <t>HWA013</t>
  </si>
  <si>
    <t>HWA014</t>
  </si>
  <si>
    <t>HWA017</t>
  </si>
  <si>
    <t>HWA019</t>
  </si>
  <si>
    <t>HWA060</t>
  </si>
  <si>
    <t>HWA062</t>
  </si>
  <si>
    <t>HWA063</t>
  </si>
  <si>
    <t>S009</t>
  </si>
  <si>
    <t>S019</t>
  </si>
  <si>
    <t>TRB042</t>
  </si>
  <si>
    <t>R_rup (km)</t>
  </si>
  <si>
    <t>R_hypo (km)</t>
  </si>
  <si>
    <t>source_sheet</t>
  </si>
  <si>
    <t>source_row</t>
  </si>
  <si>
    <t>Yen(2022)</t>
  </si>
  <si>
    <t>9CF</t>
  </si>
  <si>
    <t>EED</t>
  </si>
  <si>
    <t>KMMH03</t>
  </si>
  <si>
    <t>KMMH04</t>
  </si>
  <si>
    <t>KMMH14</t>
  </si>
  <si>
    <t>HKD126</t>
  </si>
  <si>
    <t>HKD128</t>
  </si>
  <si>
    <t>IBUH01</t>
  </si>
  <si>
    <t>Yen_corr_fling(2023)</t>
  </si>
  <si>
    <t>Pazarcik</t>
  </si>
  <si>
    <t>https://earthquake.usgs.gov/earthquakes/eventpage/us6000jllz/finite-fault</t>
  </si>
  <si>
    <t>NAR</t>
  </si>
  <si>
    <t>KHMN</t>
  </si>
  <si>
    <t>Elbistan</t>
  </si>
  <si>
    <t>https://earthquake.usgs.gov/earthquakes/eventpage/us6000jlqa/finite-fault</t>
  </si>
  <si>
    <t>目前有效記錄表</t>
  </si>
  <si>
    <t>S&amp;B</t>
  </si>
  <si>
    <t>NCREE</t>
  </si>
  <si>
    <t>YEN</t>
  </si>
  <si>
    <t>主表已統一為 S&amp;B 243 + NCREE 340 + YEN 118 = 701 筆。已排除 275 筆歷史／其他處理版本；跨來源重複仍保留，701 並非獨立樣本數。</t>
  </si>
  <si>
    <t>尚缺座標：Port Island (83 m)、SERVICE HALL:50.8 M DEPTH，共2筆；主表699/701有座標。47004已由使用者補上。</t>
  </si>
  <si>
    <t>目前記錄表：S&amp;B、NCREE、YEN。主表 active_sheet / active_row 指向現有分頁；source_sheet / source_row 保留原始來源。</t>
  </si>
  <si>
    <t>Kamai 84筆與相關7個 source_error 已不在有效主表範圍；原檔保留作歷史追溯。</t>
  </si>
  <si>
    <t>YEN 118筆已與主表逐列對應；Pazarcik/Elbistan的30筆R_hypo透過公式同步。</t>
  </si>
  <si>
    <t>75個事件分成111個來源／事件組合：S&amp;B46、NCREE56、YEN9。以event_source_key連結，不再假設同事件在不同來源使用相同震源。</t>
  </si>
  <si>
    <t>Table 1的熊本主震列出205°/72°與235°/65°，rake均為−142°；分欄保留，不宣稱為共軛節面。其餘事件的plane_definition標明來源。</t>
  </si>
  <si>
    <t>原來源欄位優先：S&amp;B採NGA；NCREE採原列座標、深度、Mw及fault type；YEN採原Mw與使用者Table1。沒有原欄位時保留既有資料，並由origin_source / mechanism_source / time_source_url區分來源。</t>
  </si>
  <si>
    <t>主表依三個現有記錄表整理，active_sheet / active_row為當前位置；30筆新計算R_hypo由YEN公式連動，其他值為本次快照。repeat_count與Station_coords已按701筆重算。</t>
  </si>
  <si>
    <t>KumaFore confirmed</t>
  </si>
  <si>
    <t>使用者提供Table 1確認Kumamoto foreshock為2016-04-14 12:26:36 UTC，解除前震時刻歧義。</t>
  </si>
  <si>
    <t>已同步</t>
  </si>
  <si>
    <t>30 筆 R_hypo 已同步</t>
  </si>
  <si>
    <t>YEN!F90:F119 的30筆計算值已由公式連到Pulse_records。因主表縮編，YEN公式中的測站座標列號已重新對應；保留原計算值與來源方法。</t>
  </si>
  <si>
    <t>已按原來源重做距離檢查</t>
  </si>
  <si>
    <t>目前YEN有17筆Rhyp待查；Iburi四筆已按使用者指示，以原FSP震源重算並更新。原Rrup皆保留。</t>
  </si>
  <si>
    <t>已確認</t>
  </si>
  <si>
    <t>KumaFore 前震已確認</t>
  </si>
  <si>
    <t>圖中Table 1明列2016-04-14 12:26:36 UTC、Mw6.1。YEN 12筆前震事件欄位與主表已更新；不再標為provisional。</t>
  </si>
  <si>
    <t>已排除</t>
  </si>
  <si>
    <t>Kamai 不再屬於主表</t>
  </si>
  <si>
    <t>已移除有效主表中的Kamai 84筆；原有7個Normalized Dsite錯誤不在本次701筆範圍。沒有嘗試修正歷史來源的錯誤。</t>
  </si>
  <si>
    <t>2 筆主表測站座標</t>
  </si>
  <si>
    <t>Pulse_records第117/213列仍缺座標：Port Island (83m)、SERVICE HALL 50.8m。47004（第668列）已採使用者提供的141.9204E、42.6226N；主表699/701有座標。</t>
  </si>
  <si>
    <t>已統一</t>
  </si>
  <si>
    <t>主表與三個記錄表同範圍</t>
  </si>
  <si>
    <t>S&amp;B243 + NCREE340 + YEN118 =701。排除Baker_moderate157、Kamai84、Yen_uncorr_fling34，共275筆。保留有效記錄ID；沒有去除不同來源之間的同事件／同測站記錄。</t>
  </si>
  <si>
    <t>active_sheet / active_row對應目前S&amp;B、NCREE、YEN分頁；source_sheet / source_row保留歷史來源名稱。Station_coords已重算為642個測站鍵／座標／狀態組合，不代表642個唯一實體測站。</t>
  </si>
  <si>
    <t>701筆有效記錄按event_source_key連到111個Event_sources條目，涵蓋75個事件。同一event_key可有不同來源版本；不要只以event_key做唯一值查找。USGS目錄比較仍在Event_match_audit。</t>
  </si>
  <si>
    <t>目前三個記錄表無同事件＋同測站重複列；主表701筆一一對應三表，記錄ID唯一。30筆Rhyp已同步；未發現新Excel錯誤。其餘資料品質問題仍按本報告列示。</t>
  </si>
  <si>
    <t>依使用者Table 1更新五個YEN事件（80筆）：時間、Mw、震源座標/深度、strike/dip/rake與faulting type；同步主表及各表附加事件欄。NCREE/S&amp;B原始觀測值和原始Mw保持；未重算這五個事件的測站距離或pulse方位。</t>
  </si>
  <si>
    <t>Table 1更新</t>
  </si>
  <si>
    <t>五個事件、80筆YEN記錄已更新。熊本主震Mw由7改為7.04；Darfield負緯度依圖保留。</t>
  </si>
  <si>
    <t>文獻來源</t>
  </si>
  <si>
    <t>使用者截圖Table 1。截圖未包含作者、篇名與DOI，來源先記錄截圖檔名；不可補造完整引用。</t>
  </si>
  <si>
    <t>距離檢查紀錄 — 切回原來源前（2026-09-11）</t>
  </si>
  <si>
    <t>檢查範圍</t>
  </si>
  <si>
    <t>701筆記錄：698筆有座標可計算；S&amp;B241與YEN117，共358筆同時有原Rhyp可比較。NCREE340筆未提供原Rhyp，僅做Rrup必要幾何關係與原震源比較。</t>
  </si>
  <si>
    <t>計算與門檻</t>
  </si>
  <si>
    <t>R_epi採6371 km球面大圓距離；R_hypo=SQRT(R_epi²+depth²)，假設站高0。|原值−重算值| &gt; MAX(1 km, 重算值×5%)列為待查。此為本次篩檢門檻，不代表觀測精度或法定標準。</t>
  </si>
  <si>
    <t>S&amp;B：54筆來源差異</t>
  </si>
  <si>
    <t>Chi-Chi49/50、Kocaeli4/4、Wenchuan1/2超門檻。用原NGA-West2震源重算後，三事件所有可比較記錄均在門檻內。原因支持「原距離搭配了不同的新增震源」，不支持直接把54筆原距離判錯。</t>
  </si>
  <si>
    <t>Chi-Chi最大差異</t>
  </si>
  <si>
    <t>S&amp;B!G153（TCU076）原Rhyp17.90 km，新附加震源重算47.82 km，相差−29.92 km。原NGA震源23.85N/120.82E、深8 km；目前附加USGS震源23.772N/120.982E、深33 km，不能混用。</t>
  </si>
  <si>
    <t>YEN：20筆待查</t>
  </si>
  <si>
    <t>熊本前震11/12；花蓮2/14；Iburi有座標3/3；Duzce4/4。其餘YEN可比較記錄通過本次門檻。Kumamoto主震、Meinong、Darfield與Turkey均通過；47004仍無座標無法重算。</t>
  </si>
  <si>
    <t>熊本前震11筆</t>
  </si>
  <si>
    <t>YEN第70–75、77–81列，原Rhyp較Table 1震源重算短約5.02–7.61 km。例KMMH14原9.70、重算17.28 km；93021原7.30、重算14.08 km。事件時刻已確認，仍須查原距離定義、計算震源及測站座標。</t>
  </si>
  <si>
    <t>花蓮2筆</t>
  </si>
  <si>
    <t>YEN第54列HWA028：28.00→17.57 km，差+10.43 km；第58列TRB042：16.93→18.93 km，差−2.00 km。應核對這兩站的位置與原距離來源。</t>
  </si>
  <si>
    <t>Iburi及Duzce</t>
  </si>
  <si>
    <t>Iburi第82–84列原值比重算短7.34–10.92 km；第85列47004缺座標。Duzce第86–89列短5.84–7.24 km；8109原4.75 km小於目前深度10 km，無法與此震源及站高0假設同時成立。</t>
  </si>
  <si>
    <t>NCREE：18筆超界</t>
  </si>
  <si>
    <t>使用新增selected震源時，18筆Rrup &gt; 重算Rhyp+1 km：1999 Hualien2筆、2002 Hualien offshore12筆、2006 Hengchun雙震4筆。換回各列NCREE原震源後，18筆全部不再超界；優先保留距離與原震源成套使用。</t>
  </si>
  <si>
    <t>Rrup判讀限制</t>
  </si>
  <si>
    <t>Rrup≤Rhyp只在震源位於同一斷層面時構成必要關係；本次沒有重建各研究的完整斷層面，所以不能認證Rrup絕對正確。S&amp;B Closest Dist.未自動當作Rrup。Duzce4筆Rrup仍缺值。</t>
  </si>
  <si>
    <t>建議處理</t>
  </si>
  <si>
    <t>已執行：改用source-specific event_source_key保存成套震源資料。原R_hypo/Rrup保留，Distance_check依新選用震源重新計算。YEN未解決差異仍待查。</t>
  </si>
  <si>
    <t>本次修改範圍</t>
  </si>
  <si>
    <t>新增Distance_check逐筆比較與本Overview說明。沒有覆寫原Rhyp、Rrup、震源、測站座標或方位。原震源比對：NCREE使用各列原值；S&amp;B使用前次取得的NGA資料（來源及鏡像限制见Sources_method E03/E04）。</t>
  </si>
  <si>
    <t>原震源優先 — 更新後結果（2026-09-11）</t>
  </si>
  <si>
    <t>採用規則</t>
  </si>
  <si>
    <t>S&amp;B 243筆採原NGA；NCREE340筆採各列原始震源；YEN118筆採原Mw，五個Table1事件採圖中震源，其餘事件沒有原震源時保留配對結果。</t>
  </si>
  <si>
    <t>來源分開</t>
  </si>
  <si>
    <t>Event_sources共111筆來源／事件組合，event_source_key唯一；仍是75個物理事件。NCREE與S&amp;B可對同一事件採不同原震源，不互相覆蓋。</t>
  </si>
  <si>
    <t>缺欄位處理</t>
  </si>
  <si>
    <t>原來源有的欄位取代matched值；沒有的欄位不刪除：例如NCREE原表沒有UTC時間及strike/dip/rake，保留既有值並明示其來源。有限斷層模型仍保留獨立模型參數。</t>
  </si>
  <si>
    <t>目前待查Rhyp筆數</t>
  </si>
  <si>
    <t>目前Rrup/closest超界筆數</t>
  </si>
  <si>
    <t>修改範圍</t>
  </si>
  <si>
    <t>只更新選用事件參數、來源鍵和距離檢查；原始觀測距離、站座標、週期、pulse方位與原表欄位未改動。</t>
  </si>
  <si>
    <t>47004座標更新</t>
  </si>
  <si>
    <t>2026-09-11 使用者提供：東經141.9204°、北緯42.6226°。同步Pulse_records、Station_coords及Distance_check。</t>
  </si>
  <si>
    <t>47004距離檢查</t>
  </si>
  <si>
    <t>47004：Rhyp已更新38.46km（舊24.90km存Distance_check!AG668）；原Rrup18.70km保留。</t>
  </si>
  <si>
    <t>Iburi 原始 slip model</t>
  </si>
  <si>
    <t>已加入 Asano &amp; Iwata (2019) 使用者提供FSP：Mw6.8、震源42.6908N/142.0067E/37.04km、最大滑移1.7014m。</t>
  </si>
  <si>
    <t>三段斷層幾何</t>
  </si>
  <si>
    <t>走向10°/355°/5°，傾角皆70°；共80個3×3km子斷層，面積720km²，頂深18.72km。355°僅為震源所在第2段。</t>
  </si>
  <si>
    <t>Iburi 距離結果</t>
  </si>
  <si>
    <t>已更新HKD126 / HKD128 / IBUH01 / 47004的Rhyp為39.74 / 40.85 / 44.95 / 38.46km。使用原FSP震源，站高假設0；舊值存Distance_check的superseded_Rhyp_km。</t>
  </si>
  <si>
    <t>模型 Rrup 比對</t>
  </si>
  <si>
    <t>原Rrup保留18.8 / 20.5 / 22.2 / 18.7km。IBUH01座標與原紀錄、官方站表一致；到最近FSP頂邊中心點22.184km，可重現22.2，但原計算方式尚未確認。</t>
  </si>
  <si>
    <t>來源與保留欄位</t>
  </si>
  <si>
    <t>9個USGS模型（23段）＋1個Iburi文獻模型（3段）＝10個模型、26段。YEN原Magnitude6.7及Rrup保留；Iburi Rhyp已授權重算更新。模型Mw6.8另存。</t>
  </si>
  <si>
    <t>YEN!F90:F119; station coordinates: Pulse_records H/I via active row mapping</t>
  </si>
  <si>
    <t>E11</t>
  </si>
  <si>
    <t>有效主表範圍</t>
  </si>
  <si>
    <t>S&amp;B / NCREE / YEN -&gt; Pulse_records</t>
  </si>
  <si>
    <t>701筆。保留record_id與原source_sheet/source_row，新增active_sheet/active_row。排除Baker_moderate157、Kamai84、uncorrected fling34。Station_coords與repeat_count依有效記錄重算；YEN30筆計算Rhyp連動到主表。</t>
  </si>
  <si>
    <t>E12</t>
  </si>
  <si>
    <t>User-provided earthquake Table 1</t>
  </si>
  <si>
    <t>/Users/mingshen/Desktop/Screenshot 2026-09-10 at 23.58.23.png</t>
  </si>
  <si>
    <t>Screenshot Table 1, Summary of the Parameters of the Earthquakes Considered in This Work. Five events; Kumamoto mainshock has two strike/dip rows. Bibliographic citation absent. Selected parameters applied to YEN and shared event enrichment; USGS comparison/finite-fault values retained.</t>
  </si>
  <si>
    <t>E13</t>
  </si>
  <si>
    <t>Distance consistency audit</t>
  </si>
  <si>
    <t>Distance_check; Overview rows74–86</t>
  </si>
  <si>
    <t>Great-circle radius6371km; Rhyp=sqrt(Repi²+depth²); station elevation0. Review threshold max(1km,5%). Compare original NCREE hypocenters or cached NGA reference for S&amp;B. Rrup bound requires same fault surface/hypocenter; this is a screening audit, not full fault geometry validation.</t>
  </si>
  <si>
    <t>2026-09-11</t>
  </si>
  <si>
    <t>E14</t>
  </si>
  <si>
    <t>Original-source precedence and source-specific event keys</t>
  </si>
  <si>
    <t>Event_sources source_scope / event_source_key</t>
  </si>
  <si>
    <t>S&amp;B uses original NGA metadata; NCREE uses original row hypocenter/Mw/fault type; YEN uses original/Table1 fields. Matched fields only retained if original source lacks them; sources documented per parameter group. 111 source-event entries represent75events. Do not join only on event_key.</t>
  </si>
  <si>
    <t>U47004</t>
  </si>
  <si>
    <t>User-provided station47004 coordinates</t>
  </si>
  <si>
    <t>User message 2026-09-11</t>
  </si>
  <si>
    <t>Longitude141.9204E, latitude42.6226N. Applied toPulse_records row668, Station_coords row21, Distance_check row668. No elevation provided; distance audit uses elevation0.</t>
  </si>
  <si>
    <t>FSP_IBURI</t>
  </si>
  <si>
    <t>Asano &amp; Iwata (2019), user-supplied finite-source model</t>
  </si>
  <si>
    <t>https://doi.org/10.1186/s40623-019-1080-0</t>
  </si>
  <si>
    <t>Local file: /Volumes/WD/work/pulse/data/events/2018_Iburi/s2018IBURIH01ASAN.fsp; dated2019-09-24. Selected hypocenter replaces catalog match only for YEN::2018_iburi. Original YEN observations preserved. Model header rake is mean, not each subfault rake.</t>
  </si>
  <si>
    <t>FSP_IBURI_DISTANCE</t>
  </si>
  <si>
    <t>Iburi model distance calculation</t>
  </si>
  <si>
    <t>/Volumes/WD/work/pulse/data/events/2018_Iburi/s2018IBURIH01ASAN.fsp</t>
  </si>
  <si>
    <t>Rhyp: radius6371km great-circle epicentral distance combined with37.04km depth. Rrup: minimum distance to3 finite rectangles, top-center convention, WGS84 local tangent coordinates, elevation0. FSP coordinate residual&lt;0.030km. Full planes include low-slip patches; not distance to high-slip patch.</t>
  </si>
  <si>
    <t>IBURI_RHYP_UPDATE</t>
  </si>
  <si>
    <t>User-approved Iburi Rhyp replacement</t>
  </si>
  <si>
    <t>User message2026-09-11; FSP_IBURI</t>
  </si>
  <si>
    <t>Four YEN rows82:85 updated with sqrt(Repi²+depth²); Repi from6371km sphere; source42.6908N142.0067E depth37.04km; station elevation0. Native Rrup retained. Superseded Rhyp preserved in Distance_check AG665:AG668.</t>
  </si>
  <si>
    <t>station_key</t>
  </si>
  <si>
    <t>station_names</t>
  </si>
  <si>
    <t>latitude_deg</t>
  </si>
  <si>
    <t>longitude_deg</t>
  </si>
  <si>
    <t>coord_status</t>
  </si>
  <si>
    <t>source_record_count</t>
  </si>
  <si>
    <t>source_sheets</t>
  </si>
  <si>
    <t>events</t>
  </si>
  <si>
    <t>coord_source_ids</t>
  </si>
  <si>
    <t>example_source_ref</t>
  </si>
  <si>
    <t>coord_note</t>
  </si>
  <si>
    <t>CN:deyangbaima</t>
  </si>
  <si>
    <t>matched</t>
  </si>
  <si>
    <t>ROTD50_d050 row 4717; RSN=4716; Deyangbaima</t>
  </si>
  <si>
    <t>CN:jiashi</t>
  </si>
  <si>
    <t>ROTD50_d050 row 1753; RSN=1752; Jiashi</t>
  </si>
  <si>
    <t>CN:mianzuqingping</t>
  </si>
  <si>
    <t>ROTD50_d050 row 4817; RSN=4816; Mianzuqingping</t>
  </si>
  <si>
    <t>GR:kalamatabsmt2ndtrigger</t>
  </si>
  <si>
    <t>ROTD50_d050 row 567; RSN=566; Kalamata (bsmt) (2nd trigger)</t>
  </si>
  <si>
    <t>original</t>
  </si>
  <si>
    <t>Taiwan database(NCREE)!H27:I27</t>
  </si>
  <si>
    <t>IR:bam</t>
  </si>
  <si>
    <t>ROTD50_d050 row 4041; RSN=4040; Bam</t>
  </si>
  <si>
    <t>Taiwan database(NCREE)!H183:I183</t>
  </si>
  <si>
    <t>IR:tabas</t>
  </si>
  <si>
    <t>ROTD50_d050 row 144; RSN=143; Tabas</t>
  </si>
  <si>
    <t>Taiwan database(NCREE)!H3:I3</t>
  </si>
  <si>
    <t>IT:bagnoliirpinio</t>
  </si>
  <si>
    <t>ROTD50_d050 row 286; RSN=285; Bagnoli Irpinio</t>
  </si>
  <si>
    <t>Taiwan database(NCREE)!H22:I22</t>
  </si>
  <si>
    <t>IT:laquilaparking</t>
  </si>
  <si>
    <t>ROTD50_d050 row 4484; RSN=4483; L'Aquila - Parking</t>
  </si>
  <si>
    <t>Taiwan database(NCREE)!H219:I219</t>
  </si>
  <si>
    <t>IT:laquilavaternocentrovalle</t>
  </si>
  <si>
    <t>ROTD50_d050 row 4481; RSN=4480; L'Aquila - V. Aterno - Centro Valle</t>
  </si>
  <si>
    <t>Taiwan database(NCREE)!H220:I220</t>
  </si>
  <si>
    <t>IT:laquilavaternofaterno</t>
  </si>
  <si>
    <t>ROTD50_d050 row 4483; RSN=4482; L'Aquila - V. Aterno -F. Aterno</t>
  </si>
  <si>
    <t>Taiwan database(NCREE)!H221:I221</t>
  </si>
  <si>
    <t>IT:sturnostn</t>
  </si>
  <si>
    <t>ROTD50_d050 row 293; RSN=292; Sturno (STN)</t>
  </si>
  <si>
    <t>Taiwan database(NCREE)!H23:I23</t>
  </si>
  <si>
    <t>JP:47004</t>
  </si>
  <si>
    <t>47004</t>
  </si>
  <si>
    <t>User message 2026-09-11: lon141.9204 lat42.6226</t>
  </si>
  <si>
    <t>User-provided coordinates; elevation unavailable.</t>
  </si>
  <si>
    <t>JP:93002</t>
  </si>
  <si>
    <t>93002</t>
  </si>
  <si>
    <t>Kumamoto mainshock</t>
  </si>
  <si>
    <t>line 96</t>
  </si>
  <si>
    <t>JP:93009</t>
  </si>
  <si>
    <t>93009</t>
  </si>
  <si>
    <t>line 101</t>
  </si>
  <si>
    <t>JP:93010</t>
  </si>
  <si>
    <t>93010</t>
  </si>
  <si>
    <t>line 102</t>
  </si>
  <si>
    <t>JP:93011</t>
  </si>
  <si>
    <t>93011</t>
  </si>
  <si>
    <t>line 103</t>
  </si>
  <si>
    <t>JP:93020</t>
  </si>
  <si>
    <t>93020</t>
  </si>
  <si>
    <t>Kumamoto foreshock; Kumamoto mainshock</t>
  </si>
  <si>
    <t>line 65</t>
  </si>
  <si>
    <t>JP:93021</t>
  </si>
  <si>
    <t>93021</t>
  </si>
  <si>
    <t>Kumamoto foreshock</t>
  </si>
  <si>
    <t>line 66</t>
  </si>
  <si>
    <t>JP:93024</t>
  </si>
  <si>
    <t>93024</t>
  </si>
  <si>
    <t>line 106</t>
  </si>
  <si>
    <t>JP:93025</t>
  </si>
  <si>
    <t>93025</t>
  </si>
  <si>
    <t>line 68</t>
  </si>
  <si>
    <t>JP:93029</t>
  </si>
  <si>
    <t>93029</t>
  </si>
  <si>
    <t>line 108</t>
  </si>
  <si>
    <t>JP:93030</t>
  </si>
  <si>
    <t>93030</t>
  </si>
  <si>
    <t>line 109</t>
  </si>
  <si>
    <t>JP:93041</t>
  </si>
  <si>
    <t>93041</t>
  </si>
  <si>
    <t>line 118</t>
  </si>
  <si>
    <t>JP:93042</t>
  </si>
  <si>
    <t>93042</t>
  </si>
  <si>
    <t>line 119</t>
  </si>
  <si>
    <t>JP:93044</t>
  </si>
  <si>
    <t>93044</t>
  </si>
  <si>
    <t>line 71</t>
  </si>
  <si>
    <t>JP:93048</t>
  </si>
  <si>
    <t>93048</t>
  </si>
  <si>
    <t>line 74</t>
  </si>
  <si>
    <t>JP:93050</t>
  </si>
  <si>
    <t>93050</t>
  </si>
  <si>
    <t>line 76</t>
  </si>
  <si>
    <t>JP:93051</t>
  </si>
  <si>
    <t>93051</t>
  </si>
  <si>
    <t>line 77</t>
  </si>
  <si>
    <t>JP:93055</t>
  </si>
  <si>
    <t>93055</t>
  </si>
  <si>
    <t>line 122</t>
  </si>
  <si>
    <t>JP:93056</t>
  </si>
  <si>
    <t>93056</t>
  </si>
  <si>
    <t>line 123</t>
  </si>
  <si>
    <t>JP:93057</t>
  </si>
  <si>
    <t>93057</t>
  </si>
  <si>
    <t>line 124</t>
  </si>
  <si>
    <t>JP:93058</t>
  </si>
  <si>
    <t>93058</t>
  </si>
  <si>
    <t>line 125</t>
  </si>
  <si>
    <t>JP:93096</t>
  </si>
  <si>
    <t>93096</t>
  </si>
  <si>
    <t>line 79</t>
  </si>
  <si>
    <t>JP:9cf</t>
  </si>
  <si>
    <t>line 149</t>
  </si>
  <si>
    <t>JP:eed</t>
  </si>
  <si>
    <t>line 157</t>
  </si>
  <si>
    <t>JP:hkd126</t>
  </si>
  <si>
    <t>JP:hkd128</t>
  </si>
  <si>
    <t>JP:ibuh01</t>
  </si>
  <si>
    <t>N.OIWH / IBUH01</t>
  </si>
  <si>
    <t>JP:iizunaimokawa</t>
  </si>
  <si>
    <t>ROTD50_d050 row 4892; RSN=4891; Iizuna Imokawa</t>
  </si>
  <si>
    <t>JP:iwth26</t>
  </si>
  <si>
    <t>ROTD50_d050 row 5659; RSN=5658; IWTH26</t>
  </si>
  <si>
    <t>JP:joetsukakizakikukakizaki</t>
  </si>
  <si>
    <t>ROTD50_d050 row 4848; RSN=4847; Joetsu Kakizakiku Kakizaki</t>
  </si>
  <si>
    <t>Taiwan database(NCREE)!H210:I210</t>
  </si>
  <si>
    <t>JP:joetsuotemachi</t>
  </si>
  <si>
    <t>ROTD50_d050 row 4890; RSN=4889; Joetsu Otemachi</t>
  </si>
  <si>
    <t>JP:kariwa</t>
  </si>
  <si>
    <t>ROTD50_d050 row 4876; RSN=4875; Kariwa</t>
  </si>
  <si>
    <t>JP:kashiwazakicitycenter</t>
  </si>
  <si>
    <t>ROTD50_d050 row 4857; RSN=4856; Kashiwazaki City Center</t>
  </si>
  <si>
    <t>JP:kjma</t>
  </si>
  <si>
    <t>ROTD50_d050 row 1107; RSN=1106; KJMA</t>
  </si>
  <si>
    <t>Taiwan database(NCREE)!H58:I58</t>
  </si>
  <si>
    <t>JP:kmm004</t>
  </si>
  <si>
    <t>Taiwan database(NCREE)!H282:I282</t>
  </si>
  <si>
    <t>JP:kmm005</t>
  </si>
  <si>
    <t>Taiwan database(NCREE)!H283:I283</t>
  </si>
  <si>
    <t>JP:kmm006</t>
  </si>
  <si>
    <t>Taiwan database(NCREE)!H284:I284</t>
  </si>
  <si>
    <t>JP:kmm007</t>
  </si>
  <si>
    <t>Taiwan database(NCREE)!H285:I285</t>
  </si>
  <si>
    <t>JP:kmmh03</t>
  </si>
  <si>
    <t>line 27</t>
  </si>
  <si>
    <t>JP:kmmh03s0m</t>
  </si>
  <si>
    <t>Taiwan database(NCREE)!H286:I286</t>
  </si>
  <si>
    <t>JP:kmmh04</t>
  </si>
  <si>
    <t>line 28</t>
  </si>
  <si>
    <t>JP:kmmh14</t>
  </si>
  <si>
    <t>line 37</t>
  </si>
  <si>
    <t>JP:kmmh16d252m</t>
  </si>
  <si>
    <t>Taiwan database(NCREE)!H287:I287</t>
  </si>
  <si>
    <t>JP:machimukaitown</t>
  </si>
  <si>
    <t>ROTD50_d050 row 5811; RSN=5810; Machimukai Town</t>
  </si>
  <si>
    <t>JP:nig021</t>
  </si>
  <si>
    <t>ROTD50_d050 row 4212; RSN=4211; NIG021</t>
  </si>
  <si>
    <t>Taiwan database(NCREE)!H184:I184</t>
  </si>
  <si>
    <t>JP:nigh11</t>
  </si>
  <si>
    <t>ROTD50_d050 row 4229; RSN=4228; NIGH11</t>
  </si>
  <si>
    <t>Taiwan database(NCREE)!H185:I185</t>
  </si>
  <si>
    <t>JP:oguninagaoka</t>
  </si>
  <si>
    <t>ROTD50_d050 row 4875; RSN=4874; Oguni Nagaoka</t>
  </si>
  <si>
    <t>JP:portisland0m</t>
  </si>
  <si>
    <t>ROTD50_d050 row 1115; RSN=1114; Port Island (0 m)</t>
  </si>
  <si>
    <t>Taiwan database(NCREE)!H59:I59</t>
  </si>
  <si>
    <t>JP:portisland83m</t>
  </si>
  <si>
    <t>unresolved</t>
  </si>
  <si>
    <t>未找到可確定對應的座標。</t>
  </si>
  <si>
    <t>JP:servicehall24mdepth</t>
  </si>
  <si>
    <t>ROTD50_d050 row 4897; RSN=4896; Kashiwazaki NPP, Service Hall Array 2.4 m depth</t>
  </si>
  <si>
    <t>JP:servicehall508mdepth</t>
  </si>
  <si>
    <t>JP:takarazuka</t>
  </si>
  <si>
    <t>ROTD50_d050 row 1120; RSN=1119; Takarazuka</t>
  </si>
  <si>
    <t>Taiwan database(NCREE)!H60:I60</t>
  </si>
  <si>
    <t>JP:takatori</t>
  </si>
  <si>
    <t>ROTD50_d050 row 1121; RSN=1120; Takatori</t>
  </si>
  <si>
    <t>Taiwan database(NCREE)!H61:I61</t>
  </si>
  <si>
    <t>JP:ttr008</t>
  </si>
  <si>
    <t>ROTD50_d050 row 3966; RSN=3965; TTR008</t>
  </si>
  <si>
    <t>Taiwan database(NCREE)!H168:I168</t>
  </si>
  <si>
    <t>JP:yansakuramachicitywatershed</t>
  </si>
  <si>
    <t>ROTD50_d050 row 4880; RSN=4879; Yan Sakuramachi City watershed</t>
  </si>
  <si>
    <t>JP:yoshikawakujoetsucity</t>
  </si>
  <si>
    <t>ROTD50_d050 row 4851; RSN=4850; Yoshikawaku Joetsu City</t>
  </si>
  <si>
    <t>ME:barskupstinaopstine</t>
  </si>
  <si>
    <t>ROTD50_d050 row 4452; RSN=4451; Bar-Skupstina Opstine</t>
  </si>
  <si>
    <t>Taiwan database(NCREE)!H20:I20</t>
  </si>
  <si>
    <t>ME:ulcinjhotelolimpic</t>
  </si>
  <si>
    <t>ROTD50_d050 row 4459; RSN=4458; Ulcinj - Hotel Olimpic</t>
  </si>
  <si>
    <t>Taiwan database(NCREE)!H21:I21</t>
  </si>
  <si>
    <t>MX:elcentroarray12</t>
  </si>
  <si>
    <t>ROTD50_d050 row 8162; RSN=8161; El Centro Array #12</t>
  </si>
  <si>
    <t>Taiwan database(NCREE)!H237:I237</t>
  </si>
  <si>
    <t>MX:tamaulipas</t>
  </si>
  <si>
    <t>ROTD50_d050 row 5833; RSN=5832; TAMAULIPAS</t>
  </si>
  <si>
    <t>MX:westsideelementaryschool</t>
  </si>
  <si>
    <t>ROTD50_d050 row 8607; RSN=8606; Westside Elementary School</t>
  </si>
  <si>
    <t>Taiwan database(NCREE)!H238:I238</t>
  </si>
  <si>
    <t>NP:kantipath</t>
  </si>
  <si>
    <t>Taiwan database(NCREE)!H279:I279</t>
  </si>
  <si>
    <t>NZ:cbgs</t>
  </si>
  <si>
    <t>ROTD50_d050 row 6888; Station ID=CBGS</t>
  </si>
  <si>
    <t>NZ:cccc</t>
  </si>
  <si>
    <t>ROTD50_d050 row 8065; Station ID=CCCC</t>
  </si>
  <si>
    <t>NZ:chhc</t>
  </si>
  <si>
    <t>ROTD50_d050 row 8067; Station ID=CHHC</t>
  </si>
  <si>
    <t>NZ:christchurchbotanicalgardens</t>
  </si>
  <si>
    <t>Taiwan database(NCREE)!H224:I224</t>
  </si>
  <si>
    <t>NZ:christchurchresthaven</t>
  </si>
  <si>
    <t>2010_Darfield_NewZealand; 2011_Christchurch_NewZealand</t>
  </si>
  <si>
    <t>Taiwan database(NCREE)!H225:I225</t>
  </si>
  <si>
    <t>NZ:cmhs</t>
  </si>
  <si>
    <t>ROTD50_d050 row 8068; Station ID=CMHS</t>
  </si>
  <si>
    <t>NZ:dslc</t>
  </si>
  <si>
    <t>S&amp;B; YEN</t>
  </si>
  <si>
    <t>Darfield; Darfield, New Zealand</t>
  </si>
  <si>
    <t>S01; S02</t>
  </si>
  <si>
    <t>ROTD50_d050 row 6898; RSN=6897; DSLC</t>
  </si>
  <si>
    <t>Taiwan database(NCREE)!H226:I226</t>
  </si>
  <si>
    <t>NZ:gdlc</t>
  </si>
  <si>
    <t>ROTD50_d050 row 6907; RSN=6906; GDLC</t>
  </si>
  <si>
    <t>Taiwan database(NCREE)!H227:I227</t>
  </si>
  <si>
    <t>NZ:horc</t>
  </si>
  <si>
    <t>ROTD50_d050 row 6912; RSN=6911; HORC</t>
  </si>
  <si>
    <t>Taiwan database(NCREE)!H228:I228</t>
  </si>
  <si>
    <t>NZ:hpsc</t>
  </si>
  <si>
    <t>ROTD50_d050 row 8091; Station ID=HPSC</t>
  </si>
  <si>
    <t>NZ:kaikoura</t>
  </si>
  <si>
    <t>Taiwan database(NCREE)!H280:I280</t>
  </si>
  <si>
    <t>NZ:linc</t>
  </si>
  <si>
    <t>ROTD50_d050 row 6928; RSN=6927; LINC</t>
  </si>
  <si>
    <t>Taiwan database(NCREE)!H229:I229</t>
  </si>
  <si>
    <t>NZ:lpcc</t>
  </si>
  <si>
    <t>Christchurch, New Zealand; Darfield, New Zealand</t>
  </si>
  <si>
    <t>ROTD50_d050 row 6929; RSN=6928; LPCC</t>
  </si>
  <si>
    <t>Taiwan database(NCREE)!H230:I230</t>
  </si>
  <si>
    <t>NZ:nnbs</t>
  </si>
  <si>
    <t>ROTD50_d050 row 6942; Station ID=NNBS</t>
  </si>
  <si>
    <t>NZ:nnbsnorthnewbrightonschool</t>
  </si>
  <si>
    <t>Taiwan database(NCREE)!H231:I231</t>
  </si>
  <si>
    <t>NZ:pagesroadpumpingstation</t>
  </si>
  <si>
    <t>Taiwan database(NCREE)!H261:I261</t>
  </si>
  <si>
    <t>NZ:prpc</t>
  </si>
  <si>
    <t>ROTD50_d050 row 8120; Station ID=PRPC</t>
  </si>
  <si>
    <t>NZ:rehs</t>
  </si>
  <si>
    <t>Christchurch, New Zealand; Darfield; Darfield, New Zealand</t>
  </si>
  <si>
    <t>ROTD50_d050 row 6960; Station ID=REHS</t>
  </si>
  <si>
    <t>NZ:rhsc</t>
  </si>
  <si>
    <t>ROTD50_d050 row 6961; Station ID=RHSC</t>
  </si>
  <si>
    <t>NZ:riccartonhighschool</t>
  </si>
  <si>
    <t>Taiwan database(NCREE)!H232:I232</t>
  </si>
  <si>
    <t>NZ:rolc</t>
  </si>
  <si>
    <t>ROTD50_d050 row 6963; RSN=6962; ROLC</t>
  </si>
  <si>
    <t>Taiwan database(NCREE)!H233:I233</t>
  </si>
  <si>
    <t>NZ:seddonfirestation</t>
  </si>
  <si>
    <t>Taiwan database(NCREE)!H281:I281</t>
  </si>
  <si>
    <t>NZ:shirleylibrary</t>
  </si>
  <si>
    <t>Taiwan database(NCREE)!H234:I234</t>
  </si>
  <si>
    <t>NZ:shlc</t>
  </si>
  <si>
    <t>ROTD50_d050 row 6967; Station ID=SHLC</t>
  </si>
  <si>
    <t>NZ:smtc</t>
  </si>
  <si>
    <t>ROTD50_d050 row 6970; Station ID=SMTC</t>
  </si>
  <si>
    <t>NZ:styxmilltransferstation</t>
  </si>
  <si>
    <t>Taiwan database(NCREE)!H235:I235</t>
  </si>
  <si>
    <t>NZ:tplc</t>
  </si>
  <si>
    <t>ROTD50_d050 row 6976; RSN=6975; TPLC</t>
  </si>
  <si>
    <t>Taiwan database(NCREE)!H236:I236</t>
  </si>
  <si>
    <t>SV:geotechinvestigcenter</t>
  </si>
  <si>
    <t>ROTD50_d050 row 569; RSN=568; Geotech Investig Center</t>
  </si>
  <si>
    <t>Taiwan database(NCREE)!H28:I28</t>
  </si>
  <si>
    <t>SV:nationalgeograficalinst</t>
  </si>
  <si>
    <t>ROTD50_d050 row 570; RSN=569; National Geografical Inst</t>
  </si>
  <si>
    <t>Taiwan database(NCREE)!H29:I29</t>
  </si>
  <si>
    <t>TR:131</t>
  </si>
  <si>
    <t>131</t>
  </si>
  <si>
    <t>row 7</t>
  </si>
  <si>
    <t>TR:132</t>
  </si>
  <si>
    <t>132</t>
  </si>
  <si>
    <t>row 8</t>
  </si>
  <si>
    <t>TR:2708</t>
  </si>
  <si>
    <t>2708</t>
  </si>
  <si>
    <t>row 10</t>
  </si>
  <si>
    <t>TR:2712</t>
  </si>
  <si>
    <t>2712</t>
  </si>
  <si>
    <t>row 3</t>
  </si>
  <si>
    <t>TR:2715</t>
  </si>
  <si>
    <t>2715</t>
  </si>
  <si>
    <t>row 19</t>
  </si>
  <si>
    <t>TR:2716</t>
  </si>
  <si>
    <t>2716</t>
  </si>
  <si>
    <t>row 20</t>
  </si>
  <si>
    <t>TR:2717</t>
  </si>
  <si>
    <t>2717</t>
  </si>
  <si>
    <t>row 21</t>
  </si>
  <si>
    <t>TR:2718</t>
  </si>
  <si>
    <t>2718</t>
  </si>
  <si>
    <t>row 5</t>
  </si>
  <si>
    <t>TR:3116</t>
  </si>
  <si>
    <t>3116</t>
  </si>
  <si>
    <t>row 23</t>
  </si>
  <si>
    <t>TR:3123</t>
  </si>
  <si>
    <t>3123</t>
  </si>
  <si>
    <t>row 2</t>
  </si>
  <si>
    <t>TR:3131</t>
  </si>
  <si>
    <t>3131</t>
  </si>
  <si>
    <t>row 9</t>
  </si>
  <si>
    <t>TR:3134</t>
  </si>
  <si>
    <t>3134</t>
  </si>
  <si>
    <t>row 24</t>
  </si>
  <si>
    <t>TR:3136</t>
  </si>
  <si>
    <t>3136</t>
  </si>
  <si>
    <t>row 18</t>
  </si>
  <si>
    <t>TR:3137</t>
  </si>
  <si>
    <t>3137</t>
  </si>
  <si>
    <t>row 17</t>
  </si>
  <si>
    <t>TR:3138</t>
  </si>
  <si>
    <t>3138</t>
  </si>
  <si>
    <t>TR:3139</t>
  </si>
  <si>
    <t>3139</t>
  </si>
  <si>
    <t>row 13</t>
  </si>
  <si>
    <t>TR:3142</t>
  </si>
  <si>
    <t>3142</t>
  </si>
  <si>
    <t>row 14</t>
  </si>
  <si>
    <t>TR:3143</t>
  </si>
  <si>
    <t>3143</t>
  </si>
  <si>
    <t>row 11</t>
  </si>
  <si>
    <t>TR:3144</t>
  </si>
  <si>
    <t>3144</t>
  </si>
  <si>
    <t>TR:3145</t>
  </si>
  <si>
    <t>3145</t>
  </si>
  <si>
    <t>row 4</t>
  </si>
  <si>
    <t>TR:4611</t>
  </si>
  <si>
    <t>4611</t>
  </si>
  <si>
    <t>TR:4612</t>
  </si>
  <si>
    <t>4612</t>
  </si>
  <si>
    <t>TR:4614</t>
  </si>
  <si>
    <t>4614</t>
  </si>
  <si>
    <t>TR:4615</t>
  </si>
  <si>
    <t>4615</t>
  </si>
  <si>
    <t>Elbistan; Pazarcik</t>
  </si>
  <si>
    <t>row 12</t>
  </si>
  <si>
    <t>TR:4616</t>
  </si>
  <si>
    <t>4616</t>
  </si>
  <si>
    <t>row 6</t>
  </si>
  <si>
    <t>TR:8002</t>
  </si>
  <si>
    <t>8002</t>
  </si>
  <si>
    <t>row 22</t>
  </si>
  <si>
    <t>TR:8101</t>
  </si>
  <si>
    <t>8101</t>
  </si>
  <si>
    <t>Table 2</t>
  </si>
  <si>
    <t>TR:8102</t>
  </si>
  <si>
    <t>8102</t>
  </si>
  <si>
    <t>TR:8104</t>
  </si>
  <si>
    <t>8104</t>
  </si>
  <si>
    <t>TR:8109</t>
  </si>
  <si>
    <t>8109</t>
  </si>
  <si>
    <t>TR:arcelik</t>
  </si>
  <si>
    <t>ROTD50_d050 row 1149; RSN=1148; Arcelik</t>
  </si>
  <si>
    <t>Taiwan database(NCREE)!H164:I164</t>
  </si>
  <si>
    <t>TR:bolu</t>
  </si>
  <si>
    <t>ROTD50_d050 row 1603; RSN=1602; Bolu</t>
  </si>
  <si>
    <t>Taiwan database(NCREE)!H156:I156</t>
  </si>
  <si>
    <t>TR:duzce</t>
  </si>
  <si>
    <t>ROTD50_d050 row 1606; RSN=1605; Duzce</t>
  </si>
  <si>
    <t>TR:gebze</t>
  </si>
  <si>
    <t>ROTD50_d050 row 1162; RSN=1161; Gebze</t>
  </si>
  <si>
    <t>Taiwan database(NCREE)!H165:I165</t>
  </si>
  <si>
    <t>TR:irigm487</t>
  </si>
  <si>
    <t>ROTD50_d050 row 8165; RSN=8164; IRIGM 487</t>
  </si>
  <si>
    <t>Taiwan database(NCREE)!H157:I157</t>
  </si>
  <si>
    <t>TR:izmit</t>
  </si>
  <si>
    <t>ROTD50_d050 row 1166; RSN=1165; Izmit</t>
  </si>
  <si>
    <t>Taiwan database(NCREE)!H166:I166</t>
  </si>
  <si>
    <t>TR:khmn</t>
  </si>
  <si>
    <t>row 15</t>
  </si>
  <si>
    <t>TR:nar</t>
  </si>
  <si>
    <t>row 16</t>
  </si>
  <si>
    <t>TR:yarimca</t>
  </si>
  <si>
    <t>ROTD50_d050 row 1177; RSN=1176; Yarimca</t>
  </si>
  <si>
    <t>Taiwan database(NCREE)!H167:I167</t>
  </si>
  <si>
    <t>TW:chy005</t>
  </si>
  <si>
    <t>Taiwan database(NCREE)!H288:I288</t>
  </si>
  <si>
    <t>TW:chy006</t>
  </si>
  <si>
    <t>1999_ChiChi_Taiwan; 1999_Chiayi_01_Taiwan</t>
  </si>
  <si>
    <t>Taiwan database(NCREE)!H82:I82</t>
  </si>
  <si>
    <t>ROTD50_d050 row 1183; RSN=1182; CHY006</t>
  </si>
  <si>
    <t>TW:chy008</t>
  </si>
  <si>
    <t>Taiwan database(NCREE)!H239:I239</t>
  </si>
  <si>
    <t>Taiwan database(NCREE)!H148:I148</t>
  </si>
  <si>
    <t>TW:chy009</t>
  </si>
  <si>
    <t>1999_Chiayi_01_Taiwan; 1999_Chiayi_02_Taiwan</t>
  </si>
  <si>
    <t>Taiwan database(NCREE)!H138:I138</t>
  </si>
  <si>
    <t>TW:chy010</t>
  </si>
  <si>
    <t>Taiwan database(NCREE)!H139:I139</t>
  </si>
  <si>
    <t>TW:chy011</t>
  </si>
  <si>
    <t>Taiwan database(NCREE)!H62:I62</t>
  </si>
  <si>
    <t>TW:chy012</t>
  </si>
  <si>
    <t>Taiwan database(NCREE)!H289:I289</t>
  </si>
  <si>
    <t>TW:chy013</t>
  </si>
  <si>
    <t>Taiwan database(NCREE)!H150:I150</t>
  </si>
  <si>
    <t>TW:chy014</t>
  </si>
  <si>
    <t>Taiwan database(NCREE)!H169:I169</t>
  </si>
  <si>
    <t>TW:chy016</t>
  </si>
  <si>
    <t>Taiwan database(NCREE)!H240:I240</t>
  </si>
  <si>
    <t>TW:chy017</t>
  </si>
  <si>
    <t>2010_Jiaxian_Taiwan; 2016_Meinong_Taiwan</t>
  </si>
  <si>
    <t>Taiwan database(NCREE)!H241:I241</t>
  </si>
  <si>
    <t>TW:chy018</t>
  </si>
  <si>
    <t>Taiwan database(NCREE)!H291:I291</t>
  </si>
  <si>
    <t>TW:chy020</t>
  </si>
  <si>
    <t>Meinong</t>
  </si>
  <si>
    <t>Taiwan database(NCREE)!H292:I292</t>
  </si>
  <si>
    <t>TW:chy024</t>
  </si>
  <si>
    <t>1999_ChiChi_03_Taiwan; 1999_ChiChi_Taiwan</t>
  </si>
  <si>
    <t>Taiwan database(NCREE)!H64:I64</t>
  </si>
  <si>
    <t>Chi-Chi, Taiwan; Chi-Chi, Taiwan-03</t>
  </si>
  <si>
    <t>ROTD50_d050 row 1194; RSN=1193; CHY024</t>
  </si>
  <si>
    <t>TW:chy032</t>
  </si>
  <si>
    <t>Taiwan database(NCREE)!H151:I151</t>
  </si>
  <si>
    <t>TW:chy034</t>
  </si>
  <si>
    <t>Taiwan database(NCREE)!H140:I140</t>
  </si>
  <si>
    <t>TW:chy035</t>
  </si>
  <si>
    <t>Taiwan database(NCREE)!H65:I65</t>
  </si>
  <si>
    <t>ROTD50_d050 row 2467; RSN=2466; CHY035</t>
  </si>
  <si>
    <t>TW:chy036</t>
  </si>
  <si>
    <t>Taiwan database(NCREE)!H141:I141</t>
  </si>
  <si>
    <t>TW:chy037</t>
  </si>
  <si>
    <t>Taiwan database(NCREE)!H142:I142</t>
  </si>
  <si>
    <t>Taiwan database(NCREE)!H293:I293</t>
  </si>
  <si>
    <t>TW:chy038</t>
  </si>
  <si>
    <t>Taiwan database(NCREE)!H143:I143</t>
  </si>
  <si>
    <t>TW:chy039</t>
  </si>
  <si>
    <t>Taiwan database(NCREE)!H294:I294</t>
  </si>
  <si>
    <t>Taiwan database(NCREE)!H152:I152</t>
  </si>
  <si>
    <t>TW:chy044</t>
  </si>
  <si>
    <t>Taiwan database(NCREE)!H242:I242</t>
  </si>
  <si>
    <t>TW:chy046</t>
  </si>
  <si>
    <t>Taiwan database(NCREE)!H144:I144</t>
  </si>
  <si>
    <t>TW:chy047</t>
  </si>
  <si>
    <t>Taiwan database(NCREE)!H145:I145</t>
  </si>
  <si>
    <t>TW:chy048</t>
  </si>
  <si>
    <t>Taiwan database(NCREE)!H63:I63</t>
  </si>
  <si>
    <t>TW:chy049</t>
  </si>
  <si>
    <t>Taiwan database(NCREE)!H243:I243</t>
  </si>
  <si>
    <t>TW:chy051</t>
  </si>
  <si>
    <t>Taiwan database(NCREE)!H295:I295</t>
  </si>
  <si>
    <t>TW:chy055</t>
  </si>
  <si>
    <t>Taiwan database(NCREE)!H244:I244</t>
  </si>
  <si>
    <t>TW:chy056</t>
  </si>
  <si>
    <t>Taiwan database(NCREE)!H245:I245</t>
  </si>
  <si>
    <t>Taiwan database(NCREE)!H297:I297</t>
  </si>
  <si>
    <t>TW:chy058</t>
  </si>
  <si>
    <t>Taiwan database(NCREE)!H298:I298</t>
  </si>
  <si>
    <t>Taiwan database(NCREE)!H246:I246</t>
  </si>
  <si>
    <t>TW:chy059</t>
  </si>
  <si>
    <t>Taiwan database(NCREE)!H247:I247</t>
  </si>
  <si>
    <t>TW:chy060</t>
  </si>
  <si>
    <t>Taiwan database(NCREE)!H299:I299</t>
  </si>
  <si>
    <t>TW:chy062</t>
  </si>
  <si>
    <t>Taiwan database(NCREE)!H300:I300</t>
  </si>
  <si>
    <t>TW:chy063</t>
  </si>
  <si>
    <t>Taiwan database(NCREE)!H301:I301</t>
  </si>
  <si>
    <t>Taiwan database(NCREE)!H248:I248</t>
  </si>
  <si>
    <t>TW:chy065</t>
  </si>
  <si>
    <t>Taiwan database(NCREE)!H302:I302</t>
  </si>
  <si>
    <t>TW:chy067</t>
  </si>
  <si>
    <t>Taiwan database(NCREE)!H303:I303</t>
  </si>
  <si>
    <t>TW:chy068</t>
  </si>
  <si>
    <t>Taiwan database(NCREE)!H304:I304</t>
  </si>
  <si>
    <t>TW:chy069</t>
  </si>
  <si>
    <t>Taiwan database(NCREE)!H305:I305</t>
  </si>
  <si>
    <t>TW:chy070</t>
  </si>
  <si>
    <t>Taiwan database(NCREE)!H306:I306</t>
  </si>
  <si>
    <t>TW:chy071</t>
  </si>
  <si>
    <t>Taiwan database(NCREE)!H307:I307</t>
  </si>
  <si>
    <t>TW:chy073</t>
  </si>
  <si>
    <t>Taiwan database(NCREE)!H146:I146</t>
  </si>
  <si>
    <t>TW:chy074</t>
  </si>
  <si>
    <t>Taiwan database(NCREE)!H155:I155</t>
  </si>
  <si>
    <t>ROTD50_d050 row 2735; RSN=2734; CHY074</t>
  </si>
  <si>
    <t>TW:chy080</t>
  </si>
  <si>
    <t>Taiwan database(NCREE)!H66:I66</t>
  </si>
  <si>
    <t>Taiwan database(NCREE)!H308:I308</t>
  </si>
  <si>
    <t>ROTD50_d050 row 2496; RSN=2495; CHY080</t>
  </si>
  <si>
    <t>TW:chy083</t>
  </si>
  <si>
    <t>Taiwan database(NCREE)!H268:I268</t>
  </si>
  <si>
    <t>TW:chy085</t>
  </si>
  <si>
    <t>Taiwan database(NCREE)!H309:I309</t>
  </si>
  <si>
    <t>TW:chy089</t>
  </si>
  <si>
    <t>Taiwan database(NCREE)!H310:I310</t>
  </si>
  <si>
    <t>Taiwan database(NCREE)!H249:I249</t>
  </si>
  <si>
    <t>TW:chy095</t>
  </si>
  <si>
    <t>Taiwan database(NCREE)!H153:I153</t>
  </si>
  <si>
    <t>Taiwan database(NCREE)!H250:I250</t>
  </si>
  <si>
    <t>TW:chy097</t>
  </si>
  <si>
    <t>Taiwan database(NCREE)!H311:I311</t>
  </si>
  <si>
    <t>TW:chy098</t>
  </si>
  <si>
    <t>Taiwan database(NCREE)!H312:I312</t>
  </si>
  <si>
    <t>TW:chy101</t>
  </si>
  <si>
    <t>1999_ChiChi_07_Taiwan; 1999_ChiChi_Taiwan</t>
  </si>
  <si>
    <t>Taiwan database(NCREE)!H78:I78</t>
  </si>
  <si>
    <t>Chi-Chi, Taiwan; Chi-Chi, Taiwan-06</t>
  </si>
  <si>
    <t>ROTD50_d050 row 1245; RSN=1244; CHY101</t>
  </si>
  <si>
    <t>TW:chy105</t>
  </si>
  <si>
    <t>Taiwan database(NCREE)!H313:I313</t>
  </si>
  <si>
    <t>TW:chy106</t>
  </si>
  <si>
    <t>Taiwan database(NCREE)!H154:I154</t>
  </si>
  <si>
    <t>Taiwan database(NCREE)!H147:I147</t>
  </si>
  <si>
    <t>TW:chy107</t>
  </si>
  <si>
    <t>Taiwan database(NCREE)!H251:I251</t>
  </si>
  <si>
    <t>TW:chy113</t>
  </si>
  <si>
    <t>Taiwan database(NCREE)!H252:I252</t>
  </si>
  <si>
    <t>TW:chy115</t>
  </si>
  <si>
    <t>Taiwan database(NCREE)!H315:I315</t>
  </si>
  <si>
    <t>Taiwan database(NCREE)!H253:I253</t>
  </si>
  <si>
    <t>TW:chy116</t>
  </si>
  <si>
    <t>Taiwan database(NCREE)!H316:I316</t>
  </si>
  <si>
    <t>TW:chy122</t>
  </si>
  <si>
    <t>Taiwan database(NCREE)!H254:I254</t>
  </si>
  <si>
    <t>TW:chy123</t>
  </si>
  <si>
    <t>Taiwan database(NCREE)!H255:I255</t>
  </si>
  <si>
    <t>TW:chy125</t>
  </si>
  <si>
    <t>Taiwan database(NCREE)!H317:I317</t>
  </si>
  <si>
    <t>TW:chy128</t>
  </si>
  <si>
    <t>Taiwan database(NCREE)!H256:I256</t>
  </si>
  <si>
    <t>TW:chy129</t>
  </si>
  <si>
    <t>Taiwan database(NCREE)!H257:I257</t>
  </si>
  <si>
    <t>TW:chy131</t>
  </si>
  <si>
    <t>Taiwan database(NCREE)!H318:I318</t>
  </si>
  <si>
    <t>Taiwan database(NCREE)!H258:I258</t>
  </si>
  <si>
    <t>TW:chy134</t>
  </si>
  <si>
    <t>Taiwan database(NCREE)!H259:I259</t>
  </si>
  <si>
    <t>TW:hwa005</t>
  </si>
  <si>
    <t>Taiwan database(NCREE)!H273:I273</t>
  </si>
  <si>
    <t>TW:hwa006</t>
  </si>
  <si>
    <t>Taiwan database(NCREE)!H274:I274</t>
  </si>
  <si>
    <t>TW:hwa007</t>
  </si>
  <si>
    <t>Hualien</t>
  </si>
  <si>
    <t>Taiwan database(NCREE)!H322:I322</t>
  </si>
  <si>
    <t>TW:hwa008</t>
  </si>
  <si>
    <t>Taiwan database(NCREE)!H323:I323</t>
  </si>
  <si>
    <t>TW:hwa009</t>
  </si>
  <si>
    <t>Taiwan database(NCREE)!H324:I324</t>
  </si>
  <si>
    <t>TW:hwa010</t>
  </si>
  <si>
    <t>Taiwan database(NCREE)!H325:I325</t>
  </si>
  <si>
    <t>TW:hwa011</t>
  </si>
  <si>
    <t>Taiwan database(NCREE)!H326:I326</t>
  </si>
  <si>
    <t>1999_Hualien_Taiwan; 2018_Hualien_Taiwan</t>
  </si>
  <si>
    <t>Taiwan database(NCREE)!H158:I158</t>
  </si>
  <si>
    <t>TW:hwa012</t>
  </si>
  <si>
    <t>Taiwan database(NCREE)!H327:I327</t>
  </si>
  <si>
    <t>TW:hwa013</t>
  </si>
  <si>
    <t>Taiwan database(NCREE)!H328:I328</t>
  </si>
  <si>
    <t>TW:hwa014</t>
  </si>
  <si>
    <t>Taiwan database(NCREE)!H329:I329</t>
  </si>
  <si>
    <t>TW:hwa015</t>
  </si>
  <si>
    <t>Taiwan database(NCREE)!H212:I212</t>
  </si>
  <si>
    <t>Taiwan database(NCREE)!H330:I330</t>
  </si>
  <si>
    <t>TW:hwa016</t>
  </si>
  <si>
    <t>Taiwan database(NCREE)!H331:I331</t>
  </si>
  <si>
    <t>Taiwan database(NCREE)!H213:I213</t>
  </si>
  <si>
    <t>TW:hwa017</t>
  </si>
  <si>
    <t>Taiwan database(NCREE)!H332:I332</t>
  </si>
  <si>
    <t>TW:hwa019</t>
  </si>
  <si>
    <t>Taiwan database(NCREE)!H333:I333</t>
  </si>
  <si>
    <t>TW:hwa027</t>
  </si>
  <si>
    <t>Taiwan database(NCREE)!H214:I214</t>
  </si>
  <si>
    <t>TW:hwa028</t>
  </si>
  <si>
    <t>Taiwan database(NCREE)!H215:I215</t>
  </si>
  <si>
    <t>Taiwan database(NCREE)!H334:I334</t>
  </si>
  <si>
    <t>TW:hwa030</t>
  </si>
  <si>
    <t>Taiwan database(NCREE)!H275:I275</t>
  </si>
  <si>
    <t>TW:hwa032</t>
  </si>
  <si>
    <t>Taiwan database(NCREE)!H276:I276</t>
  </si>
  <si>
    <t>TW:hwa033</t>
  </si>
  <si>
    <t>Taiwan database(NCREE)!H159:I159</t>
  </si>
  <si>
    <t>TW:hwa035</t>
  </si>
  <si>
    <t>Taiwan database(NCREE)!H277:I277</t>
  </si>
  <si>
    <t>TW:hwa044</t>
  </si>
  <si>
    <t>Taiwan database(NCREE)!H278:I278</t>
  </si>
  <si>
    <t>TW:hwa048</t>
  </si>
  <si>
    <t>Taiwan database(NCREE)!H216:I216</t>
  </si>
  <si>
    <t>TW:hwa049</t>
  </si>
  <si>
    <t>Taiwan database(NCREE)!H160:I160</t>
  </si>
  <si>
    <t>TW:hwa050</t>
  </si>
  <si>
    <t>Taiwan database(NCREE)!H217:I217</t>
  </si>
  <si>
    <t>Taiwan database(NCREE)!H335:I335</t>
  </si>
  <si>
    <t>TW:hwa051</t>
  </si>
  <si>
    <t>Taiwan database(NCREE)!H161:I161</t>
  </si>
  <si>
    <t>TW:hwa055</t>
  </si>
  <si>
    <t>Taiwan database(NCREE)!H162:I162</t>
  </si>
  <si>
    <t>TW:hwa059</t>
  </si>
  <si>
    <t>Taiwan database(NCREE)!H163:I163</t>
  </si>
  <si>
    <t>TW:hwa060</t>
  </si>
  <si>
    <t>Taiwan database(NCREE)!H336:I336</t>
  </si>
  <si>
    <t>TW:hwa061</t>
  </si>
  <si>
    <t>Taiwan database(NCREE)!H218:I218</t>
  </si>
  <si>
    <t>TW:hwa062</t>
  </si>
  <si>
    <t>Taiwan database(NCREE)!H337:I337</t>
  </si>
  <si>
    <t>TW:hwa063</t>
  </si>
  <si>
    <t>Taiwan database(NCREE)!H338:I338</t>
  </si>
  <si>
    <t>TW:ila027</t>
  </si>
  <si>
    <t>Taiwan database(NCREE)!H198:I198</t>
  </si>
  <si>
    <t>Taiwan database(NCREE)!H171:I171</t>
  </si>
  <si>
    <t>TW:ila028</t>
  </si>
  <si>
    <t>Taiwan database(NCREE)!H172:I172</t>
  </si>
  <si>
    <t>TW:ila038</t>
  </si>
  <si>
    <t>Taiwan database(NCREE)!H173:I173</t>
  </si>
  <si>
    <t>Taiwan database(NCREE)!H199:I199</t>
  </si>
  <si>
    <t>TW:ila040</t>
  </si>
  <si>
    <t>Taiwan database(NCREE)!H174:I174</t>
  </si>
  <si>
    <t>TW:ila049</t>
  </si>
  <si>
    <t>Taiwan database(NCREE)!H175:I175</t>
  </si>
  <si>
    <t>TW:kau046</t>
  </si>
  <si>
    <t>Taiwan database(NCREE)!H201:I201</t>
  </si>
  <si>
    <t>Taiwan database(NCREE)!H200:I200</t>
  </si>
  <si>
    <t>TW:kau081</t>
  </si>
  <si>
    <t>Taiwan database(NCREE)!H202:I202</t>
  </si>
  <si>
    <t>TW:kau082</t>
  </si>
  <si>
    <t>Taiwan database(NCREE)!H203:I203</t>
  </si>
  <si>
    <t>TW:nst</t>
  </si>
  <si>
    <t>Taiwan database(NCREE)!H85:I85</t>
  </si>
  <si>
    <t>ROTD50_d050 row 1403; RSN=1402; NST</t>
  </si>
  <si>
    <t>TW:nsy</t>
  </si>
  <si>
    <t>ROTD50_d050 row 1404; RSN=1403; NSY</t>
  </si>
  <si>
    <t>TW:s009</t>
  </si>
  <si>
    <t>Taiwan database(NCREE)!H339:I339</t>
  </si>
  <si>
    <t>TW:s019</t>
  </si>
  <si>
    <t>Taiwan database(NCREE)!H340:I340</t>
  </si>
  <si>
    <t>TW:shh</t>
  </si>
  <si>
    <t>Taiwan database(NCREE)!H319:I319</t>
  </si>
  <si>
    <t>TW:smart1c00</t>
  </si>
  <si>
    <t>ROTD50_d050 row 504; RSN=503; SMART1 C00</t>
  </si>
  <si>
    <t>TW:smart1e01</t>
  </si>
  <si>
    <t>ROTD50_d050 row 505; RSN=504; SMART1 E01</t>
  </si>
  <si>
    <t>TW:smart1i01</t>
  </si>
  <si>
    <t>ROTD50_d050 row 506; RSN=505; SMART1 I01</t>
  </si>
  <si>
    <t>TW:smart1i02</t>
  </si>
  <si>
    <t>ROTD50_d050 row 3635; RSN=3634; SMART1 I02</t>
  </si>
  <si>
    <t>TW:smart1i03</t>
  </si>
  <si>
    <t>ROTD50_d050 row 3636; RSN=3635; SMART1 I03</t>
  </si>
  <si>
    <t>TW:smart1i04</t>
  </si>
  <si>
    <t>ROTD50_d050 row 3637; RSN=3636; SMART1 I04</t>
  </si>
  <si>
    <t>TW:smart1i05</t>
  </si>
  <si>
    <t>ROTD50_d050 row 3638; RSN=3637; SMART1 I05</t>
  </si>
  <si>
    <t>TW:smart1i06</t>
  </si>
  <si>
    <t>ROTD50_d050 row 3639; RSN=3638; SMART1 I06</t>
  </si>
  <si>
    <t>TW:smart1i07</t>
  </si>
  <si>
    <t>ROTD50_d050 row 507; RSN=506; SMART1 I07</t>
  </si>
  <si>
    <t>TW:smart1i08</t>
  </si>
  <si>
    <t>ROTD50_d050 row 3640; RSN=3639; SMART1 I08</t>
  </si>
  <si>
    <t>TW:smart1i09</t>
  </si>
  <si>
    <t>ROTD50_d050 row 3641; RSN=3640; SMART1 I09</t>
  </si>
  <si>
    <t>TW:smart1i11</t>
  </si>
  <si>
    <t>ROTD50_d050 row 3642; RSN=3641; SMART1 I11</t>
  </si>
  <si>
    <t>TW:smart1i12</t>
  </si>
  <si>
    <t>ROTD50_d050 row 3643; RSN=3642; SMART1 I12</t>
  </si>
  <si>
    <t>TW:smart1m01</t>
  </si>
  <si>
    <t>ROTD50_d050 row 508; RSN=507; SMART1 M01</t>
  </si>
  <si>
    <t>TW:smart1m02</t>
  </si>
  <si>
    <t>ROTD50_d050 row 3644; RSN=3643; SMART1 M02</t>
  </si>
  <si>
    <t>TW:smart1m03</t>
  </si>
  <si>
    <t>ROTD50_d050 row 3645; RSN=3644; SMART1 M03</t>
  </si>
  <si>
    <t>TW:smart1m04</t>
  </si>
  <si>
    <t>ROTD50_d050 row 3646; RSN=3645; SMART1 M04</t>
  </si>
  <si>
    <t>TW:smart1m05</t>
  </si>
  <si>
    <t>ROTD50_d050 row 3647; RSN=3646; SMART1 M05</t>
  </si>
  <si>
    <t>TW:smart1m06</t>
  </si>
  <si>
    <t>ROTD50_d050 row 3648; RSN=3647; SMART1 M06</t>
  </si>
  <si>
    <t>TW:smart1m07</t>
  </si>
  <si>
    <t>ROTD50_d050 row 509; RSN=508; SMART1 M07</t>
  </si>
  <si>
    <t>TW:smart1m09</t>
  </si>
  <si>
    <t>ROTD50_d050 row 3650; RSN=3649; SMART1 M09</t>
  </si>
  <si>
    <t>TW:smart1m10</t>
  </si>
  <si>
    <t>ROTD50_d050 row 3651; RSN=3650; SMART1 M10</t>
  </si>
  <si>
    <t>TW:smart1m12</t>
  </si>
  <si>
    <t>ROTD50_d050 row 3653; RSN=3652; SMART1 M12</t>
  </si>
  <si>
    <t>TW:smart1o04</t>
  </si>
  <si>
    <t>ROTD50_d050 row 3656; RSN=3655; SMART1 O04</t>
  </si>
  <si>
    <t>TW:smart1o05</t>
  </si>
  <si>
    <t>ROTD50_d050 row 3657; RSN=3656; SMART1 O05</t>
  </si>
  <si>
    <t>TW:smart1o06</t>
  </si>
  <si>
    <t>ROTD50_d050 row 3658; RSN=3657; SMART1 O06</t>
  </si>
  <si>
    <t>TW:smart1o07</t>
  </si>
  <si>
    <t>ROTD50_d050 row 511; RSN=510; SMART1 O07</t>
  </si>
  <si>
    <t>TW:smart1o08</t>
  </si>
  <si>
    <t>ROTD50_d050 row 3659; RSN=3658; SMART1 O08</t>
  </si>
  <si>
    <t>TW:smart1o11</t>
  </si>
  <si>
    <t>ROTD50_d050 row 3661; RSN=3660; SMART1 O11</t>
  </si>
  <si>
    <t>TW:ssh</t>
  </si>
  <si>
    <t>Taiwan database(NCREE)!H320:I320</t>
  </si>
  <si>
    <t>TW:tap013</t>
  </si>
  <si>
    <t>Taiwan database(NCREE)!H176:I176</t>
  </si>
  <si>
    <t>TW:tap017</t>
  </si>
  <si>
    <t>Taiwan database(NCREE)!H177:I177</t>
  </si>
  <si>
    <t>TW:tap020</t>
  </si>
  <si>
    <t>Taiwan database(NCREE)!H178:I178</t>
  </si>
  <si>
    <t>TW:tap037</t>
  </si>
  <si>
    <t>Taiwan database(NCREE)!H179:I179</t>
  </si>
  <si>
    <t>TW:tap040</t>
  </si>
  <si>
    <t>Taiwan database(NCREE)!H180:I180</t>
  </si>
  <si>
    <t>TW:tap041</t>
  </si>
  <si>
    <t>Taiwan database(NCREE)!H181:I181</t>
  </si>
  <si>
    <t>TW:tap100</t>
  </si>
  <si>
    <t>Taiwan database(NCREE)!H182:I182</t>
  </si>
  <si>
    <t>TW:tcu</t>
  </si>
  <si>
    <t>ROTD50_d050 row 1463; RSN=1462; TCU</t>
  </si>
  <si>
    <t>TW:tcu006</t>
  </si>
  <si>
    <t>Taiwan database(NCREE)!H86:I86</t>
  </si>
  <si>
    <t>ROTD50_d050 row 1465; RSN=1464; TCU006</t>
  </si>
  <si>
    <t>TW:tcu014</t>
  </si>
  <si>
    <t>ROTD50_d050 row 1471; RSN=1470; TCU014</t>
  </si>
  <si>
    <t>TW:tcu015</t>
  </si>
  <si>
    <t>Taiwan database(NCREE)!H87:I87</t>
  </si>
  <si>
    <t>ROTD50_d050 row 1472; RSN=1471; TCU015</t>
  </si>
  <si>
    <t>TW:tcu017</t>
  </si>
  <si>
    <t>Taiwan database(NCREE)!H88:I88</t>
  </si>
  <si>
    <t>ROTD50_d050 row 1473; RSN=1472; TCU017</t>
  </si>
  <si>
    <t>TW:tcu018</t>
  </si>
  <si>
    <t>Taiwan database(NCREE)!H89:I89</t>
  </si>
  <si>
    <t>ROTD50_d050 row 1474; RSN=1473; TCU018</t>
  </si>
  <si>
    <t>TW:tcu026</t>
  </si>
  <si>
    <t>Taiwan database(NCREE)!H90:I90</t>
  </si>
  <si>
    <t>ROTD50_d050 row 1476; RSN=1475; TCU026</t>
  </si>
  <si>
    <t>TW:tcu029</t>
  </si>
  <si>
    <t>Taiwan database(NCREE)!H91:I91</t>
  </si>
  <si>
    <t>ROTD50_d050 row 1477; RSN=1476; TCU029</t>
  </si>
  <si>
    <t>TW:tcu031</t>
  </si>
  <si>
    <t>Taiwan database(NCREE)!H92:I92</t>
  </si>
  <si>
    <t>ROTD50_d050 row 1478; RSN=1477; TCU031</t>
  </si>
  <si>
    <t>TW:tcu033</t>
  </si>
  <si>
    <t>Taiwan database(NCREE)!H93:I93</t>
  </si>
  <si>
    <t>ROTD50_d050 row 1479; RSN=1478; TCU033</t>
  </si>
  <si>
    <t>TW:tcu034</t>
  </si>
  <si>
    <t>Taiwan database(NCREE)!H94:I94</t>
  </si>
  <si>
    <t>ROTD50_d050 row 1480; RSN=1479; TCU034</t>
  </si>
  <si>
    <t>TW:tcu036</t>
  </si>
  <si>
    <t>Taiwan database(NCREE)!H95:I95</t>
  </si>
  <si>
    <t>ROTD50_d050 row 1481; RSN=1480; TCU036</t>
  </si>
  <si>
    <t>TW:tcu038</t>
  </si>
  <si>
    <t>Taiwan database(NCREE)!H96:I96</t>
  </si>
  <si>
    <t>ROTD50_d050 row 1482; RSN=1481; TCU038</t>
  </si>
  <si>
    <t>TW:tcu039</t>
  </si>
  <si>
    <t>Taiwan database(NCREE)!H97:I97</t>
  </si>
  <si>
    <t>ROTD50_d050 row 1483; RSN=1482; TCU039</t>
  </si>
  <si>
    <t>TW:tcu040</t>
  </si>
  <si>
    <t>Taiwan database(NCREE)!H98:I98</t>
  </si>
  <si>
    <t>ROTD50_d050 row 1484; RSN=1483; TCU040</t>
  </si>
  <si>
    <t>TW:tcu042</t>
  </si>
  <si>
    <t>Taiwan database(NCREE)!H99:I99</t>
  </si>
  <si>
    <t>TW:tcu045</t>
  </si>
  <si>
    <t>Taiwan database(NCREE)!H100:I100</t>
  </si>
  <si>
    <t>ROTD50_d050 row 1486; RSN=1485; TCU045</t>
  </si>
  <si>
    <t>TW:tcu046</t>
  </si>
  <si>
    <t>Taiwan database(NCREE)!H101:I101</t>
  </si>
  <si>
    <t>ROTD50_d050 row 1487; RSN=1486; TCU046</t>
  </si>
  <si>
    <t>TW:tcu047</t>
  </si>
  <si>
    <t>Taiwan database(NCREE)!H102:I102</t>
  </si>
  <si>
    <t>ROTD50_d050 row 1488; RSN=1487; TCU047</t>
  </si>
  <si>
    <t>TW:tcu049</t>
  </si>
  <si>
    <t>Taiwan database(NCREE)!H103:I103</t>
  </si>
  <si>
    <t>ROTD50_d050 row 1490; RSN=1489; TCU049</t>
  </si>
  <si>
    <t>TW:tcu050</t>
  </si>
  <si>
    <t>Taiwan database(NCREE)!H104:I104</t>
  </si>
  <si>
    <t>TW:tcu051</t>
  </si>
  <si>
    <t>Taiwan database(NCREE)!H105:I105</t>
  </si>
  <si>
    <t>ROTD50_d050 row 1492; RSN=1491; TCU051</t>
  </si>
  <si>
    <t>TW:tcu052</t>
  </si>
  <si>
    <t>Taiwan database(NCREE)!H106:I106</t>
  </si>
  <si>
    <t>ROTD50_d050 row 1493; RSN=1492; TCU052</t>
  </si>
  <si>
    <t>TW:tcu053</t>
  </si>
  <si>
    <t>Taiwan database(NCREE)!H107:I107</t>
  </si>
  <si>
    <t>ROTD50_d050 row 1494; RSN=1493; TCU053</t>
  </si>
  <si>
    <t>TW:tcu054</t>
  </si>
  <si>
    <t>Taiwan database(NCREE)!H108:I108</t>
  </si>
  <si>
    <t>TW:tcu055</t>
  </si>
  <si>
    <t>Taiwan database(NCREE)!H109:I109</t>
  </si>
  <si>
    <t>TW:tcu056</t>
  </si>
  <si>
    <t>Taiwan database(NCREE)!H110:I110</t>
  </si>
  <si>
    <t>ROTD50_d050 row 1497; RSN=1496; TCU056</t>
  </si>
  <si>
    <t>TW:tcu059</t>
  </si>
  <si>
    <t>Taiwan database(NCREE)!H111:I111</t>
  </si>
  <si>
    <t>ROTD50_d050 row 1499; RSN=1498; TCU059</t>
  </si>
  <si>
    <t>TW:tcu063</t>
  </si>
  <si>
    <t>Taiwan database(NCREE)!H112:I112</t>
  </si>
  <si>
    <t>ROTD50_d050 row 1502; RSN=1501; TCU063</t>
  </si>
  <si>
    <t>TW:tcu064</t>
  </si>
  <si>
    <t>Taiwan database(NCREE)!H113:I113</t>
  </si>
  <si>
    <t>ROTD50_d050 row 1503; RSN=1502; TCU064</t>
  </si>
  <si>
    <t>TW:tcu065</t>
  </si>
  <si>
    <t>1999_ChiChi_03_Taiwan; 1999_ChiChi_05_Taiwan; 1999_ChiChi_Taiwan</t>
  </si>
  <si>
    <t>Taiwan database(NCREE)!H67:I67</t>
  </si>
  <si>
    <t>Taiwan database(NCREE)!H262:I262</t>
  </si>
  <si>
    <t>ROTD50_d050 row 1504; RSN=1503; TCU065</t>
  </si>
  <si>
    <t>TW:tcu067</t>
  </si>
  <si>
    <t>1999_ChiChi_05_Taiwan; 1999_ChiChi_Taiwan</t>
  </si>
  <si>
    <t>Taiwan database(NCREE)!H73:I73</t>
  </si>
  <si>
    <t>TW:tcu068</t>
  </si>
  <si>
    <t>Taiwan database(NCREE)!H116:I116</t>
  </si>
  <si>
    <t>ROTD50_d050 row 1506; RSN=1505; TCU068</t>
  </si>
  <si>
    <t>TW:tcu071</t>
  </si>
  <si>
    <t>Taiwan database(NCREE)!H74:I74</t>
  </si>
  <si>
    <t>Taiwan database(NCREE)!H117:I117</t>
  </si>
  <si>
    <t>TW:tcu074</t>
  </si>
  <si>
    <t>Taiwan database(NCREE)!H269:I269</t>
  </si>
  <si>
    <t>TW:tcu075</t>
  </si>
  <si>
    <t>Taiwan database(NCREE)!H118:I118</t>
  </si>
  <si>
    <t>ROTD50_d050 row 1511; RSN=1510; TCU075</t>
  </si>
  <si>
    <t>TW:tcu076</t>
  </si>
  <si>
    <t>Taiwan database(NCREE)!H68:I68</t>
  </si>
  <si>
    <t>ROTD50_d050 row 1512; RSN=1511; TCU076</t>
  </si>
  <si>
    <t>TW:tcu077</t>
  </si>
  <si>
    <t>2013_Nantou_01_Taiwan; 2013_Nantou_02_Taiwan</t>
  </si>
  <si>
    <t>Taiwan database(NCREE)!H263:I263</t>
  </si>
  <si>
    <t>TW:tcu078</t>
  </si>
  <si>
    <t>1999_ChiChi_03_Taiwan; 1999_ChiChi_07_Taiwan</t>
  </si>
  <si>
    <t>Taiwan database(NCREE)!H69:I69</t>
  </si>
  <si>
    <t>Chi-Chi, Taiwan-03; Chi-Chi, Taiwan-06</t>
  </si>
  <si>
    <t>ROTD50_d050 row 2629; RSN=2628; TCU078</t>
  </si>
  <si>
    <t>TW:tcu079</t>
  </si>
  <si>
    <t>Taiwan database(NCREE)!H222:I222</t>
  </si>
  <si>
    <t>1999_ChiChi_05_Taiwan; 1999_ChiChi_07_Taiwan</t>
  </si>
  <si>
    <t>Taiwan database(NCREE)!H75:I75</t>
  </si>
  <si>
    <t>TW:tcu080</t>
  </si>
  <si>
    <t>ROTD50_d050 row 3476; RSN=3475; TCU080</t>
  </si>
  <si>
    <t>Taiwan database(NCREE)!H81:I81</t>
  </si>
  <si>
    <t>TW:tcu081</t>
  </si>
  <si>
    <t>ROTD50_d050 row 1515; RSN=1514; TCU081</t>
  </si>
  <si>
    <t>Taiwan database(NCREE)!H120:I120</t>
  </si>
  <si>
    <t>TW:tcu082</t>
  </si>
  <si>
    <t>Taiwan database(NCREE)!H121:I121</t>
  </si>
  <si>
    <t>ROTD50_d050 row 1516; RSN=1515; TCU082</t>
  </si>
  <si>
    <t>TW:tcu084</t>
  </si>
  <si>
    <t>Taiwan database(NCREE)!H264:I264</t>
  </si>
  <si>
    <t>Taiwan database(NCREE)!H76:I76</t>
  </si>
  <si>
    <t>TW:tcu087</t>
  </si>
  <si>
    <t>Taiwan database(NCREE)!H122:I122</t>
  </si>
  <si>
    <t>ROTD50_d050 row 1520; RSN=1519; TCU087</t>
  </si>
  <si>
    <t>TW:tcu088</t>
  </si>
  <si>
    <t>ROTD50_d050 row 1521; RSN=1520; TCU088</t>
  </si>
  <si>
    <t>TW:tcu094</t>
  </si>
  <si>
    <t>Taiwan database(NCREE)!H123:I123</t>
  </si>
  <si>
    <t>ROTD50_d050 row 1524; RSN=1523; TCU094</t>
  </si>
  <si>
    <t>TW:tcu095</t>
  </si>
  <si>
    <t>Taiwan database(NCREE)!H124:I124</t>
  </si>
  <si>
    <t>ROTD50_d050 row 1525; RSN=1524; TCU095</t>
  </si>
  <si>
    <t>TW:tcu096</t>
  </si>
  <si>
    <t>Taiwan database(NCREE)!H125:I125</t>
  </si>
  <si>
    <t>ROTD50_d050 row 1526; RSN=1525; TCU096</t>
  </si>
  <si>
    <t>TW:tcu098</t>
  </si>
  <si>
    <t>Taiwan database(NCREE)!H126:I126</t>
  </si>
  <si>
    <t>ROTD50_d050 row 1527; RSN=1526; TCU098</t>
  </si>
  <si>
    <t>TW:tcu100</t>
  </si>
  <si>
    <t>Taiwan database(NCREE)!H127:I127</t>
  </si>
  <si>
    <t>TW:tcu101</t>
  </si>
  <si>
    <t>Taiwan database(NCREE)!H128:I128</t>
  </si>
  <si>
    <t>ROTD50_d050 row 1529; RSN=1528; TCU101</t>
  </si>
  <si>
    <t>TW:tcu102</t>
  </si>
  <si>
    <t>Taiwan database(NCREE)!H129:I129</t>
  </si>
  <si>
    <t>ROTD50_d050 row 1530; RSN=1529; TCU102</t>
  </si>
  <si>
    <t>TW:tcu103</t>
  </si>
  <si>
    <t>Taiwan database(NCREE)!H130:I130</t>
  </si>
  <si>
    <t>ROTD50_d050 row 1531; RSN=1530; TCU103</t>
  </si>
  <si>
    <t>TW:tcu104</t>
  </si>
  <si>
    <t>Taiwan database(NCREE)!H131:I131</t>
  </si>
  <si>
    <t>ROTD50_d050 row 1532; RSN=1531; TCU104</t>
  </si>
  <si>
    <t>TW:tcu116</t>
  </si>
  <si>
    <t>Taiwan database(NCREE)!H70:I70</t>
  </si>
  <si>
    <t>TW:tcu124</t>
  </si>
  <si>
    <t>2009_Nantou_Taiwan; 2013_Nantou_01_Taiwan</t>
  </si>
  <si>
    <t>Taiwan database(NCREE)!H223:I223</t>
  </si>
  <si>
    <t>TW:tcu125</t>
  </si>
  <si>
    <t>Taiwan database(NCREE)!H266:I266</t>
  </si>
  <si>
    <t>TW:tcu126</t>
  </si>
  <si>
    <t>Taiwan database(NCREE)!H271:I271</t>
  </si>
  <si>
    <t>TW:tcu128</t>
  </si>
  <si>
    <t>Taiwan database(NCREE)!H132:I132</t>
  </si>
  <si>
    <t>ROTD50_d050 row 1549; RSN=1548; TCU128</t>
  </si>
  <si>
    <t>TW:tcu129</t>
  </si>
  <si>
    <t>Taiwan database(NCREE)!H133:I133</t>
  </si>
  <si>
    <t>TW:tcu133</t>
  </si>
  <si>
    <t>Taiwan database(NCREE)!H77:I77</t>
  </si>
  <si>
    <t>TW:tcu136</t>
  </si>
  <si>
    <t>Taiwan database(NCREE)!H135:I135</t>
  </si>
  <si>
    <t>ROTD50_d050 row 1551; RSN=1550; TCU136</t>
  </si>
  <si>
    <t>TW:tcu137</t>
  </si>
  <si>
    <t>Taiwan database(NCREE)!H136:I136</t>
  </si>
  <si>
    <t>TW:tcu138</t>
  </si>
  <si>
    <t>Taiwan database(NCREE)!H71:I71</t>
  </si>
  <si>
    <t>TW:tcu143</t>
  </si>
  <si>
    <t>Taiwan database(NCREE)!H267:I267</t>
  </si>
  <si>
    <t>TW:tcu167</t>
  </si>
  <si>
    <t>Taiwan database(NCREE)!H272:I272</t>
  </si>
  <si>
    <t>TW:trb029</t>
  </si>
  <si>
    <t>Taiwan database(NCREE)!H321:I321</t>
  </si>
  <si>
    <t>TW:trb042</t>
  </si>
  <si>
    <t>Taiwan database(NCREE)!H341:I341</t>
  </si>
  <si>
    <t>TW:ttn011</t>
  </si>
  <si>
    <t>Taiwan database(NCREE)!H204:I204</t>
  </si>
  <si>
    <t>TW:ttn012</t>
  </si>
  <si>
    <t>Taiwan database(NCREE)!H205:I205</t>
  </si>
  <si>
    <t>TW:ttn027</t>
  </si>
  <si>
    <t>Taiwan database(NCREE)!H206:I206</t>
  </si>
  <si>
    <t>TW:ttn045</t>
  </si>
  <si>
    <t>Taiwan database(NCREE)!H197:I197</t>
  </si>
  <si>
    <t>TW:ttn048</t>
  </si>
  <si>
    <t>Taiwan database(NCREE)!H207:I207</t>
  </si>
  <si>
    <t>Taiwan database(NCREE)!H211:I211</t>
  </si>
  <si>
    <t>TW:ttn049</t>
  </si>
  <si>
    <t>Taiwan database(NCREE)!H208:I208</t>
  </si>
  <si>
    <t>TW:ttn054</t>
  </si>
  <si>
    <t>Taiwan database(NCREE)!H209:I209</t>
  </si>
  <si>
    <t>TW:wgk</t>
  </si>
  <si>
    <t>ROTD50_d050 row 1596; RSN=1595; WGK</t>
  </si>
  <si>
    <t>US:agrarias</t>
  </si>
  <si>
    <t>ROTD50_d050 row 160; RSN=159; Agrarias</t>
  </si>
  <si>
    <t>Taiwan database(NCREE)!H8:I8</t>
  </si>
  <si>
    <t>US:alamedanavalairstnhanger</t>
  </si>
  <si>
    <t>ROTD50_d050 row 739; RSN=738; Alameda Naval Air Stn Hanger</t>
  </si>
  <si>
    <t>US:anticlineridgefreefield</t>
  </si>
  <si>
    <t>ROTD50_d050 row 373; RSN=372; Anticline Ridge Free-Field</t>
  </si>
  <si>
    <t>US:anticlineridgepad</t>
  </si>
  <si>
    <t>ROTD50_d050 row 374; RSN=373; Anticline Ridge Pad</t>
  </si>
  <si>
    <t>US:barstow</t>
  </si>
  <si>
    <t>ROTD50_d050 row 839; RSN=838; Barstow</t>
  </si>
  <si>
    <t>Taiwan database(NCREE)!H41:I41</t>
  </si>
  <si>
    <t>US:bellgardensjaboneria</t>
  </si>
  <si>
    <t>ROTD50_d050 row 596; RSN=595; Bell Gardens - Jaboneria</t>
  </si>
  <si>
    <t>US:brawleyairport</t>
  </si>
  <si>
    <t>ROTD50_d050 row 162; RSN=161; Brawley Airport</t>
  </si>
  <si>
    <t>Taiwan database(NCREE)!H9:I9</t>
  </si>
  <si>
    <t>US:bunkerhillfaa</t>
  </si>
  <si>
    <t>ROTD50_d050 row 3745; RSN=3744; Bunker Hill FAA</t>
  </si>
  <si>
    <t>Taiwan database(NCREE)!H38:I38</t>
  </si>
  <si>
    <t>US:capemendocino</t>
  </si>
  <si>
    <t>ROTD50_d050 row 826; RSN=825; Cape Mendocino</t>
  </si>
  <si>
    <t>US:centervillebeachnavalfac</t>
  </si>
  <si>
    <t>ROTD50_d050 row 3747; RSN=3746; Centerville Beach, Naval Fac</t>
  </si>
  <si>
    <t>Taiwan database(NCREE)!H39:I39</t>
  </si>
  <si>
    <t>US:coalinga14thelmoldchp</t>
  </si>
  <si>
    <t>ROTD50_d050 row 419; RSN=418; Coalinga-14th &amp; Elm (Old CHP)</t>
  </si>
  <si>
    <t>US:comptoncastlegatest</t>
  </si>
  <si>
    <t>ROTD50_d050 row 612; RSN=611; Compton - Castlegate St</t>
  </si>
  <si>
    <t>US:coyotelakedamsouthwestabutment</t>
  </si>
  <si>
    <t>Taiwan database(NCREE)!H25:I25</t>
  </si>
  <si>
    <t>US:coyotelakedamswabut</t>
  </si>
  <si>
    <t>ROTD50_d050 row 452; RSN=451; Coyote Lake Dam - Southwest Abutment</t>
  </si>
  <si>
    <t>US:downeybirchdale</t>
  </si>
  <si>
    <t>ROTD50_d050 row 615; RSN=614; Downey - Birchdale</t>
  </si>
  <si>
    <t>US:downeycomaintbldg</t>
  </si>
  <si>
    <t>ROTD50_d050 row 616; RSN=615; Downey - Co Maint Bldg</t>
  </si>
  <si>
    <t>US:eccountycenterff</t>
  </si>
  <si>
    <t>ROTD50_d050 row 171; RSN=170; EC County Center FF</t>
  </si>
  <si>
    <t>Taiwan database(NCREE)!H10:I10</t>
  </si>
  <si>
    <t>US:elcentroarray10</t>
  </si>
  <si>
    <t>ROTD50_d050 row 174; RSN=173; El Centro Array #10</t>
  </si>
  <si>
    <t>Taiwan database(NCREE)!H12:I12</t>
  </si>
  <si>
    <t>US:elcentroarray3</t>
  </si>
  <si>
    <t>ROTD50_d050 row 179; RSN=178; El Centro Array #3</t>
  </si>
  <si>
    <t>Taiwan database(NCREE)!H13:I13</t>
  </si>
  <si>
    <t>US:elcentroarray4</t>
  </si>
  <si>
    <t>ROTD50_d050 row 180; RSN=179; El Centro Array #4</t>
  </si>
  <si>
    <t>Taiwan database(NCREE)!H14:I14</t>
  </si>
  <si>
    <t>US:elcentroarray5</t>
  </si>
  <si>
    <t>ROTD50_d050 row 181; RSN=180; El Centro Array #5</t>
  </si>
  <si>
    <t>Taiwan database(NCREE)!H15:I15</t>
  </si>
  <si>
    <t>US:elcentroarray6</t>
  </si>
  <si>
    <t>Imperial Valley-06; Imperial Valley-07</t>
  </si>
  <si>
    <t>ROTD50_d050 row 182; RSN=181; El Centro Array #6</t>
  </si>
  <si>
    <t>Taiwan database(NCREE)!H16:I16</t>
  </si>
  <si>
    <t>US:elcentroarray7</t>
  </si>
  <si>
    <t>ROTD50_d050 row 183; RSN=182; El Centro Array #7</t>
  </si>
  <si>
    <t>Taiwan database(NCREE)!H17:I17</t>
  </si>
  <si>
    <t>US:elcentrodifferentialarray</t>
  </si>
  <si>
    <t>ROTD50_d050 row 185; RSN=184; El Centro Differential Array</t>
  </si>
  <si>
    <t>Taiwan database(NCREE)!H18:I18</t>
  </si>
  <si>
    <t>US:elcentromelolandgeotarray</t>
  </si>
  <si>
    <t>ROTD50_d050 row 172; RSN=171; El Centro - Meloland Geot. Array</t>
  </si>
  <si>
    <t>Taiwan database(NCREE)!H11:I11</t>
  </si>
  <si>
    <t>US:emeryville6363christie</t>
  </si>
  <si>
    <t>ROTD50_d050 row 759; RSN=758; Emeryville; Pacific Park #2, Free Field</t>
  </si>
  <si>
    <t>US:ferndalecityhall</t>
  </si>
  <si>
    <t>ROTD50_d050 row 21; RSN=20; Ferndale City Hall</t>
  </si>
  <si>
    <t>US:gilroyarray2</t>
  </si>
  <si>
    <t>Coyote Lake; Loma Prieta</t>
  </si>
  <si>
    <t>ROTD50_d050 row 148; RSN=147; Gilroy Array #2</t>
  </si>
  <si>
    <t>1979_CoyoteLake_USA; 1989_LomaPrieta_USA</t>
  </si>
  <si>
    <t>Taiwan database(NCREE)!H4:I4</t>
  </si>
  <si>
    <t>US:gilroyarray3</t>
  </si>
  <si>
    <t>ROTD50_d050 row 149; RSN=148; Gilroy Array #3</t>
  </si>
  <si>
    <t>Taiwan database(NCREE)!H5:I5</t>
  </si>
  <si>
    <t>US:gilroyarray4</t>
  </si>
  <si>
    <t>ROTD50_d050 row 150; RSN=149; Gilroy Array #4</t>
  </si>
  <si>
    <t>Taiwan database(NCREE)!H6:I6</t>
  </si>
  <si>
    <t>US:gilroyarray6</t>
  </si>
  <si>
    <t>Coyote Lake; Morgan Hill</t>
  </si>
  <si>
    <t>ROTD50_d050 row 151; RSN=150; Gilroy Array #6</t>
  </si>
  <si>
    <t>1979_CoyoteLake_USA; 1984_MorganHill_USA</t>
  </si>
  <si>
    <t>Taiwan database(NCREE)!H7:I7</t>
  </si>
  <si>
    <t>US:gilroyhistoricbldg</t>
  </si>
  <si>
    <t>ROTD50_d050 row 765; RSN=764; Gilroy - Historic Bldg.</t>
  </si>
  <si>
    <t>Taiwan database(NCREE)!H32:I32</t>
  </si>
  <si>
    <t>US:holtvillepostoffice</t>
  </si>
  <si>
    <t>ROTD50_d050 row 186; RSN=185; Holtville Post Office</t>
  </si>
  <si>
    <t>Taiwan database(NCREE)!H19:I19</t>
  </si>
  <si>
    <t>US:indiojacksonroad</t>
  </si>
  <si>
    <t>ROTD50_d050 row 6878; RSN=6877; Indio - Jackson Road</t>
  </si>
  <si>
    <t>US:jensenfilterplant</t>
  </si>
  <si>
    <t>ROTD50_d050 row 983; RSN=982; Jensen Filter Plant Administrative Building</t>
  </si>
  <si>
    <t>US:jensenfilterplantadministrativebuilding</t>
  </si>
  <si>
    <t>Taiwan database(NCREE)!H44:I44</t>
  </si>
  <si>
    <t>US:jensenfilterplantgenerator</t>
  </si>
  <si>
    <t>ROTD50_d050 row 984; RSN=983; Jensen Filter Plant Generator Building</t>
  </si>
  <si>
    <t>US:jensenfilterplantgeneratorbuilding</t>
  </si>
  <si>
    <t>Taiwan database(NCREE)!H45:I45</t>
  </si>
  <si>
    <t>US:kornbloomroadtemp</t>
  </si>
  <si>
    <t>ROTD50_d050 row 723; RSN=722; Kornbloom Road (temp)</t>
  </si>
  <si>
    <t>Taiwan database(NCREE)!H30:I30</t>
  </si>
  <si>
    <t>US:ladam</t>
  </si>
  <si>
    <t>ROTD50_d050 row 1014; RSN=1013; LA Dam</t>
  </si>
  <si>
    <t>Taiwan database(NCREE)!H47:I47</t>
  </si>
  <si>
    <t>US:lasaturnst</t>
  </si>
  <si>
    <t>ROTD50_d050 row 1004; RSN=1003; LA - Saturn St</t>
  </si>
  <si>
    <t>US:lasepulvedavahospital</t>
  </si>
  <si>
    <t>ROTD50_d050 row 1005; RSN=1004; LA - Sepulveda VA Hospital</t>
  </si>
  <si>
    <t>Taiwan database(NCREE)!H46:I46</t>
  </si>
  <si>
    <t>US:lborangeave</t>
  </si>
  <si>
    <t>ROTD50_d050 row 646; RSN=645; LB - Orange Ave</t>
  </si>
  <si>
    <t>US:longvalleydamuprlabut</t>
  </si>
  <si>
    <t>ROTD50_d050 row 251; RSN=250; Long Valley Dam (Upr L Abut)</t>
  </si>
  <si>
    <t>US:losgatoslexingtondam</t>
  </si>
  <si>
    <t>ROTD50_d050 row 3549; RSN=3548; Los Gatos - Lexington Dam</t>
  </si>
  <si>
    <t>Taiwan database(NCREE)!H35:I35</t>
  </si>
  <si>
    <t>US:lucerne</t>
  </si>
  <si>
    <t>ROTD50_d050 row 880; RSN=879; Lucerne</t>
  </si>
  <si>
    <t>Taiwan database(NCREE)!H42:I42</t>
  </si>
  <si>
    <t>US:morongovalleyfirestation</t>
  </si>
  <si>
    <t>ROTD50_d050 row 528; RSN=527; Morongo Valley Fire Station</t>
  </si>
  <si>
    <t>US:napafirestation3</t>
  </si>
  <si>
    <t>ROTD50_d050 row 1854; RSN=1853; Napa Fire Station #3</t>
  </si>
  <si>
    <t>US:newhallfiresta</t>
  </si>
  <si>
    <t>ROTD50_d050 row 1045; RSN=1044; Newhall - Fire Sta</t>
  </si>
  <si>
    <t>Taiwan database(NCREE)!H48:I48</t>
  </si>
  <si>
    <t>US:newhallwpicocanyonrd</t>
  </si>
  <si>
    <t>ROTD50_d050 row 1046; RSN=1045; Newhall - W Pico Canyon Rd.</t>
  </si>
  <si>
    <t>Taiwan database(NCREE)!H49:I49</t>
  </si>
  <si>
    <t>US:norwalkimphwysgrnd</t>
  </si>
  <si>
    <t>ROTD50_d050 row 669; RSN=668; Norwalk - Imp Hwy, S Grnd</t>
  </si>
  <si>
    <t>US:oaklandouterharborwharf</t>
  </si>
  <si>
    <t>ROTD50_d050 row 784; RSN=783; Oakland - Outer Harbor Wharf</t>
  </si>
  <si>
    <t>US:oaklandtitletrust</t>
  </si>
  <si>
    <t>ROTD50_d050 row 785; RSN=784; Oakland - Title &amp; Trust</t>
  </si>
  <si>
    <t>US:pacoimadamdownstr</t>
  </si>
  <si>
    <t>ROTD50_d050 row 1051; RSN=1050; Pacoima Dam (downstr)</t>
  </si>
  <si>
    <t>Taiwan database(NCREE)!H50:I50</t>
  </si>
  <si>
    <t>US:pacoimadamupperleft</t>
  </si>
  <si>
    <t>ROTD50_d050 row 1052; RSN=1051; Pacoima Dam (upper left)</t>
  </si>
  <si>
    <t>Taiwan database(NCREE)!H51:I51</t>
  </si>
  <si>
    <t>US:pacoimadamupperleftabut</t>
  </si>
  <si>
    <t>ROTD50_d050 row 78; RSN=77; Pacoima Dam (upper left abut)</t>
  </si>
  <si>
    <t>Taiwan database(NCREE)!H2:I2</t>
  </si>
  <si>
    <t>US:pacoimakagelcanyon</t>
  </si>
  <si>
    <t>ROTD50_d050 row 1053; RSN=1052; Pacoima Kagel Canyon</t>
  </si>
  <si>
    <t>Taiwan database(NCREE)!H52:I52</t>
  </si>
  <si>
    <t>US:parachutetestsite</t>
  </si>
  <si>
    <t>Superstition Hills-02; Westmorland</t>
  </si>
  <si>
    <t>ROTD50_d050 row 317; RSN=316; Parachute Test Site</t>
  </si>
  <si>
    <t>1981_Westmorland_USA; 1987_SuperstitionHills_02_USA</t>
  </si>
  <si>
    <t>Taiwan database(NCREE)!H24:I24</t>
  </si>
  <si>
    <t>US:pardeesce</t>
  </si>
  <si>
    <t>ROTD50_d050 row 1055; RSN=1054; Pardee - SCE</t>
  </si>
  <si>
    <t>Taiwan database(NCREE)!H53:I53</t>
  </si>
  <si>
    <t>US:parkfieldcholame1e</t>
  </si>
  <si>
    <t>ROTD50_d050 row 4099; RSN=4098; Parkfield - Cholame 1E</t>
  </si>
  <si>
    <t>Taiwan database(NCREE)!H186:I186</t>
  </si>
  <si>
    <t>US:parkfieldcholame2wa</t>
  </si>
  <si>
    <t>ROTD50_d050 row 4101; RSN=4100; Parkfield - Cholame 2WA</t>
  </si>
  <si>
    <t>Taiwan database(NCREE)!H187:I187</t>
  </si>
  <si>
    <t>US:parkfieldcholame3e</t>
  </si>
  <si>
    <t>ROTD50_d050 row 4102; RSN=4101; Parkfield - Cholame 3E</t>
  </si>
  <si>
    <t>Taiwan database(NCREE)!H188:I188</t>
  </si>
  <si>
    <t>US:parkfieldcholame3w</t>
  </si>
  <si>
    <t>ROTD50_d050 row 4103; RSN=4102; Parkfield - Cholame 3W</t>
  </si>
  <si>
    <t>Taiwan database(NCREE)!H189:I189</t>
  </si>
  <si>
    <t>US:parkfieldcholame4w</t>
  </si>
  <si>
    <t>ROTD50_d050 row 4104; RSN=4103; Parkfield - Cholame 4W</t>
  </si>
  <si>
    <t>Taiwan database(NCREE)!H190:I190</t>
  </si>
  <si>
    <t>US:parkfieldeades</t>
  </si>
  <si>
    <t>ROTD50_d050 row 4066; RSN=4065; PARKFIELD - EADES</t>
  </si>
  <si>
    <t>Taiwan database(NCREE)!H191:I191</t>
  </si>
  <si>
    <t>US:parkfieldfaultzone1</t>
  </si>
  <si>
    <t>ROTD50_d050 row 4108; RSN=4107; Parkfield - Fault Zone 1</t>
  </si>
  <si>
    <t>Taiwan database(NCREE)!H192:I192</t>
  </si>
  <si>
    <t>US:parkfieldfaultzone12</t>
  </si>
  <si>
    <t>ROTD50_d050 row 4116; RSN=4115; Parkfield - Fault Zone 12</t>
  </si>
  <si>
    <t>Taiwan database(NCREE)!H193:I193</t>
  </si>
  <si>
    <t>US:parkfieldfaultzone9</t>
  </si>
  <si>
    <t>ROTD50_d050 row 4114; RSN=4113; Parkfield - Fault Zone 9</t>
  </si>
  <si>
    <t>Taiwan database(NCREE)!H194:I194</t>
  </si>
  <si>
    <t>US:parkfieldstonecorral1e</t>
  </si>
  <si>
    <t>ROTD50_d050 row 4127; RSN=4126; Parkfield - Stone Corral 1E</t>
  </si>
  <si>
    <t>Taiwan database(NCREE)!H195:I195</t>
  </si>
  <si>
    <t>US:parkfieldstonecorral4e</t>
  </si>
  <si>
    <t>ROTD50_d050!CK359:CL359; RSN=358</t>
  </si>
  <si>
    <t>US:petrolia</t>
  </si>
  <si>
    <t>ROTD50_d050 row 829; RSN=828; Petrolia</t>
  </si>
  <si>
    <t>Taiwan database(NCREE)!H40:I40</t>
  </si>
  <si>
    <t>US:poeroadtemp</t>
  </si>
  <si>
    <t>ROTD50_d050 row 726; RSN=725; Poe Road (temp)</t>
  </si>
  <si>
    <t>US:rinaldireceivingsta</t>
  </si>
  <si>
    <t>ROTD50_d050 row 1064; RSN=1063; Rinaldi Receiving Sta</t>
  </si>
  <si>
    <t>Taiwan database(NCREE)!H54:I54</t>
  </si>
  <si>
    <t>US:santafespringsejoslin</t>
  </si>
  <si>
    <t>ROTD50_d050 row 693; RSN=692; Santa Fe Springs - E.Joslin</t>
  </si>
  <si>
    <t>US:saratogaalohaave</t>
  </si>
  <si>
    <t>ROTD50_d050 row 803; RSN=802; Saratoga - Aloha Ave</t>
  </si>
  <si>
    <t>Taiwan database(NCREE)!H36:I36</t>
  </si>
  <si>
    <t>US:saratogawvalleycoll</t>
  </si>
  <si>
    <t>ROTD50_d050 row 804; RSN=803; Saratoga - W Valley Coll.</t>
  </si>
  <si>
    <t>Taiwan database(NCREE)!H37:I37</t>
  </si>
  <si>
    <t>US:sfpresidio</t>
  </si>
  <si>
    <t>ROTD50_d050 row 797; RSN=796; SF - Presidio</t>
  </si>
  <si>
    <t>US:slackcanyon</t>
  </si>
  <si>
    <t>ROTD50_d050 row 4098; RSN=4097; Slack Canyon</t>
  </si>
  <si>
    <t>Taiwan database(NCREE)!H196:I196</t>
  </si>
  <si>
    <t>US:sylmarconvertersta</t>
  </si>
  <si>
    <t>ROTD50_d050 row 1085; RSN=1084; Sylmar - Converter Sta</t>
  </si>
  <si>
    <t>Taiwan database(NCREE)!H55:I55</t>
  </si>
  <si>
    <t>US:sylmarconverterstaeast</t>
  </si>
  <si>
    <t>ROTD50_d050 row 1086; RSN=1085; Sylmar - Converter Sta East</t>
  </si>
  <si>
    <t>Taiwan database(NCREE)!H56:I56</t>
  </si>
  <si>
    <t>US:sylmaroliveviewmedff</t>
  </si>
  <si>
    <t>ROTD50_d050 row 1087; RSN=1086; Sylmar - Olive View Med FF</t>
  </si>
  <si>
    <t>Taiwan database(NCREE)!H57:I57</t>
  </si>
  <si>
    <t>US:tapspumpstation10</t>
  </si>
  <si>
    <t>ROTD50_d050 row 2115; RSN=2114; TAPS Pump Station #10</t>
  </si>
  <si>
    <t>Taiwan database(NCREE)!H170:I170</t>
  </si>
  <si>
    <t>US:transmitterhill</t>
  </si>
  <si>
    <t>ROTD50_d050 row 416; RSN=415; Transmitter Hill</t>
  </si>
  <si>
    <t>US:treasureisland</t>
  </si>
  <si>
    <t>ROTD50_d050 row 809; RSN=808; Treasure Island</t>
  </si>
  <si>
    <t>US:westmorlandfiresta</t>
  </si>
  <si>
    <t>ROTD50_d050 row 320; RSN=319; Westmorland Fire Sta</t>
  </si>
  <si>
    <t>US:yermofirestation</t>
  </si>
  <si>
    <t>ROTD50_d050 row 901; RSN=900; Yermo Fire Station</t>
  </si>
  <si>
    <t>Taiwan database(NCREE)!H43:I43</t>
  </si>
  <si>
    <t>event_names</t>
  </si>
  <si>
    <t>table_magnitudes</t>
  </si>
  <si>
    <t>time_precision</t>
  </si>
  <si>
    <t>origin_source</t>
  </si>
  <si>
    <t>mechanism_source</t>
  </si>
  <si>
    <t>nga_reference</t>
  </si>
  <si>
    <t>nga_finite_fault_flag</t>
  </si>
  <si>
    <t>nga_fault_name</t>
  </si>
  <si>
    <t>nga_strike_deg</t>
  </si>
  <si>
    <t>nga_dip_deg</t>
  </si>
  <si>
    <t>nga_rake_deg</t>
  </si>
  <si>
    <t>nga_ztor_km</t>
  </si>
  <si>
    <t>nga_length_km</t>
  </si>
  <si>
    <t>nga_width_km</t>
  </si>
  <si>
    <t>notes</t>
  </si>
  <si>
    <t>retrieved_date</t>
  </si>
  <si>
    <t>ff_moment_Nm</t>
  </si>
  <si>
    <t>ff_average_rise_s</t>
  </si>
  <si>
    <t>ff_average_rupture_velocity_km_s</t>
  </si>
  <si>
    <t>ff_model_hypo_lat</t>
  </si>
  <si>
    <t>ff_model_hypo_lon</t>
  </si>
  <si>
    <t>ff_model_hypo_depth_km</t>
  </si>
  <si>
    <t>ff_product_source</t>
  </si>
  <si>
    <t>ff_product_code</t>
  </si>
  <si>
    <t>ff_version</t>
  </si>
  <si>
    <t>ff_updated_utc</t>
  </si>
  <si>
    <t>ff_fsp_url</t>
  </si>
  <si>
    <t>ff_param_url</t>
  </si>
  <si>
    <t>ff_moment_rate_url</t>
  </si>
  <si>
    <t>time_source_url</t>
  </si>
  <si>
    <t>source_scope</t>
  </si>
  <si>
    <t>event_source_key</t>
  </si>
  <si>
    <t>6.5</t>
  </si>
  <si>
    <t>Original NGA source preferred</t>
  </si>
  <si>
    <t>1954-12-21</t>
  </si>
  <si>
    <t>19:56:29.630Z</t>
  </si>
  <si>
    <t>USGS catalog timestamp</t>
  </si>
  <si>
    <t>U</t>
  </si>
  <si>
    <t>NGA-West2 representative fault plane</t>
  </si>
  <si>
    <t>Original NGA-West2 event metadata (coordinates, depth, magnitude); UTC time independently audited</t>
  </si>
  <si>
    <t>Original NGA-West2 strike/dip/rake</t>
  </si>
  <si>
    <t>Updated NGA-West2 RotD50 d050 public flatfile; row 21; EQID 0017</t>
  </si>
  <si>
    <t>Original NGA source parameters restored for S&amp;B distances. USGS identity/time and finite-fault products are separate. Flatfile mirror provenance: Sources_method E03/E04.</t>
  </si>
  <si>
    <t>S&amp;B::1954_northerncalif3</t>
  </si>
  <si>
    <t>6.6</t>
  </si>
  <si>
    <t>1971-02-09</t>
  </si>
  <si>
    <t>14:00:41.920Z</t>
  </si>
  <si>
    <t>Updated NGA-West2 RotD50 d050 public flatfile; row 52; EQID 0030</t>
  </si>
  <si>
    <t>Sierra Madre-San Fernando</t>
  </si>
  <si>
    <t>S&amp;B::1971_sanfernando</t>
  </si>
  <si>
    <t>7.3 | 7.4</t>
  </si>
  <si>
    <t>1978-09-16</t>
  </si>
  <si>
    <t>15:35:56.600Z</t>
  </si>
  <si>
    <t>Updated NGA-West2 RotD50 d050 public flatfile; row 138; EQID 0046</t>
  </si>
  <si>
    <t>S&amp;B::1978_tabas</t>
  </si>
  <si>
    <t>7.1</t>
  </si>
  <si>
    <t>1979-04-15</t>
  </si>
  <si>
    <t>06:19:44.100Z</t>
  </si>
  <si>
    <t>Updated NGA-West2 RotD50 d050 public flatfile; row 4452; EQID 0262</t>
  </si>
  <si>
    <t>S&amp;B::1979_montenegro</t>
  </si>
  <si>
    <t>5.7</t>
  </si>
  <si>
    <t>1979-08-06</t>
  </si>
  <si>
    <t>17:05:22.930Z</t>
  </si>
  <si>
    <t>Updated NGA-West2 RotD50 d050 public flatfile; row 146; EQID 0048</t>
  </si>
  <si>
    <t>Calaveras fault south</t>
  </si>
  <si>
    <t>S&amp;B::1979_coyotelake</t>
  </si>
  <si>
    <t>1979-10-15</t>
  </si>
  <si>
    <t>23:16:53.910Z</t>
  </si>
  <si>
    <t>Updated NGA-West2 RotD50 d050 public flatfile; row 159; EQID 0050</t>
  </si>
  <si>
    <t>Imperial fault</t>
  </si>
  <si>
    <t>S&amp;B::1979_imperialvalley6</t>
  </si>
  <si>
    <t>5</t>
  </si>
  <si>
    <t>23:19:29.980Z</t>
  </si>
  <si>
    <t>Updated NGA-West2 RotD50 d050 public flatfile; row 194; EQID 0051</t>
  </si>
  <si>
    <t>S&amp;B::1979_imperialvalley7</t>
  </si>
  <si>
    <t>6.9</t>
  </si>
  <si>
    <t>1980-11-23</t>
  </si>
  <si>
    <t>18:34:53.800Z</t>
  </si>
  <si>
    <t>Updated NGA-West2 RotD50 d050 public flatfile; row 284; EQID 0068</t>
  </si>
  <si>
    <t>S&amp;B::1980_irpinia1</t>
  </si>
  <si>
    <t>5.9</t>
  </si>
  <si>
    <t>1980-05-27</t>
  </si>
  <si>
    <t>14:50:56.810Z</t>
  </si>
  <si>
    <t>Updated NGA-West2 RotD50 d050 public flatfile; row 247; EQID 0061</t>
  </si>
  <si>
    <t>S&amp;B::1980_mammothlakes6</t>
  </si>
  <si>
    <t>1981-04-26</t>
  </si>
  <si>
    <t>12:09:28.290Z</t>
  </si>
  <si>
    <t>Updated NGA-West2 RotD50 d050 public flatfile; row 315; EQID 0073</t>
  </si>
  <si>
    <t>S&amp;B::1981_westmorland</t>
  </si>
  <si>
    <t>5.1</t>
  </si>
  <si>
    <t>1983-05-09</t>
  </si>
  <si>
    <t>02:49:11.540Z</t>
  </si>
  <si>
    <t>Updated NGA-West2 RotD50 d050 public flatfile; row 371; EQID 0077</t>
  </si>
  <si>
    <t>S&amp;B::1983_coalinga2</t>
  </si>
  <si>
    <t>5.8</t>
  </si>
  <si>
    <t>1983-07-22</t>
  </si>
  <si>
    <t>02:39:53.960Z</t>
  </si>
  <si>
    <t>Updated NGA-West2 RotD50 d050 public flatfile; row 406; EQID 0080</t>
  </si>
  <si>
    <t>S&amp;B::1983_coalinga5</t>
  </si>
  <si>
    <t>5.2</t>
  </si>
  <si>
    <t>1983-07-25</t>
  </si>
  <si>
    <t>22:31:39.480Z</t>
  </si>
  <si>
    <t>Updated NGA-West2 RotD50 d050 public flatfile; row 419; EQID 0082</t>
  </si>
  <si>
    <t>S&amp;B::1983_coalinga7</t>
  </si>
  <si>
    <t>6.2</t>
  </si>
  <si>
    <t>1984-04-24</t>
  </si>
  <si>
    <t>21:15:18.760Z</t>
  </si>
  <si>
    <t>Updated NGA-West2 RotD50 d050 public flatfile; row 447; EQID 0090</t>
  </si>
  <si>
    <t>S&amp;B::1984_morganhill</t>
  </si>
  <si>
    <t>5.4</t>
  </si>
  <si>
    <t>1986-09-15</t>
  </si>
  <si>
    <t>11:41:27.860Z</t>
  </si>
  <si>
    <t>MS</t>
  </si>
  <si>
    <t>Updated NGA-West2 RotD50 d050 public flatfile; row 566; EQID 0107</t>
  </si>
  <si>
    <t>S&amp;B::1986_kalamata2</t>
  </si>
  <si>
    <t>6.1</t>
  </si>
  <si>
    <t>1986-07-08</t>
  </si>
  <si>
    <t>09:20:44.560Z</t>
  </si>
  <si>
    <t>Updated NGA-West2 RotD50 d050 public flatfile; row 512; EQID 0101</t>
  </si>
  <si>
    <t>San Andreas fault, southern section</t>
  </si>
  <si>
    <t>S&amp;B::1986_npalmsprings</t>
  </si>
  <si>
    <t>6.3</t>
  </si>
  <si>
    <t>1986-05-20</t>
  </si>
  <si>
    <t>05:25:46.960Z</t>
  </si>
  <si>
    <t>Updated NGA-West2 RotD50 d050 public flatfile; row 504; EQID 0100</t>
  </si>
  <si>
    <t>S&amp;B::1986_smart140</t>
  </si>
  <si>
    <t>1986-10-10</t>
  </si>
  <si>
    <t>17:49:24.100Z</t>
  </si>
  <si>
    <t>Updated NGA-West2 RotD50 d050 public flatfile; row 569; EQID 0108</t>
  </si>
  <si>
    <t>S&amp;B::1986_sansalvador</t>
  </si>
  <si>
    <t>6</t>
  </si>
  <si>
    <t>1987-10-01</t>
  </si>
  <si>
    <t>14:42:20.020Z</t>
  </si>
  <si>
    <t>Updated NGA-West2 RotD50 d050 public flatfile; row 590; EQID 0113</t>
  </si>
  <si>
    <t>Puente Hills Blind Thrust</t>
  </si>
  <si>
    <t>S&amp;B::1987_whittiernarrows1</t>
  </si>
  <si>
    <t>1987-11-24</t>
  </si>
  <si>
    <t>13:15:56.710Z</t>
  </si>
  <si>
    <t>Updated NGA-West2 RotD50 d050 public flatfile; row 720; EQID 0116</t>
  </si>
  <si>
    <t>Superstition Hills fault</t>
  </si>
  <si>
    <t>S&amp;B::1987_superstitionhills2</t>
  </si>
  <si>
    <t>1989-10-18</t>
  </si>
  <si>
    <t>00:04:15.190Z</t>
  </si>
  <si>
    <t>Updated NGA-West2 RotD50 d050 public flatfile; row 732; EQID 0118</t>
  </si>
  <si>
    <t>San Andreas-Santa Cruz</t>
  </si>
  <si>
    <t>S&amp;B::1989_lomaprieta</t>
  </si>
  <si>
    <t>7</t>
  </si>
  <si>
    <t>1992-04-25</t>
  </si>
  <si>
    <t>18:06:05.180Z</t>
  </si>
  <si>
    <t>Updated NGA-West2 RotD50 d050 public flatfile; row 826; EQID 0123</t>
  </si>
  <si>
    <t>Cascadia Subduction Zone</t>
  </si>
  <si>
    <t>S&amp;B::1992_capemendocino</t>
  </si>
  <si>
    <t>1992-04-23</t>
  </si>
  <si>
    <t>04:50:23.230Z</t>
  </si>
  <si>
    <t>Updated NGA-West2 RotD50 d050 public flatfile; row 6875; EQID 0146</t>
  </si>
  <si>
    <t>S&amp;B::1992_joshuatreeca</t>
  </si>
  <si>
    <t>7.3</t>
  </si>
  <si>
    <t>1992-06-28</t>
  </si>
  <si>
    <t>11:57:34.130Z</t>
  </si>
  <si>
    <t>Updated NGA-West2 RotD50 d050 public flatfile; row 833; EQID 0125</t>
  </si>
  <si>
    <t>Landers fault (S. Johnson Valley)</t>
  </si>
  <si>
    <t>S&amp;B::1992_landers</t>
  </si>
  <si>
    <t>6.7</t>
  </si>
  <si>
    <t>1994-01-17</t>
  </si>
  <si>
    <t>12:30:55.390Z</t>
  </si>
  <si>
    <t>Updated NGA-West2 RotD50 d050 public flatfile; row 943; EQID 0127</t>
  </si>
  <si>
    <t>Northridge Blind Thrust</t>
  </si>
  <si>
    <t>S&amp;B::1994_northridge1</t>
  </si>
  <si>
    <t>1995-01-16</t>
  </si>
  <si>
    <t>20:46:52.120Z</t>
  </si>
  <si>
    <t>Updated NGA-West2 RotD50 d050 public flatfile; row 1101; EQID 0129</t>
  </si>
  <si>
    <t>S&amp;B::1995_kobe</t>
  </si>
  <si>
    <t>1997-04-11</t>
  </si>
  <si>
    <t>05:34:42.780Z</t>
  </si>
  <si>
    <t>Updated NGA-West2 RotD50 d050 public flatfile; row 1753; EQID 0155</t>
  </si>
  <si>
    <t>S&amp;B::1997_northwest3</t>
  </si>
  <si>
    <t>7.6 | 7.65</t>
  </si>
  <si>
    <t>1999-09-20</t>
  </si>
  <si>
    <t>17:47:18.490Z</t>
  </si>
  <si>
    <t>Updated NGA-West2 RotD50 d050 public flatfile; row 1179; EQID 0137</t>
  </si>
  <si>
    <t>us</t>
  </si>
  <si>
    <t>https://earthquake.usgs.gov/product/finite-fault/usp0009eq0/us/1539796251799/basic_inversion.param</t>
  </si>
  <si>
    <t>https://earthquake.usgs.gov/product/finite-fault/usp0009eq0/us/1539796251799/moment_rate.mr</t>
  </si>
  <si>
    <t>S&amp;B::1999_chichi</t>
  </si>
  <si>
    <t>6.2 | 6.3</t>
  </si>
  <si>
    <t>18:03:44.290Z</t>
  </si>
  <si>
    <t>Updated NGA-West2 RotD50 d050 public flatfile; row 2453; EQID 0172</t>
  </si>
  <si>
    <t>S&amp;B::1999_chichi3</t>
  </si>
  <si>
    <t>6.3 | 6.49</t>
  </si>
  <si>
    <t>1999-09-25</t>
  </si>
  <si>
    <t>23:52:48.660Z</t>
  </si>
  <si>
    <t>Updated NGA-West2 RotD50 d050 public flatfile; row 3259; EQID 0175</t>
  </si>
  <si>
    <t>S&amp;B::1999_chichi6</t>
  </si>
  <si>
    <t>6.2 | 6.42</t>
  </si>
  <si>
    <t>21:46:42.870Z</t>
  </si>
  <si>
    <t>Updated NGA-West2 RotD50 d050 public flatfile; row 2695; EQID 0173</t>
  </si>
  <si>
    <t>S&amp;B::1999_chichi4</t>
  </si>
  <si>
    <t>1999-11-12</t>
  </si>
  <si>
    <t>16:57:19.550Z</t>
  </si>
  <si>
    <t>Updated NGA-West2 RotD50 d050 public flatfile; row 1600; EQID 0138</t>
  </si>
  <si>
    <t>S&amp;B::1999_duzce</t>
  </si>
  <si>
    <t>7.5</t>
  </si>
  <si>
    <t>1999-08-17</t>
  </si>
  <si>
    <t>00:01:39.130Z</t>
  </si>
  <si>
    <t>Updated NGA-West2 RotD50 d050 public flatfile; row 1147; EQID 0136</t>
  </si>
  <si>
    <t>https://earthquake.usgs.gov/product/finite-fault/usp0009d4z/us/1539796243080/basic_inversion.param</t>
  </si>
  <si>
    <t>https://earthquake.usgs.gov/product/finite-fault/usp0009d4z/us/1539796243080/moment_rate.mr</t>
  </si>
  <si>
    <t>S&amp;B::1999_kocaeli</t>
  </si>
  <si>
    <t>2000-10-06</t>
  </si>
  <si>
    <t>04:30:19.150Z</t>
  </si>
  <si>
    <t>Updated NGA-West2 RotD50 d050 public flatfile; row 3871; EQID 0176</t>
  </si>
  <si>
    <t>S&amp;B::2000_tottori</t>
  </si>
  <si>
    <t>2000-09-03</t>
  </si>
  <si>
    <t>08:36:30.110Z</t>
  </si>
  <si>
    <t>Updated NGA-West2 RotD50 d050 public flatfile; row 1844; EQID 0160</t>
  </si>
  <si>
    <t>S&amp;B::2000_yountville</t>
  </si>
  <si>
    <t>7.9</t>
  </si>
  <si>
    <t>2002-11-03</t>
  </si>
  <si>
    <t>22:12:41.518Z</t>
  </si>
  <si>
    <t>Updated NGA-West2 RotD50 d050 public flatfile; row 2096; EQID 0169</t>
  </si>
  <si>
    <t>usp000bg0m</t>
  </si>
  <si>
    <t>https://earthquake.usgs.gov/product/finite-fault/usp000bg0m/us/1539805514087/basic_inversion.param</t>
  </si>
  <si>
    <t>https://earthquake.usgs.gov/product/finite-fault/usp000bg0m/us/1539805514087/moment_rate.mr</t>
  </si>
  <si>
    <t>S&amp;B::2002_denali</t>
  </si>
  <si>
    <t>2003-12-26</t>
  </si>
  <si>
    <t>01:56:52.440Z</t>
  </si>
  <si>
    <t>Updated NGA-West2 RotD50 d050 public flatfile; row 4038; EQID 0178</t>
  </si>
  <si>
    <t>Arg-e-Bam and Bam faults</t>
  </si>
  <si>
    <t>S&amp;B::2003_bam</t>
  </si>
  <si>
    <t>2004-10-23</t>
  </si>
  <si>
    <t>08:56:00.860Z</t>
  </si>
  <si>
    <t>Updated NGA-West2 RotD50 d050 public flatfile; row 4152; EQID 0180</t>
  </si>
  <si>
    <t>Obiro and Western Margin Muika Basin faults</t>
  </si>
  <si>
    <t>S&amp;B::2004_niigata</t>
  </si>
  <si>
    <t>2004-09-28</t>
  </si>
  <si>
    <t>17:15:24.250Z</t>
  </si>
  <si>
    <t>Updated NGA-West2 RotD50 d050 public flatfile; row 4062; EQID 0179</t>
  </si>
  <si>
    <t>San Andreas</t>
  </si>
  <si>
    <t>S&amp;B::2004_parkfield02ca</t>
  </si>
  <si>
    <t>6.8</t>
  </si>
  <si>
    <t>2007-07-16</t>
  </si>
  <si>
    <t>01:13:22.370Z</t>
  </si>
  <si>
    <t>Updated NGA-West2 RotD50 d050 public flatfile; row 4841; EQID 0278</t>
  </si>
  <si>
    <t>S&amp;B::2007_chuetsuoki</t>
  </si>
  <si>
    <t>2008-06-13</t>
  </si>
  <si>
    <t>23:43:45.360Z</t>
  </si>
  <si>
    <t>Updated NGA-West2 RotD50 d050 public flatfile; row 5457; EQID 0279</t>
  </si>
  <si>
    <t>S&amp;B::2008_iwate</t>
  </si>
  <si>
    <t>2008-05-12</t>
  </si>
  <si>
    <t>06:28:01.570Z</t>
  </si>
  <si>
    <t>Updated NGA-West2 RotD50 d050 public flatfile; row 4578; EQID 0277</t>
  </si>
  <si>
    <t>https://earthquake.usgs.gov/product/finite-fault/usp000g650/us/1539808177870/basic_inversion.param</t>
  </si>
  <si>
    <t>https://earthquake.usgs.gov/product/finite-fault/usp000g650/us/1539808177870/moment_rate.mr</t>
  </si>
  <si>
    <t>S&amp;B::2008_wenchuan</t>
  </si>
  <si>
    <t>2009-04-06</t>
  </si>
  <si>
    <t>01:32:39.000Z</t>
  </si>
  <si>
    <t>Updated NGA-West2 RotD50 d050 public flatfile; row 4461; EQID 0274</t>
  </si>
  <si>
    <t>S&amp;B::2009_laquila</t>
  </si>
  <si>
    <t>7 | 7.02</t>
  </si>
  <si>
    <t>2010-09-03</t>
  </si>
  <si>
    <t>16:35:46Z</t>
  </si>
  <si>
    <t>second (Table 1)</t>
  </si>
  <si>
    <t>Updated NGA-West2 RotD50 d050 public flatfile; row 6880; EQID 0281</t>
  </si>
  <si>
    <t>Table 1 event name and UTC time identify the same event; literature parameters selected by user.</t>
  </si>
  <si>
    <t>S&amp;B::2010_darfield</t>
  </si>
  <si>
    <t>7.2</t>
  </si>
  <si>
    <t>2010-04-04</t>
  </si>
  <si>
    <t>22:40:42.360Z</t>
  </si>
  <si>
    <t>Updated NGA-West2 RotD50 d050 public flatfile; row 5824; EQID 0280</t>
  </si>
  <si>
    <t>S&amp;B::2010_elmayorcucapah</t>
  </si>
  <si>
    <t>6.1 | 6.2</t>
  </si>
  <si>
    <t>2011-02-21</t>
  </si>
  <si>
    <t>23:51:42.350Z</t>
  </si>
  <si>
    <t>Updated NGA-West2 RotD50 d050 public flatfile; row 8057; EQID 0346</t>
  </si>
  <si>
    <t>S&amp;B::2011_christchurch</t>
  </si>
  <si>
    <t>Original NCREE source preferred</t>
  </si>
  <si>
    <t>NGA representative fault plane</t>
  </si>
  <si>
    <t>Original NCREE row: Hypo lat/lon/depth, Mw, fault type</t>
  </si>
  <si>
    <t>Fault type: original NCREE; plane angles: NGA-West2 fault geometry</t>
  </si>
  <si>
    <t>NCREE original table in this workbook</t>
  </si>
  <si>
    <t>Coordinates, depth, Mw and mechanism use original NCREE fields. UTC time and plane angles have no equivalents in the original table; retained from their separately identified sources. Do not infer that retained angles are NCREE values.</t>
  </si>
  <si>
    <t>NCREE::1971_sanfernando</t>
  </si>
  <si>
    <t>NCREE::1978_tabas</t>
  </si>
  <si>
    <t>NCREE::1979_coyotelake</t>
  </si>
  <si>
    <t>NCREE::1979_imperialvalley6</t>
  </si>
  <si>
    <t>NCREE::1979_montenegro</t>
  </si>
  <si>
    <t>NCREE::1980_irpinia1</t>
  </si>
  <si>
    <t>NCREE::1981_westmorland</t>
  </si>
  <si>
    <t>NCREE::1984_morganhill</t>
  </si>
  <si>
    <t>NCREE::1986_kalamata2</t>
  </si>
  <si>
    <t>NCREE::1986_sansalvador</t>
  </si>
  <si>
    <t>NCREE::1987_superstitionhills2</t>
  </si>
  <si>
    <t>NCREE::1989_lomaprieta</t>
  </si>
  <si>
    <t>NCREE::1992_capemendocino</t>
  </si>
  <si>
    <t>NCREE::1992_landers</t>
  </si>
  <si>
    <t>NCREE::1994_northridge1</t>
  </si>
  <si>
    <t>NCREE::1995_kobe</t>
  </si>
  <si>
    <t>5.72</t>
  </si>
  <si>
    <t>1998-07-17</t>
  </si>
  <si>
    <t>04:51:14.760Z</t>
  </si>
  <si>
    <t>catalog milliseconds</t>
  </si>
  <si>
    <t>Two nodal planes; causative plane not selected</t>
  </si>
  <si>
    <t>Fault type: original NCREE; plane angles: USGS product us/pde19980717045114760_12_C_HRV; updated 2014-11-07T01:05:36.398Z</t>
  </si>
  <si>
    <t>NCREE::1998_rayli</t>
  </si>
  <si>
    <t>NCREE::1999_chichi3</t>
  </si>
  <si>
    <t>6.19</t>
  </si>
  <si>
    <t>1999-09-22</t>
  </si>
  <si>
    <t>00:14:39.150Z</t>
  </si>
  <si>
    <t>Updated NGA-West2 RotD50 d050 public flatfile; row 2937; EQID 0174</t>
  </si>
  <si>
    <t>NCREE::1999_chichi5</t>
  </si>
  <si>
    <t>NCREE::1999_chichi6</t>
  </si>
  <si>
    <t>Fault type: original NCREE; plane angles: USGS product us/duputel092099D; updated 2015-02-12T16:21:18.000Z</t>
  </si>
  <si>
    <t>NCREE::1999_chichi</t>
  </si>
  <si>
    <t>5.86</t>
  </si>
  <si>
    <t>1999-10-22</t>
  </si>
  <si>
    <t>02:18:58.560Z</t>
  </si>
  <si>
    <t>Fault type: original NCREE; plane angles: USGS product us/pde19991022021858560_33_C_HRV; updated 2014-11-07T01:08:45.410Z</t>
  </si>
  <si>
    <t>NCREE::1999_chiayi1</t>
  </si>
  <si>
    <t>5.57</t>
  </si>
  <si>
    <t>03:10:19.050Z</t>
  </si>
  <si>
    <t>Fault type: original NCREE; plane angles: USGS product us/pde19991022031019050_33_C_HRV; updated 2014-11-07T01:08:45.455Z</t>
  </si>
  <si>
    <t>NCREE::1999_chiayi2</t>
  </si>
  <si>
    <t>NCREE::1999_chichi4</t>
  </si>
  <si>
    <t>NCREE::1999_duzce</t>
  </si>
  <si>
    <t>6.31</t>
  </si>
  <si>
    <t>1999-11-01</t>
  </si>
  <si>
    <t>17:53:00.120Z</t>
  </si>
  <si>
    <t>Fault type: original NCREE; plane angles: USGS product us/pde19991101175300120_33_C_HRV; updated 2014-11-07T01:08:51.305Z</t>
  </si>
  <si>
    <t>NCREE::1999_hualien</t>
  </si>
  <si>
    <t>Fault type: original NCREE; plane angles: USGS product us/duputel081799A; updated 2015-02-12T16:21:18.000Z</t>
  </si>
  <si>
    <t>NCREE::1999_kocaeli</t>
  </si>
  <si>
    <t>NCREE::2000_tottori</t>
  </si>
  <si>
    <t>4.99</t>
  </si>
  <si>
    <t>2001-09-17</t>
  </si>
  <si>
    <t>22:44:42.220Z</t>
  </si>
  <si>
    <t>Fault type: original NCREE; plane angles: None</t>
  </si>
  <si>
    <t>https://earthquake.usgs.gov/earthquakes/eventpage/usp000apcg</t>
  </si>
  <si>
    <t>NCREE::2001_taipo</t>
  </si>
  <si>
    <t>Fault type: original NCREE; plane angles: USGS product us/duputel110302J; updated 2015-02-12T16:21:20.000Z</t>
  </si>
  <si>
    <t>NCREE::2002_denali</t>
  </si>
  <si>
    <t>7.12</t>
  </si>
  <si>
    <t>2002-03-31</t>
  </si>
  <si>
    <t>06:52:50.490Z</t>
  </si>
  <si>
    <t>Fault type: original NCREE; plane angles: USGS product us/duputel033102A; updated 2015-02-12T16:21:19.000Z</t>
  </si>
  <si>
    <t>NCREE::2002_hualienoffshore</t>
  </si>
  <si>
    <t>NCREE::2003_bam</t>
  </si>
  <si>
    <t>NCREE::2004_niigata</t>
  </si>
  <si>
    <t>NCREE::2004_parkfield02ca</t>
  </si>
  <si>
    <t>6.24</t>
  </si>
  <si>
    <t>2004-05-19</t>
  </si>
  <si>
    <t>07:04:11.710Z</t>
  </si>
  <si>
    <t>Fault type: original NCREE; plane angles: USGS product us/pde20040519070411710_20_C_HRV; updated 2014-11-07T01:22:21.017Z</t>
  </si>
  <si>
    <t>NCREE::2004_taitung</t>
  </si>
  <si>
    <t>5.77</t>
  </si>
  <si>
    <t>2005-03-05</t>
  </si>
  <si>
    <t>19:08:01.670Z</t>
  </si>
  <si>
    <t>Fault type: original NCREE; plane angles: USGS product us/pde20050305190801670_10_C_HRV; updated 2014-11-07T01:25:11.262Z</t>
  </si>
  <si>
    <t>NCREE::2005_ilansuao</t>
  </si>
  <si>
    <t>7.02</t>
  </si>
  <si>
    <t>2006-12-26</t>
  </si>
  <si>
    <t>12:26:21.140Z</t>
  </si>
  <si>
    <t>Fault type: original NCREE; plane angles: USGS product us/duputel200612261226A; updated 2015-02-12T16:21:21.000Z</t>
  </si>
  <si>
    <t>NCREE::2006_hengchunoffshore1</t>
  </si>
  <si>
    <t>6.94</t>
  </si>
  <si>
    <t>12:34:13.800Z</t>
  </si>
  <si>
    <t>Fault type: original NCREE; plane angles: USGS product us/pde20061226123413800_10_C_GCMT; updated 2014-11-07T01:31:11.751Z</t>
  </si>
  <si>
    <t>NCREE::2006_hengchunoffshore</t>
  </si>
  <si>
    <t>6.17</t>
  </si>
  <si>
    <t>2006-04-01</t>
  </si>
  <si>
    <t>10:02:19.570Z</t>
  </si>
  <si>
    <t>Fault type: original NCREE; plane angles: USGS product us/pde20060401100219570_9_C_HRV; updated 2014-11-07T01:28:40.934Z</t>
  </si>
  <si>
    <t>NCREE::2006_taitung</t>
  </si>
  <si>
    <t>NCREE::2007_chuetsuoki</t>
  </si>
  <si>
    <t>5.24</t>
  </si>
  <si>
    <t>2007-08-09</t>
  </si>
  <si>
    <t>00:55:52.300Z</t>
  </si>
  <si>
    <t>https://earthquake.usgs.gov/earthquakes/eventpage/usp000fj7j</t>
  </si>
  <si>
    <t>NCREE::2007_taitung</t>
  </si>
  <si>
    <t>6.47</t>
  </si>
  <si>
    <t>2009-12-19</t>
  </si>
  <si>
    <t>13:02:15.570Z</t>
  </si>
  <si>
    <t>Fault type: original NCREE; plane angles: USGS product us/pde20091219130215570_43_C_GCMT; updated 2014-11-07T01:40:17.494Z</t>
  </si>
  <si>
    <t>NCREE::2009_hualienoffshore</t>
  </si>
  <si>
    <t>NCREE::2009_laquila</t>
  </si>
  <si>
    <t>5.6</t>
  </si>
  <si>
    <t>2009-11-05</t>
  </si>
  <si>
    <t>09:32:56.560Z</t>
  </si>
  <si>
    <t>Fault type: original NCREE; plane angles: USGS product us/pde20091105093256560_18_C_GCMT; updated 2014-11-07T01:40:04.597Z</t>
  </si>
  <si>
    <t>NCREE::2009_nantou</t>
  </si>
  <si>
    <t>Table 1 reported fault geometry</t>
  </si>
  <si>
    <t>Fault type: original NCREE; plane angles: Same Table 1; publication citation not supplied</t>
  </si>
  <si>
    <t>NCREE::2010_darfield</t>
  </si>
  <si>
    <t>NCREE::2010_elmayorcucapah</t>
  </si>
  <si>
    <t>6.29</t>
  </si>
  <si>
    <t>2010-03-04</t>
  </si>
  <si>
    <t>00:18:51.290Z</t>
  </si>
  <si>
    <t>Fault type: original NCREE; plane angles: USGS product us/pde20100304001851290_21_C_WCMT; updated 2015-07-01T17:06:25.000Z</t>
  </si>
  <si>
    <t>NCREE::2010_jiaxian</t>
  </si>
  <si>
    <t>NCREE::2011_christchurch</t>
  </si>
  <si>
    <t>6.01</t>
  </si>
  <si>
    <t>2013-03-27</t>
  </si>
  <si>
    <t>02:03:19.820Z</t>
  </si>
  <si>
    <t>Fault type: original NCREE; plane angles: USGS product us/usb000ftgc_Mww; updated 2013-03-27T05:34:24.615Z</t>
  </si>
  <si>
    <t>NCREE::2013_nantou1</t>
  </si>
  <si>
    <t>2013-06-02</t>
  </si>
  <si>
    <t>05:43:03.460Z</t>
  </si>
  <si>
    <t>Fault type: original NCREE; plane angles: USGS product us/usb000hbrt_Mww; updated 2013-06-02T06:36:41.637Z</t>
  </si>
  <si>
    <t>NCREE::2013_nantou2</t>
  </si>
  <si>
    <t>6.32</t>
  </si>
  <si>
    <t>2013-10-31</t>
  </si>
  <si>
    <t>12:02:08.720Z</t>
  </si>
  <si>
    <t>Fault type: original NCREE; plane angles: USGS product us/usc000ksdy_Mww; updated 2013-10-31T12:50:27.623Z</t>
  </si>
  <si>
    <t>NCREE::2013_ruisui</t>
  </si>
  <si>
    <t>7.8</t>
  </si>
  <si>
    <t>2015-04-25</t>
  </si>
  <si>
    <t>06:11:25.950Z</t>
  </si>
  <si>
    <t>Fault type: original NCREE; plane angles: USGS product us/us_20002926_mww; updated 2015-07-03T00:23:39.040Z</t>
  </si>
  <si>
    <t>https://earthquake.usgs.gov/product/finite-fault/us20002926/us/1539809906375/basic_inversion.param</t>
  </si>
  <si>
    <t>https://earthquake.usgs.gov/product/finite-fault/us20002926/us/1539809906375/moment_rate.mr</t>
  </si>
  <si>
    <t>NCREE::2015_gorkha</t>
  </si>
  <si>
    <t>2016-11-13</t>
  </si>
  <si>
    <t>11:02:56.340Z</t>
  </si>
  <si>
    <t>Fault type: original NCREE; plane angles: USGS product us/us_1000778i_mww; updated 2017-02-09T03:02:21.040Z</t>
  </si>
  <si>
    <t>https://earthquake.usgs.gov/product/finite-fault/us1000778i/us/1539813034137/basic_inversion.param</t>
  </si>
  <si>
    <t>https://earthquake.usgs.gov/product/finite-fault/us1000778i/us/1539813034137/moment_rate.mr</t>
  </si>
  <si>
    <t>NCREE::2016_kaikoura</t>
  </si>
  <si>
    <t>2016-04-15</t>
  </si>
  <si>
    <t>16:25:06Z</t>
  </si>
  <si>
    <t>Table 1 lists two strike/dip entries; not identified as nodal-plane pair</t>
  </si>
  <si>
    <t>https://earthquake.usgs.gov/product/finite-fault/us20005iis/us/1539812954400/basic_inversion.param</t>
  </si>
  <si>
    <t>https://earthquake.usgs.gov/product/finite-fault/us20005iis/us/1539812954400/moment_rate.mr</t>
  </si>
  <si>
    <t>NCREE::2016_kumamoto</t>
  </si>
  <si>
    <t>6.4</t>
  </si>
  <si>
    <t>2016-02-05</t>
  </si>
  <si>
    <t>19:57:27Z</t>
  </si>
  <si>
    <t>NCREE::2016_meinong</t>
  </si>
  <si>
    <t>6.4 | 6.42</t>
  </si>
  <si>
    <t>2018-02-06</t>
  </si>
  <si>
    <t>15:50:43Z</t>
  </si>
  <si>
    <t>NCREE::2018_hualien</t>
  </si>
  <si>
    <t>User-provided Table 1</t>
  </si>
  <si>
    <t>User-provided screenshot, Table 1: Summary of the Parameters of the Earthquakes Considered in This Work</t>
  </si>
  <si>
    <t>Same Table 1; publication citation not supplied</t>
  </si>
  <si>
    <t>User-selected Table 1 values replace selected event parameters. Existing catalog_magnitude column now holds selected-reference Mw; USGS catalog values remain in Event_match_audit. Finite-fault products unchanged. Previous selected values: {"time":"2016-04-15T16:25:06.220Z","magnitude":7,"hypocenter":[32.7906,130.7543,10],"planes":[224,66,-151,122,64,-26],"source":"USGS ComCat preferred origin","url":"https://earthquake.usgs.gov/earthquakes/eventpage/us20005iis"}. Mainshock two geometry entries are not asserted to be conjugate nodal planes. YEN source-specific entry: original/Table 1 data have priority. Original Mw used; matched fields retained only where original source lacks the field.</t>
  </si>
  <si>
    <t>YEN::2016_kumamoto</t>
  </si>
  <si>
    <t>Strike-slip like</t>
  </si>
  <si>
    <t>User-selected Table 1 values replace selected event parameters. Existing catalog_magnitude column now holds selected-reference Mw; USGS catalog values remain in Event_match_audit. Finite-fault products unchanged. Previous selected values: {"time":"2016-02-05T19:57:27.380Z","magnitude":6.4,"hypocenter":[22.9375,120.6014,23],"planes":[174,75,110,299,25,38],"source":"USGS ComCat preferred origin","url":"https://earthquake.usgs.gov/earthquakes/eventpage/us20004y6h"}. Mainshock two geometry entries are not asserted to be conjugate nodal planes. YEN source-specific entry: original/Table 1 data have priority. Original Mw used; matched fields retained only where original source lacks the field.</t>
  </si>
  <si>
    <t>YEN::2016_meinong</t>
  </si>
  <si>
    <t>Oblique slip</t>
  </si>
  <si>
    <t>User-selected Table 1 values replace selected event parameters. Existing catalog_magnitude column now holds selected-reference Mw; USGS catalog values remain in Event_match_audit. Finite-fault products unchanged. Previous selected values: {"time":"2018-02-06T15:50:43.320Z","magnitude":6.4,"hypocenter":[24.1338,121.6586,17],"planes":[112.24,68.61,161.27,209.29,72.6,22.47],"source":"USGS ComCat preferred origin","url":"https://earthquake.usgs.gov/earthquakes/eventpage/us1000chhc"}. Mainshock two geometry entries are not asserted to be conjugate nodal planes. YEN source-specific entry: original/Table 1 data have priority. Original Mw used; matched fields retained only where original source lacks the field.</t>
  </si>
  <si>
    <t>YEN::2018_hualien</t>
  </si>
  <si>
    <t>User-selected Table 1 values replace selected event parameters. Existing catalog_magnitude column now holds selected-reference Mw; USGS catalog values remain in Event_match_audit. Finite-fault products unchanged. Previous selected values: {"time":"2010-09-03T16:35:47.770Z","magnitude":7,"hypocenter":[-43.522,171.83,12],"planes":[177,64,355,269,86,-154],"source":"USGS ComCat preferred origin; UTC time independently checked against USGS","url":"https://earthquake.usgs.gov/earthquakes/eventpage/usp000hk46"}. Mainshock two geometry entries are not asserted to be conjugate nodal planes. YEN source-specific entry: original/Table 1 data have priority. Original Mw used; matched fields retained only where original source lacks the field.</t>
  </si>
  <si>
    <t>YEN::2010_darfield</t>
  </si>
  <si>
    <t>2016-04-14</t>
  </si>
  <si>
    <t>12:26:36Z</t>
  </si>
  <si>
    <t>User-selected Table 1 values replace selected event parameters. Existing catalog_magnitude column now holds selected-reference Mw; USGS catalog values remain in Event_match_audit. Finite-fault products unchanged. Previous selected values: {"time":"2016-04-14T12:26:35.730Z","magnitude":6.2,"hypocenter":[32.788,130.7042,9],"planes":[210,81,164,303,74,9],"source":"USGS ComCat preferred origin","url":"https://earthquake.usgs.gov/earthquakes/eventpage/us20005hzn"}. Mainshock two geometry entries are not asserted to be conjugate nodal planes. YEN source-specific entry: original/Table 1 data have priority. Original Mw used; matched fields retained only where original source lacks the field.</t>
  </si>
  <si>
    <t>Table 1 explicitly gives 2016-04-14 12:26:36 UTC, confirming the first large foreshock; USGS event ID retained.</t>
  </si>
  <si>
    <t>YEN::2016_kumamotoforeshock</t>
  </si>
  <si>
    <t>Original user-supplied Asano &amp; Iwata (2019) FSP; UTC retained from catalog</t>
  </si>
  <si>
    <t>2018-09-05</t>
  </si>
  <si>
    <t>18:07:59.150Z</t>
  </si>
  <si>
    <t>Mw (finite-source model)</t>
  </si>
  <si>
    <t>Reverse (model mean rake)</t>
  </si>
  <si>
    <t>3 model segments: strike 10/355/5; dip 70; first fields show hypocentral segment 2; no conjugate plane</t>
  </si>
  <si>
    <t>Asano &amp; Iwata (2019), user-supplied FSP</t>
  </si>
  <si>
    <t>FSP model header mean rake; segment geometry in Finite_fault_segments</t>
  </si>
  <si>
    <t>Available: user-supplied literature FSP (not USGS product)</t>
  </si>
  <si>
    <t>User-supplied original model replaces matched hypocenter. Native YEN magnitude 6.7 retained; model Mw 6.8 stored separately. FSP has no subfault rake/time columns. UTC time remains separately cited catalog value.</t>
  </si>
  <si>
    <t>Asano &amp; Iwata (2019); user-supplied FSP</t>
  </si>
  <si>
    <t>s2018IBURIH01ASAN</t>
  </si>
  <si>
    <t>FSP dated 2019-09-24</t>
  </si>
  <si>
    <t>User identifies file as Iburi slip model; header event/date and Asano &amp; Iwata DOI agree.</t>
  </si>
  <si>
    <t>YEN::2018_iburi</t>
  </si>
  <si>
    <t>Original YEN Mw; matched hypocenter fallback</t>
  </si>
  <si>
    <t>2022-11-23</t>
  </si>
  <si>
    <t>01:08:15.435Z</t>
  </si>
  <si>
    <t>strike-slip</t>
  </si>
  <si>
    <t>USGS ComCat preferred origin</t>
  </si>
  <si>
    <t>USGS product us/us_7000irp8_mww; updated 2023-01-30T06:01:03.040Z</t>
  </si>
  <si>
    <t>Broad mechanism derived from plane-1 rake: within 30 degrees of 0/180 = strike-slip; otherwise rake sign classifies reverse/normal. YEN source-specific entry: original/Table 1 data have priority. Original Mw used; matched fields retained only where original source lacks the field.</t>
  </si>
  <si>
    <t>YEN::2022_duzce</t>
  </si>
  <si>
    <t>2023-02-06</t>
  </si>
  <si>
    <t>01:17:34.342Z</t>
  </si>
  <si>
    <t>USGS product us/us_6000jllz_mww; updated 2023-04-15T21:39:33.040Z</t>
  </si>
  <si>
    <t>us6000jllz_1</t>
  </si>
  <si>
    <t>4</t>
  </si>
  <si>
    <t>https://earthquake.usgs.gov/product/finite-fault/us6000jllz_1/us/1676951251912/basic_inversion.param</t>
  </si>
  <si>
    <t>https://earthquake.usgs.gov/product/finite-fault/us6000jllz_1/us/1676951251912/moment_rate.mr</t>
  </si>
  <si>
    <t>YEN::2023_pazarcik</t>
  </si>
  <si>
    <t>10:24:48.811Z</t>
  </si>
  <si>
    <t>USGS product us/us_6000jlqa_mww; updated 2023-04-15T21:39:36.040Z</t>
  </si>
  <si>
    <t>us6000jlqa_1</t>
  </si>
  <si>
    <t>3</t>
  </si>
  <si>
    <t>https://earthquake.usgs.gov/product/finite-fault/us6000jlqa_1/us/1676676771092/basic_inversion.param</t>
  </si>
  <si>
    <t>https://earthquake.usgs.gov/product/finite-fault/us6000jlqa_1/us/1676676771092/moment_rate.mr</t>
  </si>
  <si>
    <t>YEN::2023_elbistan</t>
  </si>
  <si>
    <t>Table 1 reference selected</t>
  </si>
  <si>
    <t>Screenshot Table 1 identifies the same event. Event_sources and appended event fields now use Table 1 parameters; USGS fields here remain unchanged for comparison.</t>
  </si>
  <si>
    <t>https://earthquake.usgs.gov/earthquakes/eventpage/usp000hk46 | /Users/mingshen/Desktop/Screenshot 2026-09-10 at 23.58.23.png</t>
  </si>
  <si>
    <t>https://earthquake.usgs.gov/earthquakes/eventpage/us20005iis | /Users/mingshen/Desktop/Screenshot 2026-09-10 at 23.58.23.png</t>
  </si>
  <si>
    <t>Confirmed by user Table 1</t>
  </si>
  <si>
    <t>Screenshot Table 1 identifies 12:26:36 UTC foreshock; USGS us20005hzn retained. Selected event parameters come from Table 1; USGS columns on this sheet retain catalog comparison values.</t>
  </si>
  <si>
    <t>https://earthquake.usgs.gov/earthquakes/eventpage/us20005hzn | /Users/mingshen/Desktop/Screenshot 2026-09-10 at 23.58.23.png</t>
  </si>
  <si>
    <t>https://earthquake.usgs.gov/earthquakes/eventpage/us20004y6h | /Users/mingshen/Desktop/Screenshot 2026-09-10 at 23.58.23.png</t>
  </si>
  <si>
    <t>https://earthquake.usgs.gov/earthquakes/eventpage/us1000chhc | /Users/mingshen/Desktop/Screenshot 2026-09-10 at 23.58.23.png</t>
  </si>
  <si>
    <t>record_id</t>
  </si>
  <si>
    <t>event_original</t>
  </si>
  <si>
    <t>year</t>
  </si>
  <si>
    <t>station_original</t>
  </si>
  <si>
    <t>coord_source_id</t>
  </si>
  <si>
    <t>coord_source_ref</t>
  </si>
  <si>
    <t>coord_match</t>
  </si>
  <si>
    <t>processing</t>
  </si>
  <si>
    <t>NGA_RSN</t>
  </si>
  <si>
    <t>Tp_s</t>
  </si>
  <si>
    <t>Tf_s</t>
  </si>
  <si>
    <t>PGV_cm_s</t>
  </si>
  <si>
    <t>closest_distance_km</t>
  </si>
  <si>
    <t>Rrup_km</t>
  </si>
  <si>
    <t>Rhyp_km</t>
  </si>
  <si>
    <t>orientation_north_deg</t>
  </si>
  <si>
    <t>orientation_fault_parallel_deg</t>
  </si>
  <si>
    <t>fault_normal_pulse</t>
  </si>
  <si>
    <t>directivity_effect</t>
  </si>
  <si>
    <t>mechanism_original</t>
  </si>
  <si>
    <t>lnTp_original</t>
  </si>
  <si>
    <t>hypo_lat_deg</t>
  </si>
  <si>
    <t>hypo_lon_deg</t>
  </si>
  <si>
    <t>hypo_depth_original</t>
  </si>
  <si>
    <t>vs30_original</t>
  </si>
  <si>
    <t>Tp_H_s</t>
  </si>
  <si>
    <t>Tp_V_s</t>
  </si>
  <si>
    <t>PGA_EW_original</t>
  </si>
  <si>
    <t>PGA_NS_original</t>
  </si>
  <si>
    <t>PGA_V_original</t>
  </si>
  <si>
    <t>PGV_EW_original</t>
  </si>
  <si>
    <t>PGV_NS_original</t>
  </si>
  <si>
    <t>PGV_V_original</t>
  </si>
  <si>
    <t>PGD_EW_original</t>
  </si>
  <si>
    <t>PGD_NS_original</t>
  </si>
  <si>
    <t>PGD_V_original</t>
  </si>
  <si>
    <t>RD_EW_original</t>
  </si>
  <si>
    <t>RD_NS_original</t>
  </si>
  <si>
    <t>RD_V_original</t>
  </si>
  <si>
    <t>Rx_original</t>
  </si>
  <si>
    <t>t1_original</t>
  </si>
  <si>
    <t>Dsite_original</t>
  </si>
  <si>
    <t>quality_flag</t>
  </si>
  <si>
    <t>Dsite_after_flag</t>
  </si>
  <si>
    <t>Tf_after_flag_s</t>
  </si>
  <si>
    <t>median_predicted_Dfault</t>
  </si>
  <si>
    <t>normalized_Dsite</t>
  </si>
  <si>
    <t>Tf_within_10km_s</t>
  </si>
  <si>
    <t>dip_original</t>
  </si>
  <si>
    <t>missing_fields_original</t>
  </si>
  <si>
    <t>repeat_count</t>
  </si>
  <si>
    <t>source_error</t>
  </si>
  <si>
    <t>active_sheet</t>
  </si>
  <si>
    <t>active_row</t>
  </si>
  <si>
    <t>S03-R0002</t>
  </si>
  <si>
    <t>Baker(2014)</t>
  </si>
  <si>
    <t>NGA RSN + event + year; station name reviewed</t>
  </si>
  <si>
    <t>as supplied</t>
  </si>
  <si>
    <t>NGA:20</t>
  </si>
  <si>
    <t>S03-R0003</t>
  </si>
  <si>
    <t>NGA:77</t>
  </si>
  <si>
    <t>S03-R0004</t>
  </si>
  <si>
    <t>NGA:143</t>
  </si>
  <si>
    <t>S03-R0005</t>
  </si>
  <si>
    <t>NGA:4451</t>
  </si>
  <si>
    <t>S03-R0006</t>
  </si>
  <si>
    <t>NGA:4458</t>
  </si>
  <si>
    <t>S03-R0007</t>
  </si>
  <si>
    <t>NGA:147</t>
  </si>
  <si>
    <t>S03-R0008</t>
  </si>
  <si>
    <t>NGA:148</t>
  </si>
  <si>
    <t>S03-R0009</t>
  </si>
  <si>
    <t>NGA:149</t>
  </si>
  <si>
    <t>S03-R0010</t>
  </si>
  <si>
    <t>NGA:150</t>
  </si>
  <si>
    <t>S03-R0011</t>
  </si>
  <si>
    <t>NGA:159</t>
  </si>
  <si>
    <t>S03-R0012</t>
  </si>
  <si>
    <t>NGA:161</t>
  </si>
  <si>
    <t>S03-R0013</t>
  </si>
  <si>
    <t>NGA:170</t>
  </si>
  <si>
    <t>S03-R0014</t>
  </si>
  <si>
    <t>NGA:171</t>
  </si>
  <si>
    <t>S03-R0015</t>
  </si>
  <si>
    <t>NGA:173</t>
  </si>
  <si>
    <t>S03-R0016</t>
  </si>
  <si>
    <t>NGA:178</t>
  </si>
  <si>
    <t>S03-R0017</t>
  </si>
  <si>
    <t>NGA:179</t>
  </si>
  <si>
    <t>S03-R0018</t>
  </si>
  <si>
    <t>NGA:180</t>
  </si>
  <si>
    <t>S03-R0019</t>
  </si>
  <si>
    <t>NGA:181</t>
  </si>
  <si>
    <t>S03-R0020</t>
  </si>
  <si>
    <t>NGA:182</t>
  </si>
  <si>
    <t>S03-R0021</t>
  </si>
  <si>
    <t>NGA:184</t>
  </si>
  <si>
    <t>S03-R0022</t>
  </si>
  <si>
    <t>NGA:185</t>
  </si>
  <si>
    <t>S03-R0023</t>
  </si>
  <si>
    <t>ROTD50_d050 row 205; RSN=204; El Centro Array #6</t>
  </si>
  <si>
    <t>NGA:204</t>
  </si>
  <si>
    <t>S03-R0024</t>
  </si>
  <si>
    <t>NGA:285</t>
  </si>
  <si>
    <t>S03-R0025</t>
  </si>
  <si>
    <t>NGA:292</t>
  </si>
  <si>
    <t>S03-R0026</t>
  </si>
  <si>
    <t>NGA:250</t>
  </si>
  <si>
    <t>S03-R0027</t>
  </si>
  <si>
    <t>NGA:316</t>
  </si>
  <si>
    <t>S03-R0028</t>
  </si>
  <si>
    <t>NGA:319</t>
  </si>
  <si>
    <t>S03-R0029</t>
  </si>
  <si>
    <t>NGA:372</t>
  </si>
  <si>
    <t>S03-R0030</t>
  </si>
  <si>
    <t>NGA:373</t>
  </si>
  <si>
    <t>S03-R0031</t>
  </si>
  <si>
    <t>NGA:415</t>
  </si>
  <si>
    <t>S03-R0032</t>
  </si>
  <si>
    <t>NGA:418</t>
  </si>
  <si>
    <t>S03-R0033</t>
  </si>
  <si>
    <t>NGA:451</t>
  </si>
  <si>
    <t>S03-R0034</t>
  </si>
  <si>
    <t>ROTD50_d050 row 460; RSN=459; Gilroy Array #6</t>
  </si>
  <si>
    <t>NGA:459</t>
  </si>
  <si>
    <t>S03-R0035</t>
  </si>
  <si>
    <t>NGA:566</t>
  </si>
  <si>
    <t>S03-R0036</t>
  </si>
  <si>
    <t>NGA:527</t>
  </si>
  <si>
    <t>S03-R0037</t>
  </si>
  <si>
    <t>NGA:503</t>
  </si>
  <si>
    <t>S03-R0038</t>
  </si>
  <si>
    <t>NGA:504</t>
  </si>
  <si>
    <t>S03-R0039</t>
  </si>
  <si>
    <t>NGA:505</t>
  </si>
  <si>
    <t>S03-R0040</t>
  </si>
  <si>
    <t>NGA:506</t>
  </si>
  <si>
    <t>S03-R0041</t>
  </si>
  <si>
    <t>NGA:507</t>
  </si>
  <si>
    <t>S03-R0042</t>
  </si>
  <si>
    <t>NGA:508</t>
  </si>
  <si>
    <t>S03-R0043</t>
  </si>
  <si>
    <t>NGA:510</t>
  </si>
  <si>
    <t>S03-R0044</t>
  </si>
  <si>
    <t>NGA:3634</t>
  </si>
  <si>
    <t>S03-R0045</t>
  </si>
  <si>
    <t>NGA:3635</t>
  </si>
  <si>
    <t>S03-R0046</t>
  </si>
  <si>
    <t>NGA:3636</t>
  </si>
  <si>
    <t>S03-R0047</t>
  </si>
  <si>
    <t>NGA:3637</t>
  </si>
  <si>
    <t>S03-R0048</t>
  </si>
  <si>
    <t>NGA:3638</t>
  </si>
  <si>
    <t>S03-R0049</t>
  </si>
  <si>
    <t>NGA:3639</t>
  </si>
  <si>
    <t>S03-R0050</t>
  </si>
  <si>
    <t>NGA:3640</t>
  </si>
  <si>
    <t>S03-R0051</t>
  </si>
  <si>
    <t>NGA:3641</t>
  </si>
  <si>
    <t>S03-R0052</t>
  </si>
  <si>
    <t>NGA:3642</t>
  </si>
  <si>
    <t>S03-R0053</t>
  </si>
  <si>
    <t>NGA:3643</t>
  </si>
  <si>
    <t>S03-R0054</t>
  </si>
  <si>
    <t>NGA:3644</t>
  </si>
  <si>
    <t>S03-R0055</t>
  </si>
  <si>
    <t>NGA:3645</t>
  </si>
  <si>
    <t>S03-R0056</t>
  </si>
  <si>
    <t>NGA:3646</t>
  </si>
  <si>
    <t>S03-R0057</t>
  </si>
  <si>
    <t>NGA:3647</t>
  </si>
  <si>
    <t>S03-R0058</t>
  </si>
  <si>
    <t>NGA:3649</t>
  </si>
  <si>
    <t>S03-R0059</t>
  </si>
  <si>
    <t>NGA:3650</t>
  </si>
  <si>
    <t>S03-R0060</t>
  </si>
  <si>
    <t>NGA:3652</t>
  </si>
  <si>
    <t>S03-R0061</t>
  </si>
  <si>
    <t>NGA:3655</t>
  </si>
  <si>
    <t>S03-R0062</t>
  </si>
  <si>
    <t>NGA:3656</t>
  </si>
  <si>
    <t>S03-R0063</t>
  </si>
  <si>
    <t>NGA:3657</t>
  </si>
  <si>
    <t>S03-R0064</t>
  </si>
  <si>
    <t>NGA:3658</t>
  </si>
  <si>
    <t>S03-R0065</t>
  </si>
  <si>
    <t>NGA:3660</t>
  </si>
  <si>
    <t>S03-R0066</t>
  </si>
  <si>
    <t>NGA:568</t>
  </si>
  <si>
    <t>S03-R0067</t>
  </si>
  <si>
    <t>NGA:569</t>
  </si>
  <si>
    <t>S03-R0068</t>
  </si>
  <si>
    <t>NGA:595</t>
  </si>
  <si>
    <t>S03-R0069</t>
  </si>
  <si>
    <t>NGA:611</t>
  </si>
  <si>
    <t>S03-R0070</t>
  </si>
  <si>
    <t>NGA:614</t>
  </si>
  <si>
    <t>S03-R0071</t>
  </si>
  <si>
    <t>NGA:615</t>
  </si>
  <si>
    <t>S03-R0072</t>
  </si>
  <si>
    <t>NGA:645</t>
  </si>
  <si>
    <t>S03-R0073</t>
  </si>
  <si>
    <t>NGA:668</t>
  </si>
  <si>
    <t>S03-R0074</t>
  </si>
  <si>
    <t>NGA:692</t>
  </si>
  <si>
    <t>S03-R0075</t>
  </si>
  <si>
    <t>NGA:722</t>
  </si>
  <si>
    <t>S03-R0076</t>
  </si>
  <si>
    <t>ROTD50_d050 row 724; RSN=723; Parachute Test Site</t>
  </si>
  <si>
    <t>NGA:723</t>
  </si>
  <si>
    <t>S03-R0077</t>
  </si>
  <si>
    <t>NGA:725</t>
  </si>
  <si>
    <t>S03-R0078</t>
  </si>
  <si>
    <t>NGA:738</t>
  </si>
  <si>
    <t>S03-R0079</t>
  </si>
  <si>
    <t>NGA:758</t>
  </si>
  <si>
    <t>S03-R0080</t>
  </si>
  <si>
    <t>NGA:764</t>
  </si>
  <si>
    <t>S03-R0081</t>
  </si>
  <si>
    <t>ROTD50_d050 row 767; RSN=766; Gilroy Array #2</t>
  </si>
  <si>
    <t>NGA:766</t>
  </si>
  <si>
    <t>S03-R0082</t>
  </si>
  <si>
    <t>ROTD50_d050 row 768; RSN=767; Gilroy Array #3</t>
  </si>
  <si>
    <t>NGA:767</t>
  </si>
  <si>
    <t>S03-R0083</t>
  </si>
  <si>
    <t>NGA:783</t>
  </si>
  <si>
    <t>S03-R0084</t>
  </si>
  <si>
    <t>NGA:784</t>
  </si>
  <si>
    <t>S03-R0085</t>
  </si>
  <si>
    <t>NGA:796</t>
  </si>
  <si>
    <t>S03-R0086</t>
  </si>
  <si>
    <t>NGA:802</t>
  </si>
  <si>
    <t>S03-R0087</t>
  </si>
  <si>
    <t>NGA:803</t>
  </si>
  <si>
    <t>S03-R0088</t>
  </si>
  <si>
    <t>NGA:808</t>
  </si>
  <si>
    <t>S03-R0089</t>
  </si>
  <si>
    <t>NGA:3548</t>
  </si>
  <si>
    <t>S03-R0090</t>
  </si>
  <si>
    <t>NGA:825</t>
  </si>
  <si>
    <t>S03-R0091</t>
  </si>
  <si>
    <t>NGA:828</t>
  </si>
  <si>
    <t>S03-R0092</t>
  </si>
  <si>
    <t>NGA:3744</t>
  </si>
  <si>
    <t>S03-R0093</t>
  </si>
  <si>
    <t>NGA:3746</t>
  </si>
  <si>
    <t>S03-R0094</t>
  </si>
  <si>
    <t>NGA:6877</t>
  </si>
  <si>
    <t>S03-R0095</t>
  </si>
  <si>
    <t>NGA:838</t>
  </si>
  <si>
    <t>S03-R0096</t>
  </si>
  <si>
    <t>NGA:879</t>
  </si>
  <si>
    <t>S03-R0097</t>
  </si>
  <si>
    <t>NGA:900</t>
  </si>
  <si>
    <t>S03-R0098</t>
  </si>
  <si>
    <t>NGA:982</t>
  </si>
  <si>
    <t>S03-R0099</t>
  </si>
  <si>
    <t>NGA:983</t>
  </si>
  <si>
    <t>S03-R0100</t>
  </si>
  <si>
    <t>NGA:1003</t>
  </si>
  <si>
    <t>S03-R0101</t>
  </si>
  <si>
    <t>NGA:1004</t>
  </si>
  <si>
    <t>S03-R0102</t>
  </si>
  <si>
    <t>NGA:1013</t>
  </si>
  <si>
    <t>S03-R0103</t>
  </si>
  <si>
    <t>NGA:1044</t>
  </si>
  <si>
    <t>S03-R0104</t>
  </si>
  <si>
    <t>NGA:1045</t>
  </si>
  <si>
    <t>S03-R0105</t>
  </si>
  <si>
    <t>NGA:1050</t>
  </si>
  <si>
    <t>S03-R0106</t>
  </si>
  <si>
    <t>NGA:1051</t>
  </si>
  <si>
    <t>S03-R0107</t>
  </si>
  <si>
    <t>NGA:1052</t>
  </si>
  <si>
    <t>S03-R0108</t>
  </si>
  <si>
    <t>NGA:1054</t>
  </si>
  <si>
    <t>S03-R0109</t>
  </si>
  <si>
    <t>NGA:1063</t>
  </si>
  <si>
    <t>S03-R0110</t>
  </si>
  <si>
    <t>NGA:1084</t>
  </si>
  <si>
    <t>S03-R0111</t>
  </si>
  <si>
    <t>NGA:1085</t>
  </si>
  <si>
    <t>S03-R0112</t>
  </si>
  <si>
    <t>NGA:1086</t>
  </si>
  <si>
    <t>S03-R0113</t>
  </si>
  <si>
    <t>NGA:1106</t>
  </si>
  <si>
    <t>S03-R0114</t>
  </si>
  <si>
    <t>NGA:1114</t>
  </si>
  <si>
    <t>S03-R0115</t>
  </si>
  <si>
    <t>NGA:1119</t>
  </si>
  <si>
    <t>S03-R0116</t>
  </si>
  <si>
    <t>NGA:1120</t>
  </si>
  <si>
    <t>S03-R0117</t>
  </si>
  <si>
    <t>NGA:3763</t>
  </si>
  <si>
    <t>S03-R0118</t>
  </si>
  <si>
    <t>NGA:1752</t>
  </si>
  <si>
    <t>S03-R0119</t>
  </si>
  <si>
    <t>NGA:1182</t>
  </si>
  <si>
    <t>S03-R0120</t>
  </si>
  <si>
    <t>NGA:1193</t>
  </si>
  <si>
    <t>S03-R0121</t>
  </si>
  <si>
    <t>NGA:1244</t>
  </si>
  <si>
    <t>S03-R0122</t>
  </si>
  <si>
    <t>NGA:1402</t>
  </si>
  <si>
    <t>S03-R0123</t>
  </si>
  <si>
    <t>NGA:1403</t>
  </si>
  <si>
    <t>S03-R0124</t>
  </si>
  <si>
    <t>NGA:1462</t>
  </si>
  <si>
    <t>S03-R0125</t>
  </si>
  <si>
    <t>NGA:1464</t>
  </si>
  <si>
    <t>S03-R0126</t>
  </si>
  <si>
    <t>NGA:1470</t>
  </si>
  <si>
    <t>S03-R0127</t>
  </si>
  <si>
    <t>NGA:1471</t>
  </si>
  <si>
    <t>S03-R0128</t>
  </si>
  <si>
    <t>NGA:1472</t>
  </si>
  <si>
    <t>S03-R0129</t>
  </si>
  <si>
    <t>NGA:1473</t>
  </si>
  <si>
    <t>S03-R0130</t>
  </si>
  <si>
    <t>NGA:1475</t>
  </si>
  <si>
    <t>S03-R0131</t>
  </si>
  <si>
    <t>NGA:1476</t>
  </si>
  <si>
    <t>S03-R0132</t>
  </si>
  <si>
    <t>NGA:1477</t>
  </si>
  <si>
    <t>S03-R0133</t>
  </si>
  <si>
    <t>NGA:1478</t>
  </si>
  <si>
    <t>S03-R0134</t>
  </si>
  <si>
    <t>NGA:1479</t>
  </si>
  <si>
    <t>S03-R0135</t>
  </si>
  <si>
    <t>NGA:1480</t>
  </si>
  <si>
    <t>S03-R0136</t>
  </si>
  <si>
    <t>NGA:1481</t>
  </si>
  <si>
    <t>S03-R0137</t>
  </si>
  <si>
    <t>NGA:1482</t>
  </si>
  <si>
    <t>S03-R0138</t>
  </si>
  <si>
    <t>NGA:1483</t>
  </si>
  <si>
    <t>S03-R0139</t>
  </si>
  <si>
    <t>NGA:1485</t>
  </si>
  <si>
    <t>S03-R0140</t>
  </si>
  <si>
    <t>NGA:1486</t>
  </si>
  <si>
    <t>S03-R0141</t>
  </si>
  <si>
    <t>NGA:1487</t>
  </si>
  <si>
    <t>S03-R0142</t>
  </si>
  <si>
    <t>NGA:1489</t>
  </si>
  <si>
    <t>S03-R0143</t>
  </si>
  <si>
    <t>NGA:1491</t>
  </si>
  <si>
    <t>S03-R0144</t>
  </si>
  <si>
    <t>NGA:1492</t>
  </si>
  <si>
    <t>S03-R0145</t>
  </si>
  <si>
    <t>NGA:1493</t>
  </si>
  <si>
    <t>S03-R0146</t>
  </si>
  <si>
    <t>NGA:1496</t>
  </si>
  <si>
    <t>S03-R0147</t>
  </si>
  <si>
    <t>NGA:1498</t>
  </si>
  <si>
    <t>S03-R0148</t>
  </si>
  <si>
    <t>NGA:1501</t>
  </si>
  <si>
    <t>S03-R0149</t>
  </si>
  <si>
    <t>NGA:1502</t>
  </si>
  <si>
    <t>S03-R0150</t>
  </si>
  <si>
    <t>NGA:1503</t>
  </si>
  <si>
    <t>S03-R0151</t>
  </si>
  <si>
    <t>NGA:1505</t>
  </si>
  <si>
    <t>S03-R0152</t>
  </si>
  <si>
    <t>NGA:1510</t>
  </si>
  <si>
    <t>S03-R0153</t>
  </si>
  <si>
    <t>NGA:1511</t>
  </si>
  <si>
    <t>S03-R0154</t>
  </si>
  <si>
    <t>NGA:1514</t>
  </si>
  <si>
    <t>S03-R0155</t>
  </si>
  <si>
    <t>NGA:1515</t>
  </si>
  <si>
    <t>S03-R0156</t>
  </si>
  <si>
    <t>NGA:1519</t>
  </si>
  <si>
    <t>S03-R0157</t>
  </si>
  <si>
    <t>NGA:1520</t>
  </si>
  <si>
    <t>S03-R0158</t>
  </si>
  <si>
    <t>NGA:1523</t>
  </si>
  <si>
    <t>S03-R0159</t>
  </si>
  <si>
    <t>NGA:1524</t>
  </si>
  <si>
    <t>S03-R0160</t>
  </si>
  <si>
    <t>NGA:1525</t>
  </si>
  <si>
    <t>S03-R0161</t>
  </si>
  <si>
    <t>NGA:1526</t>
  </si>
  <si>
    <t>S03-R0162</t>
  </si>
  <si>
    <t>NGA:1528</t>
  </si>
  <si>
    <t>S03-R0163</t>
  </si>
  <si>
    <t>NGA:1529</t>
  </si>
  <si>
    <t>S03-R0164</t>
  </si>
  <si>
    <t>NGA:1530</t>
  </si>
  <si>
    <t>S03-R0165</t>
  </si>
  <si>
    <t>NGA:1531</t>
  </si>
  <si>
    <t>S03-R0166</t>
  </si>
  <si>
    <t>NGA:1548</t>
  </si>
  <si>
    <t>S03-R0167</t>
  </si>
  <si>
    <t>NGA:1550</t>
  </si>
  <si>
    <t>S03-R0168</t>
  </si>
  <si>
    <t>NGA:1595</t>
  </si>
  <si>
    <t>S03-R0169</t>
  </si>
  <si>
    <t>ROTD50_d050 row 2458; RSN=2457; CHY024</t>
  </si>
  <si>
    <t>NGA:2457</t>
  </si>
  <si>
    <t>S03-R0170</t>
  </si>
  <si>
    <t>NGA:2466</t>
  </si>
  <si>
    <t>S03-R0171</t>
  </si>
  <si>
    <t>NGA:2495</t>
  </si>
  <si>
    <t>S03-R0172</t>
  </si>
  <si>
    <t>ROTD50_d050 row 2619; RSN=2618; TCU065</t>
  </si>
  <si>
    <t>NGA:2618</t>
  </si>
  <si>
    <t>S03-R0173</t>
  </si>
  <si>
    <t>ROTD50_d050 row 2628; RSN=2627; TCU076</t>
  </si>
  <si>
    <t>NGA:2627</t>
  </si>
  <si>
    <t>S03-R0174</t>
  </si>
  <si>
    <t>NGA:2628</t>
  </si>
  <si>
    <t>S03-R0175</t>
  </si>
  <si>
    <t>ROTD50_d050 row 3318; RSN=3317; CHY101</t>
  </si>
  <si>
    <t>NGA:3317</t>
  </si>
  <si>
    <t>S03-R0176</t>
  </si>
  <si>
    <t>ROTD50_d050 row 3474; RSN=3473; TCU078</t>
  </si>
  <si>
    <t>NGA:3473</t>
  </si>
  <si>
    <t>S03-R0177</t>
  </si>
  <si>
    <t>NGA:3475</t>
  </si>
  <si>
    <t>S03-R0178</t>
  </si>
  <si>
    <t>NGA:2734</t>
  </si>
  <si>
    <t>S03-R0179</t>
  </si>
  <si>
    <t>NGA:1602</t>
  </si>
  <si>
    <t>S03-R0180</t>
  </si>
  <si>
    <t>NGA:1605</t>
  </si>
  <si>
    <t>S03-R0181</t>
  </si>
  <si>
    <t>NGA:8164</t>
  </si>
  <si>
    <t>S03-R0182</t>
  </si>
  <si>
    <t>NGA:1148</t>
  </si>
  <si>
    <t>S03-R0183</t>
  </si>
  <si>
    <t>NGA:1161</t>
  </si>
  <si>
    <t>S03-R0184</t>
  </si>
  <si>
    <t>NGA:1165</t>
  </si>
  <si>
    <t>S03-R0185</t>
  </si>
  <si>
    <t>NGA:1176</t>
  </si>
  <si>
    <t>S03-R0186</t>
  </si>
  <si>
    <t>NGA:3965</t>
  </si>
  <si>
    <t>S03-R0187</t>
  </si>
  <si>
    <t>NGA:1853</t>
  </si>
  <si>
    <t>S03-R0188</t>
  </si>
  <si>
    <t>NGA:2114</t>
  </si>
  <si>
    <t>S03-R0189</t>
  </si>
  <si>
    <t>NGA:4040</t>
  </si>
  <si>
    <t>S03-R0190</t>
  </si>
  <si>
    <t>NGA:4211</t>
  </si>
  <si>
    <t>S03-R0191</t>
  </si>
  <si>
    <t>NGA:4228</t>
  </si>
  <si>
    <t>S03-R0192</t>
  </si>
  <si>
    <t>NGA:4065</t>
  </si>
  <si>
    <t>S03-R0193</t>
  </si>
  <si>
    <t>NGA:4097</t>
  </si>
  <si>
    <t>S03-R0194</t>
  </si>
  <si>
    <t>NGA:4098</t>
  </si>
  <si>
    <t>S03-R0195</t>
  </si>
  <si>
    <t>NGA:4100</t>
  </si>
  <si>
    <t>S03-R0196</t>
  </si>
  <si>
    <t>NGA:4101</t>
  </si>
  <si>
    <t>S03-R0197</t>
  </si>
  <si>
    <t>NGA:4102</t>
  </si>
  <si>
    <t>S03-R0198</t>
  </si>
  <si>
    <t>NGA:4103</t>
  </si>
  <si>
    <t>S03-R0199</t>
  </si>
  <si>
    <t>NGA:4107</t>
  </si>
  <si>
    <t>S03-R0200</t>
  </si>
  <si>
    <t>NGA:4113</t>
  </si>
  <si>
    <t>S03-R0201</t>
  </si>
  <si>
    <t>NGA:4115</t>
  </si>
  <si>
    <t>S03-R0202</t>
  </si>
  <si>
    <t>region + normalized station</t>
  </si>
  <si>
    <t>NGA:4116</t>
  </si>
  <si>
    <t>S03-R0203</t>
  </si>
  <si>
    <t>NGA:4126</t>
  </si>
  <si>
    <t>S03-R0204</t>
  </si>
  <si>
    <t>NGA:4847</t>
  </si>
  <si>
    <t>S03-R0205</t>
  </si>
  <si>
    <t>NGA:4850</t>
  </si>
  <si>
    <t>S03-R0206</t>
  </si>
  <si>
    <t>NGA:4856</t>
  </si>
  <si>
    <t>S03-R0207</t>
  </si>
  <si>
    <t>NGA:4874</t>
  </si>
  <si>
    <t>S03-R0208</t>
  </si>
  <si>
    <t>NGA:4875</t>
  </si>
  <si>
    <t>S03-R0209</t>
  </si>
  <si>
    <t>NGA:4879</t>
  </si>
  <si>
    <t>S03-R0210</t>
  </si>
  <si>
    <t>NGA:4889</t>
  </si>
  <si>
    <t>S03-R0211</t>
  </si>
  <si>
    <t>NGA:4891</t>
  </si>
  <si>
    <t>S03-R0212</t>
  </si>
  <si>
    <t>NGA:4896</t>
  </si>
  <si>
    <t>S03-R0213</t>
  </si>
  <si>
    <t>NGA:4897</t>
  </si>
  <si>
    <t>S03-R0214</t>
  </si>
  <si>
    <t>NGA:5658</t>
  </si>
  <si>
    <t>S03-R0215</t>
  </si>
  <si>
    <t>NGA:5810</t>
  </si>
  <si>
    <t>S03-R0216</t>
  </si>
  <si>
    <t>NGA:4716</t>
  </si>
  <si>
    <t>S03-R0217</t>
  </si>
  <si>
    <t>NGA:4816</t>
  </si>
  <si>
    <t>S03-R0218</t>
  </si>
  <si>
    <t>NGA:4480</t>
  </si>
  <si>
    <t>S03-R0219</t>
  </si>
  <si>
    <t>NGA:4482</t>
  </si>
  <si>
    <t>S03-R0220</t>
  </si>
  <si>
    <t>NGA:4483</t>
  </si>
  <si>
    <t>S03-R0221</t>
  </si>
  <si>
    <t>region + normalized station + year</t>
  </si>
  <si>
    <t>NGA:6887</t>
  </si>
  <si>
    <t>S03-R0222</t>
  </si>
  <si>
    <t>NGA:6897</t>
  </si>
  <si>
    <t>S03-R0223</t>
  </si>
  <si>
    <t>NGA:6906</t>
  </si>
  <si>
    <t>S03-R0224</t>
  </si>
  <si>
    <t>NGA:6911</t>
  </si>
  <si>
    <t>S03-R0225</t>
  </si>
  <si>
    <t>NGA:6927</t>
  </si>
  <si>
    <t>S03-R0226</t>
  </si>
  <si>
    <t>NGA:6928</t>
  </si>
  <si>
    <t>S03-R0227</t>
  </si>
  <si>
    <t>NGA:6942</t>
  </si>
  <si>
    <t>S03-R0228</t>
  </si>
  <si>
    <t>NGA:6959</t>
  </si>
  <si>
    <t>S03-R0229</t>
  </si>
  <si>
    <t>NGA:6960</t>
  </si>
  <si>
    <t>S03-R0230</t>
  </si>
  <si>
    <t>NGA:6962</t>
  </si>
  <si>
    <t>S03-R0231</t>
  </si>
  <si>
    <t>NGA:6966</t>
  </si>
  <si>
    <t>S03-R0232</t>
  </si>
  <si>
    <t>NGA:6969</t>
  </si>
  <si>
    <t>S03-R0233</t>
  </si>
  <si>
    <t>NGA:6975</t>
  </si>
  <si>
    <t>S03-R0234</t>
  </si>
  <si>
    <t>NGA:5832</t>
  </si>
  <si>
    <t>S03-R0235</t>
  </si>
  <si>
    <t>NGA:8161</t>
  </si>
  <si>
    <t>S03-R0236</t>
  </si>
  <si>
    <t>NGA:8606</t>
  </si>
  <si>
    <t>S03-R0237</t>
  </si>
  <si>
    <t>NGA:8064</t>
  </si>
  <si>
    <t>S03-R0238</t>
  </si>
  <si>
    <t>NGA:8066</t>
  </si>
  <si>
    <t>S03-R0239</t>
  </si>
  <si>
    <t>NGA:8067</t>
  </si>
  <si>
    <t>S03-R0240</t>
  </si>
  <si>
    <t>NGA:8090</t>
  </si>
  <si>
    <t>S03-R0241</t>
  </si>
  <si>
    <t>NGA:8119</t>
  </si>
  <si>
    <t>S03-R0242</t>
  </si>
  <si>
    <t>ROTD50_d050 row 8124; Station ID=REHS</t>
  </si>
  <si>
    <t>NGA:8123</t>
  </si>
  <si>
    <t>S03-R0243</t>
  </si>
  <si>
    <t>ROTD50_d050 row 8131; Station ID=SHLC</t>
  </si>
  <si>
    <t>NGA:8130</t>
  </si>
  <si>
    <t>S03-R0244</t>
  </si>
  <si>
    <t>ROTD50_d050 row 8159; RSN=8158; LPCC</t>
  </si>
  <si>
    <t>NGA:8158</t>
  </si>
  <si>
    <t>S08-R0002</t>
  </si>
  <si>
    <t>Taiwan database(NCREE)</t>
  </si>
  <si>
    <t>original row</t>
  </si>
  <si>
    <t>Tp_V_s:None</t>
  </si>
  <si>
    <t>1971:1971sanfernandousa:US:pacoimadamupperleftabut</t>
  </si>
  <si>
    <t>S08-R0003</t>
  </si>
  <si>
    <t>1978:1978tabasiran:IR:tabas</t>
  </si>
  <si>
    <t>S08-R0004</t>
  </si>
  <si>
    <t>1979:1979coyotelakeusa:US:gilroyarray2</t>
  </si>
  <si>
    <t>S08-R0005</t>
  </si>
  <si>
    <t>1979:1979coyotelakeusa:US:gilroyarray3</t>
  </si>
  <si>
    <t>S08-R0006</t>
  </si>
  <si>
    <t>1979:1979coyotelakeusa:US:gilroyarray4</t>
  </si>
  <si>
    <t>S08-R0007</t>
  </si>
  <si>
    <t>1979:1979coyotelakeusa:US:gilroyarray6</t>
  </si>
  <si>
    <t>S08-R0008</t>
  </si>
  <si>
    <t>1979:1979imperialvalley06usa:US:agrarias</t>
  </si>
  <si>
    <t>S08-R0009</t>
  </si>
  <si>
    <t>1979:1979imperialvalley06usa:US:brawleyairport</t>
  </si>
  <si>
    <t>S08-R0010</t>
  </si>
  <si>
    <t>1979:1979imperialvalley06usa:US:eccountycenterff</t>
  </si>
  <si>
    <t>S08-R0011</t>
  </si>
  <si>
    <t>1979:1979imperialvalley06usa:US:elcentromelolandgeotarray</t>
  </si>
  <si>
    <t>S08-R0012</t>
  </si>
  <si>
    <t>1979:1979imperialvalley06usa:US:elcentroarray10</t>
  </si>
  <si>
    <t>S08-R0013</t>
  </si>
  <si>
    <t>1979:1979imperialvalley06usa:US:elcentroarray3</t>
  </si>
  <si>
    <t>S08-R0014</t>
  </si>
  <si>
    <t>1979:1979imperialvalley06usa:US:elcentroarray4</t>
  </si>
  <si>
    <t>S08-R0015</t>
  </si>
  <si>
    <t>1979:1979imperialvalley06usa:US:elcentroarray5</t>
  </si>
  <si>
    <t>S08-R0016</t>
  </si>
  <si>
    <t>1979:1979imperialvalley06usa:US:elcentroarray6</t>
  </si>
  <si>
    <t>S08-R0017</t>
  </si>
  <si>
    <t>1979:1979imperialvalley06usa:US:elcentroarray7</t>
  </si>
  <si>
    <t>S08-R0018</t>
  </si>
  <si>
    <t>1979:1979imperialvalley06usa:US:elcentrodifferentialarray</t>
  </si>
  <si>
    <t>S08-R0019</t>
  </si>
  <si>
    <t>1979:1979imperialvalley06usa:US:holtvillepostoffice</t>
  </si>
  <si>
    <t>S08-R0020</t>
  </si>
  <si>
    <t>1979:1979montenegroyugoslavia:ME:barskupstinaopstine</t>
  </si>
  <si>
    <t>S08-R0021</t>
  </si>
  <si>
    <t>1979:1979montenegroyugoslavia:ME:ulcinjhotelolimpic</t>
  </si>
  <si>
    <t>S08-R0022</t>
  </si>
  <si>
    <t>1980:1980irpinia01italy:IT:bagnoliirpinio</t>
  </si>
  <si>
    <t>S08-R0023</t>
  </si>
  <si>
    <t>1980:1980irpinia01italy:IT:sturnostn</t>
  </si>
  <si>
    <t>S08-R0024</t>
  </si>
  <si>
    <t>1981:1981westmorlandusa:US:parachutetestsite</t>
  </si>
  <si>
    <t>S08-R0025</t>
  </si>
  <si>
    <t>1984:1984morganhillusa:US:coyotelakedamsouthwestabutment</t>
  </si>
  <si>
    <t>S08-R0026</t>
  </si>
  <si>
    <t>Taiwan database(NCREE)!H26:I26</t>
  </si>
  <si>
    <t>1984:1984morganhillusa:US:gilroyarray6</t>
  </si>
  <si>
    <t>S08-R0027</t>
  </si>
  <si>
    <t>Tp_H_s:None</t>
  </si>
  <si>
    <t>1986:1986kalamata02greece:GR:kalamatabsmt2ndtrigger</t>
  </si>
  <si>
    <t>S08-R0028</t>
  </si>
  <si>
    <t>1986:1986sansalvadorusa:SV:geotechinvestigcenter</t>
  </si>
  <si>
    <t>S08-R0029</t>
  </si>
  <si>
    <t>1986:1986sansalvadorusa:SV:nationalgeograficalinst</t>
  </si>
  <si>
    <t>S08-R0030</t>
  </si>
  <si>
    <t>Tp_V_s:None, PGA_V_original:None, PGV_V_original:None, PGD_V_original:None, RD_V_original:None</t>
  </si>
  <si>
    <t>1987:1987superstitionhills02usa:US:kornbloomroadtemp</t>
  </si>
  <si>
    <t>S08-R0031</t>
  </si>
  <si>
    <t>Taiwan database(NCREE)!H31:I31</t>
  </si>
  <si>
    <t>1987:1987superstitionhills02usa:US:parachutetestsite</t>
  </si>
  <si>
    <t>S08-R0032</t>
  </si>
  <si>
    <t>1989:1989lomaprietausa:US:gilroyhistoricbldg</t>
  </si>
  <si>
    <t>S08-R0033</t>
  </si>
  <si>
    <t>Taiwan database(NCREE)!H33:I33</t>
  </si>
  <si>
    <t>1989:1989lomaprietausa:US:gilroyarray2</t>
  </si>
  <si>
    <t>S08-R0034</t>
  </si>
  <si>
    <t>Taiwan database(NCREE)!H34:I34</t>
  </si>
  <si>
    <t>1989:1989lomaprietausa:US:gilroyarray3</t>
  </si>
  <si>
    <t>S08-R0035</t>
  </si>
  <si>
    <t>1989:1989lomaprietausa:US:losgatoslexingtondam</t>
  </si>
  <si>
    <t>S08-R0036</t>
  </si>
  <si>
    <t>1989:1989lomaprietausa:US:saratogaalohaave</t>
  </si>
  <si>
    <t>S08-R0037</t>
  </si>
  <si>
    <t>1989:1989lomaprietausa:US:saratogawvalleycoll</t>
  </si>
  <si>
    <t>S08-R0038</t>
  </si>
  <si>
    <t>1992:1992capemendocinousa:US:bunkerhillfaa</t>
  </si>
  <si>
    <t>S08-R0039</t>
  </si>
  <si>
    <t>1992:1992capemendocinousa:US:centervillebeachnavalfac</t>
  </si>
  <si>
    <t>S08-R0040</t>
  </si>
  <si>
    <t>1992:1992capemendocinousa:US:petrolia</t>
  </si>
  <si>
    <t>S08-R0041</t>
  </si>
  <si>
    <t>1992:1992landersusa:US:barstow</t>
  </si>
  <si>
    <t>S08-R0042</t>
  </si>
  <si>
    <t>1992:1992landersusa:US:lucerne</t>
  </si>
  <si>
    <t>S08-R0043</t>
  </si>
  <si>
    <t>1992:1992landersusa:US:yermofirestation</t>
  </si>
  <si>
    <t>S08-R0044</t>
  </si>
  <si>
    <t>1994:1994northridge01usa:US:jensenfilterplantadministrativebuilding</t>
  </si>
  <si>
    <t>S08-R0045</t>
  </si>
  <si>
    <t>1994:1994northridge01usa:US:jensenfilterplantgeneratorbuilding</t>
  </si>
  <si>
    <t>S08-R0046</t>
  </si>
  <si>
    <t>1994:1994northridge01usa:US:lasepulvedavahospital</t>
  </si>
  <si>
    <t>S08-R0047</t>
  </si>
  <si>
    <t>1994:1994northridge01usa:US:ladam</t>
  </si>
  <si>
    <t>S08-R0048</t>
  </si>
  <si>
    <t>1994:1994northridge01usa:US:newhallfiresta</t>
  </si>
  <si>
    <t>S08-R0049</t>
  </si>
  <si>
    <t>1994:1994northridge01usa:US:newhallwpicocanyonrd</t>
  </si>
  <si>
    <t>S08-R0050</t>
  </si>
  <si>
    <t>1994:1994northridge01usa:US:pacoimadamdownstr</t>
  </si>
  <si>
    <t>S08-R0051</t>
  </si>
  <si>
    <t>1994:1994northridge01usa:US:pacoimadamupperleft</t>
  </si>
  <si>
    <t>S08-R0052</t>
  </si>
  <si>
    <t>1994:1994northridge01usa:US:pacoimakagelcanyon</t>
  </si>
  <si>
    <t>S08-R0053</t>
  </si>
  <si>
    <t>1994:1994northridge01usa:US:pardeesce</t>
  </si>
  <si>
    <t>S08-R0054</t>
  </si>
  <si>
    <t>1994:1994northridge01usa:US:rinaldireceivingsta</t>
  </si>
  <si>
    <t>S08-R0055</t>
  </si>
  <si>
    <t>1994:1994northridge01usa:US:sylmarconvertersta</t>
  </si>
  <si>
    <t>S08-R0056</t>
  </si>
  <si>
    <t>1994:1994northridge01usa:US:sylmarconverterstaeast</t>
  </si>
  <si>
    <t>S08-R0057</t>
  </si>
  <si>
    <t>1994:1994northridge01usa:US:sylmaroliveviewmedff</t>
  </si>
  <si>
    <t>S08-R0058</t>
  </si>
  <si>
    <t>1995:1995kobejapan:JP:kjma</t>
  </si>
  <si>
    <t>S08-R0059</t>
  </si>
  <si>
    <t>1995:1995kobejapan:JP:portisland0m</t>
  </si>
  <si>
    <t>S08-R0060</t>
  </si>
  <si>
    <t>1995:1995kobejapan:JP:takarazuka</t>
  </si>
  <si>
    <t>S08-R0061</t>
  </si>
  <si>
    <t>1995:1995kobejapan:JP:takatori</t>
  </si>
  <si>
    <t>S08-R0062</t>
  </si>
  <si>
    <t>1998:1998raylitaiwan:TW:chy011</t>
  </si>
  <si>
    <t>S08-R0063</t>
  </si>
  <si>
    <t>1998:1998raylitaiwan:TW:chy048</t>
  </si>
  <si>
    <t>S08-R0064</t>
  </si>
  <si>
    <t>1999:1999chichi03taiwan:TW:chy024</t>
  </si>
  <si>
    <t>S08-R0065</t>
  </si>
  <si>
    <t>1999:1999chichi03taiwan:TW:chy035</t>
  </si>
  <si>
    <t>S08-R0066</t>
  </si>
  <si>
    <t>1999:1999chichi03taiwan:TW:chy080</t>
  </si>
  <si>
    <t>S08-R0067</t>
  </si>
  <si>
    <t>1999:1999chichi03taiwan:TW:tcu065</t>
  </si>
  <si>
    <t>S08-R0068</t>
  </si>
  <si>
    <t>1999:1999chichi03taiwan:TW:tcu076</t>
  </si>
  <si>
    <t>S08-R0069</t>
  </si>
  <si>
    <t>1999:1999chichi03taiwan:TW:tcu078</t>
  </si>
  <si>
    <t>S08-R0070</t>
  </si>
  <si>
    <t>1999:1999chichi03taiwan:TW:tcu116</t>
  </si>
  <si>
    <t>S08-R0071</t>
  </si>
  <si>
    <t>1999:1999chichi03taiwan:TW:tcu138</t>
  </si>
  <si>
    <t>S08-R0072</t>
  </si>
  <si>
    <t>Taiwan database(NCREE)!H72:I72</t>
  </si>
  <si>
    <t>1999:1999chichi05taiwan:TW:tcu065</t>
  </si>
  <si>
    <t>S08-R0073</t>
  </si>
  <si>
    <t>1999:1999chichi05taiwan:TW:tcu067</t>
  </si>
  <si>
    <t>S08-R0074</t>
  </si>
  <si>
    <t>1999:1999chichi05taiwan:TW:tcu071</t>
  </si>
  <si>
    <t>S08-R0075</t>
  </si>
  <si>
    <t>1999:1999chichi05taiwan:TW:tcu079</t>
  </si>
  <si>
    <t>S08-R0076</t>
  </si>
  <si>
    <t>1999:1999chichi05taiwan:TW:tcu084</t>
  </si>
  <si>
    <t>S08-R0077</t>
  </si>
  <si>
    <t>1999:1999chichi05taiwan:TW:tcu133</t>
  </si>
  <si>
    <t>S08-R0078</t>
  </si>
  <si>
    <t>1999:1999chichi07taiwan:TW:chy101</t>
  </si>
  <si>
    <t>S08-R0079</t>
  </si>
  <si>
    <t>Taiwan database(NCREE)!H79:I79</t>
  </si>
  <si>
    <t>1999:1999chichi07taiwan:TW:tcu078</t>
  </si>
  <si>
    <t>S08-R0080</t>
  </si>
  <si>
    <t>Taiwan database(NCREE)!H80:I80</t>
  </si>
  <si>
    <t>1999:1999chichi07taiwan:TW:tcu079</t>
  </si>
  <si>
    <t>S08-R0081</t>
  </si>
  <si>
    <t>1999:1999chichi07taiwan:TW:tcu080</t>
  </si>
  <si>
    <t>S08-R0082</t>
  </si>
  <si>
    <t>1999:1999chichitaiwan:TW:chy006</t>
  </si>
  <si>
    <t>S08-R0083</t>
  </si>
  <si>
    <t>Taiwan database(NCREE)!H83:I83</t>
  </si>
  <si>
    <t>1999:1999chichitaiwan:TW:chy024</t>
  </si>
  <si>
    <t>S08-R0084</t>
  </si>
  <si>
    <t>Taiwan database(NCREE)!H84:I84</t>
  </si>
  <si>
    <t>1999:1999chichitaiwan:TW:chy101</t>
  </si>
  <si>
    <t>S08-R0085</t>
  </si>
  <si>
    <t>1999:1999chichitaiwan:TW:nst</t>
  </si>
  <si>
    <t>S08-R0086</t>
  </si>
  <si>
    <t>1999:1999chichitaiwan:TW:tcu006</t>
  </si>
  <si>
    <t>S08-R0087</t>
  </si>
  <si>
    <t>1999:1999chichitaiwan:TW:tcu015</t>
  </si>
  <si>
    <t>S08-R0088</t>
  </si>
  <si>
    <t>1999:1999chichitaiwan:TW:tcu017</t>
  </si>
  <si>
    <t>S08-R0089</t>
  </si>
  <si>
    <t>1999:1999chichitaiwan:TW:tcu018</t>
  </si>
  <si>
    <t>S08-R0090</t>
  </si>
  <si>
    <t>1999:1999chichitaiwan:TW:tcu026</t>
  </si>
  <si>
    <t>S08-R0091</t>
  </si>
  <si>
    <t>1999:1999chichitaiwan:TW:tcu029</t>
  </si>
  <si>
    <t>S08-R0092</t>
  </si>
  <si>
    <t>1999:1999chichitaiwan:TW:tcu031</t>
  </si>
  <si>
    <t>S08-R0093</t>
  </si>
  <si>
    <t>1999:1999chichitaiwan:TW:tcu033</t>
  </si>
  <si>
    <t>S08-R0094</t>
  </si>
  <si>
    <t>1999:1999chichitaiwan:TW:tcu034</t>
  </si>
  <si>
    <t>S08-R0095</t>
  </si>
  <si>
    <t>1999:1999chichitaiwan:TW:tcu036</t>
  </si>
  <si>
    <t>S08-R0096</t>
  </si>
  <si>
    <t>1999:1999chichitaiwan:TW:tcu038</t>
  </si>
  <si>
    <t>S08-R0097</t>
  </si>
  <si>
    <t>1999:1999chichitaiwan:TW:tcu039</t>
  </si>
  <si>
    <t>S08-R0098</t>
  </si>
  <si>
    <t>1999:1999chichitaiwan:TW:tcu040</t>
  </si>
  <si>
    <t>S08-R0099</t>
  </si>
  <si>
    <t>1999:1999chichitaiwan:TW:tcu042</t>
  </si>
  <si>
    <t>S08-R0100</t>
  </si>
  <si>
    <t>1999:1999chichitaiwan:TW:tcu045</t>
  </si>
  <si>
    <t>S08-R0101</t>
  </si>
  <si>
    <t>1999:1999chichitaiwan:TW:tcu046</t>
  </si>
  <si>
    <t>S08-R0102</t>
  </si>
  <si>
    <t>1999:1999chichitaiwan:TW:tcu047</t>
  </si>
  <si>
    <t>S08-R0103</t>
  </si>
  <si>
    <t>1999:1999chichitaiwan:TW:tcu049</t>
  </si>
  <si>
    <t>S08-R0104</t>
  </si>
  <si>
    <t>1999:1999chichitaiwan:TW:tcu050</t>
  </si>
  <si>
    <t>S08-R0105</t>
  </si>
  <si>
    <t>1999:1999chichitaiwan:TW:tcu051</t>
  </si>
  <si>
    <t>S08-R0106</t>
  </si>
  <si>
    <t>1999:1999chichitaiwan:TW:tcu052</t>
  </si>
  <si>
    <t>S08-R0107</t>
  </si>
  <si>
    <t>1999:1999chichitaiwan:TW:tcu053</t>
  </si>
  <si>
    <t>S08-R0108</t>
  </si>
  <si>
    <t>1999:1999chichitaiwan:TW:tcu054</t>
  </si>
  <si>
    <t>S08-R0109</t>
  </si>
  <si>
    <t>1999:1999chichitaiwan:TW:tcu055</t>
  </si>
  <si>
    <t>S08-R0110</t>
  </si>
  <si>
    <t>1999:1999chichitaiwan:TW:tcu056</t>
  </si>
  <si>
    <t>S08-R0111</t>
  </si>
  <si>
    <t>1999:1999chichitaiwan:TW:tcu059</t>
  </si>
  <si>
    <t>S08-R0112</t>
  </si>
  <si>
    <t>1999:1999chichitaiwan:TW:tcu063</t>
  </si>
  <si>
    <t>S08-R0113</t>
  </si>
  <si>
    <t>1999:1999chichitaiwan:TW:tcu064</t>
  </si>
  <si>
    <t>S08-R0114</t>
  </si>
  <si>
    <t>Taiwan database(NCREE)!H114:I114</t>
  </si>
  <si>
    <t>1999:1999chichitaiwan:TW:tcu065</t>
  </si>
  <si>
    <t>S08-R0115</t>
  </si>
  <si>
    <t>Taiwan database(NCREE)!H115:I115</t>
  </si>
  <si>
    <t>1999:1999chichitaiwan:TW:tcu067</t>
  </si>
  <si>
    <t>S08-R0116</t>
  </si>
  <si>
    <t>1999:1999chichitaiwan:TW:tcu068</t>
  </si>
  <si>
    <t>S08-R0117</t>
  </si>
  <si>
    <t>1999:1999chichitaiwan:TW:tcu071</t>
  </si>
  <si>
    <t>S08-R0118</t>
  </si>
  <si>
    <t>1999:1999chichitaiwan:TW:tcu075</t>
  </si>
  <si>
    <t>S08-R0119</t>
  </si>
  <si>
    <t>Taiwan database(NCREE)!H119:I119</t>
  </si>
  <si>
    <t>1999:1999chichitaiwan:TW:tcu076</t>
  </si>
  <si>
    <t>S08-R0120</t>
  </si>
  <si>
    <t>1999:1999chichitaiwan:TW:tcu081</t>
  </si>
  <si>
    <t>S08-R0121</t>
  </si>
  <si>
    <t>1999:1999chichitaiwan:TW:tcu082</t>
  </si>
  <si>
    <t>S08-R0122</t>
  </si>
  <si>
    <t>1999:1999chichitaiwan:TW:tcu087</t>
  </si>
  <si>
    <t>S08-R0123</t>
  </si>
  <si>
    <t>1999:1999chichitaiwan:TW:tcu094</t>
  </si>
  <si>
    <t>S08-R0124</t>
  </si>
  <si>
    <t>1999:1999chichitaiwan:TW:tcu095</t>
  </si>
  <si>
    <t>S08-R0125</t>
  </si>
  <si>
    <t>1999:1999chichitaiwan:TW:tcu096</t>
  </si>
  <si>
    <t>S08-R0126</t>
  </si>
  <si>
    <t>1999:1999chichitaiwan:TW:tcu098</t>
  </si>
  <si>
    <t>S08-R0127</t>
  </si>
  <si>
    <t>1999:1999chichitaiwan:TW:tcu100</t>
  </si>
  <si>
    <t>S08-R0128</t>
  </si>
  <si>
    <t>1999:1999chichitaiwan:TW:tcu101</t>
  </si>
  <si>
    <t>S08-R0129</t>
  </si>
  <si>
    <t>1999:1999chichitaiwan:TW:tcu102</t>
  </si>
  <si>
    <t>S08-R0130</t>
  </si>
  <si>
    <t>1999:1999chichitaiwan:TW:tcu103</t>
  </si>
  <si>
    <t>S08-R0131</t>
  </si>
  <si>
    <t>1999:1999chichitaiwan:TW:tcu104</t>
  </si>
  <si>
    <t>S08-R0132</t>
  </si>
  <si>
    <t>1999:1999chichitaiwan:TW:tcu128</t>
  </si>
  <si>
    <t>S08-R0133</t>
  </si>
  <si>
    <t>1999:1999chichitaiwan:TW:tcu129</t>
  </si>
  <si>
    <t>S08-R0134</t>
  </si>
  <si>
    <t>Taiwan database(NCREE)!H134:I134</t>
  </si>
  <si>
    <t>1999:1999chichitaiwan:TW:tcu133</t>
  </si>
  <si>
    <t>S08-R0135</t>
  </si>
  <si>
    <t>1999:1999chichitaiwan:TW:tcu136</t>
  </si>
  <si>
    <t>S08-R0136</t>
  </si>
  <si>
    <t>1999:1999chichitaiwan:TW:tcu137</t>
  </si>
  <si>
    <t>S08-R0137</t>
  </si>
  <si>
    <t>Taiwan database(NCREE)!H137:I137</t>
  </si>
  <si>
    <t>1999:1999chiayi01taiwan:TW:chy006</t>
  </si>
  <si>
    <t>S08-R0138</t>
  </si>
  <si>
    <t>1999:1999chiayi01taiwan:TW:chy009</t>
  </si>
  <si>
    <t>S08-R0139</t>
  </si>
  <si>
    <t>1999:1999chiayi01taiwan:TW:chy010</t>
  </si>
  <si>
    <t>S08-R0140</t>
  </si>
  <si>
    <t>1999:1999chiayi01taiwan:TW:chy034</t>
  </si>
  <si>
    <t>S08-R0141</t>
  </si>
  <si>
    <t>1999:1999chiayi01taiwan:TW:chy036</t>
  </si>
  <si>
    <t>S08-R0142</t>
  </si>
  <si>
    <t>1999:1999chiayi01taiwan:TW:chy037</t>
  </si>
  <si>
    <t>S08-R0143</t>
  </si>
  <si>
    <t>1999:1999chiayi01taiwan:TW:chy038</t>
  </si>
  <si>
    <t>S08-R0144</t>
  </si>
  <si>
    <t>1999:1999chiayi01taiwan:TW:chy046</t>
  </si>
  <si>
    <t>S08-R0145</t>
  </si>
  <si>
    <t>1999:1999chiayi01taiwan:TW:chy047</t>
  </si>
  <si>
    <t>S08-R0146</t>
  </si>
  <si>
    <t>1999:1999chiayi01taiwan:TW:chy073</t>
  </si>
  <si>
    <t>S08-R0147</t>
  </si>
  <si>
    <t>1999:1999chiayi01taiwan:TW:chy106</t>
  </si>
  <si>
    <t>S08-R0148</t>
  </si>
  <si>
    <t>1999:1999chiayi02taiwan:TW:chy008</t>
  </si>
  <si>
    <t>S08-R0149</t>
  </si>
  <si>
    <t>Taiwan database(NCREE)!H149:I149</t>
  </si>
  <si>
    <t>1999:1999chiayi02taiwan:TW:chy009</t>
  </si>
  <si>
    <t>S08-R0150</t>
  </si>
  <si>
    <t>1999:1999chiayi02taiwan:TW:chy013</t>
  </si>
  <si>
    <t>S08-R0151</t>
  </si>
  <si>
    <t>1999:1999chiayi02taiwan:TW:chy032</t>
  </si>
  <si>
    <t>S08-R0152</t>
  </si>
  <si>
    <t>1999:1999chiayi02taiwan:TW:chy039</t>
  </si>
  <si>
    <t>S08-R0153</t>
  </si>
  <si>
    <t>1999:1999chiayi02taiwan:TW:chy095</t>
  </si>
  <si>
    <t>S08-R0154</t>
  </si>
  <si>
    <t>1999:1999chiayi02taiwan:TW:chy106</t>
  </si>
  <si>
    <t>S08-R0155</t>
  </si>
  <si>
    <t>1999:1999chiayitaiwan:TW:chy074</t>
  </si>
  <si>
    <t>S08-R0156</t>
  </si>
  <si>
    <t>1999:1999duzceturkey:TR:bolu</t>
  </si>
  <si>
    <t>S08-R0157</t>
  </si>
  <si>
    <t>1999:1999duzceturkey:TR:irigm487</t>
  </si>
  <si>
    <t>S08-R0158</t>
  </si>
  <si>
    <t>1999:1999hualientaiwan:TW:hwa011</t>
  </si>
  <si>
    <t>S08-R0159</t>
  </si>
  <si>
    <t>1999:1999hualientaiwan:TW:hwa033</t>
  </si>
  <si>
    <t>S08-R0160</t>
  </si>
  <si>
    <t>1999:1999hualientaiwan:TW:hwa049</t>
  </si>
  <si>
    <t>S08-R0161</t>
  </si>
  <si>
    <t>1999:1999hualientaiwan:TW:hwa051</t>
  </si>
  <si>
    <t>S08-R0162</t>
  </si>
  <si>
    <t>1999:1999hualientaiwan:TW:hwa055</t>
  </si>
  <si>
    <t>S08-R0163</t>
  </si>
  <si>
    <t>1999:1999hualientaiwan:TW:hwa059</t>
  </si>
  <si>
    <t>S08-R0164</t>
  </si>
  <si>
    <t>1999:1999kocaeliturkey:TR:arcelik</t>
  </si>
  <si>
    <t>S08-R0165</t>
  </si>
  <si>
    <t>1999:1999kocaeliturkey:TR:gebze</t>
  </si>
  <si>
    <t>S08-R0166</t>
  </si>
  <si>
    <t>1999:1999kocaeliturkey:TR:izmit</t>
  </si>
  <si>
    <t>S08-R0167</t>
  </si>
  <si>
    <t>1999:1999kocaeliturkey:TR:yarimca</t>
  </si>
  <si>
    <t>S08-R0168</t>
  </si>
  <si>
    <t>2000:2000tottorijapan:JP:ttr008</t>
  </si>
  <si>
    <t>S08-R0169</t>
  </si>
  <si>
    <t>2001:2001taipotaiwan:TW:chy014</t>
  </si>
  <si>
    <t>S08-R0170</t>
  </si>
  <si>
    <t>2002:2002denalialaska:US:tapspumpstation10</t>
  </si>
  <si>
    <t>S08-R0171</t>
  </si>
  <si>
    <t>2002:2002hualienoffshoretaiwan:TW:ila027</t>
  </si>
  <si>
    <t>S08-R0172</t>
  </si>
  <si>
    <t>2002:2002hualienoffshoretaiwan:TW:ila028</t>
  </si>
  <si>
    <t>S08-R0173</t>
  </si>
  <si>
    <t>2002:2002hualienoffshoretaiwan:TW:ila038</t>
  </si>
  <si>
    <t>S08-R0174</t>
  </si>
  <si>
    <t>2002:2002hualienoffshoretaiwan:TW:ila040</t>
  </si>
  <si>
    <t>S08-R0175</t>
  </si>
  <si>
    <t>2002:2002hualienoffshoretaiwan:TW:ila049</t>
  </si>
  <si>
    <t>S08-R0176</t>
  </si>
  <si>
    <t>2002:2002hualienoffshoretaiwan:TW:tap013</t>
  </si>
  <si>
    <t>S08-R0177</t>
  </si>
  <si>
    <t>2002:2002hualienoffshoretaiwan:TW:tap017</t>
  </si>
  <si>
    <t>S08-R0178</t>
  </si>
  <si>
    <t>2002:2002hualienoffshoretaiwan:TW:tap020</t>
  </si>
  <si>
    <t>S08-R0179</t>
  </si>
  <si>
    <t>2002:2002hualienoffshoretaiwan:TW:tap037</t>
  </si>
  <si>
    <t>S08-R0180</t>
  </si>
  <si>
    <t>2002:2002hualienoffshoretaiwan:TW:tap040</t>
  </si>
  <si>
    <t>S08-R0181</t>
  </si>
  <si>
    <t>2002:2002hualienoffshoretaiwan:TW:tap041</t>
  </si>
  <si>
    <t>S08-R0182</t>
  </si>
  <si>
    <t>2002:2002hualienoffshoretaiwan:TW:tap100</t>
  </si>
  <si>
    <t>S08-R0183</t>
  </si>
  <si>
    <t>2003:2003bamiran:IR:bam</t>
  </si>
  <si>
    <t>S08-R0184</t>
  </si>
  <si>
    <t>2004:2004niigatajapan:JP:nig021</t>
  </si>
  <si>
    <t>S08-R0185</t>
  </si>
  <si>
    <t>2004:2004niigatajapan:JP:nigh11</t>
  </si>
  <si>
    <t>S08-R0186</t>
  </si>
  <si>
    <t>2004:2004parkfield02ca:US:parkfieldcholame1e</t>
  </si>
  <si>
    <t>S08-R0187</t>
  </si>
  <si>
    <t>2004:2004parkfield02ca:US:parkfieldcholame2wa</t>
  </si>
  <si>
    <t>S08-R0188</t>
  </si>
  <si>
    <t>2004:2004parkfield02ca:US:parkfieldcholame3e</t>
  </si>
  <si>
    <t>S08-R0189</t>
  </si>
  <si>
    <t>2004:2004parkfield02ca:US:parkfieldcholame3w</t>
  </si>
  <si>
    <t>S08-R0190</t>
  </si>
  <si>
    <t>2004:2004parkfield02ca:US:parkfieldcholame4w</t>
  </si>
  <si>
    <t>S08-R0191</t>
  </si>
  <si>
    <t>2004:2004parkfield02ca:US:parkfieldeades</t>
  </si>
  <si>
    <t>S08-R0192</t>
  </si>
  <si>
    <t>2004:2004parkfield02ca:US:parkfieldfaultzone1</t>
  </si>
  <si>
    <t>S08-R0193</t>
  </si>
  <si>
    <t>2004:2004parkfield02ca:US:parkfieldfaultzone12</t>
  </si>
  <si>
    <t>S08-R0194</t>
  </si>
  <si>
    <t>2004:2004parkfield02ca:US:parkfieldfaultzone9</t>
  </si>
  <si>
    <t>S08-R0195</t>
  </si>
  <si>
    <t>2004:2004parkfield02ca:US:parkfieldstonecorral1e</t>
  </si>
  <si>
    <t>S08-R0196</t>
  </si>
  <si>
    <t>2004:2004parkfield02ca:US:slackcanyon</t>
  </si>
  <si>
    <t>S08-R0197</t>
  </si>
  <si>
    <t>2004:2004taitungtaiwan:TW:ttn045</t>
  </si>
  <si>
    <t>S08-R0198</t>
  </si>
  <si>
    <t>2005:2005ilansuaotaiwan:TW:ila027</t>
  </si>
  <si>
    <t>S08-R0199</t>
  </si>
  <si>
    <t>2005:2005ilansuaotaiwan:TW:ila038</t>
  </si>
  <si>
    <t>S08-R0200</t>
  </si>
  <si>
    <t>2006:2006hengchunoffshore01taiwan:TW:kau046</t>
  </si>
  <si>
    <t>S08-R0201</t>
  </si>
  <si>
    <t>2006:2006hengchunoffshoretaiwan:TW:kau046</t>
  </si>
  <si>
    <t>S08-R0202</t>
  </si>
  <si>
    <t>2006:2006hengchunoffshoretaiwan:TW:kau081</t>
  </si>
  <si>
    <t>S08-R0203</t>
  </si>
  <si>
    <t>2006:2006hengchunoffshoretaiwan:TW:kau082</t>
  </si>
  <si>
    <t>S08-R0204</t>
  </si>
  <si>
    <t>2006:2006taitungtaiwan:TW:ttn011</t>
  </si>
  <si>
    <t>S08-R0205</t>
  </si>
  <si>
    <t>2006:2006taitungtaiwan:TW:ttn012</t>
  </si>
  <si>
    <t>S08-R0206</t>
  </si>
  <si>
    <t>2006:2006taitungtaiwan:TW:ttn027</t>
  </si>
  <si>
    <t>S08-R0207</t>
  </si>
  <si>
    <t>2006:2006taitungtaiwan:TW:ttn048</t>
  </si>
  <si>
    <t>S08-R0208</t>
  </si>
  <si>
    <t>2006:2006taitungtaiwan:TW:ttn049</t>
  </si>
  <si>
    <t>S08-R0209</t>
  </si>
  <si>
    <t>2006:2006taitungtaiwan:TW:ttn054</t>
  </si>
  <si>
    <t>S08-R0210</t>
  </si>
  <si>
    <t>2007:2007chuetsuokijapan:JP:joetsukakizakikukakizaki</t>
  </si>
  <si>
    <t>S08-R0211</t>
  </si>
  <si>
    <t>2007:2007taitungtaiwan:TW:ttn048</t>
  </si>
  <si>
    <t>S08-R0212</t>
  </si>
  <si>
    <t>2009:2009hualienoffshoretaiwan:TW:hwa015</t>
  </si>
  <si>
    <t>S08-R0213</t>
  </si>
  <si>
    <t>2009:2009hualienoffshoretaiwan:TW:hwa016</t>
  </si>
  <si>
    <t>S08-R0214</t>
  </si>
  <si>
    <t>2009:2009hualienoffshoretaiwan:TW:hwa027</t>
  </si>
  <si>
    <t>S08-R0215</t>
  </si>
  <si>
    <t>2009:2009hualienoffshoretaiwan:TW:hwa028</t>
  </si>
  <si>
    <t>S08-R0216</t>
  </si>
  <si>
    <t>2009:2009hualienoffshoretaiwan:TW:hwa048</t>
  </si>
  <si>
    <t>S08-R0217</t>
  </si>
  <si>
    <t>2009:2009hualienoffshoretaiwan:TW:hwa050</t>
  </si>
  <si>
    <t>S08-R0218</t>
  </si>
  <si>
    <t>2009:2009hualienoffshoretaiwan:TW:hwa061</t>
  </si>
  <si>
    <t>S08-R0219</t>
  </si>
  <si>
    <t>2009:2009laquilaitaly:IT:laquilaparking</t>
  </si>
  <si>
    <t>S08-R0220</t>
  </si>
  <si>
    <t>2009:2009laquilaitaly:IT:laquilavaternocentrovalle</t>
  </si>
  <si>
    <t>S08-R0221</t>
  </si>
  <si>
    <t>2009:2009laquilaitaly:IT:laquilavaternofaterno</t>
  </si>
  <si>
    <t>S08-R0222</t>
  </si>
  <si>
    <t>2009:2009nantoutaiwan:TW:tcu079</t>
  </si>
  <si>
    <t>S08-R0223</t>
  </si>
  <si>
    <t>2009:2009nantoutaiwan:TW:tcu124</t>
  </si>
  <si>
    <t>S08-R0224</t>
  </si>
  <si>
    <t>2010:2010darfieldnewzealand:NZ:christchurchbotanicalgardens</t>
  </si>
  <si>
    <t>S08-R0225</t>
  </si>
  <si>
    <t>2010:2010darfieldnewzealand:NZ:christchurchresthaven</t>
  </si>
  <si>
    <t>S08-R0226</t>
  </si>
  <si>
    <t>2010:2010darfieldnewzealand:NZ:dslc</t>
  </si>
  <si>
    <t>S08-R0227</t>
  </si>
  <si>
    <t>2010:2010darfieldnewzealand:NZ:gdlc</t>
  </si>
  <si>
    <t>S08-R0228</t>
  </si>
  <si>
    <t>2010:2010darfieldnewzealand:NZ:horc</t>
  </si>
  <si>
    <t>S08-R0229</t>
  </si>
  <si>
    <t>2010:2010darfieldnewzealand:NZ:linc</t>
  </si>
  <si>
    <t>S08-R0230</t>
  </si>
  <si>
    <t>2010:2010darfieldnewzealand:NZ:lpcc</t>
  </si>
  <si>
    <t>S08-R0231</t>
  </si>
  <si>
    <t>2010:2010darfieldnewzealand:NZ:nnbsnorthnewbrightonschool</t>
  </si>
  <si>
    <t>S08-R0232</t>
  </si>
  <si>
    <t>2010:2010darfieldnewzealand:NZ:riccartonhighschool</t>
  </si>
  <si>
    <t>S08-R0233</t>
  </si>
  <si>
    <t>2010:2010darfieldnewzealand:NZ:rolc</t>
  </si>
  <si>
    <t>S08-R0234</t>
  </si>
  <si>
    <t>2010:2010darfieldnewzealand:NZ:shirleylibrary</t>
  </si>
  <si>
    <t>S08-R0235</t>
  </si>
  <si>
    <t>2010:2010darfieldnewzealand:NZ:styxmilltransferstation</t>
  </si>
  <si>
    <t>S08-R0236</t>
  </si>
  <si>
    <t>2010:2010darfieldnewzealand:NZ:tplc</t>
  </si>
  <si>
    <t>S08-R0237</t>
  </si>
  <si>
    <t>2010:2010elmayorcucapahmexico:MX:elcentroarray12</t>
  </si>
  <si>
    <t>S08-R0238</t>
  </si>
  <si>
    <t>2010:2010elmayorcucapahmexico:MX:westsideelementaryschool</t>
  </si>
  <si>
    <t>S08-R0239</t>
  </si>
  <si>
    <t>2010:2010jiaxiantaiwan:TW:chy008</t>
  </si>
  <si>
    <t>S08-R0240</t>
  </si>
  <si>
    <t>2010:2010jiaxiantaiwan:TW:chy016</t>
  </si>
  <si>
    <t>S08-R0241</t>
  </si>
  <si>
    <t>2010:2010jiaxiantaiwan:TW:chy017</t>
  </si>
  <si>
    <t>S08-R0242</t>
  </si>
  <si>
    <t>2010:2010jiaxiantaiwan:TW:chy044</t>
  </si>
  <si>
    <t>S08-R0243</t>
  </si>
  <si>
    <t>2010:2010jiaxiantaiwan:TW:chy049</t>
  </si>
  <si>
    <t>S08-R0244</t>
  </si>
  <si>
    <t>2010:2010jiaxiantaiwan:TW:chy055</t>
  </si>
  <si>
    <t>S08-R0245</t>
  </si>
  <si>
    <t>2010:2010jiaxiantaiwan:TW:chy056</t>
  </si>
  <si>
    <t>S08-R0246</t>
  </si>
  <si>
    <t>2010:2010jiaxiantaiwan:TW:chy058</t>
  </si>
  <si>
    <t>S08-R0247</t>
  </si>
  <si>
    <t>2010:2010jiaxiantaiwan:TW:chy059</t>
  </si>
  <si>
    <t>S08-R0248</t>
  </si>
  <si>
    <t>2010:2010jiaxiantaiwan:TW:chy063</t>
  </si>
  <si>
    <t>S08-R0249</t>
  </si>
  <si>
    <t>2010:2010jiaxiantaiwan:TW:chy089</t>
  </si>
  <si>
    <t>S08-R0250</t>
  </si>
  <si>
    <t>2010:2010jiaxiantaiwan:TW:chy095</t>
  </si>
  <si>
    <t>S08-R0251</t>
  </si>
  <si>
    <t>2010:2010jiaxiantaiwan:TW:chy107</t>
  </si>
  <si>
    <t>S08-R0252</t>
  </si>
  <si>
    <t>2010:2010jiaxiantaiwan:TW:chy113</t>
  </si>
  <si>
    <t>S08-R0253</t>
  </si>
  <si>
    <t>2010:2010jiaxiantaiwan:TW:chy115</t>
  </si>
  <si>
    <t>S08-R0254</t>
  </si>
  <si>
    <t>2010:2010jiaxiantaiwan:TW:chy122</t>
  </si>
  <si>
    <t>S08-R0255</t>
  </si>
  <si>
    <t>2010:2010jiaxiantaiwan:TW:chy123</t>
  </si>
  <si>
    <t>S08-R0256</t>
  </si>
  <si>
    <t>2010:2010jiaxiantaiwan:TW:chy128</t>
  </si>
  <si>
    <t>S08-R0257</t>
  </si>
  <si>
    <t>2010:2010jiaxiantaiwan:TW:chy129</t>
  </si>
  <si>
    <t>S08-R0258</t>
  </si>
  <si>
    <t>2010:2010jiaxiantaiwan:TW:chy131</t>
  </si>
  <si>
    <t>S08-R0259</t>
  </si>
  <si>
    <t>2010:2010jiaxiantaiwan:TW:chy134</t>
  </si>
  <si>
    <t>S08-R0260</t>
  </si>
  <si>
    <t>Taiwan database(NCREE)!H260:I260</t>
  </si>
  <si>
    <t>2011:2011christchurchnewzealand:NZ:christchurchresthaven</t>
  </si>
  <si>
    <t>S08-R0261</t>
  </si>
  <si>
    <t>2011:2011christchurchnewzealand:NZ:pagesroadpumpingstation</t>
  </si>
  <si>
    <t>S08-R0262</t>
  </si>
  <si>
    <t>2013:2013nantou01taiwan:TW:tcu065</t>
  </si>
  <si>
    <t>S08-R0263</t>
  </si>
  <si>
    <t>2013:2013nantou01taiwan:TW:tcu077</t>
  </si>
  <si>
    <t>S08-R0264</t>
  </si>
  <si>
    <t>2013:2013nantou01taiwan:TW:tcu084</t>
  </si>
  <si>
    <t>S08-R0265</t>
  </si>
  <si>
    <t>Taiwan database(NCREE)!H265:I265</t>
  </si>
  <si>
    <t>2013:2013nantou01taiwan:TW:tcu124</t>
  </si>
  <si>
    <t>S08-R0266</t>
  </si>
  <si>
    <t>2013:2013nantou01taiwan:TW:tcu125</t>
  </si>
  <si>
    <t>S08-R0267</t>
  </si>
  <si>
    <t>2013:2013nantou01taiwan:TW:tcu143</t>
  </si>
  <si>
    <t>S08-R0268</t>
  </si>
  <si>
    <t>2013:2013nantou02taiwan:TW:chy083</t>
  </si>
  <si>
    <t>S08-R0269</t>
  </si>
  <si>
    <t>2013:2013nantou02taiwan:TW:tcu074</t>
  </si>
  <si>
    <t>S08-R0270</t>
  </si>
  <si>
    <t>Taiwan database(NCREE)!H270:I270</t>
  </si>
  <si>
    <t>2013:2013nantou02taiwan:TW:tcu077</t>
  </si>
  <si>
    <t>S08-R0271</t>
  </si>
  <si>
    <t>2013:2013nantou02taiwan:TW:tcu126</t>
  </si>
  <si>
    <t>S08-R0272</t>
  </si>
  <si>
    <t>2013:2013nantou02taiwan:TW:tcu167</t>
  </si>
  <si>
    <t>S08-R0273</t>
  </si>
  <si>
    <t>2013:2013ruisuitaiwan:TW:hwa005</t>
  </si>
  <si>
    <t>S08-R0274</t>
  </si>
  <si>
    <t>2013:2013ruisuitaiwan:TW:hwa006</t>
  </si>
  <si>
    <t>S08-R0275</t>
  </si>
  <si>
    <t>2013:2013ruisuitaiwan:TW:hwa030</t>
  </si>
  <si>
    <t>S08-R0276</t>
  </si>
  <si>
    <t>2013:2013ruisuitaiwan:TW:hwa032</t>
  </si>
  <si>
    <t>S08-R0277</t>
  </si>
  <si>
    <t>2013:2013ruisuitaiwan:TW:hwa035</t>
  </si>
  <si>
    <t>S08-R0278</t>
  </si>
  <si>
    <t>2013:2013ruisuitaiwan:TW:hwa044</t>
  </si>
  <si>
    <t>S08-R0279</t>
  </si>
  <si>
    <t>vs30_original:None</t>
  </si>
  <si>
    <t>2015:2015gorkhanepal:NP:kantipath</t>
  </si>
  <si>
    <t>S08-R0280</t>
  </si>
  <si>
    <t>2016:2016kaikouranewzealand:NZ:kaikoura</t>
  </si>
  <si>
    <t>S08-R0281</t>
  </si>
  <si>
    <t>2016:2016kaikouranewzealand:NZ:seddonfirestation</t>
  </si>
  <si>
    <t>S08-R0282</t>
  </si>
  <si>
    <t>2016:2016kumamotojapan:JP:kmm004</t>
  </si>
  <si>
    <t>S08-R0283</t>
  </si>
  <si>
    <t>2016:2016kumamotojapan:JP:kmm005</t>
  </si>
  <si>
    <t>S08-R0284</t>
  </si>
  <si>
    <t>2016:2016kumamotojapan:JP:kmm006</t>
  </si>
  <si>
    <t>S08-R0285</t>
  </si>
  <si>
    <t>2016:2016kumamotojapan:JP:kmm007</t>
  </si>
  <si>
    <t>S08-R0286</t>
  </si>
  <si>
    <t>2016:2016kumamotojapan:JP:kmmh03s0m</t>
  </si>
  <si>
    <t>S08-R0287</t>
  </si>
  <si>
    <t>2016:2016kumamotojapan:JP:kmmh16d252m</t>
  </si>
  <si>
    <t>S08-R0288</t>
  </si>
  <si>
    <t>2016:2016meinongtaiwan:TW:chy005</t>
  </si>
  <si>
    <t>S08-R0289</t>
  </si>
  <si>
    <t>2016:2016meinongtaiwan:TW:chy012</t>
  </si>
  <si>
    <t>S08-R0290</t>
  </si>
  <si>
    <t>Taiwan database(NCREE)!H290:I290</t>
  </si>
  <si>
    <t>2016:2016meinongtaiwan:TW:chy017</t>
  </si>
  <si>
    <t>S08-R0291</t>
  </si>
  <si>
    <t>2016:2016meinongtaiwan:TW:chy018</t>
  </si>
  <si>
    <t>S08-R0292</t>
  </si>
  <si>
    <t>2016:2016meinongtaiwan:TW:chy020</t>
  </si>
  <si>
    <t>S08-R0293</t>
  </si>
  <si>
    <t>2016:2016meinongtaiwan:TW:chy037</t>
  </si>
  <si>
    <t>S08-R0294</t>
  </si>
  <si>
    <t>2016:2016meinongtaiwan:TW:chy039</t>
  </si>
  <si>
    <t>S08-R0295</t>
  </si>
  <si>
    <t>2016:2016meinongtaiwan:TW:chy051</t>
  </si>
  <si>
    <t>S08-R0296</t>
  </si>
  <si>
    <t>Taiwan database(NCREE)!H296:I296</t>
  </si>
  <si>
    <t>2016:2016meinongtaiwan:TW:chy055</t>
  </si>
  <si>
    <t>S08-R0297</t>
  </si>
  <si>
    <t>2016:2016meinongtaiwan:TW:chy056</t>
  </si>
  <si>
    <t>S08-R0298</t>
  </si>
  <si>
    <t>2016:2016meinongtaiwan:TW:chy058</t>
  </si>
  <si>
    <t>S08-R0299</t>
  </si>
  <si>
    <t>2016:2016meinongtaiwan:TW:chy060</t>
  </si>
  <si>
    <t>S08-R0300</t>
  </si>
  <si>
    <t>2016:2016meinongtaiwan:TW:chy062</t>
  </si>
  <si>
    <t>S08-R0301</t>
  </si>
  <si>
    <t>2016:2016meinongtaiwan:TW:chy063</t>
  </si>
  <si>
    <t>S08-R0302</t>
  </si>
  <si>
    <t>2016:2016meinongtaiwan:TW:chy065</t>
  </si>
  <si>
    <t>S08-R0303</t>
  </si>
  <si>
    <t>2016:2016meinongtaiwan:TW:chy067</t>
  </si>
  <si>
    <t>S08-R0304</t>
  </si>
  <si>
    <t>2016:2016meinongtaiwan:TW:chy068</t>
  </si>
  <si>
    <t>S08-R0305</t>
  </si>
  <si>
    <t>2016:2016meinongtaiwan:TW:chy069</t>
  </si>
  <si>
    <t>S08-R0306</t>
  </si>
  <si>
    <t>2016:2016meinongtaiwan:TW:chy070</t>
  </si>
  <si>
    <t>S08-R0307</t>
  </si>
  <si>
    <t>2016:2016meinongtaiwan:TW:chy071</t>
  </si>
  <si>
    <t>S08-R0308</t>
  </si>
  <si>
    <t>2016:2016meinongtaiwan:TW:chy080</t>
  </si>
  <si>
    <t>S08-R0309</t>
  </si>
  <si>
    <t>2016:2016meinongtaiwan:TW:chy085</t>
  </si>
  <si>
    <t>S08-R0310</t>
  </si>
  <si>
    <t>2016:2016meinongtaiwan:TW:chy089</t>
  </si>
  <si>
    <t>S08-R0311</t>
  </si>
  <si>
    <t>2016:2016meinongtaiwan:TW:chy097</t>
  </si>
  <si>
    <t>S08-R0312</t>
  </si>
  <si>
    <t>2016:2016meinongtaiwan:TW:chy098</t>
  </si>
  <si>
    <t>S08-R0313</t>
  </si>
  <si>
    <t>2016:2016meinongtaiwan:TW:chy105</t>
  </si>
  <si>
    <t>S08-R0314</t>
  </si>
  <si>
    <t>Taiwan database(NCREE)!H314:I314</t>
  </si>
  <si>
    <t>2016:2016meinongtaiwan:TW:chy107</t>
  </si>
  <si>
    <t>S08-R0315</t>
  </si>
  <si>
    <t>2016:2016meinongtaiwan:TW:chy115</t>
  </si>
  <si>
    <t>S08-R0316</t>
  </si>
  <si>
    <t>2016:2016meinongtaiwan:TW:chy116</t>
  </si>
  <si>
    <t>S08-R0317</t>
  </si>
  <si>
    <t>2016:2016meinongtaiwan:TW:chy125</t>
  </si>
  <si>
    <t>S08-R0318</t>
  </si>
  <si>
    <t>2016:2016meinongtaiwan:TW:chy131</t>
  </si>
  <si>
    <t>S08-R0319</t>
  </si>
  <si>
    <t>vs30_original:None, Tp_V_s:None</t>
  </si>
  <si>
    <t>2016:2016meinongtaiwan:TW:shh</t>
  </si>
  <si>
    <t>S08-R0320</t>
  </si>
  <si>
    <t>2016:2016meinongtaiwan:TW:ssh</t>
  </si>
  <si>
    <t>S08-R0321</t>
  </si>
  <si>
    <t>2016:2016meinongtaiwan:TW:trb029</t>
  </si>
  <si>
    <t>S08-R0322</t>
  </si>
  <si>
    <t>2018:2018hualientaiwan:TW:hwa007</t>
  </si>
  <si>
    <t>S08-R0323</t>
  </si>
  <si>
    <t>2018:2018hualientaiwan:TW:hwa008</t>
  </si>
  <si>
    <t>S08-R0324</t>
  </si>
  <si>
    <t>2018:2018hualientaiwan:TW:hwa009</t>
  </si>
  <si>
    <t>S08-R0325</t>
  </si>
  <si>
    <t>2018:2018hualientaiwan:TW:hwa010</t>
  </si>
  <si>
    <t>S08-R0326</t>
  </si>
  <si>
    <t>2018:2018hualientaiwan:TW:hwa011</t>
  </si>
  <si>
    <t>S08-R0327</t>
  </si>
  <si>
    <t>2018:2018hualientaiwan:TW:hwa012</t>
  </si>
  <si>
    <t>S08-R0328</t>
  </si>
  <si>
    <t>2018:2018hualientaiwan:TW:hwa013</t>
  </si>
  <si>
    <t>S08-R0329</t>
  </si>
  <si>
    <t>2018:2018hualientaiwan:TW:hwa014</t>
  </si>
  <si>
    <t>S08-R0330</t>
  </si>
  <si>
    <t>2018:2018hualientaiwan:TW:hwa015</t>
  </si>
  <si>
    <t>S08-R0331</t>
  </si>
  <si>
    <t>2018:2018hualientaiwan:TW:hwa016</t>
  </si>
  <si>
    <t>S08-R0332</t>
  </si>
  <si>
    <t>2018:2018hualientaiwan:TW:hwa017</t>
  </si>
  <si>
    <t>S08-R0333</t>
  </si>
  <si>
    <t>2018:2018hualientaiwan:TW:hwa019</t>
  </si>
  <si>
    <t>S08-R0334</t>
  </si>
  <si>
    <t>2018:2018hualientaiwan:TW:hwa028</t>
  </si>
  <si>
    <t>S08-R0335</t>
  </si>
  <si>
    <t>2018:2018hualientaiwan:TW:hwa050</t>
  </si>
  <si>
    <t>S08-R0336</t>
  </si>
  <si>
    <t>2018:2018hualientaiwan:TW:hwa060</t>
  </si>
  <si>
    <t>S08-R0337</t>
  </si>
  <si>
    <t>2018:2018hualientaiwan:TW:hwa062</t>
  </si>
  <si>
    <t>S08-R0338</t>
  </si>
  <si>
    <t>2018:2018hualientaiwan:TW:hwa063</t>
  </si>
  <si>
    <t>S08-R0339</t>
  </si>
  <si>
    <t>2018:2018hualientaiwan:TW:s009</t>
  </si>
  <si>
    <t>S08-R0340</t>
  </si>
  <si>
    <t>2018:2018hualientaiwan:TW:s019</t>
  </si>
  <si>
    <t>S08-R0341</t>
  </si>
  <si>
    <t>2018:2018hualientaiwan:TW:trb042</t>
  </si>
  <si>
    <t>S05-R0002</t>
  </si>
  <si>
    <t>2016:kumamoto:JP:93002</t>
  </si>
  <si>
    <t>S05-R0003</t>
  </si>
  <si>
    <t>2016:kumamoto:JP:93009</t>
  </si>
  <si>
    <t>S05-R0004</t>
  </si>
  <si>
    <t>2016:kumamoto:JP:93010</t>
  </si>
  <si>
    <t>S05-R0005</t>
  </si>
  <si>
    <t>2016:kumamoto:JP:93011</t>
  </si>
  <si>
    <t>S05-R0006</t>
  </si>
  <si>
    <t>2016:kumamoto:JP:93020</t>
  </si>
  <si>
    <t>S05-R0007</t>
  </si>
  <si>
    <t>2016:kumamoto:JP:93025</t>
  </si>
  <si>
    <t>S05-R0008</t>
  </si>
  <si>
    <t>2016:kumamoto:JP:93029</t>
  </si>
  <si>
    <t>S05-R0009</t>
  </si>
  <si>
    <t>2016:kumamoto:JP:93030</t>
  </si>
  <si>
    <t>S05-R0010</t>
  </si>
  <si>
    <t>2016:kumamoto:JP:93041</t>
  </si>
  <si>
    <t>S05-R0011</t>
  </si>
  <si>
    <t>2016:kumamoto:JP:93042</t>
  </si>
  <si>
    <t>S05-R0012</t>
  </si>
  <si>
    <t>2016:kumamoto:JP:93044</t>
  </si>
  <si>
    <t>S05-R0013</t>
  </si>
  <si>
    <t>2016:kumamoto:JP:93048</t>
  </si>
  <si>
    <t>S05-R0014</t>
  </si>
  <si>
    <t>2016:kumamoto:JP:93051</t>
  </si>
  <si>
    <t>S05-R0015</t>
  </si>
  <si>
    <t>2016:kumamoto:JP:93055</t>
  </si>
  <si>
    <t>S05-R0016</t>
  </si>
  <si>
    <t>2016:kumamoto:JP:93056</t>
  </si>
  <si>
    <t>S05-R0017</t>
  </si>
  <si>
    <t>2016:kumamoto:JP:93057</t>
  </si>
  <si>
    <t>S05-R0018</t>
  </si>
  <si>
    <t>2016:kumamoto:JP:93096</t>
  </si>
  <si>
    <t>S05-R0019</t>
  </si>
  <si>
    <t>2016:kumamoto:JP:9cf</t>
  </si>
  <si>
    <t>S05-R0020</t>
  </si>
  <si>
    <t>2016:kumamoto:JP:eed</t>
  </si>
  <si>
    <t>S05-R0021</t>
  </si>
  <si>
    <t>2016:kumamoto:JP:kmm004</t>
  </si>
  <si>
    <t>S05-R0022</t>
  </si>
  <si>
    <t>2016:kumamoto:JP:kmm005</t>
  </si>
  <si>
    <t>S05-R0023</t>
  </si>
  <si>
    <t>2016:kumamoto:JP:kmm006</t>
  </si>
  <si>
    <t>S05-R0024</t>
  </si>
  <si>
    <t>2016:kumamoto:JP:kmm007</t>
  </si>
  <si>
    <t>S05-R0025</t>
  </si>
  <si>
    <t>2016:kumamoto:JP:kmmh03</t>
  </si>
  <si>
    <t>S05-R0026</t>
  </si>
  <si>
    <t>2016:kumamoto:JP:kmmh04</t>
  </si>
  <si>
    <t>S05-R0027</t>
  </si>
  <si>
    <t>2016:meinong:TW:chy020</t>
  </si>
  <si>
    <t>S05-R0028</t>
  </si>
  <si>
    <t>2016:meinong:TW:chy058</t>
  </si>
  <si>
    <t>S05-R0029</t>
  </si>
  <si>
    <t>2016:meinong:TW:chy060</t>
  </si>
  <si>
    <t>S05-R0030</t>
  </si>
  <si>
    <t>2016:meinong:TW:chy062</t>
  </si>
  <si>
    <t>S05-R0031</t>
  </si>
  <si>
    <t>2016:meinong:TW:chy063</t>
  </si>
  <si>
    <t>S05-R0032</t>
  </si>
  <si>
    <t>2016:meinong:TW:chy067</t>
  </si>
  <si>
    <t>S05-R0033</t>
  </si>
  <si>
    <t>2016:meinong:TW:chy069</t>
  </si>
  <si>
    <t>S05-R0034</t>
  </si>
  <si>
    <t>2016:meinong:TW:chy070</t>
  </si>
  <si>
    <t>S05-R0035</t>
  </si>
  <si>
    <t>2016:meinong:TW:chy071</t>
  </si>
  <si>
    <t>S05-R0036</t>
  </si>
  <si>
    <t>2016:meinong:TW:chy085</t>
  </si>
  <si>
    <t>S05-R0037</t>
  </si>
  <si>
    <t>2016:meinong:TW:chy089</t>
  </si>
  <si>
    <t>S05-R0038</t>
  </si>
  <si>
    <t>2016:meinong:TW:chy097</t>
  </si>
  <si>
    <t>S05-R0039</t>
  </si>
  <si>
    <t>2016:meinong:TW:chy098</t>
  </si>
  <si>
    <t>S05-R0040</t>
  </si>
  <si>
    <t>2016:meinong:TW:chy115</t>
  </si>
  <si>
    <t>S05-R0041</t>
  </si>
  <si>
    <t>2016:meinong:TW:chy116</t>
  </si>
  <si>
    <t>S05-R0042</t>
  </si>
  <si>
    <t>2016:meinong:TW:chy125</t>
  </si>
  <si>
    <t>S05-R0043</t>
  </si>
  <si>
    <t>2016:meinong:TW:chy131</t>
  </si>
  <si>
    <t>S05-R0044</t>
  </si>
  <si>
    <t>2016:meinong:TW:trb029</t>
  </si>
  <si>
    <t>S05-R0045</t>
  </si>
  <si>
    <t>2018:hualien:TW:hwa007</t>
  </si>
  <si>
    <t>S05-R0046</t>
  </si>
  <si>
    <t>2018:hualien:TW:hwa008</t>
  </si>
  <si>
    <t>S05-R0047</t>
  </si>
  <si>
    <t>2018:hualien:TW:hwa009</t>
  </si>
  <si>
    <t>S05-R0048</t>
  </si>
  <si>
    <t>2018:hualien:TW:hwa010</t>
  </si>
  <si>
    <t>S05-R0049</t>
  </si>
  <si>
    <t>2018:hualien:TW:hwa011</t>
  </si>
  <si>
    <t>S05-R0050</t>
  </si>
  <si>
    <t>2018:hualien:TW:hwa012</t>
  </si>
  <si>
    <t>S05-R0051</t>
  </si>
  <si>
    <t>2018:hualien:TW:hwa013</t>
  </si>
  <si>
    <t>S05-R0052</t>
  </si>
  <si>
    <t>2018:hualien:TW:hwa014</t>
  </si>
  <si>
    <t>S05-R0053</t>
  </si>
  <si>
    <t>2018:hualien:TW:hwa019</t>
  </si>
  <si>
    <t>S05-R0054</t>
  </si>
  <si>
    <t>2018:hualien:TW:hwa028</t>
  </si>
  <si>
    <t>S05-R0055</t>
  </si>
  <si>
    <t>2018:hualien:TW:hwa050</t>
  </si>
  <si>
    <t>S05-R0056</t>
  </si>
  <si>
    <t>2018:hualien:TW:hwa062</t>
  </si>
  <si>
    <t>S05-R0057</t>
  </si>
  <si>
    <t>2018:hualien:TW:hwa063</t>
  </si>
  <si>
    <t>S05-R0058</t>
  </si>
  <si>
    <t>2018:hualien:TW:trb042</t>
  </si>
  <si>
    <t>S05-R0059</t>
  </si>
  <si>
    <t>Darfield</t>
  </si>
  <si>
    <t>2010:darfield:NZ:dslc</t>
  </si>
  <si>
    <t>S05-R0060</t>
  </si>
  <si>
    <t>2010:darfield:NZ:gdlc</t>
  </si>
  <si>
    <t>S05-R0061</t>
  </si>
  <si>
    <t>2010:darfield:NZ:horc</t>
  </si>
  <si>
    <t>S05-R0062</t>
  </si>
  <si>
    <t>2010:darfield:NZ:linc</t>
  </si>
  <si>
    <t>S05-R0063</t>
  </si>
  <si>
    <t>2010:darfield:NZ:nnbs</t>
  </si>
  <si>
    <t>S05-R0064</t>
  </si>
  <si>
    <t>2010:darfield:NZ:rehs</t>
  </si>
  <si>
    <t>S05-R0065</t>
  </si>
  <si>
    <t>2010:darfield:NZ:rhsc</t>
  </si>
  <si>
    <t>S05-R0066</t>
  </si>
  <si>
    <t>2010:darfield:NZ:rolc</t>
  </si>
  <si>
    <t>S05-R0067</t>
  </si>
  <si>
    <t>2010:darfield:NZ:shlc</t>
  </si>
  <si>
    <t>S05-R0068</t>
  </si>
  <si>
    <t>2010:darfield:NZ:smtc</t>
  </si>
  <si>
    <t>S05-R0069</t>
  </si>
  <si>
    <t>2010:darfield:NZ:tplc</t>
  </si>
  <si>
    <t>S05-R0070</t>
  </si>
  <si>
    <t>2016:kumafore:JP:kmmh14</t>
  </si>
  <si>
    <t>S05-R0071</t>
  </si>
  <si>
    <t>2016:kumafore:JP:93020</t>
  </si>
  <si>
    <t>S05-R0072</t>
  </si>
  <si>
    <t>2016:kumafore:JP:93021</t>
  </si>
  <si>
    <t>S05-R0073</t>
  </si>
  <si>
    <t>2016:kumafore:JP:93024</t>
  </si>
  <si>
    <t>S05-R0074</t>
  </si>
  <si>
    <t>2016:kumafore:JP:93025</t>
  </si>
  <si>
    <t>S05-R0075</t>
  </si>
  <si>
    <t>2016:kumafore:JP:93050</t>
  </si>
  <si>
    <t>S05-R0076</t>
  </si>
  <si>
    <t>2016:kumafore:JP:93051</t>
  </si>
  <si>
    <t>S05-R0077</t>
  </si>
  <si>
    <t>2016:kumafore:JP:93055</t>
  </si>
  <si>
    <t>S05-R0078</t>
  </si>
  <si>
    <t>2016:kumafore:JP:93056</t>
  </si>
  <si>
    <t>S05-R0079</t>
  </si>
  <si>
    <t>2016:kumafore:JP:93057</t>
  </si>
  <si>
    <t>S05-R0080</t>
  </si>
  <si>
    <t>2016:kumafore:JP:93058</t>
  </si>
  <si>
    <t>S05-R0081</t>
  </si>
  <si>
    <t>2016:kumafore:JP:9cf</t>
  </si>
  <si>
    <t>S05-R0082</t>
  </si>
  <si>
    <t>2018:iburi:JP:hkd126</t>
  </si>
  <si>
    <t>S05-R0083</t>
  </si>
  <si>
    <t>2018:iburi:JP:hkd128</t>
  </si>
  <si>
    <t>S05-R0084</t>
  </si>
  <si>
    <t>2018:iburi:JP:ibuh01</t>
  </si>
  <si>
    <t>S05-R0085</t>
  </si>
  <si>
    <t>User message: station47004, longitude141.9204 latitude42.6226 (2026-09-11)</t>
  </si>
  <si>
    <t>User-provided station coordinates</t>
  </si>
  <si>
    <t>Coordinates supplied by user; station elevation not supplied.</t>
  </si>
  <si>
    <t>2018:iburi:JP:47004</t>
  </si>
  <si>
    <t>S06-R0002</t>
  </si>
  <si>
    <t>fling-corrected</t>
  </si>
  <si>
    <t>2022:duzce:TR:8101</t>
  </si>
  <si>
    <t>S06-R0003</t>
  </si>
  <si>
    <t>2022:duzce:TR:8102</t>
  </si>
  <si>
    <t>S06-R0004</t>
  </si>
  <si>
    <t>2022:duzce:TR:8104</t>
  </si>
  <si>
    <t>S06-R0005</t>
  </si>
  <si>
    <t>2022:duzce:TR:8109</t>
  </si>
  <si>
    <t>S06-R0006</t>
  </si>
  <si>
    <t>2023:turkey1:TR:3123</t>
  </si>
  <si>
    <t>S06-R0007</t>
  </si>
  <si>
    <t>2023:turkey1:TR:2712</t>
  </si>
  <si>
    <t>S06-R0008</t>
  </si>
  <si>
    <t>2023:turkey1:TR:2718</t>
  </si>
  <si>
    <t>S06-R0009</t>
  </si>
  <si>
    <t>2023:turkey1:TR:3145</t>
  </si>
  <si>
    <t>S06-R0010</t>
  </si>
  <si>
    <t>2023:turkey1:TR:4616</t>
  </si>
  <si>
    <t>S06-R0011</t>
  </si>
  <si>
    <t>2023:turkey1:TR:3138</t>
  </si>
  <si>
    <t>S06-R0012</t>
  </si>
  <si>
    <t>2023:turkey1:TR:3144</t>
  </si>
  <si>
    <t>S06-R0013</t>
  </si>
  <si>
    <t>2023:turkey1:TR:3131</t>
  </si>
  <si>
    <t>S06-R0014</t>
  </si>
  <si>
    <t>2023:turkey1:TR:2708</t>
  </si>
  <si>
    <t>S06-R0015</t>
  </si>
  <si>
    <t>2023:turkey1:TR:3143</t>
  </si>
  <si>
    <t>S06-R0016</t>
  </si>
  <si>
    <t>2023:turkey1:TR:4615</t>
  </si>
  <si>
    <t>S06-R0017</t>
  </si>
  <si>
    <t>2023:turkey1:TR:3139</t>
  </si>
  <si>
    <t>S06-R0018</t>
  </si>
  <si>
    <t>2023:turkey1:TR:3142</t>
  </si>
  <si>
    <t>S06-R0019</t>
  </si>
  <si>
    <t>2023:turkey1:TR:nar</t>
  </si>
  <si>
    <t>S06-R0020</t>
  </si>
  <si>
    <t>2023:turkey1:TR:khmn</t>
  </si>
  <si>
    <t>S06-R0021</t>
  </si>
  <si>
    <t>2023:turkey1:TR:3137</t>
  </si>
  <si>
    <t>S06-R0022</t>
  </si>
  <si>
    <t>2023:turkey1:TR:3136</t>
  </si>
  <si>
    <t>S06-R0023</t>
  </si>
  <si>
    <t>2023:turkey1:TR:2715</t>
  </si>
  <si>
    <t>S06-R0024</t>
  </si>
  <si>
    <t>2023:turkey1:TR:2716</t>
  </si>
  <si>
    <t>S06-R0025</t>
  </si>
  <si>
    <t>2023:turkey1:TR:2717</t>
  </si>
  <si>
    <t>S06-R0026</t>
  </si>
  <si>
    <t>2023:turkey1:TR:8002</t>
  </si>
  <si>
    <t>S06-R0027</t>
  </si>
  <si>
    <t>2023:turkey1:TR:3116</t>
  </si>
  <si>
    <t>S06-R0028</t>
  </si>
  <si>
    <t>2023:turkey1:TR:3134</t>
  </si>
  <si>
    <t>S06-R0029</t>
  </si>
  <si>
    <t>2023:turkey2:TR:4612</t>
  </si>
  <si>
    <t>S06-R0030</t>
  </si>
  <si>
    <t>2023:turkey2:TR:131</t>
  </si>
  <si>
    <t>S06-R0031</t>
  </si>
  <si>
    <t>2023:turkey2:TR:132</t>
  </si>
  <si>
    <t>S06-R0032</t>
  </si>
  <si>
    <t>2023:turkey2:TR:4611</t>
  </si>
  <si>
    <t>S06-R0033</t>
  </si>
  <si>
    <t>2023:turkey2:TR:4614</t>
  </si>
  <si>
    <t>S06-R0034</t>
  </si>
  <si>
    <t>2023:turkey2:TR:nar</t>
  </si>
  <si>
    <t>S06-R0035</t>
  </si>
  <si>
    <t>2023:turkey2:TR:4615</t>
  </si>
  <si>
    <t>event</t>
  </si>
  <si>
    <t>station</t>
  </si>
  <si>
    <t>station_lat</t>
  </si>
  <si>
    <t>station_lon</t>
  </si>
  <si>
    <t>selected_hypo_lat</t>
  </si>
  <si>
    <t>selected_hypo_lon</t>
  </si>
  <si>
    <t>selected_depth_km</t>
  </si>
  <si>
    <t>evaluated_Rhyp_km</t>
  </si>
  <si>
    <t>calculated_Repi_km</t>
  </si>
  <si>
    <t>calculated_Rhyp_km</t>
  </si>
  <si>
    <t>Rhyp_difference_km</t>
  </si>
  <si>
    <t>Rhyp_difference_percent</t>
  </si>
  <si>
    <t>screen_tolerance_km</t>
  </si>
  <si>
    <t>Rhyp_check</t>
  </si>
  <si>
    <t>depth_bound_check</t>
  </si>
  <si>
    <t>original_surface_distance_km</t>
  </si>
  <si>
    <t>surface_distance_type</t>
  </si>
  <si>
    <t>surface_distance_check</t>
  </si>
  <si>
    <t>original_hypo_lat</t>
  </si>
  <si>
    <t>original_hypo_lon</t>
  </si>
  <si>
    <t>original_hypo_depth_km</t>
  </si>
  <si>
    <t>Rhyp_using_original_hypo_km</t>
  </si>
  <si>
    <t>selected_source</t>
  </si>
  <si>
    <t>model_Rrup_km</t>
  </si>
  <si>
    <t>original_minus_model_Rrup_km</t>
  </si>
  <si>
    <t>nearest_model_segment</t>
  </si>
  <si>
    <t>Rrup_model_source</t>
  </si>
  <si>
    <t>superseded_Rhyp_km</t>
  </si>
  <si>
    <t>Closest distance (definition not confirmed)</t>
  </si>
  <si>
    <t>S&amp;B closest distance is not automatically interpreted as Rrup. Original-reference comparison uses previously retrieved NGA-West2 event metadata; see Sources_method E03/E04 (mirror provenance).</t>
  </si>
  <si>
    <t>S&amp;B closest distance is not automatically interpreted as Rrup. 未找到可確定對應的座標。 Original-reference comparison uses previously retrieved NGA-West2 event metadata; see Sources_method E03/E04 (mirror provenance).</t>
  </si>
  <si>
    <t>Rrup</t>
  </si>
  <si>
    <t>Bound assumes selected hypocenter lies on the same rupture surface; different source/model may explain exceedance.</t>
  </si>
  <si>
    <t>Event now confirmed as 2016-04-14 12:26:36 UTC; source follows user Table 1.</t>
  </si>
  <si>
    <t>Asano &amp; Iwata (2019), user-supplied original FSP</t>
  </si>
  <si>
    <t>User approved Rhyp replacement2026-09-11: original 26.2km archived in AG; active Rhyp uses original FSP hypocenter and elevation0. Original Rrup retained. Model Rrup remains comparison only.</t>
  </si>
  <si>
    <t>Asano &amp; Iwata (2019), 3 finite rectangles; elevation 0</t>
  </si>
  <si>
    <t>User approved Rhyp replacement2026-09-11: original 29.1km archived in AG; active Rhyp uses original FSP hypocenter and elevation0. Original Rrup retained. Model Rrup remains comparison only.</t>
  </si>
  <si>
    <t>User approved Rhyp replacement2026-09-11: original 34.4km archived in AG; active Rhyp uses original FSP hypocenter and elevation0. Original Rrup retained. Model Rrup remains comparison only.</t>
  </si>
  <si>
    <t>User approved Rhyp replacement2026-09-11: original 24.9km archived in AG; active Rhyp uses original FSP hypocenter and elevation0. Original Rrup retained. Model Rrup remains comparison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</si>
</sst>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######"/>
    <numFmt numFmtId="165" formatCode="0.0%"/>
    <numFmt numFmtId="166" formatCode="0.000E+00"/>
    <numFmt numFmtId="167" formatCode="yyyy\-mm\-dd\ hh:mm:ss.000&quot;Z&quot;"/>
    <numFmt numFmtId="168" formatCode="0.0000"/>
  </numFmts>
  <fonts count="9">
    <font>
      <sz val="11"/>
      <name val="Carlito"/>
    </font>
    <font>
      <sz val="10"/>
      <color rgb="FF243247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rgb="FF243247"/>
      <name val="Arial"/>
      <family val="2"/>
    </font>
    <font>
      <b/>
      <sz val="10"/>
      <color rgb="FF243247"/>
      <name val="Arial"/>
      <family val="2"/>
    </font>
    <font>
      <b/>
      <sz val="13"/>
      <color rgb="FFFFFFFF"/>
      <name val="Arial"/>
      <family val="2"/>
    </font>
    <font>
      <b/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283F60"/>
      </patternFill>
    </fill>
    <fill>
      <patternFill patternType="solid">
        <fgColor rgb="FFE6ECF3"/>
      </patternFill>
    </fill>
    <fill>
      <patternFill patternType="solid">
        <fgColor rgb="FFD9E5F2"/>
      </patternFill>
    </fill>
    <fill>
      <patternFill patternType="solid">
        <fgColor rgb="FFD9E5F2"/>
      </patternFill>
    </fill>
    <fill>
      <patternFill patternType="solid">
        <fgColor rgb="FF283F60"/>
      </patternFill>
    </fill>
    <fill>
      <patternFill patternType="solid">
        <fgColor rgb="FFD9E5F2"/>
      </patternFill>
    </fill>
    <fill>
      <patternFill patternType="solid">
        <fgColor rgb="FFF0F5FA"/>
      </patternFill>
    </fill>
    <fill>
      <patternFill patternType="solid">
        <fgColor rgb="FFFBE3CD"/>
      </patternFill>
    </fill>
    <fill>
      <patternFill patternType="solid">
        <fgColor rgb="FFFFFFFF"/>
      </patternFill>
    </fill>
    <fill>
      <patternFill patternType="solid">
        <fgColor rgb="FFD9E5F2"/>
      </patternFill>
    </fill>
    <fill>
      <patternFill patternType="solid">
        <fgColor rgb="FF283F60"/>
      </patternFill>
    </fill>
    <fill>
      <patternFill patternType="solid">
        <fgColor rgb="FFF0F5FA"/>
      </patternFill>
    </fill>
    <fill>
      <patternFill patternType="solid">
        <fgColor rgb="FFFFFFFF"/>
      </patternFill>
    </fill>
    <fill>
      <patternFill patternType="solid">
        <fgColor rgb="FFD9E5F2"/>
      </patternFill>
    </fill>
    <fill>
      <patternFill patternType="solid">
        <fgColor rgb="FF28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3" fillId="0" borderId="0" xfId="0" applyFont="1"/>
    <xf numFmtId="0" fontId="4" fillId="3" borderId="0" xfId="0" applyFont="1" applyFill="1"/>
    <xf numFmtId="0" fontId="5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6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167" fontId="1" fillId="0" borderId="0" xfId="0" applyNumberFormat="1" applyFont="1"/>
    <xf numFmtId="2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vertical="center"/>
    </xf>
    <xf numFmtId="0" fontId="6" fillId="7" borderId="0" xfId="0" applyFont="1" applyFill="1"/>
    <xf numFmtId="0" fontId="6" fillId="8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6" fillId="10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1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68" fontId="1" fillId="0" borderId="0" xfId="0" applyNumberFormat="1" applyFont="1" applyAlignment="1">
      <alignment vertical="center"/>
    </xf>
    <xf numFmtId="0" fontId="6" fillId="13" borderId="0" xfId="0" applyFont="1" applyFill="1" applyAlignment="1">
      <alignment vertical="center" wrapText="1"/>
    </xf>
    <xf numFmtId="0" fontId="6" fillId="14" borderId="0" xfId="0" applyFont="1" applyFill="1" applyAlignment="1">
      <alignment vertical="center" wrapText="1"/>
    </xf>
    <xf numFmtId="0" fontId="6" fillId="15" borderId="0" xfId="0" applyFont="1" applyFill="1"/>
    <xf numFmtId="0" fontId="6" fillId="15" borderId="0" xfId="0" applyFont="1" applyFill="1" applyAlignment="1">
      <alignment wrapText="1"/>
    </xf>
    <xf numFmtId="167" fontId="0" fillId="0" borderId="0" xfId="0" applyNumberFormat="1"/>
    <xf numFmtId="168" fontId="0" fillId="0" borderId="0" xfId="0" applyNumberFormat="1"/>
    <xf numFmtId="0" fontId="8" fillId="0" borderId="0" xfId="0" applyFont="1"/>
    <xf numFmtId="0" fontId="8" fillId="0" borderId="0" xfId="0" applyFont="1" applyAlignment="1">
      <alignment wrapText="1"/>
    </xf>
    <xf numFmtId="2" fontId="0" fillId="0" borderId="0" xfId="0" applyNumberFormat="1"/>
    <xf numFmtId="0" fontId="1" fillId="8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7" fillId="6" borderId="0" xfId="0" applyFont="1" applyFill="1"/>
    <xf numFmtId="0" fontId="6" fillId="7" borderId="0" xfId="0" applyFont="1" applyFill="1"/>
    <xf numFmtId="0" fontId="0" fillId="0" borderId="0" xfId="0" applyAlignment="1">
      <alignment wrapText="1"/>
    </xf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7" fillId="12" borderId="0" xfId="0" applyFont="1" applyFill="1"/>
    <xf numFmtId="0" fontId="1" fillId="13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 wrapText="1"/>
    </xf>
    <xf numFmtId="0" fontId="7" fillId="16" borderId="0" xfId="0" applyFon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>
          <bgColor rgb="FFFBE3CD"/>
        </patternFill>
      </fill>
    </dxf>
    <dxf>
      <font>
        <color rgb="FF8D4D00"/>
      </font>
      <fill>
        <patternFill>
          <bgColor rgb="FFFFF1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ordinateSources" displayName="CoordinateSources" ref="A1:E13" totalsRowShown="0">
  <autoFilter ref="A1:E13" xr:uid="{00000000-0009-0000-0100-000003000000}"/>
  <tableColumns count="5">
    <tableColumn id="1" xr3:uid="{00000000-0010-0000-0000-000001000000}" name="source_id"/>
    <tableColumn id="2" xr3:uid="{00000000-0010-0000-0000-000002000000}" name="source"/>
    <tableColumn id="3" xr3:uid="{00000000-0010-0000-0000-000003000000}" name="locator"/>
    <tableColumn id="4" xr3:uid="{00000000-0010-0000-0000-000004000000}" name="source_note"/>
    <tableColumn id="5" xr3:uid="{00000000-0010-0000-0000-000005000000}" name="accessed_or_re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StationCoordinates" displayName="StationCoordinates" ref="A1:K643" totalsRowShown="0">
  <tableColumns count="11">
    <tableColumn id="1" xr3:uid="{00000000-0010-0000-0100-000001000000}" name="station_key"/>
    <tableColumn id="2" xr3:uid="{00000000-0010-0000-0100-000002000000}" name="station_names"/>
    <tableColumn id="3" xr3:uid="{00000000-0010-0000-0100-000003000000}" name="latitude_deg"/>
    <tableColumn id="4" xr3:uid="{00000000-0010-0000-0100-000004000000}" name="longitude_deg"/>
    <tableColumn id="5" xr3:uid="{00000000-0010-0000-0100-000005000000}" name="coord_status"/>
    <tableColumn id="6" xr3:uid="{00000000-0010-0000-0100-000006000000}" name="source_record_count"/>
    <tableColumn id="7" xr3:uid="{00000000-0010-0000-0100-000007000000}" name="source_sheets"/>
    <tableColumn id="8" xr3:uid="{00000000-0010-0000-0100-000008000000}" name="events"/>
    <tableColumn id="9" xr3:uid="{00000000-0010-0000-0100-000009000000}" name="coord_source_ids"/>
    <tableColumn id="10" xr3:uid="{00000000-0010-0000-0100-00000A000000}" name="example_source_ref"/>
    <tableColumn id="11" xr3:uid="{00000000-0010-0000-0100-00000B000000}" name="coord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2000000}" name="EarthquakeSources" displayName="EarthquakeSources" ref="A1:BF112" totalsRowShown="0">
  <tableColumns count="58">
    <tableColumn id="1" xr3:uid="{00000000-0010-0000-0200-000001000000}" name="event_key"/>
    <tableColumn id="2" xr3:uid="{00000000-0010-0000-0200-000002000000}" name="event_names"/>
    <tableColumn id="3" xr3:uid="{00000000-0010-0000-0200-000003000000}" name="table_magnitudes"/>
    <tableColumn id="4" xr3:uid="{00000000-0010-0000-0200-000004000000}" name="source_status"/>
    <tableColumn id="5" xr3:uid="{00000000-0010-0000-0200-000005000000}" name="origin_date_utc"/>
    <tableColumn id="6" xr3:uid="{00000000-0010-0000-0200-000006000000}" name="origin_time_utc"/>
    <tableColumn id="7" xr3:uid="{00000000-0010-0000-0200-000007000000}" name="time_precision"/>
    <tableColumn id="8" xr3:uid="{00000000-0010-0000-0200-000008000000}" name="catalog_magnitude"/>
    <tableColumn id="9" xr3:uid="{00000000-0010-0000-0200-000009000000}" name="magnitude_type"/>
    <tableColumn id="10" xr3:uid="{00000000-0010-0000-0200-00000A000000}" name="hypo_latitude_deg"/>
    <tableColumn id="11" xr3:uid="{00000000-0010-0000-0200-00000B000000}" name="hypo_longitude_deg"/>
    <tableColumn id="12" xr3:uid="{00000000-0010-0000-0200-00000C000000}" name="hypo_depth_km"/>
    <tableColumn id="13" xr3:uid="{00000000-0010-0000-0200-00000D000000}" name="mechanism"/>
    <tableColumn id="14" xr3:uid="{00000000-0010-0000-0200-00000E000000}" name="plane_definition"/>
    <tableColumn id="15" xr3:uid="{00000000-0010-0000-0200-00000F000000}" name="strike1_deg"/>
    <tableColumn id="16" xr3:uid="{00000000-0010-0000-0200-000010000000}" name="dip1_deg"/>
    <tableColumn id="17" xr3:uid="{00000000-0010-0000-0200-000011000000}" name="rake1_deg"/>
    <tableColumn id="18" xr3:uid="{00000000-0010-0000-0200-000012000000}" name="strike2_deg"/>
    <tableColumn id="19" xr3:uid="{00000000-0010-0000-0200-000013000000}" name="dip2_deg"/>
    <tableColumn id="20" xr3:uid="{00000000-0010-0000-0200-000014000000}" name="rake2_deg"/>
    <tableColumn id="21" xr3:uid="{00000000-0010-0000-0200-000015000000}" name="origin_source"/>
    <tableColumn id="22" xr3:uid="{00000000-0010-0000-0200-000016000000}" name="mechanism_source"/>
    <tableColumn id="23" xr3:uid="{00000000-0010-0000-0200-000017000000}" name="usgs_event_id"/>
    <tableColumn id="24" xr3:uid="{00000000-0010-0000-0200-000018000000}" name="source_url"/>
    <tableColumn id="25" xr3:uid="{00000000-0010-0000-0200-000019000000}" name="nga_reference"/>
    <tableColumn id="26" xr3:uid="{00000000-0010-0000-0200-00001A000000}" name="nga_finite_fault_flag"/>
    <tableColumn id="27" xr3:uid="{00000000-0010-0000-0200-00001B000000}" name="nga_fault_name"/>
    <tableColumn id="28" xr3:uid="{00000000-0010-0000-0200-00001C000000}" name="nga_strike_deg"/>
    <tableColumn id="29" xr3:uid="{00000000-0010-0000-0200-00001D000000}" name="nga_dip_deg"/>
    <tableColumn id="30" xr3:uid="{00000000-0010-0000-0200-00001E000000}" name="nga_rake_deg"/>
    <tableColumn id="31" xr3:uid="{00000000-0010-0000-0200-00001F000000}" name="nga_ztor_km"/>
    <tableColumn id="32" xr3:uid="{00000000-0010-0000-0200-000020000000}" name="nga_length_km"/>
    <tableColumn id="33" xr3:uid="{00000000-0010-0000-0200-000021000000}" name="nga_width_km"/>
    <tableColumn id="34" xr3:uid="{00000000-0010-0000-0200-000022000000}" name="ff_status"/>
    <tableColumn id="35" xr3:uid="{00000000-0010-0000-0200-000023000000}" name="notes"/>
    <tableColumn id="36" xr3:uid="{00000000-0010-0000-0200-000024000000}" name="retrieved_date"/>
    <tableColumn id="37" xr3:uid="{00000000-0010-0000-0200-000025000000}" name="ff_segment_count"/>
    <tableColumn id="38" xr3:uid="{00000000-0010-0000-0200-000026000000}" name="ff_model_Mw"/>
    <tableColumn id="39" xr3:uid="{00000000-0010-0000-0200-000027000000}" name="ff_moment_Nm"/>
    <tableColumn id="40" xr3:uid="{00000000-0010-0000-0200-000028000000}" name="ff_max_slip_m"/>
    <tableColumn id="41" xr3:uid="{00000000-0010-0000-0200-000029000000}" name="ff_model_area_km2"/>
    <tableColumn id="42" xr3:uid="{00000000-0010-0000-0200-00002A000000}" name="ff_average_rise_s"/>
    <tableColumn id="43" xr3:uid="{00000000-0010-0000-0200-00002B000000}" name="ff_average_rupture_velocity_km_s"/>
    <tableColumn id="44" xr3:uid="{00000000-0010-0000-0200-00002C000000}" name="ff_model_hypo_lat"/>
    <tableColumn id="45" xr3:uid="{00000000-0010-0000-0200-00002D000000}" name="ff_model_hypo_lon"/>
    <tableColumn id="46" xr3:uid="{00000000-0010-0000-0200-00002E000000}" name="ff_model_hypo_depth_km"/>
    <tableColumn id="47" xr3:uid="{00000000-0010-0000-0200-00002F000000}" name="ff_product_source"/>
    <tableColumn id="48" xr3:uid="{00000000-0010-0000-0200-000030000000}" name="ff_product_code"/>
    <tableColumn id="49" xr3:uid="{00000000-0010-0000-0200-000031000000}" name="ff_version"/>
    <tableColumn id="50" xr3:uid="{00000000-0010-0000-0200-000032000000}" name="ff_updated_utc"/>
    <tableColumn id="51" xr3:uid="{00000000-0010-0000-0200-000033000000}" name="ff_url"/>
    <tableColumn id="52" xr3:uid="{00000000-0010-0000-0200-000034000000}" name="ff_fsp_url"/>
    <tableColumn id="53" xr3:uid="{00000000-0010-0000-0200-000035000000}" name="ff_param_url"/>
    <tableColumn id="54" xr3:uid="{00000000-0010-0000-0200-000036000000}" name="ff_moment_rate_url"/>
    <tableColumn id="55" xr3:uid="{00000000-0010-0000-0200-000037000000}" name="match_basis"/>
    <tableColumn id="56" xr3:uid="{00000000-0010-0000-0200-000038000000}" name="time_source_url"/>
    <tableColumn id="57" xr3:uid="{00000000-0010-0000-0200-000039000000}" name="source_scope"/>
    <tableColumn id="58" xr3:uid="{00000000-0010-0000-0200-00003A000000}" name="event_source_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3000000}" name="FiniteFaultSegments" displayName="FiniteFaultSegments" ref="A1:N27" totalsRowShown="0">
  <tableColumns count="14">
    <tableColumn id="1" xr3:uid="{00000000-0010-0000-0300-000001000000}" name="event_key"/>
    <tableColumn id="2" xr3:uid="{00000000-0010-0000-0300-000002000000}" name="usgs_event_id"/>
    <tableColumn id="3" xr3:uid="{00000000-0010-0000-0300-000003000000}" name="segment"/>
    <tableColumn id="4" xr3:uid="{00000000-0010-0000-0300-000004000000}" name="strike_deg"/>
    <tableColumn id="5" xr3:uid="{00000000-0010-0000-0300-000005000000}" name="dip_deg"/>
    <tableColumn id="6" xr3:uid="{00000000-0010-0000-0300-000006000000}" name="model_length_km"/>
    <tableColumn id="7" xr3:uid="{00000000-0010-0000-0300-000007000000}" name="model_width_km"/>
    <tableColumn id="8" xr3:uid="{00000000-0010-0000-0300-000008000000}" name="model_area_km2"/>
    <tableColumn id="9" xr3:uid="{00000000-0010-0000-0300-000009000000}" name="top_depth_km"/>
    <tableColumn id="10" xr3:uid="{00000000-0010-0000-0300-00000A000000}" name="subfault_count"/>
    <tableColumn id="11" xr3:uid="{00000000-0010-0000-0300-00000B000000}" name="max_slip_m"/>
    <tableColumn id="12" xr3:uid="{00000000-0010-0000-0300-00000C000000}" name="rake_min_deg"/>
    <tableColumn id="13" xr3:uid="{00000000-0010-0000-0300-00000D000000}" name="rake_max_deg"/>
    <tableColumn id="14" xr3:uid="{00000000-0010-0000-0300-00000E000000}" name="fsp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EventMatchAudit" displayName="EventMatchAudit" ref="A1:S76" totalsRowShown="0">
  <tableColumns count="19">
    <tableColumn id="1" xr3:uid="{00000000-0010-0000-0400-000001000000}" name="event_key"/>
    <tableColumn id="2" xr3:uid="{00000000-0010-0000-0400-000002000000}" name="workbook_names"/>
    <tableColumn id="3" xr3:uid="{00000000-0010-0000-0400-000003000000}" name="match_status"/>
    <tableColumn id="4" xr3:uid="{00000000-0010-0000-0400-000004000000}" name="match_basis"/>
    <tableColumn id="5" xr3:uid="{00000000-0010-0000-0400-000005000000}" name="usgs_event_id"/>
    <tableColumn id="6" xr3:uid="{00000000-0010-0000-0400-000006000000}" name="usgs_origin_utc"/>
    <tableColumn id="7" xr3:uid="{00000000-0010-0000-0400-000007000000}" name="usgs_magnitude"/>
    <tableColumn id="8" xr3:uid="{00000000-0010-0000-0400-000008000000}" name="usgs_magnitude_type"/>
    <tableColumn id="9" xr3:uid="{00000000-0010-0000-0400-000009000000}" name="usgs_latitude"/>
    <tableColumn id="10" xr3:uid="{00000000-0010-0000-0400-00000A000000}" name="usgs_longitude"/>
    <tableColumn id="11" xr3:uid="{00000000-0010-0000-0400-00000B000000}" name="usgs_depth_km"/>
    <tableColumn id="12" xr3:uid="{00000000-0010-0000-0400-00000C000000}" name="workbook_hypocenters"/>
    <tableColumn id="13" xr3:uid="{00000000-0010-0000-0400-00000D000000}" name="minimum_epicenter_difference_km"/>
    <tableColumn id="14" xr3:uid="{00000000-0010-0000-0400-00000E000000}" name="nga_date_raw"/>
    <tableColumn id="15" xr3:uid="{00000000-0010-0000-0400-00000F000000}" name="nga_HRMN_raw"/>
    <tableColumn id="16" xr3:uid="{00000000-0010-0000-0400-000010000000}" name="usgs_minus_nga_time_seconds"/>
    <tableColumn id="17" xr3:uid="{00000000-0010-0000-0400-000011000000}" name="usgs_candidates_in_audit_window"/>
    <tableColumn id="18" xr3:uid="{00000000-0010-0000-0400-000012000000}" name="finite_fault_identity_check"/>
    <tableColumn id="19" xr3:uid="{00000000-0010-0000-0400-000013000000}" name="evidence_ur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5000000}" name="PulseRecords" displayName="PulseRecords" ref="A1:CM702" totalsRowShown="0">
  <tableColumns count="91">
    <tableColumn id="1" xr3:uid="{00000000-0010-0000-0500-000001000000}" name="record_id"/>
    <tableColumn id="2" xr3:uid="{00000000-0010-0000-0500-000002000000}" name="source_sheet"/>
    <tableColumn id="3" xr3:uid="{00000000-0010-0000-0500-000003000000}" name="source_row"/>
    <tableColumn id="4" xr3:uid="{00000000-0010-0000-0500-000004000000}" name="event_original"/>
    <tableColumn id="5" xr3:uid="{00000000-0010-0000-0500-000005000000}" name="year"/>
    <tableColumn id="6" xr3:uid="{00000000-0010-0000-0500-000006000000}" name="station_original"/>
    <tableColumn id="7" xr3:uid="{00000000-0010-0000-0500-000007000000}" name="station_key"/>
    <tableColumn id="8" xr3:uid="{00000000-0010-0000-0500-000008000000}" name="latitude_deg"/>
    <tableColumn id="9" xr3:uid="{00000000-0010-0000-0500-000009000000}" name="longitude_deg"/>
    <tableColumn id="10" xr3:uid="{00000000-0010-0000-0500-00000A000000}" name="coord_status"/>
    <tableColumn id="11" xr3:uid="{00000000-0010-0000-0500-00000B000000}" name="coord_source_id"/>
    <tableColumn id="12" xr3:uid="{00000000-0010-0000-0500-00000C000000}" name="coord_source_ref"/>
    <tableColumn id="13" xr3:uid="{00000000-0010-0000-0500-00000D000000}" name="coord_match"/>
    <tableColumn id="14" xr3:uid="{00000000-0010-0000-0500-00000E000000}" name="coord_note"/>
    <tableColumn id="15" xr3:uid="{00000000-0010-0000-0500-00000F000000}" name="processing"/>
    <tableColumn id="16" xr3:uid="{00000000-0010-0000-0500-000010000000}" name="NGA_RSN"/>
    <tableColumn id="17" xr3:uid="{00000000-0010-0000-0500-000011000000}" name="Mw"/>
    <tableColumn id="18" xr3:uid="{00000000-0010-0000-0500-000012000000}" name="Tp_s"/>
    <tableColumn id="19" xr3:uid="{00000000-0010-0000-0500-000013000000}" name="Tf_s"/>
    <tableColumn id="20" xr3:uid="{00000000-0010-0000-0500-000014000000}" name="PGV_cm_s"/>
    <tableColumn id="21" xr3:uid="{00000000-0010-0000-0500-000015000000}" name="closest_distance_km"/>
    <tableColumn id="22" xr3:uid="{00000000-0010-0000-0500-000016000000}" name="Rrup_km"/>
    <tableColumn id="23" xr3:uid="{00000000-0010-0000-0500-000017000000}" name="Rhyp_km"/>
    <tableColumn id="24" xr3:uid="{00000000-0010-0000-0500-000018000000}" name="orientation_north_deg"/>
    <tableColumn id="25" xr3:uid="{00000000-0010-0000-0500-000019000000}" name="orientation_fault_parallel_deg"/>
    <tableColumn id="26" xr3:uid="{00000000-0010-0000-0500-00001A000000}" name="fault_normal_pulse"/>
    <tableColumn id="27" xr3:uid="{00000000-0010-0000-0500-00001B000000}" name="directivity_effect"/>
    <tableColumn id="28" xr3:uid="{00000000-0010-0000-0500-00001C000000}" name="mechanism_original"/>
    <tableColumn id="29" xr3:uid="{00000000-0010-0000-0500-00001D000000}" name="lnTp_original"/>
    <tableColumn id="30" xr3:uid="{00000000-0010-0000-0500-00001E000000}" name="hypo_lat_deg"/>
    <tableColumn id="31" xr3:uid="{00000000-0010-0000-0500-00001F000000}" name="hypo_lon_deg"/>
    <tableColumn id="32" xr3:uid="{00000000-0010-0000-0500-000020000000}" name="hypo_depth_original"/>
    <tableColumn id="33" xr3:uid="{00000000-0010-0000-0500-000021000000}" name="vs30_original"/>
    <tableColumn id="34" xr3:uid="{00000000-0010-0000-0500-000022000000}" name="Ipulse_H"/>
    <tableColumn id="35" xr3:uid="{00000000-0010-0000-0500-000023000000}" name="Tp_H_s"/>
    <tableColumn id="36" xr3:uid="{00000000-0010-0000-0500-000024000000}" name="Ipulse_V"/>
    <tableColumn id="37" xr3:uid="{00000000-0010-0000-0500-000025000000}" name="Tp_V_s"/>
    <tableColumn id="38" xr3:uid="{00000000-0010-0000-0500-000026000000}" name="fling"/>
    <tableColumn id="39" xr3:uid="{00000000-0010-0000-0500-000027000000}" name="PGA_EW_original"/>
    <tableColumn id="40" xr3:uid="{00000000-0010-0000-0500-000028000000}" name="PGA_NS_original"/>
    <tableColumn id="41" xr3:uid="{00000000-0010-0000-0500-000029000000}" name="PGA_V_original"/>
    <tableColumn id="42" xr3:uid="{00000000-0010-0000-0500-00002A000000}" name="PGV_EW_original"/>
    <tableColumn id="43" xr3:uid="{00000000-0010-0000-0500-00002B000000}" name="PGV_NS_original"/>
    <tableColumn id="44" xr3:uid="{00000000-0010-0000-0500-00002C000000}" name="PGV_V_original"/>
    <tableColumn id="45" xr3:uid="{00000000-0010-0000-0500-00002D000000}" name="PGD_EW_original"/>
    <tableColumn id="46" xr3:uid="{00000000-0010-0000-0500-00002E000000}" name="PGD_NS_original"/>
    <tableColumn id="47" xr3:uid="{00000000-0010-0000-0500-00002F000000}" name="PGD_V_original"/>
    <tableColumn id="48" xr3:uid="{00000000-0010-0000-0500-000030000000}" name="RD_EW_original"/>
    <tableColumn id="49" xr3:uid="{00000000-0010-0000-0500-000031000000}" name="RD_NS_original"/>
    <tableColumn id="50" xr3:uid="{00000000-0010-0000-0500-000032000000}" name="RD_V_original"/>
    <tableColumn id="51" xr3:uid="{00000000-0010-0000-0500-000033000000}" name="Rx_original"/>
    <tableColumn id="52" xr3:uid="{00000000-0010-0000-0500-000034000000}" name="t1_original"/>
    <tableColumn id="53" xr3:uid="{00000000-0010-0000-0500-000035000000}" name="Dsite_original"/>
    <tableColumn id="54" xr3:uid="{00000000-0010-0000-0500-000036000000}" name="quality_flag"/>
    <tableColumn id="55" xr3:uid="{00000000-0010-0000-0500-000037000000}" name="Dsite_after_flag"/>
    <tableColumn id="56" xr3:uid="{00000000-0010-0000-0500-000038000000}" name="Tf_after_flag_s"/>
    <tableColumn id="57" xr3:uid="{00000000-0010-0000-0500-000039000000}" name="median_predicted_Dfault"/>
    <tableColumn id="58" xr3:uid="{00000000-0010-0000-0500-00003A000000}" name="normalized_Dsite"/>
    <tableColumn id="59" xr3:uid="{00000000-0010-0000-0500-00003B000000}" name="Tf_within_10km_s"/>
    <tableColumn id="60" xr3:uid="{00000000-0010-0000-0500-00003C000000}" name="dip_original"/>
    <tableColumn id="61" xr3:uid="{00000000-0010-0000-0500-00003D000000}" name="missing_fields_original"/>
    <tableColumn id="62" xr3:uid="{00000000-0010-0000-0500-00003E000000}" name="repeat_group"/>
    <tableColumn id="63" xr3:uid="{00000000-0010-0000-0500-00003F000000}" name="repeat_count"/>
    <tableColumn id="64" xr3:uid="{00000000-0010-0000-0500-000040000000}" name="source_error"/>
    <tableColumn id="65" xr3:uid="{00000000-0010-0000-0500-000041000000}" name="event_key"/>
    <tableColumn id="66" xr3:uid="{00000000-0010-0000-0500-000042000000}" name="origin_date_utc"/>
    <tableColumn id="67" xr3:uid="{00000000-0010-0000-0500-000043000000}" name="origin_time_utc"/>
    <tableColumn id="68" xr3:uid="{00000000-0010-0000-0500-000044000000}" name="catalog_magnitude"/>
    <tableColumn id="69" xr3:uid="{00000000-0010-0000-0500-000045000000}" name="magnitude_type"/>
    <tableColumn id="70" xr3:uid="{00000000-0010-0000-0500-000046000000}" name="hypo_latitude_deg"/>
    <tableColumn id="71" xr3:uid="{00000000-0010-0000-0500-000047000000}" name="hypo_longitude_deg"/>
    <tableColumn id="72" xr3:uid="{00000000-0010-0000-0500-000048000000}" name="hypo_depth_km"/>
    <tableColumn id="73" xr3:uid="{00000000-0010-0000-0500-000049000000}" name="mechanism"/>
    <tableColumn id="74" xr3:uid="{00000000-0010-0000-0500-00004A000000}" name="plane_definition"/>
    <tableColumn id="75" xr3:uid="{00000000-0010-0000-0500-00004B000000}" name="strike1_deg"/>
    <tableColumn id="76" xr3:uid="{00000000-0010-0000-0500-00004C000000}" name="dip1_deg"/>
    <tableColumn id="77" xr3:uid="{00000000-0010-0000-0500-00004D000000}" name="rake1_deg"/>
    <tableColumn id="78" xr3:uid="{00000000-0010-0000-0500-00004E000000}" name="strike2_deg"/>
    <tableColumn id="79" xr3:uid="{00000000-0010-0000-0500-00004F000000}" name="dip2_deg"/>
    <tableColumn id="80" xr3:uid="{00000000-0010-0000-0500-000050000000}" name="rake2_deg"/>
    <tableColumn id="81" xr3:uid="{00000000-0010-0000-0500-000051000000}" name="source_status"/>
    <tableColumn id="82" xr3:uid="{00000000-0010-0000-0500-000052000000}" name="ff_status"/>
    <tableColumn id="83" xr3:uid="{00000000-0010-0000-0500-000053000000}" name="ff_segment_count"/>
    <tableColumn id="84" xr3:uid="{00000000-0010-0000-0500-000054000000}" name="ff_model_Mw"/>
    <tableColumn id="85" xr3:uid="{00000000-0010-0000-0500-000055000000}" name="ff_max_slip_m"/>
    <tableColumn id="86" xr3:uid="{00000000-0010-0000-0500-000056000000}" name="ff_model_area_km2"/>
    <tableColumn id="87" xr3:uid="{00000000-0010-0000-0500-000057000000}" name="ff_url"/>
    <tableColumn id="88" xr3:uid="{00000000-0010-0000-0500-000058000000}" name="source_url"/>
    <tableColumn id="89" xr3:uid="{00000000-0010-0000-0500-000059000000}" name="active_sheet"/>
    <tableColumn id="90" xr3:uid="{00000000-0010-0000-0500-00005A000000}" name="active_row"/>
    <tableColumn id="91" xr3:uid="{00000000-0010-0000-0500-00005B000000}" name="event_source_ke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YenTurkeyMerged" displayName="YenTurkeyMerged" ref="A1:AK119" totalsRowShown="0">
  <tableColumns count="37">
    <tableColumn id="1" xr3:uid="{00000000-0010-0000-0600-000001000000}" name="Earthquake Name"/>
    <tableColumn id="2" xr3:uid="{00000000-0010-0000-0600-000002000000}" name="Year"/>
    <tableColumn id="3" xr3:uid="{00000000-0010-0000-0600-000003000000}" name="Station Name"/>
    <tableColumn id="4" xr3:uid="{00000000-0010-0000-0600-000004000000}" name="Magnitude"/>
    <tableColumn id="5" xr3:uid="{00000000-0010-0000-0600-000005000000}" name="R_rup (km)"/>
    <tableColumn id="6" xr3:uid="{00000000-0010-0000-0600-000006000000}" name="R_hypo (km)"/>
    <tableColumn id="7" xr3:uid="{00000000-0010-0000-0600-000007000000}" name="Tp (s)"/>
    <tableColumn id="8" xr3:uid="{00000000-0010-0000-0600-000008000000}" name="PGV (cm/s)"/>
    <tableColumn id="9" xr3:uid="{00000000-0010-0000-0600-000009000000}" name="Orientation (w.r.t. North)"/>
    <tableColumn id="10" xr3:uid="{00000000-0010-0000-0600-00000A000000}" name="Orientation (w.r.t. Fault Parallel)"/>
    <tableColumn id="11" xr3:uid="{00000000-0010-0000-0600-00000B000000}" name="source_sheet"/>
    <tableColumn id="12" xr3:uid="{00000000-0010-0000-0600-00000C000000}" name="source_row"/>
    <tableColumn id="13" xr3:uid="{00000000-0010-0000-0600-00000D000000}" name="event_key"/>
    <tableColumn id="14" xr3:uid="{00000000-0010-0000-0600-00000E000000}" name="origin_date_utc"/>
    <tableColumn id="15" xr3:uid="{00000000-0010-0000-0600-00000F000000}" name="origin_time_utc"/>
    <tableColumn id="16" xr3:uid="{00000000-0010-0000-0600-000010000000}" name="catalog_magnitude"/>
    <tableColumn id="17" xr3:uid="{00000000-0010-0000-0600-000011000000}" name="magnitude_type"/>
    <tableColumn id="18" xr3:uid="{00000000-0010-0000-0600-000012000000}" name="hypo_latitude_deg"/>
    <tableColumn id="19" xr3:uid="{00000000-0010-0000-0600-000013000000}" name="hypo_longitude_deg"/>
    <tableColumn id="20" xr3:uid="{00000000-0010-0000-0600-000014000000}" name="hypo_depth_km"/>
    <tableColumn id="21" xr3:uid="{00000000-0010-0000-0600-000015000000}" name="mechanism"/>
    <tableColumn id="22" xr3:uid="{00000000-0010-0000-0600-000016000000}" name="plane_definition"/>
    <tableColumn id="23" xr3:uid="{00000000-0010-0000-0600-000017000000}" name="strike1_deg"/>
    <tableColumn id="24" xr3:uid="{00000000-0010-0000-0600-000018000000}" name="dip1_deg"/>
    <tableColumn id="25" xr3:uid="{00000000-0010-0000-0600-000019000000}" name="rake1_deg"/>
    <tableColumn id="26" xr3:uid="{00000000-0010-0000-0600-00001A000000}" name="strike2_deg"/>
    <tableColumn id="27" xr3:uid="{00000000-0010-0000-0600-00001B000000}" name="dip2_deg"/>
    <tableColumn id="28" xr3:uid="{00000000-0010-0000-0600-00001C000000}" name="rake2_deg"/>
    <tableColumn id="29" xr3:uid="{00000000-0010-0000-0600-00001D000000}" name="source_status"/>
    <tableColumn id="30" xr3:uid="{00000000-0010-0000-0600-00001E000000}" name="ff_status"/>
    <tableColumn id="31" xr3:uid="{00000000-0010-0000-0600-00001F000000}" name="ff_segment_count"/>
    <tableColumn id="32" xr3:uid="{00000000-0010-0000-0600-000020000000}" name="ff_model_Mw"/>
    <tableColumn id="33" xr3:uid="{00000000-0010-0000-0600-000021000000}" name="ff_max_slip_m"/>
    <tableColumn id="34" xr3:uid="{00000000-0010-0000-0600-000022000000}" name="ff_model_area_km2"/>
    <tableColumn id="35" xr3:uid="{00000000-0010-0000-0600-000023000000}" name="ff_url"/>
    <tableColumn id="36" xr3:uid="{00000000-0010-0000-0600-000024000000}" name="source_url"/>
    <tableColumn id="37" xr3:uid="{00000000-0010-0000-0600-000025000000}" name="event_source_ke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7000000}" name="DistanceConsistency" displayName="DistanceConsistency" ref="A1:AG702" totalsRowShown="0">
  <tableColumns count="33">
    <tableColumn id="1" xr3:uid="{00000000-0010-0000-0700-000001000000}" name="active_sheet"/>
    <tableColumn id="2" xr3:uid="{00000000-0010-0000-0700-000002000000}" name="active_row"/>
    <tableColumn id="3" xr3:uid="{00000000-0010-0000-0700-000003000000}" name="record_id"/>
    <tableColumn id="4" xr3:uid="{00000000-0010-0000-0700-000004000000}" name="event_key"/>
    <tableColumn id="5" xr3:uid="{00000000-0010-0000-0700-000005000000}" name="event"/>
    <tableColumn id="6" xr3:uid="{00000000-0010-0000-0700-000006000000}" name="station"/>
    <tableColumn id="7" xr3:uid="{00000000-0010-0000-0700-000007000000}" name="station_lat"/>
    <tableColumn id="8" xr3:uid="{00000000-0010-0000-0700-000008000000}" name="station_lon"/>
    <tableColumn id="9" xr3:uid="{00000000-0010-0000-0700-000009000000}" name="selected_hypo_lat"/>
    <tableColumn id="10" xr3:uid="{00000000-0010-0000-0700-00000A000000}" name="selected_hypo_lon"/>
    <tableColumn id="11" xr3:uid="{00000000-0010-0000-0700-00000B000000}" name="selected_depth_km"/>
    <tableColumn id="12" xr3:uid="{00000000-0010-0000-0700-00000C000000}" name="evaluated_Rhyp_km"/>
    <tableColumn id="13" xr3:uid="{00000000-0010-0000-0700-00000D000000}" name="calculated_Repi_km"/>
    <tableColumn id="14" xr3:uid="{00000000-0010-0000-0700-00000E000000}" name="calculated_Rhyp_km"/>
    <tableColumn id="15" xr3:uid="{00000000-0010-0000-0700-00000F000000}" name="Rhyp_difference_km"/>
    <tableColumn id="16" xr3:uid="{00000000-0010-0000-0700-000010000000}" name="Rhyp_difference_percent"/>
    <tableColumn id="17" xr3:uid="{00000000-0010-0000-0700-000011000000}" name="screen_tolerance_km"/>
    <tableColumn id="18" xr3:uid="{00000000-0010-0000-0700-000012000000}" name="Rhyp_check"/>
    <tableColumn id="19" xr3:uid="{00000000-0010-0000-0700-000013000000}" name="depth_bound_check"/>
    <tableColumn id="20" xr3:uid="{00000000-0010-0000-0700-000014000000}" name="original_surface_distance_km"/>
    <tableColumn id="21" xr3:uid="{00000000-0010-0000-0700-000015000000}" name="surface_distance_type"/>
    <tableColumn id="22" xr3:uid="{00000000-0010-0000-0700-000016000000}" name="surface_distance_check"/>
    <tableColumn id="23" xr3:uid="{00000000-0010-0000-0700-000017000000}" name="original_hypo_lat"/>
    <tableColumn id="24" xr3:uid="{00000000-0010-0000-0700-000018000000}" name="original_hypo_lon"/>
    <tableColumn id="25" xr3:uid="{00000000-0010-0000-0700-000019000000}" name="original_hypo_depth_km"/>
    <tableColumn id="26" xr3:uid="{00000000-0010-0000-0700-00001A000000}" name="Rhyp_using_original_hypo_km"/>
    <tableColumn id="27" xr3:uid="{00000000-0010-0000-0700-00001B000000}" name="selected_source"/>
    <tableColumn id="28" xr3:uid="{00000000-0010-0000-0700-00001C000000}" name="notes"/>
    <tableColumn id="29" xr3:uid="{00000000-0010-0000-0700-00001D000000}" name="model_Rrup_km"/>
    <tableColumn id="30" xr3:uid="{00000000-0010-0000-0700-00001E000000}" name="original_minus_model_Rrup_km"/>
    <tableColumn id="31" xr3:uid="{00000000-0010-0000-0700-00001F000000}" name="nearest_model_segment"/>
    <tableColumn id="32" xr3:uid="{00000000-0010-0000-0700-000020000000}" name="Rrup_model_source"/>
    <tableColumn id="33" xr3:uid="{00000000-0010-0000-0700-000021000000}" name="superseded_Rhyp_k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3F60"/>
  </sheetPr>
  <dimension ref="A1:G103"/>
  <sheetViews>
    <sheetView showGridLines="0" tabSelected="1" workbookViewId="0"/>
  </sheetViews>
  <sheetFormatPr baseColWidth="10" defaultColWidth="8.83203125" defaultRowHeight="14"/>
  <cols>
    <col min="1" max="1" width="32" customWidth="1"/>
    <col min="2" max="7" width="18" customWidth="1"/>
  </cols>
  <sheetData>
    <row r="1" spans="1:7" ht="19" customHeight="1">
      <c r="A1" s="1"/>
      <c r="B1" s="1"/>
      <c r="C1" s="1"/>
      <c r="D1" s="1"/>
      <c r="E1" s="1"/>
      <c r="F1" s="1"/>
      <c r="G1" s="1"/>
    </row>
    <row r="2" spans="1:7" ht="19" customHeight="1">
      <c r="A2" s="7" t="s">
        <v>0</v>
      </c>
      <c r="B2" s="1"/>
      <c r="C2" s="1"/>
      <c r="D2" s="1"/>
      <c r="E2" s="1"/>
      <c r="F2" s="1"/>
      <c r="G2" s="1"/>
    </row>
    <row r="3" spans="1:7" ht="19" customHeight="1">
      <c r="A3" s="1"/>
      <c r="B3" s="1"/>
      <c r="C3" s="1"/>
      <c r="D3" s="1"/>
      <c r="E3" s="1"/>
      <c r="F3" s="1"/>
      <c r="G3" s="1"/>
    </row>
    <row r="4" spans="1:7" ht="30" customHeight="1">
      <c r="A4" s="2" t="s">
        <v>1261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ht="19" customHeight="1">
      <c r="A5" s="1" t="s">
        <v>1262</v>
      </c>
      <c r="B5" s="1">
        <f>COUNTIF(Pulse_records!$CK$2:$CK$702,A5)</f>
        <v>243</v>
      </c>
      <c r="C5" s="1">
        <f>COUNTIFS(Pulse_records!$CK$2:$CK$702,A5,Pulse_records!$J$2:$J$702,"original")</f>
        <v>0</v>
      </c>
      <c r="D5" s="1">
        <f>COUNTIFS(Pulse_records!$CK$2:$CK$702,A5,Pulse_records!$J$2:$J$702,"matched")</f>
        <v>241</v>
      </c>
      <c r="E5" s="1">
        <f>COUNTIFS(Pulse_records!$CK$2:$CK$702,A5,Pulse_records!$J$2:$J$702,"ambiguous")</f>
        <v>0</v>
      </c>
      <c r="F5" s="1">
        <f>COUNTIFS(Pulse_records!$CK$2:$CK$702,A5,Pulse_records!$J$2:$J$702,"unresolved")</f>
        <v>2</v>
      </c>
      <c r="G5" s="8">
        <f t="shared" ref="G5:G10" si="0">(C5+D5)/B5</f>
        <v>0.99176954732510292</v>
      </c>
    </row>
    <row r="6" spans="1:7" ht="19" customHeight="1">
      <c r="A6" s="1" t="s">
        <v>1263</v>
      </c>
      <c r="B6" s="1">
        <f>COUNTIF(Pulse_records!$CK$2:$CK$702,A6)</f>
        <v>340</v>
      </c>
      <c r="C6" s="1">
        <f>COUNTIFS(Pulse_records!$CK$2:$CK$702,A6,Pulse_records!$J$2:$J$702,"original")</f>
        <v>340</v>
      </c>
      <c r="D6" s="1">
        <f>COUNTIFS(Pulse_records!$CK$2:$CK$702,A6,Pulse_records!$J$2:$J$702,"matched")</f>
        <v>0</v>
      </c>
      <c r="E6" s="1">
        <f>COUNTIFS(Pulse_records!$CK$2:$CK$702,A6,Pulse_records!$J$2:$J$702,"ambiguous")</f>
        <v>0</v>
      </c>
      <c r="F6" s="1">
        <f>COUNTIFS(Pulse_records!$CK$2:$CK$702,A6,Pulse_records!$J$2:$J$702,"unresolved")</f>
        <v>0</v>
      </c>
      <c r="G6" s="8">
        <f t="shared" si="0"/>
        <v>1</v>
      </c>
    </row>
    <row r="7" spans="1:7" ht="19" customHeight="1">
      <c r="A7" s="1" t="s">
        <v>1264</v>
      </c>
      <c r="B7" s="1">
        <f>COUNTIF(Pulse_records!$CK$2:$CK$702,A7)</f>
        <v>118</v>
      </c>
      <c r="C7" s="1">
        <f>COUNTIFS(Pulse_records!$CK$2:$CK$702,A7,Pulse_records!$J$2:$J$702,"original")</f>
        <v>0</v>
      </c>
      <c r="D7" s="1">
        <f>COUNTIFS(Pulse_records!$CK$2:$CK$702,A7,Pulse_records!$J$2:$J$702,"matched")</f>
        <v>118</v>
      </c>
      <c r="E7" s="1">
        <f>COUNTIFS(Pulse_records!$CK$2:$CK$702,A7,Pulse_records!$J$2:$J$702,"ambiguous")</f>
        <v>0</v>
      </c>
      <c r="F7" s="1">
        <f>COUNTIFS(Pulse_records!$CK$2:$CK$702,A7,Pulse_records!$J$2:$J$702,"unresolved")</f>
        <v>0</v>
      </c>
      <c r="G7" s="8">
        <f t="shared" si="0"/>
        <v>1</v>
      </c>
    </row>
    <row r="8" spans="1:7" ht="19" customHeight="1">
      <c r="A8" s="1"/>
      <c r="B8" s="1"/>
      <c r="C8" s="1"/>
      <c r="D8" s="1"/>
      <c r="E8" s="1"/>
      <c r="F8" s="1"/>
      <c r="G8" s="8" t="e">
        <f t="shared" si="0"/>
        <v>#DIV/0!</v>
      </c>
    </row>
    <row r="9" spans="1:7" ht="19" customHeight="1">
      <c r="A9" s="1"/>
      <c r="B9" s="1"/>
      <c r="C9" s="1"/>
      <c r="D9" s="1"/>
      <c r="E9" s="1"/>
      <c r="F9" s="1"/>
      <c r="G9" s="8" t="e">
        <f t="shared" si="0"/>
        <v>#DIV/0!</v>
      </c>
    </row>
    <row r="10" spans="1:7" ht="19" customHeight="1">
      <c r="A10" s="9" t="s">
        <v>7</v>
      </c>
      <c r="B10" s="9">
        <f>SUM(B5:B7)</f>
        <v>701</v>
      </c>
      <c r="C10" s="9">
        <f>SUM(C5:C7)</f>
        <v>340</v>
      </c>
      <c r="D10" s="9">
        <f>SUM(D5:D7)</f>
        <v>359</v>
      </c>
      <c r="E10" s="9">
        <f>SUM(E5:E7)</f>
        <v>0</v>
      </c>
      <c r="F10" s="9">
        <f>SUM(F5:F7)</f>
        <v>2</v>
      </c>
      <c r="G10" s="10">
        <f t="shared" si="0"/>
        <v>0.99714693295292445</v>
      </c>
    </row>
    <row r="11" spans="1:7" ht="19" customHeight="1">
      <c r="A11" s="1"/>
      <c r="B11" s="1"/>
      <c r="C11" s="1"/>
      <c r="D11" s="1"/>
      <c r="E11" s="1"/>
      <c r="F11" s="1"/>
      <c r="G11" s="1"/>
    </row>
    <row r="12" spans="1:7" ht="19" customHeight="1">
      <c r="A12" s="1"/>
      <c r="B12" s="1"/>
      <c r="C12" s="1"/>
      <c r="D12" s="1"/>
      <c r="E12" s="1"/>
      <c r="F12" s="1"/>
      <c r="G12" s="1"/>
    </row>
    <row r="13" spans="1:7" ht="27" customHeight="1">
      <c r="A13" s="47" t="s">
        <v>1265</v>
      </c>
      <c r="B13" s="45"/>
      <c r="C13" s="45"/>
      <c r="D13" s="45"/>
      <c r="E13" s="45"/>
      <c r="F13" s="45"/>
      <c r="G13" s="45"/>
    </row>
    <row r="14" spans="1:7" ht="27" customHeight="1">
      <c r="A14" s="47" t="s">
        <v>8</v>
      </c>
      <c r="B14" s="45"/>
      <c r="C14" s="45"/>
      <c r="D14" s="45"/>
      <c r="E14" s="45"/>
      <c r="F14" s="45"/>
      <c r="G14" s="45"/>
    </row>
    <row r="15" spans="1:7" ht="27" customHeight="1">
      <c r="A15" s="47" t="s">
        <v>9</v>
      </c>
      <c r="B15" s="45"/>
      <c r="C15" s="45"/>
      <c r="D15" s="45"/>
      <c r="E15" s="45"/>
      <c r="F15" s="45"/>
      <c r="G15" s="45"/>
    </row>
    <row r="16" spans="1:7" ht="27" customHeight="1">
      <c r="A16" s="47" t="s">
        <v>1266</v>
      </c>
      <c r="B16" s="45"/>
      <c r="C16" s="45"/>
      <c r="D16" s="45"/>
      <c r="E16" s="45"/>
      <c r="F16" s="45"/>
      <c r="G16" s="45"/>
    </row>
    <row r="17" spans="1:7" ht="27" customHeight="1">
      <c r="A17" s="47" t="s">
        <v>10</v>
      </c>
      <c r="B17" s="45"/>
      <c r="C17" s="45"/>
      <c r="D17" s="45"/>
      <c r="E17" s="45"/>
      <c r="F17" s="45"/>
      <c r="G17" s="45"/>
    </row>
    <row r="18" spans="1:7" ht="27" customHeight="1">
      <c r="A18" s="47" t="s">
        <v>1267</v>
      </c>
      <c r="B18" s="45"/>
      <c r="C18" s="45"/>
      <c r="D18" s="45"/>
      <c r="E18" s="45"/>
      <c r="F18" s="45"/>
      <c r="G18" s="45"/>
    </row>
    <row r="19" spans="1:7" ht="27" customHeight="1">
      <c r="A19" s="47" t="s">
        <v>1268</v>
      </c>
      <c r="B19" s="45"/>
      <c r="C19" s="45"/>
      <c r="D19" s="45"/>
      <c r="E19" s="45"/>
      <c r="F19" s="45"/>
      <c r="G19" s="45"/>
    </row>
    <row r="20" spans="1:7" ht="19" customHeight="1">
      <c r="A20" s="1"/>
      <c r="B20" s="1"/>
      <c r="C20" s="1"/>
      <c r="D20" s="1"/>
      <c r="E20" s="1"/>
      <c r="F20" s="1"/>
      <c r="G20" s="1"/>
    </row>
    <row r="21" spans="1:7" ht="19" customHeight="1">
      <c r="A21" s="1"/>
      <c r="B21" s="1"/>
      <c r="C21" s="1"/>
      <c r="D21" s="1"/>
      <c r="E21" s="1"/>
      <c r="F21" s="1"/>
      <c r="G21" s="1"/>
    </row>
    <row r="22" spans="1:7" ht="19" customHeight="1">
      <c r="A22" s="1"/>
      <c r="B22" s="1"/>
      <c r="C22" s="1"/>
      <c r="D22" s="1"/>
      <c r="E22" s="1"/>
      <c r="F22" s="1"/>
      <c r="G22" s="1"/>
    </row>
    <row r="23" spans="1:7" ht="19" customHeight="1">
      <c r="A23" s="1"/>
      <c r="B23" s="1"/>
      <c r="C23" s="1"/>
      <c r="D23" s="1"/>
      <c r="E23" s="1"/>
      <c r="F23" s="1"/>
      <c r="G23" s="1"/>
    </row>
    <row r="24" spans="1:7" ht="19" customHeight="1">
      <c r="A24" s="1"/>
      <c r="B24" s="1"/>
      <c r="C24" s="1"/>
      <c r="D24" s="1"/>
      <c r="E24" s="1"/>
      <c r="F24" s="1"/>
      <c r="G24" s="1"/>
    </row>
    <row r="25" spans="1:7" ht="19" customHeight="1">
      <c r="A25" s="1"/>
      <c r="B25" s="1"/>
      <c r="C25" s="1"/>
      <c r="D25" s="1"/>
      <c r="E25" s="1"/>
      <c r="F25" s="1"/>
      <c r="G25" s="1"/>
    </row>
    <row r="26" spans="1:7" ht="19" customHeight="1">
      <c r="A26" s="1"/>
      <c r="B26" s="1"/>
      <c r="C26" s="1"/>
      <c r="D26" s="1"/>
      <c r="E26" s="1"/>
      <c r="F26" s="1"/>
      <c r="G26" s="1"/>
    </row>
    <row r="27" spans="1:7" ht="19" customHeight="1">
      <c r="A27" s="1"/>
      <c r="B27" s="1"/>
      <c r="C27" s="1"/>
      <c r="D27" s="1"/>
      <c r="E27" s="1"/>
      <c r="F27" s="1"/>
      <c r="G27" s="1"/>
    </row>
    <row r="28" spans="1:7" ht="19" customHeight="1">
      <c r="A28" s="1"/>
      <c r="B28" s="1"/>
      <c r="C28" s="1"/>
      <c r="D28" s="1"/>
      <c r="E28" s="1"/>
      <c r="F28" s="1"/>
      <c r="G28" s="1"/>
    </row>
    <row r="32" spans="1:7" ht="48" customHeight="1">
      <c r="A32" s="15" t="s">
        <v>11</v>
      </c>
      <c r="B32" s="44" t="s">
        <v>12</v>
      </c>
      <c r="C32" s="45"/>
      <c r="D32" s="45"/>
      <c r="E32" s="45"/>
      <c r="F32" s="45"/>
      <c r="G32" s="45"/>
    </row>
    <row r="33" spans="1:7" ht="48" customHeight="1">
      <c r="A33" s="15" t="s">
        <v>13</v>
      </c>
      <c r="B33" s="44" t="s">
        <v>1269</v>
      </c>
      <c r="C33" s="45"/>
      <c r="D33" s="45"/>
      <c r="E33" s="45"/>
      <c r="F33" s="45"/>
      <c r="G33" s="45"/>
    </row>
    <row r="34" spans="1:7" ht="48" customHeight="1">
      <c r="A34" s="15" t="s">
        <v>14</v>
      </c>
      <c r="B34" s="44" t="s">
        <v>1270</v>
      </c>
      <c r="C34" s="45"/>
      <c r="D34" s="45"/>
      <c r="E34" s="45"/>
      <c r="F34" s="45"/>
      <c r="G34" s="45"/>
    </row>
    <row r="35" spans="1:7" ht="48" customHeight="1">
      <c r="A35" s="15" t="s">
        <v>15</v>
      </c>
      <c r="B35" s="44" t="s">
        <v>16</v>
      </c>
      <c r="C35" s="45"/>
      <c r="D35" s="45"/>
      <c r="E35" s="45"/>
      <c r="F35" s="45"/>
      <c r="G35" s="45"/>
    </row>
    <row r="36" spans="1:7" ht="48" customHeight="1">
      <c r="A36" s="15" t="s">
        <v>17</v>
      </c>
      <c r="B36" s="44" t="s">
        <v>18</v>
      </c>
      <c r="C36" s="45"/>
      <c r="D36" s="45"/>
      <c r="E36" s="45"/>
      <c r="F36" s="45"/>
      <c r="G36" s="45"/>
    </row>
    <row r="37" spans="1:7" ht="48" customHeight="1">
      <c r="A37" s="15" t="s">
        <v>19</v>
      </c>
      <c r="B37" s="44" t="s">
        <v>20</v>
      </c>
      <c r="C37" s="45"/>
      <c r="D37" s="45"/>
      <c r="E37" s="45"/>
      <c r="F37" s="45"/>
      <c r="G37" s="45"/>
    </row>
    <row r="38" spans="1:7" ht="48" customHeight="1">
      <c r="A38" s="15" t="s">
        <v>21</v>
      </c>
      <c r="B38" s="44" t="s">
        <v>1271</v>
      </c>
      <c r="C38" s="45"/>
      <c r="D38" s="45"/>
      <c r="E38" s="45"/>
      <c r="F38" s="45"/>
      <c r="G38" s="45"/>
    </row>
    <row r="39" spans="1:7" ht="48" customHeight="1">
      <c r="A39" s="15" t="s">
        <v>22</v>
      </c>
      <c r="B39" s="44" t="s">
        <v>23</v>
      </c>
      <c r="C39" s="45"/>
      <c r="D39" s="45"/>
      <c r="E39" s="45"/>
      <c r="F39" s="45"/>
      <c r="G39" s="45"/>
    </row>
    <row r="40" spans="1:7" ht="48" customHeight="1">
      <c r="A40" s="15" t="s">
        <v>24</v>
      </c>
      <c r="B40" s="44" t="s">
        <v>25</v>
      </c>
      <c r="C40" s="45"/>
      <c r="D40" s="45"/>
      <c r="E40" s="45"/>
      <c r="F40" s="45"/>
      <c r="G40" s="45"/>
    </row>
    <row r="41" spans="1:7" ht="48" customHeight="1">
      <c r="A41" s="15" t="s">
        <v>26</v>
      </c>
      <c r="B41" s="44" t="s">
        <v>27</v>
      </c>
      <c r="C41" s="45"/>
      <c r="D41" s="45"/>
      <c r="E41" s="45"/>
      <c r="F41" s="45"/>
      <c r="G41" s="45"/>
    </row>
    <row r="42" spans="1:7" ht="48" customHeight="1">
      <c r="A42" s="15" t="s">
        <v>28</v>
      </c>
      <c r="B42" s="44" t="s">
        <v>1272</v>
      </c>
      <c r="C42" s="45"/>
      <c r="D42" s="45"/>
      <c r="E42" s="45"/>
      <c r="F42" s="45"/>
      <c r="G42" s="45"/>
    </row>
    <row r="43" spans="1:7" ht="48" customHeight="1">
      <c r="A43" s="15" t="s">
        <v>29</v>
      </c>
      <c r="B43" s="44" t="s">
        <v>1273</v>
      </c>
      <c r="C43" s="45"/>
      <c r="D43" s="45"/>
      <c r="E43" s="45"/>
      <c r="F43" s="45"/>
      <c r="G43" s="45"/>
    </row>
    <row r="45" spans="1:7" ht="56" customHeight="1">
      <c r="A45" s="15" t="s">
        <v>30</v>
      </c>
      <c r="B45" s="46" t="s">
        <v>31</v>
      </c>
      <c r="C45" s="46"/>
      <c r="D45" s="46"/>
      <c r="E45" s="46"/>
      <c r="F45" s="46"/>
      <c r="G45" s="46"/>
    </row>
    <row r="46" spans="1:7" ht="56" customHeight="1">
      <c r="A46" s="15" t="s">
        <v>1274</v>
      </c>
      <c r="B46" s="46" t="s">
        <v>1275</v>
      </c>
      <c r="C46" s="46"/>
      <c r="D46" s="46"/>
      <c r="E46" s="46"/>
      <c r="F46" s="46"/>
      <c r="G46" s="46"/>
    </row>
    <row r="47" spans="1:7" ht="56" customHeight="1">
      <c r="A47" s="15" t="s">
        <v>32</v>
      </c>
      <c r="B47" s="46" t="s">
        <v>33</v>
      </c>
      <c r="C47" s="46"/>
      <c r="D47" s="46"/>
      <c r="E47" s="46"/>
      <c r="F47" s="46"/>
      <c r="G47" s="46"/>
    </row>
    <row r="50" spans="1:7" ht="32" customHeight="1">
      <c r="A50" s="42" t="s">
        <v>34</v>
      </c>
      <c r="B50" s="42"/>
      <c r="C50" s="42"/>
      <c r="D50" s="42"/>
      <c r="E50" s="42"/>
      <c r="F50" s="42"/>
      <c r="G50" s="42"/>
    </row>
    <row r="51" spans="1:7" ht="28" customHeight="1">
      <c r="A51" s="23" t="s">
        <v>35</v>
      </c>
      <c r="B51" s="43" t="s">
        <v>36</v>
      </c>
      <c r="C51" s="43"/>
      <c r="D51" s="43" t="s">
        <v>37</v>
      </c>
      <c r="E51" s="43"/>
      <c r="F51" s="43"/>
      <c r="G51" s="43"/>
    </row>
    <row r="52" spans="1:7" ht="92" customHeight="1">
      <c r="A52" s="25" t="s">
        <v>1276</v>
      </c>
      <c r="B52" s="40" t="s">
        <v>1277</v>
      </c>
      <c r="C52" s="40"/>
      <c r="D52" s="40" t="s">
        <v>1278</v>
      </c>
      <c r="E52" s="40"/>
      <c r="F52" s="40"/>
      <c r="G52" s="40"/>
    </row>
    <row r="53" spans="1:7" ht="92" customHeight="1">
      <c r="A53" s="25" t="s">
        <v>38</v>
      </c>
      <c r="B53" s="41" t="s">
        <v>1279</v>
      </c>
      <c r="C53" s="41"/>
      <c r="D53" s="41" t="s">
        <v>1280</v>
      </c>
      <c r="E53" s="41"/>
      <c r="F53" s="41"/>
      <c r="G53" s="41"/>
    </row>
    <row r="54" spans="1:7" ht="92" customHeight="1">
      <c r="A54" s="25" t="s">
        <v>1281</v>
      </c>
      <c r="B54" s="40" t="s">
        <v>1282</v>
      </c>
      <c r="C54" s="40"/>
      <c r="D54" s="40" t="s">
        <v>1283</v>
      </c>
      <c r="E54" s="40"/>
      <c r="F54" s="40"/>
      <c r="G54" s="40"/>
    </row>
    <row r="55" spans="1:7" ht="92" customHeight="1">
      <c r="A55" s="25" t="s">
        <v>1284</v>
      </c>
      <c r="B55" s="41" t="s">
        <v>1285</v>
      </c>
      <c r="C55" s="41"/>
      <c r="D55" s="41" t="s">
        <v>1286</v>
      </c>
      <c r="E55" s="41"/>
      <c r="F55" s="41"/>
      <c r="G55" s="41"/>
    </row>
    <row r="56" spans="1:7" ht="92" customHeight="1">
      <c r="A56" s="24" t="s">
        <v>39</v>
      </c>
      <c r="B56" s="40" t="s">
        <v>1287</v>
      </c>
      <c r="C56" s="40"/>
      <c r="D56" s="40" t="s">
        <v>1288</v>
      </c>
      <c r="E56" s="40"/>
      <c r="F56" s="40"/>
      <c r="G56" s="40"/>
    </row>
    <row r="57" spans="1:7" ht="92" customHeight="1">
      <c r="A57" s="26" t="s">
        <v>39</v>
      </c>
      <c r="B57" s="41" t="s">
        <v>40</v>
      </c>
      <c r="C57" s="41"/>
      <c r="D57" s="41" t="s">
        <v>41</v>
      </c>
      <c r="E57" s="41"/>
      <c r="F57" s="41"/>
      <c r="G57" s="41"/>
    </row>
    <row r="58" spans="1:7" ht="92" customHeight="1">
      <c r="A58" s="24" t="s">
        <v>39</v>
      </c>
      <c r="B58" s="40" t="s">
        <v>42</v>
      </c>
      <c r="C58" s="40"/>
      <c r="D58" s="40" t="s">
        <v>43</v>
      </c>
      <c r="E58" s="40"/>
      <c r="F58" s="40"/>
      <c r="G58" s="40"/>
    </row>
    <row r="59" spans="1:7" ht="92" customHeight="1">
      <c r="A59" s="26" t="s">
        <v>39</v>
      </c>
      <c r="B59" s="41" t="s">
        <v>44</v>
      </c>
      <c r="C59" s="41"/>
      <c r="D59" s="41" t="s">
        <v>45</v>
      </c>
      <c r="E59" s="41"/>
      <c r="F59" s="41"/>
      <c r="G59" s="41"/>
    </row>
    <row r="60" spans="1:7" ht="92" customHeight="1">
      <c r="A60" s="24" t="s">
        <v>39</v>
      </c>
      <c r="B60" s="40" t="s">
        <v>46</v>
      </c>
      <c r="C60" s="40"/>
      <c r="D60" s="40" t="s">
        <v>47</v>
      </c>
      <c r="E60" s="40"/>
      <c r="F60" s="40"/>
      <c r="G60" s="40"/>
    </row>
    <row r="61" spans="1:7" ht="92" customHeight="1">
      <c r="A61" s="26" t="s">
        <v>39</v>
      </c>
      <c r="B61" s="41" t="s">
        <v>48</v>
      </c>
      <c r="C61" s="41"/>
      <c r="D61" s="41" t="s">
        <v>49</v>
      </c>
      <c r="E61" s="41"/>
      <c r="F61" s="41"/>
      <c r="G61" s="41"/>
    </row>
    <row r="62" spans="1:7" ht="92" customHeight="1">
      <c r="A62" s="24" t="s">
        <v>50</v>
      </c>
      <c r="B62" s="40" t="s">
        <v>51</v>
      </c>
      <c r="C62" s="40"/>
      <c r="D62" s="40" t="s">
        <v>52</v>
      </c>
      <c r="E62" s="40"/>
      <c r="F62" s="40"/>
      <c r="G62" s="40"/>
    </row>
    <row r="63" spans="1:7" ht="92" customHeight="1">
      <c r="A63" s="26" t="s">
        <v>1289</v>
      </c>
      <c r="B63" s="41" t="s">
        <v>1290</v>
      </c>
      <c r="C63" s="41"/>
      <c r="D63" s="41" t="s">
        <v>1291</v>
      </c>
      <c r="E63" s="41"/>
      <c r="F63" s="41"/>
      <c r="G63" s="41"/>
    </row>
    <row r="64" spans="1:7" ht="92" customHeight="1">
      <c r="A64" s="24" t="s">
        <v>53</v>
      </c>
      <c r="B64" s="40" t="s">
        <v>54</v>
      </c>
      <c r="C64" s="40"/>
      <c r="D64" s="40" t="s">
        <v>1292</v>
      </c>
      <c r="E64" s="40"/>
      <c r="F64" s="40"/>
      <c r="G64" s="40"/>
    </row>
    <row r="65" spans="1:7" ht="92" customHeight="1">
      <c r="A65" s="26" t="s">
        <v>55</v>
      </c>
      <c r="B65" s="41" t="s">
        <v>56</v>
      </c>
      <c r="C65" s="41"/>
      <c r="D65" s="41" t="s">
        <v>57</v>
      </c>
      <c r="E65" s="41"/>
      <c r="F65" s="41"/>
      <c r="G65" s="41"/>
    </row>
    <row r="66" spans="1:7" ht="92" customHeight="1">
      <c r="A66" s="24" t="s">
        <v>58</v>
      </c>
      <c r="B66" s="40" t="s">
        <v>59</v>
      </c>
      <c r="C66" s="40"/>
      <c r="D66" s="40" t="s">
        <v>1293</v>
      </c>
      <c r="E66" s="40"/>
      <c r="F66" s="40"/>
      <c r="G66" s="40"/>
    </row>
    <row r="67" spans="1:7" ht="92" customHeight="1">
      <c r="A67" s="26" t="s">
        <v>58</v>
      </c>
      <c r="B67" s="41" t="s">
        <v>60</v>
      </c>
      <c r="C67" s="41"/>
      <c r="D67" s="41" t="s">
        <v>1294</v>
      </c>
      <c r="E67" s="41"/>
      <c r="F67" s="41"/>
      <c r="G67" s="41"/>
    </row>
    <row r="68" spans="1:7" ht="92" customHeight="1">
      <c r="A68" s="24" t="s">
        <v>58</v>
      </c>
      <c r="B68" s="40" t="s">
        <v>61</v>
      </c>
      <c r="C68" s="40"/>
      <c r="D68" s="40" t="s">
        <v>62</v>
      </c>
      <c r="E68" s="40"/>
      <c r="F68" s="40"/>
      <c r="G68" s="40"/>
    </row>
    <row r="69" spans="1:7" ht="92" customHeight="1">
      <c r="A69" s="26" t="s">
        <v>63</v>
      </c>
      <c r="B69" s="41" t="s">
        <v>64</v>
      </c>
      <c r="C69" s="41"/>
      <c r="D69" s="41" t="s">
        <v>1295</v>
      </c>
      <c r="E69" s="41"/>
      <c r="F69" s="41"/>
      <c r="G69" s="41"/>
    </row>
    <row r="71" spans="1:7" ht="48" customHeight="1">
      <c r="A71" s="16" t="s">
        <v>1296</v>
      </c>
      <c r="B71" s="44" t="s">
        <v>1297</v>
      </c>
      <c r="C71" s="44"/>
      <c r="D71" s="44"/>
      <c r="E71" s="44"/>
      <c r="F71" s="44"/>
      <c r="G71" s="44"/>
    </row>
    <row r="72" spans="1:7" ht="48" customHeight="1">
      <c r="A72" s="16" t="s">
        <v>1298</v>
      </c>
      <c r="B72" s="44" t="s">
        <v>1299</v>
      </c>
      <c r="C72" s="44"/>
      <c r="D72" s="44"/>
      <c r="E72" s="44"/>
      <c r="F72" s="44"/>
      <c r="G72" s="44"/>
    </row>
    <row r="74" spans="1:7" ht="32" customHeight="1">
      <c r="A74" s="48" t="s">
        <v>1300</v>
      </c>
      <c r="B74" s="48"/>
      <c r="C74" s="48"/>
      <c r="D74" s="48"/>
      <c r="E74" s="48"/>
      <c r="F74" s="48"/>
      <c r="G74" s="48"/>
    </row>
    <row r="75" spans="1:7" ht="65" customHeight="1">
      <c r="A75" s="31" t="s">
        <v>1301</v>
      </c>
      <c r="B75" s="49" t="s">
        <v>1302</v>
      </c>
      <c r="C75" s="49"/>
      <c r="D75" s="49"/>
      <c r="E75" s="49"/>
      <c r="F75" s="49"/>
      <c r="G75" s="49"/>
    </row>
    <row r="76" spans="1:7" ht="65" customHeight="1">
      <c r="A76" s="32" t="s">
        <v>1303</v>
      </c>
      <c r="B76" s="50" t="s">
        <v>1304</v>
      </c>
      <c r="C76" s="50"/>
      <c r="D76" s="50"/>
      <c r="E76" s="50"/>
      <c r="F76" s="50"/>
      <c r="G76" s="50"/>
    </row>
    <row r="77" spans="1:7" ht="65" customHeight="1">
      <c r="A77" s="31" t="s">
        <v>1305</v>
      </c>
      <c r="B77" s="49" t="s">
        <v>1306</v>
      </c>
      <c r="C77" s="49"/>
      <c r="D77" s="49"/>
      <c r="E77" s="49"/>
      <c r="F77" s="49"/>
      <c r="G77" s="49"/>
    </row>
    <row r="78" spans="1:7" ht="65" customHeight="1">
      <c r="A78" s="32" t="s">
        <v>1307</v>
      </c>
      <c r="B78" s="50" t="s">
        <v>1308</v>
      </c>
      <c r="C78" s="50"/>
      <c r="D78" s="50"/>
      <c r="E78" s="50"/>
      <c r="F78" s="50"/>
      <c r="G78" s="50"/>
    </row>
    <row r="79" spans="1:7" ht="65" customHeight="1">
      <c r="A79" s="31" t="s">
        <v>1309</v>
      </c>
      <c r="B79" s="49" t="s">
        <v>1310</v>
      </c>
      <c r="C79" s="49"/>
      <c r="D79" s="49"/>
      <c r="E79" s="49"/>
      <c r="F79" s="49"/>
      <c r="G79" s="49"/>
    </row>
    <row r="80" spans="1:7" ht="65" customHeight="1">
      <c r="A80" s="32" t="s">
        <v>1311</v>
      </c>
      <c r="B80" s="50" t="s">
        <v>1312</v>
      </c>
      <c r="C80" s="50"/>
      <c r="D80" s="50"/>
      <c r="E80" s="50"/>
      <c r="F80" s="50"/>
      <c r="G80" s="50"/>
    </row>
    <row r="81" spans="1:7" ht="65" customHeight="1">
      <c r="A81" s="31" t="s">
        <v>1313</v>
      </c>
      <c r="B81" s="49" t="s">
        <v>1314</v>
      </c>
      <c r="C81" s="49"/>
      <c r="D81" s="49"/>
      <c r="E81" s="49"/>
      <c r="F81" s="49"/>
      <c r="G81" s="49"/>
    </row>
    <row r="82" spans="1:7" ht="65" customHeight="1">
      <c r="A82" s="32" t="s">
        <v>1315</v>
      </c>
      <c r="B82" s="50" t="s">
        <v>1316</v>
      </c>
      <c r="C82" s="50"/>
      <c r="D82" s="50"/>
      <c r="E82" s="50"/>
      <c r="F82" s="50"/>
      <c r="G82" s="50"/>
    </row>
    <row r="83" spans="1:7" ht="65" customHeight="1">
      <c r="A83" s="31" t="s">
        <v>1317</v>
      </c>
      <c r="B83" s="49" t="s">
        <v>1318</v>
      </c>
      <c r="C83" s="49"/>
      <c r="D83" s="49"/>
      <c r="E83" s="49"/>
      <c r="F83" s="49"/>
      <c r="G83" s="49"/>
    </row>
    <row r="84" spans="1:7" ht="65" customHeight="1">
      <c r="A84" s="32" t="s">
        <v>1319</v>
      </c>
      <c r="B84" s="50" t="s">
        <v>1320</v>
      </c>
      <c r="C84" s="50"/>
      <c r="D84" s="50"/>
      <c r="E84" s="50"/>
      <c r="F84" s="50"/>
      <c r="G84" s="50"/>
    </row>
    <row r="85" spans="1:7" ht="65" customHeight="1">
      <c r="A85" s="31" t="s">
        <v>1321</v>
      </c>
      <c r="B85" s="49" t="s">
        <v>1322</v>
      </c>
      <c r="C85" s="49"/>
      <c r="D85" s="49"/>
      <c r="E85" s="49"/>
      <c r="F85" s="49"/>
      <c r="G85" s="49"/>
    </row>
    <row r="86" spans="1:7" ht="65" customHeight="1">
      <c r="A86" s="32" t="s">
        <v>1323</v>
      </c>
      <c r="B86" s="50" t="s">
        <v>1324</v>
      </c>
      <c r="C86" s="50"/>
      <c r="D86" s="50"/>
      <c r="E86" s="50"/>
      <c r="F86" s="50"/>
      <c r="G86" s="50"/>
    </row>
    <row r="88" spans="1:7" ht="30" customHeight="1">
      <c r="A88" s="51" t="s">
        <v>1325</v>
      </c>
      <c r="B88" s="51"/>
      <c r="C88" s="51"/>
      <c r="D88" s="51"/>
      <c r="E88" s="51"/>
      <c r="F88" s="51"/>
      <c r="G88" s="51"/>
    </row>
    <row r="89" spans="1:7" ht="60" customHeight="1">
      <c r="A89" s="19" t="s">
        <v>1326</v>
      </c>
      <c r="B89" s="46" t="s">
        <v>1327</v>
      </c>
      <c r="C89" s="46"/>
      <c r="D89" s="46"/>
      <c r="E89" s="46"/>
      <c r="F89" s="46"/>
      <c r="G89" s="46"/>
    </row>
    <row r="90" spans="1:7" ht="60" customHeight="1">
      <c r="A90" s="19" t="s">
        <v>1328</v>
      </c>
      <c r="B90" s="46" t="s">
        <v>1329</v>
      </c>
      <c r="C90" s="46"/>
      <c r="D90" s="46"/>
      <c r="E90" s="46"/>
      <c r="F90" s="46"/>
      <c r="G90" s="46"/>
    </row>
    <row r="91" spans="1:7" ht="60" customHeight="1">
      <c r="A91" s="19" t="s">
        <v>1330</v>
      </c>
      <c r="B91" s="46" t="s">
        <v>1331</v>
      </c>
      <c r="C91" s="46"/>
      <c r="D91" s="46"/>
      <c r="E91" s="46"/>
      <c r="F91" s="46"/>
      <c r="G91" s="46"/>
    </row>
    <row r="92" spans="1:7" ht="60" customHeight="1">
      <c r="A92" s="19" t="s">
        <v>1332</v>
      </c>
      <c r="B92" s="46">
        <f>COUNTIF(Distance_check!R2:R702,"Review: Rhyp mismatch")</f>
        <v>17</v>
      </c>
      <c r="C92" s="46"/>
      <c r="D92" s="46"/>
      <c r="E92" s="46"/>
      <c r="F92" s="46"/>
      <c r="G92" s="46"/>
    </row>
    <row r="93" spans="1:7" ht="60" customHeight="1">
      <c r="A93" s="19" t="s">
        <v>1333</v>
      </c>
      <c r="B93" s="46">
        <f>COUNTIF(Distance_check!V2:V702,"Review: distance &gt; recalculated Rhyp +1 km")</f>
        <v>0</v>
      </c>
      <c r="C93" s="46"/>
      <c r="D93" s="46"/>
      <c r="E93" s="46"/>
      <c r="F93" s="46"/>
      <c r="G93" s="46"/>
    </row>
    <row r="94" spans="1:7" ht="60" customHeight="1">
      <c r="A94" s="19" t="s">
        <v>1334</v>
      </c>
      <c r="B94" s="46" t="s">
        <v>1335</v>
      </c>
      <c r="C94" s="46"/>
      <c r="D94" s="46"/>
      <c r="E94" s="46"/>
      <c r="F94" s="46"/>
      <c r="G94" s="46"/>
    </row>
    <row r="96" spans="1:7" ht="55" customHeight="1">
      <c r="A96" s="16" t="s">
        <v>1336</v>
      </c>
      <c r="B96" s="44" t="s">
        <v>1337</v>
      </c>
      <c r="C96" s="44"/>
      <c r="D96" s="44"/>
      <c r="E96" s="44"/>
      <c r="F96" s="44"/>
      <c r="G96" s="44"/>
    </row>
    <row r="97" spans="1:7" ht="55" customHeight="1">
      <c r="A97" s="16" t="s">
        <v>1338</v>
      </c>
      <c r="B97" s="44" t="s">
        <v>1339</v>
      </c>
      <c r="C97" s="44"/>
      <c r="D97" s="44"/>
      <c r="E97" s="44"/>
      <c r="F97" s="44"/>
      <c r="G97" s="44"/>
    </row>
    <row r="99" spans="1:7" ht="62" customHeight="1">
      <c r="A99" s="16" t="s">
        <v>1340</v>
      </c>
      <c r="B99" s="44" t="s">
        <v>1341</v>
      </c>
      <c r="C99" s="44"/>
      <c r="D99" s="44"/>
      <c r="E99" s="44"/>
      <c r="F99" s="44"/>
      <c r="G99" s="44"/>
    </row>
    <row r="100" spans="1:7" ht="62" customHeight="1">
      <c r="A100" s="16" t="s">
        <v>1342</v>
      </c>
      <c r="B100" s="44" t="s">
        <v>1343</v>
      </c>
      <c r="C100" s="44"/>
      <c r="D100" s="44"/>
      <c r="E100" s="44"/>
      <c r="F100" s="44"/>
      <c r="G100" s="44"/>
    </row>
    <row r="101" spans="1:7" ht="62" customHeight="1">
      <c r="A101" s="16" t="s">
        <v>1344</v>
      </c>
      <c r="B101" s="44" t="s">
        <v>1345</v>
      </c>
      <c r="C101" s="44"/>
      <c r="D101" s="44"/>
      <c r="E101" s="44"/>
      <c r="F101" s="44"/>
      <c r="G101" s="44"/>
    </row>
    <row r="102" spans="1:7" ht="62" customHeight="1">
      <c r="A102" s="16" t="s">
        <v>1346</v>
      </c>
      <c r="B102" s="44" t="s">
        <v>1347</v>
      </c>
      <c r="C102" s="44"/>
      <c r="D102" s="44"/>
      <c r="E102" s="44"/>
      <c r="F102" s="44"/>
      <c r="G102" s="44"/>
    </row>
    <row r="103" spans="1:7" ht="62" customHeight="1">
      <c r="A103" s="16" t="s">
        <v>1348</v>
      </c>
      <c r="B103" s="44" t="s">
        <v>1349</v>
      </c>
      <c r="C103" s="44"/>
      <c r="D103" s="44"/>
      <c r="E103" s="44"/>
      <c r="F103" s="44"/>
      <c r="G103" s="44"/>
    </row>
  </sheetData>
  <mergeCells count="90">
    <mergeCell ref="B100:G100"/>
    <mergeCell ref="B101:G101"/>
    <mergeCell ref="B102:G102"/>
    <mergeCell ref="B103:G103"/>
    <mergeCell ref="B93:G93"/>
    <mergeCell ref="B94:G94"/>
    <mergeCell ref="B96:G96"/>
    <mergeCell ref="B97:G97"/>
    <mergeCell ref="B99:G99"/>
    <mergeCell ref="A88:G88"/>
    <mergeCell ref="B89:G89"/>
    <mergeCell ref="B90:G90"/>
    <mergeCell ref="B91:G91"/>
    <mergeCell ref="B92:G92"/>
    <mergeCell ref="B82:G82"/>
    <mergeCell ref="B83:G83"/>
    <mergeCell ref="B84:G84"/>
    <mergeCell ref="B85:G85"/>
    <mergeCell ref="B86:G86"/>
    <mergeCell ref="B77:G77"/>
    <mergeCell ref="B78:G78"/>
    <mergeCell ref="B79:G79"/>
    <mergeCell ref="B80:G80"/>
    <mergeCell ref="B81:G81"/>
    <mergeCell ref="B71:G71"/>
    <mergeCell ref="B72:G72"/>
    <mergeCell ref="A74:G74"/>
    <mergeCell ref="B75:G75"/>
    <mergeCell ref="B76:G76"/>
    <mergeCell ref="B45:G45"/>
    <mergeCell ref="B46:G46"/>
    <mergeCell ref="B47:G47"/>
    <mergeCell ref="A13:G13"/>
    <mergeCell ref="A17:G17"/>
    <mergeCell ref="A15:G15"/>
    <mergeCell ref="A16:G16"/>
    <mergeCell ref="A19:G19"/>
    <mergeCell ref="A18:G18"/>
    <mergeCell ref="A14:G14"/>
    <mergeCell ref="B32:G32"/>
    <mergeCell ref="B33:G33"/>
    <mergeCell ref="B34:G34"/>
    <mergeCell ref="B35:G35"/>
    <mergeCell ref="B36:G36"/>
    <mergeCell ref="B42:G42"/>
    <mergeCell ref="B43:G43"/>
    <mergeCell ref="B37:G37"/>
    <mergeCell ref="B38:G38"/>
    <mergeCell ref="B39:G39"/>
    <mergeCell ref="B40:G40"/>
    <mergeCell ref="B41:G41"/>
    <mergeCell ref="A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8:C68"/>
    <mergeCell ref="D68:G68"/>
    <mergeCell ref="B69:C69"/>
    <mergeCell ref="D69:G69"/>
    <mergeCell ref="B65:C65"/>
    <mergeCell ref="D65:G65"/>
    <mergeCell ref="B66:C66"/>
    <mergeCell ref="D66:G66"/>
    <mergeCell ref="B67:C67"/>
    <mergeCell ref="D67:G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6" customWidth="1"/>
    <col min="2" max="2" width="48" customWidth="1"/>
    <col min="3" max="3" width="105" customWidth="1"/>
    <col min="4" max="4" width="110" customWidth="1"/>
    <col min="5" max="5" width="17" customWidth="1"/>
  </cols>
  <sheetData>
    <row r="1" spans="1:5" ht="42" customHeight="1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</row>
    <row r="2" spans="1:5" ht="19" customHeight="1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</row>
    <row r="3" spans="1:5" ht="19" customHeight="1">
      <c r="A3" s="1" t="s">
        <v>75</v>
      </c>
      <c r="B3" s="1" t="s">
        <v>76</v>
      </c>
      <c r="C3" s="1" t="s">
        <v>77</v>
      </c>
      <c r="D3" s="1" t="s">
        <v>78</v>
      </c>
      <c r="E3" s="1" t="s">
        <v>74</v>
      </c>
    </row>
    <row r="4" spans="1:5" ht="19" customHeight="1">
      <c r="A4" s="1" t="s">
        <v>79</v>
      </c>
      <c r="B4" s="1" t="s">
        <v>80</v>
      </c>
      <c r="C4" s="1" t="s">
        <v>81</v>
      </c>
      <c r="D4" s="1" t="s">
        <v>82</v>
      </c>
      <c r="E4" s="1" t="s">
        <v>74</v>
      </c>
    </row>
    <row r="5" spans="1:5" ht="19" customHeight="1">
      <c r="A5" s="1" t="s">
        <v>83</v>
      </c>
      <c r="B5" s="1" t="s">
        <v>84</v>
      </c>
      <c r="C5" s="1" t="s">
        <v>85</v>
      </c>
      <c r="D5" s="1" t="s">
        <v>86</v>
      </c>
      <c r="E5" s="1" t="s">
        <v>74</v>
      </c>
    </row>
    <row r="6" spans="1:5" ht="19" customHeight="1">
      <c r="A6" s="1" t="s">
        <v>87</v>
      </c>
      <c r="B6" s="1" t="s">
        <v>88</v>
      </c>
      <c r="C6" s="1" t="s">
        <v>89</v>
      </c>
      <c r="D6" s="1"/>
      <c r="E6" s="1" t="s">
        <v>74</v>
      </c>
    </row>
    <row r="7" spans="1:5" ht="19" customHeight="1">
      <c r="A7" s="1" t="s">
        <v>90</v>
      </c>
      <c r="B7" s="1" t="s">
        <v>91</v>
      </c>
      <c r="C7" s="1" t="s">
        <v>92</v>
      </c>
      <c r="D7" s="1" t="s">
        <v>93</v>
      </c>
      <c r="E7" s="1" t="s">
        <v>74</v>
      </c>
    </row>
    <row r="8" spans="1:5" ht="19" customHeight="1">
      <c r="A8" s="1" t="s">
        <v>94</v>
      </c>
      <c r="B8" s="1" t="s">
        <v>95</v>
      </c>
      <c r="C8" s="1" t="s">
        <v>96</v>
      </c>
      <c r="D8" s="1" t="s">
        <v>97</v>
      </c>
      <c r="E8" s="1" t="s">
        <v>74</v>
      </c>
    </row>
    <row r="9" spans="1:5" ht="19" customHeight="1">
      <c r="A9" s="1" t="s">
        <v>98</v>
      </c>
      <c r="B9" s="1" t="s">
        <v>99</v>
      </c>
      <c r="C9" s="1" t="s">
        <v>100</v>
      </c>
      <c r="D9" s="1"/>
      <c r="E9" s="1" t="s">
        <v>74</v>
      </c>
    </row>
    <row r="10" spans="1:5" ht="19" customHeight="1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74</v>
      </c>
    </row>
    <row r="11" spans="1:5" ht="19" customHeight="1">
      <c r="A11" s="1" t="s">
        <v>105</v>
      </c>
      <c r="B11" s="1" t="s">
        <v>106</v>
      </c>
      <c r="C11" s="1" t="s">
        <v>107</v>
      </c>
      <c r="D11" s="1" t="s">
        <v>108</v>
      </c>
      <c r="E11" s="1" t="s">
        <v>74</v>
      </c>
    </row>
    <row r="12" spans="1:5" ht="19" customHeight="1">
      <c r="A12" s="1" t="s">
        <v>109</v>
      </c>
      <c r="B12" s="1" t="s">
        <v>110</v>
      </c>
      <c r="C12" s="1" t="s">
        <v>111</v>
      </c>
      <c r="D12" s="1" t="s">
        <v>112</v>
      </c>
      <c r="E12" s="1" t="s">
        <v>74</v>
      </c>
    </row>
    <row r="13" spans="1:5" ht="19" customHeight="1">
      <c r="A13" s="1" t="s">
        <v>113</v>
      </c>
      <c r="B13" s="1" t="s">
        <v>114</v>
      </c>
      <c r="C13" s="1" t="s">
        <v>115</v>
      </c>
      <c r="D13" s="1" t="s">
        <v>116</v>
      </c>
      <c r="E13" s="1" t="s">
        <v>74</v>
      </c>
    </row>
    <row r="16" spans="1:5">
      <c r="A16" s="6" t="s">
        <v>117</v>
      </c>
      <c r="B16" s="6" t="s">
        <v>118</v>
      </c>
      <c r="C16" s="6"/>
      <c r="D16" s="6"/>
    </row>
    <row r="17" spans="1:4" ht="34" customHeight="1">
      <c r="A17" s="5" t="s">
        <v>119</v>
      </c>
      <c r="B17" s="52" t="s">
        <v>120</v>
      </c>
      <c r="C17" s="45"/>
      <c r="D17" s="45"/>
    </row>
    <row r="18" spans="1:4" ht="34" customHeight="1">
      <c r="A18" s="5" t="s">
        <v>121</v>
      </c>
      <c r="B18" s="52" t="s">
        <v>122</v>
      </c>
      <c r="C18" s="45"/>
      <c r="D18" s="45"/>
    </row>
    <row r="19" spans="1:4" ht="34" customHeight="1">
      <c r="A19" s="5" t="s">
        <v>39</v>
      </c>
      <c r="B19" s="52" t="s">
        <v>123</v>
      </c>
      <c r="C19" s="45"/>
      <c r="D19" s="45"/>
    </row>
    <row r="20" spans="1:4" ht="34" customHeight="1">
      <c r="A20" s="5" t="s">
        <v>124</v>
      </c>
      <c r="B20" s="52" t="s">
        <v>125</v>
      </c>
      <c r="C20" s="45"/>
      <c r="D20" s="45"/>
    </row>
    <row r="21" spans="1:4" ht="34" customHeight="1">
      <c r="A21" s="5" t="s">
        <v>126</v>
      </c>
      <c r="B21" s="52" t="s">
        <v>127</v>
      </c>
      <c r="C21" s="45"/>
      <c r="D21" s="45"/>
    </row>
    <row r="22" spans="1:4" ht="34" customHeight="1">
      <c r="A22" s="5" t="s">
        <v>128</v>
      </c>
      <c r="B22" s="52" t="s">
        <v>129</v>
      </c>
      <c r="C22" s="45"/>
      <c r="D22" s="45"/>
    </row>
    <row r="23" spans="1:4" ht="34" customHeight="1">
      <c r="A23" s="5" t="s">
        <v>130</v>
      </c>
      <c r="B23" s="52" t="s">
        <v>131</v>
      </c>
      <c r="C23" s="45"/>
      <c r="D23" s="45"/>
    </row>
    <row r="24" spans="1:4" ht="34" customHeight="1">
      <c r="A24" s="5" t="s">
        <v>132</v>
      </c>
      <c r="B24" s="52" t="s">
        <v>133</v>
      </c>
      <c r="C24" s="45"/>
      <c r="D24" s="45"/>
    </row>
    <row r="25" spans="1:4" ht="34" customHeight="1">
      <c r="A25" s="5" t="s">
        <v>134</v>
      </c>
      <c r="B25" s="52" t="s">
        <v>135</v>
      </c>
      <c r="C25" s="45"/>
      <c r="D25" s="45"/>
    </row>
    <row r="26" spans="1:4" ht="34" customHeight="1">
      <c r="A26" s="5" t="s">
        <v>136</v>
      </c>
      <c r="B26" s="52" t="s">
        <v>137</v>
      </c>
      <c r="C26" s="45"/>
      <c r="D26" s="45"/>
    </row>
    <row r="27" spans="1:4" ht="34" customHeight="1">
      <c r="A27" s="5" t="s">
        <v>138</v>
      </c>
      <c r="B27" s="52" t="s">
        <v>139</v>
      </c>
      <c r="C27" s="45"/>
      <c r="D27" s="45"/>
    </row>
    <row r="28" spans="1:4" ht="34" customHeight="1">
      <c r="A28" s="5" t="s">
        <v>140</v>
      </c>
      <c r="B28" s="52" t="s">
        <v>141</v>
      </c>
      <c r="C28" s="45"/>
      <c r="D28" s="45"/>
    </row>
    <row r="29" spans="1:4" ht="34" customHeight="1">
      <c r="A29" s="5" t="s">
        <v>142</v>
      </c>
      <c r="B29" s="52" t="s">
        <v>143</v>
      </c>
      <c r="C29" s="45"/>
      <c r="D29" s="45"/>
    </row>
    <row r="30" spans="1:4" ht="34" customHeight="1">
      <c r="A30" s="5" t="s">
        <v>144</v>
      </c>
      <c r="B30" s="52" t="s">
        <v>145</v>
      </c>
      <c r="C30" s="45"/>
      <c r="D30" s="45"/>
    </row>
    <row r="31" spans="1:4" ht="34" customHeight="1">
      <c r="A31" s="5" t="s">
        <v>146</v>
      </c>
      <c r="B31" s="52" t="s">
        <v>147</v>
      </c>
      <c r="C31" s="45"/>
      <c r="D31" s="45"/>
    </row>
    <row r="32" spans="1:4" ht="34" customHeight="1">
      <c r="A32" s="5" t="s">
        <v>148</v>
      </c>
      <c r="B32" s="52" t="s">
        <v>149</v>
      </c>
      <c r="C32" s="45"/>
      <c r="D32" s="45"/>
    </row>
    <row r="33" spans="1:5" ht="34" customHeight="1">
      <c r="A33" s="5" t="s">
        <v>150</v>
      </c>
      <c r="B33" s="52" t="s">
        <v>151</v>
      </c>
      <c r="C33" s="45"/>
      <c r="D33" s="45"/>
    </row>
    <row r="34" spans="1:5" ht="34" customHeight="1">
      <c r="A34" s="5" t="s">
        <v>152</v>
      </c>
      <c r="B34" s="52" t="s">
        <v>153</v>
      </c>
      <c r="C34" s="45"/>
      <c r="D34" s="45"/>
    </row>
    <row r="35" spans="1:5" ht="34" customHeight="1">
      <c r="A35" s="5" t="s">
        <v>154</v>
      </c>
      <c r="B35" s="52" t="s">
        <v>155</v>
      </c>
      <c r="C35" s="45"/>
      <c r="D35" s="45"/>
    </row>
    <row r="37" spans="1:5" ht="54" customHeight="1">
      <c r="A37" t="s">
        <v>156</v>
      </c>
      <c r="B37" s="16" t="s">
        <v>157</v>
      </c>
      <c r="C37" s="16" t="s">
        <v>158</v>
      </c>
      <c r="D37" s="16" t="s">
        <v>159</v>
      </c>
      <c r="E37" s="16" t="s">
        <v>160</v>
      </c>
    </row>
    <row r="38" spans="1:5" ht="54" customHeight="1">
      <c r="A38" t="s">
        <v>161</v>
      </c>
      <c r="B38" s="16" t="s">
        <v>162</v>
      </c>
      <c r="C38" s="16" t="s">
        <v>163</v>
      </c>
      <c r="D38" s="16" t="s">
        <v>164</v>
      </c>
      <c r="E38" s="16" t="s">
        <v>160</v>
      </c>
    </row>
    <row r="39" spans="1:5" ht="54" customHeight="1">
      <c r="A39" t="s">
        <v>165</v>
      </c>
      <c r="B39" s="16" t="s">
        <v>166</v>
      </c>
      <c r="C39" s="16" t="s">
        <v>167</v>
      </c>
      <c r="D39" s="16" t="s">
        <v>168</v>
      </c>
      <c r="E39" s="16" t="s">
        <v>160</v>
      </c>
    </row>
    <row r="40" spans="1:5" ht="54" customHeight="1">
      <c r="A40" t="s">
        <v>169</v>
      </c>
      <c r="B40" s="16" t="s">
        <v>170</v>
      </c>
      <c r="C40" s="16" t="s">
        <v>77</v>
      </c>
      <c r="D40" s="16" t="s">
        <v>171</v>
      </c>
      <c r="E40" s="16" t="s">
        <v>160</v>
      </c>
    </row>
    <row r="41" spans="1:5" ht="54" customHeight="1">
      <c r="A41" t="s">
        <v>172</v>
      </c>
      <c r="B41" s="16" t="s">
        <v>173</v>
      </c>
      <c r="C41" s="16" t="s">
        <v>174</v>
      </c>
      <c r="D41" s="16" t="s">
        <v>175</v>
      </c>
      <c r="E41" s="16" t="s">
        <v>160</v>
      </c>
    </row>
    <row r="42" spans="1:5" ht="54" customHeight="1">
      <c r="A42" t="s">
        <v>176</v>
      </c>
      <c r="B42" s="16" t="s">
        <v>177</v>
      </c>
      <c r="C42" s="16" t="s">
        <v>178</v>
      </c>
      <c r="D42" s="16" t="s">
        <v>179</v>
      </c>
      <c r="E42" s="16" t="s">
        <v>160</v>
      </c>
    </row>
    <row r="44" spans="1:5" ht="54" customHeight="1">
      <c r="A44" t="s">
        <v>180</v>
      </c>
      <c r="B44" s="16" t="s">
        <v>181</v>
      </c>
      <c r="C44" s="16" t="s">
        <v>163</v>
      </c>
      <c r="D44" s="16" t="s">
        <v>182</v>
      </c>
      <c r="E44" s="16" t="s">
        <v>160</v>
      </c>
    </row>
    <row r="45" spans="1:5" ht="54" customHeight="1">
      <c r="A45" t="s">
        <v>183</v>
      </c>
      <c r="B45" s="16" t="s">
        <v>184</v>
      </c>
      <c r="C45" s="16" t="s">
        <v>185</v>
      </c>
      <c r="D45" s="16" t="s">
        <v>186</v>
      </c>
      <c r="E45" s="16" t="s">
        <v>160</v>
      </c>
    </row>
    <row r="46" spans="1:5" ht="54" customHeight="1">
      <c r="A46" t="s">
        <v>187</v>
      </c>
      <c r="B46" s="16" t="s">
        <v>188</v>
      </c>
      <c r="C46" s="16" t="s">
        <v>189</v>
      </c>
      <c r="D46" s="16" t="s">
        <v>190</v>
      </c>
      <c r="E46" s="16" t="s">
        <v>160</v>
      </c>
    </row>
    <row r="48" spans="1:5" ht="85" customHeight="1">
      <c r="A48" s="16" t="s">
        <v>191</v>
      </c>
      <c r="B48" s="16" t="s">
        <v>192</v>
      </c>
      <c r="C48" s="16" t="s">
        <v>1350</v>
      </c>
      <c r="D48" s="16" t="s">
        <v>193</v>
      </c>
      <c r="E48" s="16" t="s">
        <v>160</v>
      </c>
    </row>
    <row r="50" spans="1:5" ht="75" customHeight="1">
      <c r="A50" s="16" t="s">
        <v>1351</v>
      </c>
      <c r="B50" s="16" t="s">
        <v>1352</v>
      </c>
      <c r="C50" s="16" t="s">
        <v>1353</v>
      </c>
      <c r="D50" s="16" t="s">
        <v>1354</v>
      </c>
      <c r="E50" s="16" t="s">
        <v>160</v>
      </c>
    </row>
    <row r="52" spans="1:5" ht="85" customHeight="1">
      <c r="A52" s="16" t="s">
        <v>1355</v>
      </c>
      <c r="B52" s="16" t="s">
        <v>1356</v>
      </c>
      <c r="C52" s="16" t="s">
        <v>1357</v>
      </c>
      <c r="D52" s="16" t="s">
        <v>1358</v>
      </c>
      <c r="E52" s="16" t="s">
        <v>160</v>
      </c>
    </row>
    <row r="54" spans="1:5" ht="80" customHeight="1">
      <c r="A54" s="16" t="s">
        <v>1359</v>
      </c>
      <c r="B54" s="16" t="s">
        <v>1360</v>
      </c>
      <c r="C54" s="16" t="s">
        <v>1361</v>
      </c>
      <c r="D54" s="16" t="s">
        <v>1362</v>
      </c>
      <c r="E54" s="16" t="s">
        <v>1363</v>
      </c>
    </row>
    <row r="56" spans="1:5" ht="80" customHeight="1">
      <c r="A56" s="16" t="s">
        <v>1364</v>
      </c>
      <c r="B56" s="16" t="s">
        <v>1365</v>
      </c>
      <c r="C56" s="16" t="s">
        <v>1366</v>
      </c>
      <c r="D56" s="16" t="s">
        <v>1367</v>
      </c>
      <c r="E56" s="16" t="s">
        <v>1363</v>
      </c>
    </row>
    <row r="58" spans="1:5" ht="65" customHeight="1">
      <c r="A58" s="16" t="s">
        <v>1368</v>
      </c>
      <c r="B58" s="16" t="s">
        <v>1369</v>
      </c>
      <c r="C58" s="16" t="s">
        <v>1370</v>
      </c>
      <c r="D58" s="16" t="s">
        <v>1371</v>
      </c>
      <c r="E58" s="16" t="s">
        <v>1363</v>
      </c>
    </row>
    <row r="60" spans="1:5" ht="100" customHeight="1">
      <c r="A60" s="16" t="s">
        <v>1372</v>
      </c>
      <c r="B60" s="16" t="s">
        <v>1373</v>
      </c>
      <c r="C60" s="16" t="s">
        <v>1374</v>
      </c>
      <c r="D60" s="16" t="s">
        <v>1375</v>
      </c>
      <c r="E60" s="16" t="s">
        <v>1363</v>
      </c>
    </row>
    <row r="61" spans="1:5" ht="100" customHeight="1">
      <c r="A61" s="16" t="s">
        <v>1376</v>
      </c>
      <c r="B61" s="16" t="s">
        <v>1377</v>
      </c>
      <c r="C61" s="16" t="s">
        <v>1378</v>
      </c>
      <c r="D61" s="16" t="s">
        <v>1379</v>
      </c>
      <c r="E61" s="16" t="s">
        <v>1363</v>
      </c>
    </row>
    <row r="63" spans="1:5" ht="85" customHeight="1">
      <c r="A63" s="16" t="s">
        <v>1380</v>
      </c>
      <c r="B63" s="16" t="s">
        <v>1381</v>
      </c>
      <c r="C63" s="16" t="s">
        <v>1382</v>
      </c>
      <c r="D63" s="16" t="s">
        <v>1383</v>
      </c>
      <c r="E63" s="16" t="s">
        <v>1363</v>
      </c>
    </row>
  </sheetData>
  <mergeCells count="19">
    <mergeCell ref="B35:D35"/>
    <mergeCell ref="B32:D32"/>
    <mergeCell ref="B26:D26"/>
    <mergeCell ref="B25:D25"/>
    <mergeCell ref="B31:D31"/>
    <mergeCell ref="B27:D27"/>
    <mergeCell ref="B23:D23"/>
    <mergeCell ref="B17:D17"/>
    <mergeCell ref="B29:D29"/>
    <mergeCell ref="B34:D34"/>
    <mergeCell ref="B28:D28"/>
    <mergeCell ref="B19:D19"/>
    <mergeCell ref="B30:D30"/>
    <mergeCell ref="B24:D24"/>
    <mergeCell ref="B20:D20"/>
    <mergeCell ref="B33:D33"/>
    <mergeCell ref="B22:D22"/>
    <mergeCell ref="B18:D18"/>
    <mergeCell ref="B21:D2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38" customWidth="1"/>
    <col min="3" max="6" width="17" customWidth="1"/>
    <col min="7" max="8" width="65" customWidth="1"/>
    <col min="9" max="9" width="17" customWidth="1"/>
    <col min="10" max="11" width="85" customWidth="1"/>
  </cols>
  <sheetData>
    <row r="1" spans="1:11" ht="42" customHeight="1">
      <c r="A1" s="3" t="s">
        <v>1384</v>
      </c>
      <c r="B1" s="3" t="s">
        <v>1385</v>
      </c>
      <c r="C1" s="3" t="s">
        <v>1386</v>
      </c>
      <c r="D1" s="3" t="s">
        <v>1387</v>
      </c>
      <c r="E1" s="3" t="s">
        <v>1388</v>
      </c>
      <c r="F1" s="3" t="s">
        <v>1389</v>
      </c>
      <c r="G1" s="3" t="s">
        <v>1390</v>
      </c>
      <c r="H1" s="3" t="s">
        <v>1391</v>
      </c>
      <c r="I1" s="3" t="s">
        <v>1392</v>
      </c>
      <c r="J1" s="3" t="s">
        <v>1393</v>
      </c>
      <c r="K1" s="3" t="s">
        <v>1394</v>
      </c>
    </row>
    <row r="2" spans="1:11" ht="19" customHeight="1">
      <c r="A2" s="1" t="s">
        <v>1395</v>
      </c>
      <c r="B2" s="1" t="s">
        <v>968</v>
      </c>
      <c r="C2" s="4">
        <v>31.3</v>
      </c>
      <c r="D2" s="4">
        <v>104.5</v>
      </c>
      <c r="E2" s="1" t="s">
        <v>1396</v>
      </c>
      <c r="F2" s="1">
        <v>1</v>
      </c>
      <c r="G2" s="1" t="s">
        <v>1262</v>
      </c>
      <c r="H2" s="1" t="s">
        <v>967</v>
      </c>
      <c r="I2" s="1" t="s">
        <v>75</v>
      </c>
      <c r="J2" s="1" t="s">
        <v>1397</v>
      </c>
      <c r="K2" s="1"/>
    </row>
    <row r="3" spans="1:11" ht="19" customHeight="1">
      <c r="A3" s="1" t="s">
        <v>1398</v>
      </c>
      <c r="B3" s="1" t="s">
        <v>859</v>
      </c>
      <c r="C3" s="4">
        <v>39.496000000000002</v>
      </c>
      <c r="D3" s="4">
        <v>76.739000000000004</v>
      </c>
      <c r="E3" s="1" t="s">
        <v>1396</v>
      </c>
      <c r="F3" s="1">
        <v>1</v>
      </c>
      <c r="G3" s="1" t="s">
        <v>1262</v>
      </c>
      <c r="H3" s="1" t="s">
        <v>434</v>
      </c>
      <c r="I3" s="1" t="s">
        <v>75</v>
      </c>
      <c r="J3" s="1" t="s">
        <v>1399</v>
      </c>
      <c r="K3" s="1"/>
    </row>
    <row r="4" spans="1:11" ht="19" customHeight="1">
      <c r="A4" s="1" t="s">
        <v>1400</v>
      </c>
      <c r="B4" s="1" t="s">
        <v>970</v>
      </c>
      <c r="C4" s="4">
        <v>31.5</v>
      </c>
      <c r="D4" s="4">
        <v>104.1</v>
      </c>
      <c r="E4" s="1" t="s">
        <v>1396</v>
      </c>
      <c r="F4" s="1">
        <v>1</v>
      </c>
      <c r="G4" s="1" t="s">
        <v>1262</v>
      </c>
      <c r="H4" s="1" t="s">
        <v>967</v>
      </c>
      <c r="I4" s="1" t="s">
        <v>75</v>
      </c>
      <c r="J4" s="1" t="s">
        <v>1401</v>
      </c>
      <c r="K4" s="1"/>
    </row>
    <row r="5" spans="1:11" ht="19" customHeight="1">
      <c r="A5" s="1" t="s">
        <v>1402</v>
      </c>
      <c r="B5" s="1" t="s">
        <v>773</v>
      </c>
      <c r="C5" s="4">
        <v>37.03</v>
      </c>
      <c r="D5" s="4">
        <v>22.12</v>
      </c>
      <c r="E5" s="1" t="s">
        <v>1396</v>
      </c>
      <c r="F5" s="1">
        <v>1</v>
      </c>
      <c r="G5" s="1" t="s">
        <v>1262</v>
      </c>
      <c r="H5" s="1" t="s">
        <v>772</v>
      </c>
      <c r="I5" s="1" t="s">
        <v>75</v>
      </c>
      <c r="J5" s="1" t="s">
        <v>1403</v>
      </c>
      <c r="K5" s="1"/>
    </row>
    <row r="6" spans="1:11" ht="19" customHeight="1">
      <c r="A6" s="1" t="s">
        <v>1402</v>
      </c>
      <c r="B6" s="1" t="s">
        <v>773</v>
      </c>
      <c r="C6" s="4">
        <v>37.03</v>
      </c>
      <c r="D6" s="4">
        <v>22.12</v>
      </c>
      <c r="E6" s="1" t="s">
        <v>1404</v>
      </c>
      <c r="F6" s="1">
        <v>1</v>
      </c>
      <c r="G6" s="1" t="s">
        <v>1263</v>
      </c>
      <c r="H6" s="1" t="s">
        <v>1051</v>
      </c>
      <c r="I6" s="1" t="s">
        <v>70</v>
      </c>
      <c r="J6" s="1" t="s">
        <v>1405</v>
      </c>
      <c r="K6" s="1"/>
    </row>
    <row r="7" spans="1:11" ht="19" customHeight="1">
      <c r="A7" s="1" t="s">
        <v>1406</v>
      </c>
      <c r="B7" s="1" t="s">
        <v>937</v>
      </c>
      <c r="C7" s="4">
        <v>29.097000000000001</v>
      </c>
      <c r="D7" s="4">
        <v>58.353000000000002</v>
      </c>
      <c r="E7" s="1" t="s">
        <v>1396</v>
      </c>
      <c r="F7" s="1">
        <v>1</v>
      </c>
      <c r="G7" s="1" t="s">
        <v>1262</v>
      </c>
      <c r="H7" s="1" t="s">
        <v>936</v>
      </c>
      <c r="I7" s="1" t="s">
        <v>75</v>
      </c>
      <c r="J7" s="1" t="s">
        <v>1407</v>
      </c>
      <c r="K7" s="1"/>
    </row>
    <row r="8" spans="1:11" ht="19" customHeight="1">
      <c r="A8" s="1" t="s">
        <v>1406</v>
      </c>
      <c r="B8" s="1" t="s">
        <v>937</v>
      </c>
      <c r="C8" s="4">
        <v>29.097000000000001</v>
      </c>
      <c r="D8" s="4">
        <v>58.353000000000002</v>
      </c>
      <c r="E8" s="1" t="s">
        <v>1404</v>
      </c>
      <c r="F8" s="1">
        <v>1</v>
      </c>
      <c r="G8" s="1" t="s">
        <v>1263</v>
      </c>
      <c r="H8" s="1" t="s">
        <v>1122</v>
      </c>
      <c r="I8" s="1" t="s">
        <v>70</v>
      </c>
      <c r="J8" s="1" t="s">
        <v>1408</v>
      </c>
      <c r="K8" s="1"/>
    </row>
    <row r="9" spans="1:11" ht="19" customHeight="1">
      <c r="A9" s="1" t="s">
        <v>1409</v>
      </c>
      <c r="B9" s="1" t="s">
        <v>736</v>
      </c>
      <c r="C9" s="4">
        <v>33.58</v>
      </c>
      <c r="D9" s="4">
        <v>56.92</v>
      </c>
      <c r="E9" s="1" t="s">
        <v>1396</v>
      </c>
      <c r="F9" s="1">
        <v>1</v>
      </c>
      <c r="G9" s="1" t="s">
        <v>1262</v>
      </c>
      <c r="H9" s="1" t="s">
        <v>735</v>
      </c>
      <c r="I9" s="1" t="s">
        <v>75</v>
      </c>
      <c r="J9" s="1" t="s">
        <v>1410</v>
      </c>
      <c r="K9" s="1"/>
    </row>
    <row r="10" spans="1:11" ht="19" customHeight="1">
      <c r="A10" s="1" t="s">
        <v>1409</v>
      </c>
      <c r="B10" s="1" t="s">
        <v>736</v>
      </c>
      <c r="C10" s="4">
        <v>33.58</v>
      </c>
      <c r="D10" s="4">
        <v>56.92</v>
      </c>
      <c r="E10" s="1" t="s">
        <v>1404</v>
      </c>
      <c r="F10" s="1">
        <v>1</v>
      </c>
      <c r="G10" s="1" t="s">
        <v>1263</v>
      </c>
      <c r="H10" s="1" t="s">
        <v>1030</v>
      </c>
      <c r="I10" s="1" t="s">
        <v>70</v>
      </c>
      <c r="J10" s="1" t="s">
        <v>1411</v>
      </c>
      <c r="K10" s="1"/>
    </row>
    <row r="11" spans="1:11" ht="19" customHeight="1">
      <c r="A11" s="1" t="s">
        <v>1412</v>
      </c>
      <c r="B11" s="1" t="s">
        <v>759</v>
      </c>
      <c r="C11" s="4">
        <v>40.820999999999998</v>
      </c>
      <c r="D11" s="4">
        <v>15.069000000000001</v>
      </c>
      <c r="E11" s="1" t="s">
        <v>1396</v>
      </c>
      <c r="F11" s="1">
        <v>1</v>
      </c>
      <c r="G11" s="1" t="s">
        <v>1262</v>
      </c>
      <c r="H11" s="1" t="s">
        <v>758</v>
      </c>
      <c r="I11" s="1" t="s">
        <v>75</v>
      </c>
      <c r="J11" s="1" t="s">
        <v>1413</v>
      </c>
      <c r="K11" s="1"/>
    </row>
    <row r="12" spans="1:11" ht="19" customHeight="1">
      <c r="A12" s="1" t="s">
        <v>1412</v>
      </c>
      <c r="B12" s="1" t="s">
        <v>759</v>
      </c>
      <c r="C12" s="4">
        <v>40.820999999999998</v>
      </c>
      <c r="D12" s="4">
        <v>15.069000000000001</v>
      </c>
      <c r="E12" s="1" t="s">
        <v>1404</v>
      </c>
      <c r="F12" s="1">
        <v>1</v>
      </c>
      <c r="G12" s="1" t="s">
        <v>1263</v>
      </c>
      <c r="H12" s="1" t="s">
        <v>1046</v>
      </c>
      <c r="I12" s="1" t="s">
        <v>70</v>
      </c>
      <c r="J12" s="1" t="s">
        <v>1414</v>
      </c>
      <c r="K12" s="1"/>
    </row>
    <row r="13" spans="1:11" ht="19" customHeight="1">
      <c r="A13" s="1" t="s">
        <v>1415</v>
      </c>
      <c r="B13" s="1" t="s">
        <v>974</v>
      </c>
      <c r="C13" s="4">
        <v>42.344999999999999</v>
      </c>
      <c r="D13" s="4">
        <v>13.401</v>
      </c>
      <c r="E13" s="1" t="s">
        <v>1396</v>
      </c>
      <c r="F13" s="1">
        <v>1</v>
      </c>
      <c r="G13" s="1" t="s">
        <v>1262</v>
      </c>
      <c r="H13" s="1" t="s">
        <v>971</v>
      </c>
      <c r="I13" s="1" t="s">
        <v>75</v>
      </c>
      <c r="J13" s="1" t="s">
        <v>1416</v>
      </c>
      <c r="K13" s="1"/>
    </row>
    <row r="14" spans="1:11" ht="19" customHeight="1">
      <c r="A14" s="1" t="s">
        <v>1415</v>
      </c>
      <c r="B14" s="1" t="s">
        <v>974</v>
      </c>
      <c r="C14" s="4">
        <v>42.344999999999999</v>
      </c>
      <c r="D14" s="4">
        <v>13.401</v>
      </c>
      <c r="E14" s="1" t="s">
        <v>1404</v>
      </c>
      <c r="F14" s="1">
        <v>1</v>
      </c>
      <c r="G14" s="1" t="s">
        <v>1263</v>
      </c>
      <c r="H14" s="1" t="s">
        <v>1145</v>
      </c>
      <c r="I14" s="1" t="s">
        <v>70</v>
      </c>
      <c r="J14" s="1" t="s">
        <v>1417</v>
      </c>
      <c r="K14" s="1"/>
    </row>
    <row r="15" spans="1:11" ht="19" customHeight="1">
      <c r="A15" s="1" t="s">
        <v>1418</v>
      </c>
      <c r="B15" s="1" t="s">
        <v>972</v>
      </c>
      <c r="C15" s="4">
        <v>42.377000000000002</v>
      </c>
      <c r="D15" s="4">
        <v>13.343999999999999</v>
      </c>
      <c r="E15" s="1" t="s">
        <v>1396</v>
      </c>
      <c r="F15" s="1">
        <v>1</v>
      </c>
      <c r="G15" s="1" t="s">
        <v>1262</v>
      </c>
      <c r="H15" s="1" t="s">
        <v>971</v>
      </c>
      <c r="I15" s="1" t="s">
        <v>75</v>
      </c>
      <c r="J15" s="1" t="s">
        <v>1419</v>
      </c>
      <c r="K15" s="1"/>
    </row>
    <row r="16" spans="1:11" ht="19" customHeight="1">
      <c r="A16" s="1" t="s">
        <v>1418</v>
      </c>
      <c r="B16" s="1" t="s">
        <v>972</v>
      </c>
      <c r="C16" s="4">
        <v>42.377000000000002</v>
      </c>
      <c r="D16" s="4">
        <v>13.343999999999999</v>
      </c>
      <c r="E16" s="1" t="s">
        <v>1404</v>
      </c>
      <c r="F16" s="1">
        <v>1</v>
      </c>
      <c r="G16" s="1" t="s">
        <v>1263</v>
      </c>
      <c r="H16" s="1" t="s">
        <v>1145</v>
      </c>
      <c r="I16" s="1" t="s">
        <v>70</v>
      </c>
      <c r="J16" s="1" t="s">
        <v>1420</v>
      </c>
      <c r="K16" s="1"/>
    </row>
    <row r="17" spans="1:11" ht="19" customHeight="1">
      <c r="A17" s="1" t="s">
        <v>1421</v>
      </c>
      <c r="B17" s="1" t="s">
        <v>973</v>
      </c>
      <c r="C17" s="4">
        <v>42.375999999999998</v>
      </c>
      <c r="D17" s="4">
        <v>13.339</v>
      </c>
      <c r="E17" s="1" t="s">
        <v>1396</v>
      </c>
      <c r="F17" s="1">
        <v>1</v>
      </c>
      <c r="G17" s="1" t="s">
        <v>1262</v>
      </c>
      <c r="H17" s="1" t="s">
        <v>971</v>
      </c>
      <c r="I17" s="1" t="s">
        <v>75</v>
      </c>
      <c r="J17" s="1" t="s">
        <v>1422</v>
      </c>
      <c r="K17" s="1"/>
    </row>
    <row r="18" spans="1:11" ht="19" customHeight="1">
      <c r="A18" s="1" t="s">
        <v>1421</v>
      </c>
      <c r="B18" s="1" t="s">
        <v>973</v>
      </c>
      <c r="C18" s="4">
        <v>42.375999999999998</v>
      </c>
      <c r="D18" s="4">
        <v>13.339</v>
      </c>
      <c r="E18" s="1" t="s">
        <v>1404</v>
      </c>
      <c r="F18" s="1">
        <v>1</v>
      </c>
      <c r="G18" s="1" t="s">
        <v>1263</v>
      </c>
      <c r="H18" s="1" t="s">
        <v>1145</v>
      </c>
      <c r="I18" s="1" t="s">
        <v>70</v>
      </c>
      <c r="J18" s="1" t="s">
        <v>1423</v>
      </c>
      <c r="K18" s="1"/>
    </row>
    <row r="19" spans="1:11" ht="19" customHeight="1">
      <c r="A19" s="1" t="s">
        <v>1424</v>
      </c>
      <c r="B19" s="1" t="s">
        <v>761</v>
      </c>
      <c r="C19" s="4">
        <v>41.0184</v>
      </c>
      <c r="D19" s="4">
        <v>15.111700000000001</v>
      </c>
      <c r="E19" s="1" t="s">
        <v>1396</v>
      </c>
      <c r="F19" s="1">
        <v>1</v>
      </c>
      <c r="G19" s="1" t="s">
        <v>1262</v>
      </c>
      <c r="H19" s="1" t="s">
        <v>758</v>
      </c>
      <c r="I19" s="1" t="s">
        <v>75</v>
      </c>
      <c r="J19" s="1" t="s">
        <v>1425</v>
      </c>
      <c r="K19" s="1"/>
    </row>
    <row r="20" spans="1:11" ht="19" customHeight="1">
      <c r="A20" s="1" t="s">
        <v>1424</v>
      </c>
      <c r="B20" s="1" t="s">
        <v>761</v>
      </c>
      <c r="C20" s="4">
        <v>41.0184</v>
      </c>
      <c r="D20" s="4">
        <v>15.111700000000001</v>
      </c>
      <c r="E20" s="1" t="s">
        <v>1404</v>
      </c>
      <c r="F20" s="1">
        <v>1</v>
      </c>
      <c r="G20" s="1" t="s">
        <v>1263</v>
      </c>
      <c r="H20" s="1" t="s">
        <v>1046</v>
      </c>
      <c r="I20" s="1" t="s">
        <v>70</v>
      </c>
      <c r="J20" s="1" t="s">
        <v>1426</v>
      </c>
      <c r="K20" s="1"/>
    </row>
    <row r="21" spans="1:11" ht="19" customHeight="1">
      <c r="A21" s="1" t="s">
        <v>1427</v>
      </c>
      <c r="B21" s="1" t="s">
        <v>1428</v>
      </c>
      <c r="C21" s="30">
        <v>42.622599999999998</v>
      </c>
      <c r="D21" s="30">
        <v>141.9204</v>
      </c>
      <c r="E21" s="1" t="s">
        <v>1396</v>
      </c>
      <c r="F21" s="1">
        <v>1</v>
      </c>
      <c r="G21" s="1" t="s">
        <v>1264</v>
      </c>
      <c r="H21" s="1" t="s">
        <v>681</v>
      </c>
      <c r="I21" s="1" t="s">
        <v>1368</v>
      </c>
      <c r="J21" s="1" t="s">
        <v>1429</v>
      </c>
      <c r="K21" s="1" t="s">
        <v>1430</v>
      </c>
    </row>
    <row r="22" spans="1:11" ht="19" customHeight="1">
      <c r="A22" s="1" t="s">
        <v>1431</v>
      </c>
      <c r="B22" s="1" t="s">
        <v>1432</v>
      </c>
      <c r="C22" s="4">
        <v>32.968000000000004</v>
      </c>
      <c r="D22" s="4">
        <v>131.04599999999999</v>
      </c>
      <c r="E22" s="1" t="s">
        <v>1396</v>
      </c>
      <c r="F22" s="1">
        <v>1</v>
      </c>
      <c r="G22" s="1" t="s">
        <v>1264</v>
      </c>
      <c r="H22" s="1" t="s">
        <v>1433</v>
      </c>
      <c r="I22" s="1" t="s">
        <v>79</v>
      </c>
      <c r="J22" s="1" t="s">
        <v>1434</v>
      </c>
      <c r="K22" s="1"/>
    </row>
    <row r="23" spans="1:11" ht="19" customHeight="1">
      <c r="A23" s="1" t="s">
        <v>1435</v>
      </c>
      <c r="B23" s="1" t="s">
        <v>1436</v>
      </c>
      <c r="C23" s="4">
        <v>32.822000000000003</v>
      </c>
      <c r="D23" s="4">
        <v>131.084</v>
      </c>
      <c r="E23" s="1" t="s">
        <v>1396</v>
      </c>
      <c r="F23" s="1">
        <v>1</v>
      </c>
      <c r="G23" s="1" t="s">
        <v>1264</v>
      </c>
      <c r="H23" s="1" t="s">
        <v>1433</v>
      </c>
      <c r="I23" s="1" t="s">
        <v>79</v>
      </c>
      <c r="J23" s="1" t="s">
        <v>1437</v>
      </c>
      <c r="K23" s="1"/>
    </row>
    <row r="24" spans="1:11" ht="19" customHeight="1">
      <c r="A24" s="1" t="s">
        <v>1438</v>
      </c>
      <c r="B24" s="1" t="s">
        <v>1439</v>
      </c>
      <c r="C24" s="4">
        <v>32.819000000000003</v>
      </c>
      <c r="D24" s="4">
        <v>131.03399999999999</v>
      </c>
      <c r="E24" s="1" t="s">
        <v>1396</v>
      </c>
      <c r="F24" s="1">
        <v>1</v>
      </c>
      <c r="G24" s="1" t="s">
        <v>1264</v>
      </c>
      <c r="H24" s="1" t="s">
        <v>1433</v>
      </c>
      <c r="I24" s="1" t="s">
        <v>79</v>
      </c>
      <c r="J24" s="1" t="s">
        <v>1440</v>
      </c>
      <c r="K24" s="1"/>
    </row>
    <row r="25" spans="1:11" ht="19" customHeight="1">
      <c r="A25" s="1" t="s">
        <v>1441</v>
      </c>
      <c r="B25" s="1" t="s">
        <v>1442</v>
      </c>
      <c r="C25" s="4">
        <v>32.856000000000002</v>
      </c>
      <c r="D25" s="4">
        <v>131.00299999999999</v>
      </c>
      <c r="E25" s="1" t="s">
        <v>1396</v>
      </c>
      <c r="F25" s="1">
        <v>1</v>
      </c>
      <c r="G25" s="1" t="s">
        <v>1264</v>
      </c>
      <c r="H25" s="1" t="s">
        <v>1433</v>
      </c>
      <c r="I25" s="1" t="s">
        <v>79</v>
      </c>
      <c r="J25" s="1" t="s">
        <v>1443</v>
      </c>
      <c r="K25" s="1"/>
    </row>
    <row r="26" spans="1:11" ht="19" customHeight="1">
      <c r="A26" s="1" t="s">
        <v>1444</v>
      </c>
      <c r="B26" s="1" t="s">
        <v>1445</v>
      </c>
      <c r="C26" s="4">
        <v>32.643000000000001</v>
      </c>
      <c r="D26" s="4">
        <v>130.67099999999999</v>
      </c>
      <c r="E26" s="1" t="s">
        <v>1396</v>
      </c>
      <c r="F26" s="1">
        <v>2</v>
      </c>
      <c r="G26" s="1" t="s">
        <v>1264</v>
      </c>
      <c r="H26" s="1" t="s">
        <v>1446</v>
      </c>
      <c r="I26" s="1" t="s">
        <v>79</v>
      </c>
      <c r="J26" s="1" t="s">
        <v>1447</v>
      </c>
      <c r="K26" s="1"/>
    </row>
    <row r="27" spans="1:11" ht="19" customHeight="1">
      <c r="A27" s="1" t="s">
        <v>1448</v>
      </c>
      <c r="B27" s="1" t="s">
        <v>1449</v>
      </c>
      <c r="C27" s="4">
        <v>32.706000000000003</v>
      </c>
      <c r="D27" s="4">
        <v>130.73099999999999</v>
      </c>
      <c r="E27" s="1" t="s">
        <v>1396</v>
      </c>
      <c r="F27" s="1">
        <v>1</v>
      </c>
      <c r="G27" s="1" t="s">
        <v>1264</v>
      </c>
      <c r="H27" s="1" t="s">
        <v>1450</v>
      </c>
      <c r="I27" s="1" t="s">
        <v>79</v>
      </c>
      <c r="J27" s="1" t="s">
        <v>1451</v>
      </c>
      <c r="K27" s="1"/>
    </row>
    <row r="28" spans="1:11" ht="19" customHeight="1">
      <c r="A28" s="1" t="s">
        <v>1452</v>
      </c>
      <c r="B28" s="1" t="s">
        <v>1453</v>
      </c>
      <c r="C28" s="4">
        <v>32.588999999999999</v>
      </c>
      <c r="D28" s="4">
        <v>130.70699999999999</v>
      </c>
      <c r="E28" s="1" t="s">
        <v>1396</v>
      </c>
      <c r="F28" s="1">
        <v>1</v>
      </c>
      <c r="G28" s="1" t="s">
        <v>1264</v>
      </c>
      <c r="H28" s="1" t="s">
        <v>1450</v>
      </c>
      <c r="I28" s="1" t="s">
        <v>79</v>
      </c>
      <c r="J28" s="1" t="s">
        <v>1454</v>
      </c>
      <c r="K28" s="1"/>
    </row>
    <row r="29" spans="1:11" ht="19" customHeight="1">
      <c r="A29" s="1" t="s">
        <v>1455</v>
      </c>
      <c r="B29" s="1" t="s">
        <v>1456</v>
      </c>
      <c r="C29" s="4">
        <v>32.636000000000003</v>
      </c>
      <c r="D29" s="4">
        <v>130.75200000000001</v>
      </c>
      <c r="E29" s="1" t="s">
        <v>1396</v>
      </c>
      <c r="F29" s="1">
        <v>2</v>
      </c>
      <c r="G29" s="1" t="s">
        <v>1264</v>
      </c>
      <c r="H29" s="1" t="s">
        <v>1446</v>
      </c>
      <c r="I29" s="1" t="s">
        <v>79</v>
      </c>
      <c r="J29" s="1" t="s">
        <v>1457</v>
      </c>
      <c r="K29" s="1"/>
    </row>
    <row r="30" spans="1:11" ht="19" customHeight="1">
      <c r="A30" s="1" t="s">
        <v>1458</v>
      </c>
      <c r="B30" s="1" t="s">
        <v>1459</v>
      </c>
      <c r="C30" s="4">
        <v>32.874000000000002</v>
      </c>
      <c r="D30" s="4">
        <v>130.55799999999999</v>
      </c>
      <c r="E30" s="1" t="s">
        <v>1396</v>
      </c>
      <c r="F30" s="1">
        <v>1</v>
      </c>
      <c r="G30" s="1" t="s">
        <v>1264</v>
      </c>
      <c r="H30" s="1" t="s">
        <v>1433</v>
      </c>
      <c r="I30" s="1" t="s">
        <v>79</v>
      </c>
      <c r="J30" s="1" t="s">
        <v>1460</v>
      </c>
      <c r="K30" s="1"/>
    </row>
    <row r="31" spans="1:11" ht="19" customHeight="1">
      <c r="A31" s="1" t="s">
        <v>1461</v>
      </c>
      <c r="B31" s="1" t="s">
        <v>1462</v>
      </c>
      <c r="C31" s="4">
        <v>32.860999999999997</v>
      </c>
      <c r="D31" s="4">
        <v>130.595</v>
      </c>
      <c r="E31" s="1" t="s">
        <v>1396</v>
      </c>
      <c r="F31" s="1">
        <v>1</v>
      </c>
      <c r="G31" s="1" t="s">
        <v>1264</v>
      </c>
      <c r="H31" s="1" t="s">
        <v>1433</v>
      </c>
      <c r="I31" s="1" t="s">
        <v>79</v>
      </c>
      <c r="J31" s="1" t="s">
        <v>1463</v>
      </c>
      <c r="K31" s="1"/>
    </row>
    <row r="32" spans="1:11" ht="19" customHeight="1">
      <c r="A32" s="1" t="s">
        <v>1464</v>
      </c>
      <c r="B32" s="1" t="s">
        <v>1465</v>
      </c>
      <c r="C32" s="4">
        <v>32.966000000000001</v>
      </c>
      <c r="D32" s="4">
        <v>130.767</v>
      </c>
      <c r="E32" s="1" t="s">
        <v>1396</v>
      </c>
      <c r="F32" s="1">
        <v>1</v>
      </c>
      <c r="G32" s="1" t="s">
        <v>1264</v>
      </c>
      <c r="H32" s="1" t="s">
        <v>1433</v>
      </c>
      <c r="I32" s="1" t="s">
        <v>79</v>
      </c>
      <c r="J32" s="1" t="s">
        <v>1466</v>
      </c>
      <c r="K32" s="1"/>
    </row>
    <row r="33" spans="1:11" ht="19" customHeight="1">
      <c r="A33" s="1" t="s">
        <v>1467</v>
      </c>
      <c r="B33" s="1" t="s">
        <v>1468</v>
      </c>
      <c r="C33" s="4">
        <v>32.942999999999998</v>
      </c>
      <c r="D33" s="4">
        <v>130.858</v>
      </c>
      <c r="E33" s="1" t="s">
        <v>1396</v>
      </c>
      <c r="F33" s="1">
        <v>1</v>
      </c>
      <c r="G33" s="1" t="s">
        <v>1264</v>
      </c>
      <c r="H33" s="1" t="s">
        <v>1433</v>
      </c>
      <c r="I33" s="1" t="s">
        <v>79</v>
      </c>
      <c r="J33" s="1" t="s">
        <v>1469</v>
      </c>
      <c r="K33" s="1"/>
    </row>
    <row r="34" spans="1:11" ht="19" customHeight="1">
      <c r="A34" s="1" t="s">
        <v>1470</v>
      </c>
      <c r="B34" s="1" t="s">
        <v>1471</v>
      </c>
      <c r="C34" s="4">
        <v>32.859000000000002</v>
      </c>
      <c r="D34" s="4">
        <v>130.83099999999999</v>
      </c>
      <c r="E34" s="1" t="s">
        <v>1396</v>
      </c>
      <c r="F34" s="1">
        <v>1</v>
      </c>
      <c r="G34" s="1" t="s">
        <v>1264</v>
      </c>
      <c r="H34" s="1" t="s">
        <v>1433</v>
      </c>
      <c r="I34" s="1" t="s">
        <v>79</v>
      </c>
      <c r="J34" s="1" t="s">
        <v>1472</v>
      </c>
      <c r="K34" s="1"/>
    </row>
    <row r="35" spans="1:11" ht="19" customHeight="1">
      <c r="A35" s="1" t="s">
        <v>1473</v>
      </c>
      <c r="B35" s="1" t="s">
        <v>1474</v>
      </c>
      <c r="C35" s="4">
        <v>32.831000000000003</v>
      </c>
      <c r="D35" s="4">
        <v>130.905</v>
      </c>
      <c r="E35" s="1" t="s">
        <v>1396</v>
      </c>
      <c r="F35" s="1">
        <v>1</v>
      </c>
      <c r="G35" s="1" t="s">
        <v>1264</v>
      </c>
      <c r="H35" s="1" t="s">
        <v>1433</v>
      </c>
      <c r="I35" s="1" t="s">
        <v>79</v>
      </c>
      <c r="J35" s="1" t="s">
        <v>1475</v>
      </c>
      <c r="K35" s="1"/>
    </row>
    <row r="36" spans="1:11" ht="19" customHeight="1">
      <c r="A36" s="1" t="s">
        <v>1476</v>
      </c>
      <c r="B36" s="1" t="s">
        <v>1477</v>
      </c>
      <c r="C36" s="4">
        <v>32.735999999999997</v>
      </c>
      <c r="D36" s="4">
        <v>130.75899999999999</v>
      </c>
      <c r="E36" s="1" t="s">
        <v>1396</v>
      </c>
      <c r="F36" s="1">
        <v>1</v>
      </c>
      <c r="G36" s="1" t="s">
        <v>1264</v>
      </c>
      <c r="H36" s="1" t="s">
        <v>1450</v>
      </c>
      <c r="I36" s="1" t="s">
        <v>79</v>
      </c>
      <c r="J36" s="1" t="s">
        <v>1478</v>
      </c>
      <c r="K36" s="1"/>
    </row>
    <row r="37" spans="1:11" ht="19" customHeight="1">
      <c r="A37" s="1" t="s">
        <v>1479</v>
      </c>
      <c r="B37" s="1" t="s">
        <v>1480</v>
      </c>
      <c r="C37" s="4">
        <v>32.787999999999997</v>
      </c>
      <c r="D37" s="4">
        <v>130.81899999999999</v>
      </c>
      <c r="E37" s="1" t="s">
        <v>1396</v>
      </c>
      <c r="F37" s="1">
        <v>2</v>
      </c>
      <c r="G37" s="1" t="s">
        <v>1264</v>
      </c>
      <c r="H37" s="1" t="s">
        <v>1446</v>
      </c>
      <c r="I37" s="1" t="s">
        <v>79</v>
      </c>
      <c r="J37" s="1" t="s">
        <v>1481</v>
      </c>
      <c r="K37" s="1"/>
    </row>
    <row r="38" spans="1:11" ht="19" customHeight="1">
      <c r="A38" s="1" t="s">
        <v>1482</v>
      </c>
      <c r="B38" s="1" t="s">
        <v>1483</v>
      </c>
      <c r="C38" s="4">
        <v>32.530999999999999</v>
      </c>
      <c r="D38" s="4">
        <v>130.63499999999999</v>
      </c>
      <c r="E38" s="1" t="s">
        <v>1396</v>
      </c>
      <c r="F38" s="1">
        <v>2</v>
      </c>
      <c r="G38" s="1" t="s">
        <v>1264</v>
      </c>
      <c r="H38" s="1" t="s">
        <v>1446</v>
      </c>
      <c r="I38" s="1" t="s">
        <v>79</v>
      </c>
      <c r="J38" s="1" t="s">
        <v>1484</v>
      </c>
      <c r="K38" s="1"/>
    </row>
    <row r="39" spans="1:11" ht="19" customHeight="1">
      <c r="A39" s="1" t="s">
        <v>1485</v>
      </c>
      <c r="B39" s="1" t="s">
        <v>1486</v>
      </c>
      <c r="C39" s="4">
        <v>32.558999999999997</v>
      </c>
      <c r="D39" s="4">
        <v>130.65100000000001</v>
      </c>
      <c r="E39" s="1" t="s">
        <v>1396</v>
      </c>
      <c r="F39" s="1">
        <v>2</v>
      </c>
      <c r="G39" s="1" t="s">
        <v>1264</v>
      </c>
      <c r="H39" s="1" t="s">
        <v>1446</v>
      </c>
      <c r="I39" s="1" t="s">
        <v>79</v>
      </c>
      <c r="J39" s="1" t="s">
        <v>1487</v>
      </c>
      <c r="K39" s="1"/>
    </row>
    <row r="40" spans="1:11" ht="19" customHeight="1">
      <c r="A40" s="1" t="s">
        <v>1488</v>
      </c>
      <c r="B40" s="1" t="s">
        <v>1489</v>
      </c>
      <c r="C40" s="4">
        <v>32.579000000000001</v>
      </c>
      <c r="D40" s="4">
        <v>130.67599999999999</v>
      </c>
      <c r="E40" s="1" t="s">
        <v>1396</v>
      </c>
      <c r="F40" s="1">
        <v>2</v>
      </c>
      <c r="G40" s="1" t="s">
        <v>1264</v>
      </c>
      <c r="H40" s="1" t="s">
        <v>1446</v>
      </c>
      <c r="I40" s="1" t="s">
        <v>79</v>
      </c>
      <c r="J40" s="1" t="s">
        <v>1490</v>
      </c>
      <c r="K40" s="1"/>
    </row>
    <row r="41" spans="1:11" ht="19" customHeight="1">
      <c r="A41" s="1" t="s">
        <v>1491</v>
      </c>
      <c r="B41" s="1" t="s">
        <v>1492</v>
      </c>
      <c r="C41" s="4">
        <v>32.552</v>
      </c>
      <c r="D41" s="4">
        <v>130.685</v>
      </c>
      <c r="E41" s="1" t="s">
        <v>1396</v>
      </c>
      <c r="F41" s="1">
        <v>1</v>
      </c>
      <c r="G41" s="1" t="s">
        <v>1264</v>
      </c>
      <c r="H41" s="1" t="s">
        <v>1450</v>
      </c>
      <c r="I41" s="1" t="s">
        <v>79</v>
      </c>
      <c r="J41" s="1" t="s">
        <v>1493</v>
      </c>
      <c r="K41" s="1"/>
    </row>
    <row r="42" spans="1:11" ht="19" customHeight="1">
      <c r="A42" s="1" t="s">
        <v>1494</v>
      </c>
      <c r="B42" s="1" t="s">
        <v>1495</v>
      </c>
      <c r="C42" s="4">
        <v>32.875999999999998</v>
      </c>
      <c r="D42" s="4">
        <v>130.87100000000001</v>
      </c>
      <c r="E42" s="1" t="s">
        <v>1396</v>
      </c>
      <c r="F42" s="1">
        <v>1</v>
      </c>
      <c r="G42" s="1" t="s">
        <v>1264</v>
      </c>
      <c r="H42" s="1" t="s">
        <v>1433</v>
      </c>
      <c r="I42" s="1" t="s">
        <v>79</v>
      </c>
      <c r="J42" s="1" t="s">
        <v>1496</v>
      </c>
      <c r="K42" s="1"/>
    </row>
    <row r="43" spans="1:11" ht="19" customHeight="1">
      <c r="A43" s="1" t="s">
        <v>1497</v>
      </c>
      <c r="B43" s="1" t="s">
        <v>1246</v>
      </c>
      <c r="C43" s="4">
        <v>32.648000000000003</v>
      </c>
      <c r="D43" s="4">
        <v>130.684</v>
      </c>
      <c r="E43" s="1" t="s">
        <v>1396</v>
      </c>
      <c r="F43" s="1">
        <v>2</v>
      </c>
      <c r="G43" s="1" t="s">
        <v>1264</v>
      </c>
      <c r="H43" s="1" t="s">
        <v>1446</v>
      </c>
      <c r="I43" s="1" t="s">
        <v>79</v>
      </c>
      <c r="J43" s="1" t="s">
        <v>1498</v>
      </c>
      <c r="K43" s="1"/>
    </row>
    <row r="44" spans="1:11" ht="19" customHeight="1">
      <c r="A44" s="1" t="s">
        <v>1499</v>
      </c>
      <c r="B44" s="1" t="s">
        <v>1247</v>
      </c>
      <c r="C44" s="4">
        <v>32.880000000000003</v>
      </c>
      <c r="D44" s="4">
        <v>131.07400000000001</v>
      </c>
      <c r="E44" s="1" t="s">
        <v>1396</v>
      </c>
      <c r="F44" s="1">
        <v>1</v>
      </c>
      <c r="G44" s="1" t="s">
        <v>1264</v>
      </c>
      <c r="H44" s="1" t="s">
        <v>1433</v>
      </c>
      <c r="I44" s="1" t="s">
        <v>79</v>
      </c>
      <c r="J44" s="1" t="s">
        <v>1500</v>
      </c>
      <c r="K44" s="1"/>
    </row>
    <row r="45" spans="1:11" ht="19" customHeight="1">
      <c r="A45" s="1" t="s">
        <v>1501</v>
      </c>
      <c r="B45" s="1" t="s">
        <v>1251</v>
      </c>
      <c r="C45" s="4">
        <v>42.575000000000003</v>
      </c>
      <c r="D45" s="4">
        <v>141.92789999999999</v>
      </c>
      <c r="E45" s="1" t="s">
        <v>1396</v>
      </c>
      <c r="F45" s="1">
        <v>1</v>
      </c>
      <c r="G45" s="1" t="s">
        <v>1264</v>
      </c>
      <c r="H45" s="1" t="s">
        <v>681</v>
      </c>
      <c r="I45" s="1" t="s">
        <v>98</v>
      </c>
      <c r="J45" s="1" t="s">
        <v>1251</v>
      </c>
      <c r="K45" s="1"/>
    </row>
    <row r="46" spans="1:11" ht="19" customHeight="1">
      <c r="A46" s="1" t="s">
        <v>1502</v>
      </c>
      <c r="B46" s="1" t="s">
        <v>1252</v>
      </c>
      <c r="C46" s="4">
        <v>42.765500000000003</v>
      </c>
      <c r="D46" s="4">
        <v>141.82210000000001</v>
      </c>
      <c r="E46" s="1" t="s">
        <v>1396</v>
      </c>
      <c r="F46" s="1">
        <v>1</v>
      </c>
      <c r="G46" s="1" t="s">
        <v>1264</v>
      </c>
      <c r="H46" s="1" t="s">
        <v>681</v>
      </c>
      <c r="I46" s="1" t="s">
        <v>98</v>
      </c>
      <c r="J46" s="1" t="s">
        <v>1252</v>
      </c>
      <c r="K46" s="1"/>
    </row>
    <row r="47" spans="1:11" ht="19" customHeight="1">
      <c r="A47" s="1" t="s">
        <v>1503</v>
      </c>
      <c r="B47" s="1" t="s">
        <v>1253</v>
      </c>
      <c r="C47" s="4">
        <v>42.873899999999999</v>
      </c>
      <c r="D47" s="4">
        <v>141.81909999999999</v>
      </c>
      <c r="E47" s="1" t="s">
        <v>1396</v>
      </c>
      <c r="F47" s="1">
        <v>1</v>
      </c>
      <c r="G47" s="1" t="s">
        <v>1264</v>
      </c>
      <c r="H47" s="1" t="s">
        <v>681</v>
      </c>
      <c r="I47" s="1" t="s">
        <v>105</v>
      </c>
      <c r="J47" s="1" t="s">
        <v>1504</v>
      </c>
      <c r="K47" s="1"/>
    </row>
    <row r="48" spans="1:11" ht="19" customHeight="1">
      <c r="A48" s="1" t="s">
        <v>1505</v>
      </c>
      <c r="B48" s="1" t="s">
        <v>962</v>
      </c>
      <c r="C48" s="4">
        <v>36.764200000000002</v>
      </c>
      <c r="D48" s="4">
        <v>138.255</v>
      </c>
      <c r="E48" s="1" t="s">
        <v>1396</v>
      </c>
      <c r="F48" s="1">
        <v>1</v>
      </c>
      <c r="G48" s="1" t="s">
        <v>1262</v>
      </c>
      <c r="H48" s="1" t="s">
        <v>954</v>
      </c>
      <c r="I48" s="1" t="s">
        <v>75</v>
      </c>
      <c r="J48" s="1" t="s">
        <v>1506</v>
      </c>
      <c r="K48" s="1"/>
    </row>
    <row r="49" spans="1:11" ht="19" customHeight="1">
      <c r="A49" s="1" t="s">
        <v>1507</v>
      </c>
      <c r="B49" s="1" t="s">
        <v>965</v>
      </c>
      <c r="C49" s="4">
        <v>38.966099999999997</v>
      </c>
      <c r="D49" s="4">
        <v>141.00470000000001</v>
      </c>
      <c r="E49" s="1" t="s">
        <v>1396</v>
      </c>
      <c r="F49" s="1">
        <v>1</v>
      </c>
      <c r="G49" s="1" t="s">
        <v>1262</v>
      </c>
      <c r="H49" s="1" t="s">
        <v>595</v>
      </c>
      <c r="I49" s="1" t="s">
        <v>75</v>
      </c>
      <c r="J49" s="1" t="s">
        <v>1508</v>
      </c>
      <c r="K49" s="1"/>
    </row>
    <row r="50" spans="1:11" ht="19" customHeight="1">
      <c r="A50" s="1" t="s">
        <v>1509</v>
      </c>
      <c r="B50" s="1" t="s">
        <v>955</v>
      </c>
      <c r="C50" s="4">
        <v>37.273600000000002</v>
      </c>
      <c r="D50" s="4">
        <v>138.39439999999999</v>
      </c>
      <c r="E50" s="1" t="s">
        <v>1396</v>
      </c>
      <c r="F50" s="1">
        <v>1</v>
      </c>
      <c r="G50" s="1" t="s">
        <v>1262</v>
      </c>
      <c r="H50" s="1" t="s">
        <v>954</v>
      </c>
      <c r="I50" s="1" t="s">
        <v>75</v>
      </c>
      <c r="J50" s="1" t="s">
        <v>1510</v>
      </c>
      <c r="K50" s="1"/>
    </row>
    <row r="51" spans="1:11" ht="19" customHeight="1">
      <c r="A51" s="1" t="s">
        <v>1509</v>
      </c>
      <c r="B51" s="1" t="s">
        <v>955</v>
      </c>
      <c r="C51" s="4">
        <v>37.273600000000002</v>
      </c>
      <c r="D51" s="4">
        <v>138.39439999999999</v>
      </c>
      <c r="E51" s="1" t="s">
        <v>1404</v>
      </c>
      <c r="F51" s="1">
        <v>1</v>
      </c>
      <c r="G51" s="1" t="s">
        <v>1263</v>
      </c>
      <c r="H51" s="1" t="s">
        <v>1137</v>
      </c>
      <c r="I51" s="1" t="s">
        <v>70</v>
      </c>
      <c r="J51" s="1" t="s">
        <v>1511</v>
      </c>
      <c r="K51" s="1"/>
    </row>
    <row r="52" spans="1:11" ht="19" customHeight="1">
      <c r="A52" s="1" t="s">
        <v>1512</v>
      </c>
      <c r="B52" s="1" t="s">
        <v>961</v>
      </c>
      <c r="C52" s="4">
        <v>37.104999999999997</v>
      </c>
      <c r="D52" s="4">
        <v>138.25</v>
      </c>
      <c r="E52" s="1" t="s">
        <v>1396</v>
      </c>
      <c r="F52" s="1">
        <v>1</v>
      </c>
      <c r="G52" s="1" t="s">
        <v>1262</v>
      </c>
      <c r="H52" s="1" t="s">
        <v>954</v>
      </c>
      <c r="I52" s="1" t="s">
        <v>75</v>
      </c>
      <c r="J52" s="1" t="s">
        <v>1513</v>
      </c>
      <c r="K52" s="1"/>
    </row>
    <row r="53" spans="1:11" ht="19" customHeight="1">
      <c r="A53" s="1" t="s">
        <v>1514</v>
      </c>
      <c r="B53" s="1" t="s">
        <v>959</v>
      </c>
      <c r="C53" s="4">
        <v>37.418900000000001</v>
      </c>
      <c r="D53" s="4">
        <v>138.6258</v>
      </c>
      <c r="E53" s="1" t="s">
        <v>1396</v>
      </c>
      <c r="F53" s="1">
        <v>1</v>
      </c>
      <c r="G53" s="1" t="s">
        <v>1262</v>
      </c>
      <c r="H53" s="1" t="s">
        <v>954</v>
      </c>
      <c r="I53" s="1" t="s">
        <v>75</v>
      </c>
      <c r="J53" s="1" t="s">
        <v>1515</v>
      </c>
      <c r="K53" s="1"/>
    </row>
    <row r="54" spans="1:11" ht="19" customHeight="1">
      <c r="A54" s="1" t="s">
        <v>1516</v>
      </c>
      <c r="B54" s="1" t="s">
        <v>957</v>
      </c>
      <c r="C54" s="4">
        <v>37.368600000000001</v>
      </c>
      <c r="D54" s="4">
        <v>138.56190000000001</v>
      </c>
      <c r="E54" s="1" t="s">
        <v>1396</v>
      </c>
      <c r="F54" s="1">
        <v>1</v>
      </c>
      <c r="G54" s="1" t="s">
        <v>1262</v>
      </c>
      <c r="H54" s="1" t="s">
        <v>954</v>
      </c>
      <c r="I54" s="1" t="s">
        <v>75</v>
      </c>
      <c r="J54" s="1" t="s">
        <v>1517</v>
      </c>
      <c r="K54" s="1"/>
    </row>
    <row r="55" spans="1:11" ht="19" customHeight="1">
      <c r="A55" s="1" t="s">
        <v>1518</v>
      </c>
      <c r="B55" s="1" t="s">
        <v>854</v>
      </c>
      <c r="C55" s="4">
        <v>34.683300000000003</v>
      </c>
      <c r="D55" s="4">
        <v>135.18</v>
      </c>
      <c r="E55" s="1" t="s">
        <v>1396</v>
      </c>
      <c r="F55" s="1">
        <v>1</v>
      </c>
      <c r="G55" s="1" t="s">
        <v>1262</v>
      </c>
      <c r="H55" s="1" t="s">
        <v>853</v>
      </c>
      <c r="I55" s="1" t="s">
        <v>75</v>
      </c>
      <c r="J55" s="1" t="s">
        <v>1519</v>
      </c>
      <c r="K55" s="1"/>
    </row>
    <row r="56" spans="1:11" ht="19" customHeight="1">
      <c r="A56" s="1" t="s">
        <v>1518</v>
      </c>
      <c r="B56" s="1" t="s">
        <v>854</v>
      </c>
      <c r="C56" s="4">
        <v>34.683300000000003</v>
      </c>
      <c r="D56" s="4">
        <v>135.18</v>
      </c>
      <c r="E56" s="1" t="s">
        <v>1404</v>
      </c>
      <c r="F56" s="1">
        <v>1</v>
      </c>
      <c r="G56" s="1" t="s">
        <v>1263</v>
      </c>
      <c r="H56" s="1" t="s">
        <v>1062</v>
      </c>
      <c r="I56" s="1" t="s">
        <v>70</v>
      </c>
      <c r="J56" s="1" t="s">
        <v>1520</v>
      </c>
      <c r="K56" s="1"/>
    </row>
    <row r="57" spans="1:11" ht="19" customHeight="1">
      <c r="A57" s="1" t="s">
        <v>1521</v>
      </c>
      <c r="B57" s="1" t="s">
        <v>1195</v>
      </c>
      <c r="C57" s="4">
        <v>32.932000000000002</v>
      </c>
      <c r="D57" s="4">
        <v>131.12139999999999</v>
      </c>
      <c r="E57" s="1" t="s">
        <v>1396</v>
      </c>
      <c r="F57" s="1">
        <v>1</v>
      </c>
      <c r="G57" s="1" t="s">
        <v>1264</v>
      </c>
      <c r="H57" s="1" t="s">
        <v>1433</v>
      </c>
      <c r="I57" s="1" t="s">
        <v>70</v>
      </c>
      <c r="J57" s="1" t="s">
        <v>1522</v>
      </c>
      <c r="K57" s="1"/>
    </row>
    <row r="58" spans="1:11" ht="19" customHeight="1">
      <c r="A58" s="1" t="s">
        <v>1521</v>
      </c>
      <c r="B58" s="1" t="s">
        <v>1195</v>
      </c>
      <c r="C58" s="4">
        <v>32.932000000000002</v>
      </c>
      <c r="D58" s="4">
        <v>131.12139999999999</v>
      </c>
      <c r="E58" s="1" t="s">
        <v>1404</v>
      </c>
      <c r="F58" s="1">
        <v>1</v>
      </c>
      <c r="G58" s="1" t="s">
        <v>1263</v>
      </c>
      <c r="H58" s="1" t="s">
        <v>1194</v>
      </c>
      <c r="I58" s="1" t="s">
        <v>70</v>
      </c>
      <c r="J58" s="1" t="s">
        <v>1522</v>
      </c>
      <c r="K58" s="1"/>
    </row>
    <row r="59" spans="1:11" ht="19" customHeight="1">
      <c r="A59" s="1" t="s">
        <v>1523</v>
      </c>
      <c r="B59" s="1" t="s">
        <v>1197</v>
      </c>
      <c r="C59" s="4">
        <v>32.876100000000001</v>
      </c>
      <c r="D59" s="4">
        <v>130.87739999999999</v>
      </c>
      <c r="E59" s="1" t="s">
        <v>1396</v>
      </c>
      <c r="F59" s="1">
        <v>1</v>
      </c>
      <c r="G59" s="1" t="s">
        <v>1264</v>
      </c>
      <c r="H59" s="1" t="s">
        <v>1433</v>
      </c>
      <c r="I59" s="1" t="s">
        <v>70</v>
      </c>
      <c r="J59" s="1" t="s">
        <v>1524</v>
      </c>
      <c r="K59" s="1"/>
    </row>
    <row r="60" spans="1:11" ht="19" customHeight="1">
      <c r="A60" s="1" t="s">
        <v>1523</v>
      </c>
      <c r="B60" s="1" t="s">
        <v>1197</v>
      </c>
      <c r="C60" s="4">
        <v>32.876100000000001</v>
      </c>
      <c r="D60" s="4">
        <v>130.87739999999999</v>
      </c>
      <c r="E60" s="1" t="s">
        <v>1404</v>
      </c>
      <c r="F60" s="1">
        <v>1</v>
      </c>
      <c r="G60" s="1" t="s">
        <v>1263</v>
      </c>
      <c r="H60" s="1" t="s">
        <v>1194</v>
      </c>
      <c r="I60" s="1" t="s">
        <v>70</v>
      </c>
      <c r="J60" s="1" t="s">
        <v>1524</v>
      </c>
      <c r="K60" s="1"/>
    </row>
    <row r="61" spans="1:11" ht="19" customHeight="1">
      <c r="A61" s="1" t="s">
        <v>1525</v>
      </c>
      <c r="B61" s="1" t="s">
        <v>1198</v>
      </c>
      <c r="C61" s="4">
        <v>32.793399999999998</v>
      </c>
      <c r="D61" s="4">
        <v>130.77719999999999</v>
      </c>
      <c r="E61" s="1" t="s">
        <v>1396</v>
      </c>
      <c r="F61" s="1">
        <v>1</v>
      </c>
      <c r="G61" s="1" t="s">
        <v>1264</v>
      </c>
      <c r="H61" s="1" t="s">
        <v>1433</v>
      </c>
      <c r="I61" s="1" t="s">
        <v>70</v>
      </c>
      <c r="J61" s="1" t="s">
        <v>1526</v>
      </c>
      <c r="K61" s="1"/>
    </row>
    <row r="62" spans="1:11" ht="19" customHeight="1">
      <c r="A62" s="1" t="s">
        <v>1525</v>
      </c>
      <c r="B62" s="1" t="s">
        <v>1198</v>
      </c>
      <c r="C62" s="4">
        <v>32.793399999999998</v>
      </c>
      <c r="D62" s="4">
        <v>130.77719999999999</v>
      </c>
      <c r="E62" s="1" t="s">
        <v>1404</v>
      </c>
      <c r="F62" s="1">
        <v>1</v>
      </c>
      <c r="G62" s="1" t="s">
        <v>1263</v>
      </c>
      <c r="H62" s="1" t="s">
        <v>1194</v>
      </c>
      <c r="I62" s="1" t="s">
        <v>70</v>
      </c>
      <c r="J62" s="1" t="s">
        <v>1526</v>
      </c>
      <c r="K62" s="1"/>
    </row>
    <row r="63" spans="1:11" ht="19" customHeight="1">
      <c r="A63" s="1" t="s">
        <v>1527</v>
      </c>
      <c r="B63" s="1" t="s">
        <v>1199</v>
      </c>
      <c r="C63" s="4">
        <v>32.826700000000002</v>
      </c>
      <c r="D63" s="4">
        <v>131.12260000000001</v>
      </c>
      <c r="E63" s="1" t="s">
        <v>1396</v>
      </c>
      <c r="F63" s="1">
        <v>1</v>
      </c>
      <c r="G63" s="1" t="s">
        <v>1264</v>
      </c>
      <c r="H63" s="1" t="s">
        <v>1433</v>
      </c>
      <c r="I63" s="1" t="s">
        <v>70</v>
      </c>
      <c r="J63" s="1" t="s">
        <v>1528</v>
      </c>
      <c r="K63" s="1"/>
    </row>
    <row r="64" spans="1:11" ht="19" customHeight="1">
      <c r="A64" s="1" t="s">
        <v>1527</v>
      </c>
      <c r="B64" s="1" t="s">
        <v>1199</v>
      </c>
      <c r="C64" s="4">
        <v>32.826700000000002</v>
      </c>
      <c r="D64" s="4">
        <v>131.12260000000001</v>
      </c>
      <c r="E64" s="1" t="s">
        <v>1404</v>
      </c>
      <c r="F64" s="1">
        <v>1</v>
      </c>
      <c r="G64" s="1" t="s">
        <v>1263</v>
      </c>
      <c r="H64" s="1" t="s">
        <v>1194</v>
      </c>
      <c r="I64" s="1" t="s">
        <v>70</v>
      </c>
      <c r="J64" s="1" t="s">
        <v>1528</v>
      </c>
      <c r="K64" s="1"/>
    </row>
    <row r="65" spans="1:11" ht="19" customHeight="1">
      <c r="A65" s="1" t="s">
        <v>1529</v>
      </c>
      <c r="B65" s="1" t="s">
        <v>1248</v>
      </c>
      <c r="C65" s="4">
        <v>32.997999999999998</v>
      </c>
      <c r="D65" s="4">
        <v>130.83000000000001</v>
      </c>
      <c r="E65" s="1" t="s">
        <v>1396</v>
      </c>
      <c r="F65" s="1">
        <v>1</v>
      </c>
      <c r="G65" s="1" t="s">
        <v>1264</v>
      </c>
      <c r="H65" s="1" t="s">
        <v>1433</v>
      </c>
      <c r="I65" s="1" t="s">
        <v>79</v>
      </c>
      <c r="J65" s="1" t="s">
        <v>1530</v>
      </c>
      <c r="K65" s="1"/>
    </row>
    <row r="66" spans="1:11" ht="19" customHeight="1">
      <c r="A66" s="1" t="s">
        <v>1531</v>
      </c>
      <c r="B66" s="1" t="s">
        <v>1200</v>
      </c>
      <c r="C66" s="4">
        <v>32.998399999999997</v>
      </c>
      <c r="D66" s="4">
        <v>130.83009999999999</v>
      </c>
      <c r="E66" s="1" t="s">
        <v>1404</v>
      </c>
      <c r="F66" s="1">
        <v>1</v>
      </c>
      <c r="G66" s="1" t="s">
        <v>1263</v>
      </c>
      <c r="H66" s="1" t="s">
        <v>1194</v>
      </c>
      <c r="I66" s="1" t="s">
        <v>70</v>
      </c>
      <c r="J66" s="1" t="s">
        <v>1532</v>
      </c>
      <c r="K66" s="1"/>
    </row>
    <row r="67" spans="1:11" ht="19" customHeight="1">
      <c r="A67" s="1" t="s">
        <v>1533</v>
      </c>
      <c r="B67" s="1" t="s">
        <v>1249</v>
      </c>
      <c r="C67" s="4">
        <v>32.951000000000001</v>
      </c>
      <c r="D67" s="4">
        <v>131.02000000000001</v>
      </c>
      <c r="E67" s="1" t="s">
        <v>1396</v>
      </c>
      <c r="F67" s="1">
        <v>1</v>
      </c>
      <c r="G67" s="1" t="s">
        <v>1264</v>
      </c>
      <c r="H67" s="1" t="s">
        <v>1433</v>
      </c>
      <c r="I67" s="1" t="s">
        <v>79</v>
      </c>
      <c r="J67" s="1" t="s">
        <v>1534</v>
      </c>
      <c r="K67" s="1"/>
    </row>
    <row r="68" spans="1:11" ht="19" customHeight="1">
      <c r="A68" s="1" t="s">
        <v>1535</v>
      </c>
      <c r="B68" s="1" t="s">
        <v>1250</v>
      </c>
      <c r="C68" s="4">
        <v>32.634999999999998</v>
      </c>
      <c r="D68" s="4">
        <v>130.75200000000001</v>
      </c>
      <c r="E68" s="1" t="s">
        <v>1396</v>
      </c>
      <c r="F68" s="1">
        <v>1</v>
      </c>
      <c r="G68" s="1" t="s">
        <v>1264</v>
      </c>
      <c r="H68" s="1" t="s">
        <v>1450</v>
      </c>
      <c r="I68" s="1" t="s">
        <v>79</v>
      </c>
      <c r="J68" s="1" t="s">
        <v>1536</v>
      </c>
      <c r="K68" s="1"/>
    </row>
    <row r="69" spans="1:11" ht="19" customHeight="1">
      <c r="A69" s="1" t="s">
        <v>1537</v>
      </c>
      <c r="B69" s="1" t="s">
        <v>1201</v>
      </c>
      <c r="C69" s="4">
        <v>32.796700000000001</v>
      </c>
      <c r="D69" s="4">
        <v>130.81989999999999</v>
      </c>
      <c r="E69" s="1" t="s">
        <v>1404</v>
      </c>
      <c r="F69" s="1">
        <v>1</v>
      </c>
      <c r="G69" s="1" t="s">
        <v>1263</v>
      </c>
      <c r="H69" s="1" t="s">
        <v>1194</v>
      </c>
      <c r="I69" s="1" t="s">
        <v>70</v>
      </c>
      <c r="J69" s="1" t="s">
        <v>1538</v>
      </c>
      <c r="K69" s="1"/>
    </row>
    <row r="70" spans="1:11" ht="19" customHeight="1">
      <c r="A70" s="1" t="s">
        <v>1539</v>
      </c>
      <c r="B70" s="1" t="s">
        <v>966</v>
      </c>
      <c r="C70" s="4">
        <v>38.755000000000003</v>
      </c>
      <c r="D70" s="4">
        <v>140.52279999999999</v>
      </c>
      <c r="E70" s="1" t="s">
        <v>1396</v>
      </c>
      <c r="F70" s="1">
        <v>1</v>
      </c>
      <c r="G70" s="1" t="s">
        <v>1262</v>
      </c>
      <c r="H70" s="1" t="s">
        <v>595</v>
      </c>
      <c r="I70" s="1" t="s">
        <v>75</v>
      </c>
      <c r="J70" s="1" t="s">
        <v>1540</v>
      </c>
      <c r="K70" s="1"/>
    </row>
    <row r="71" spans="1:11" ht="19" customHeight="1">
      <c r="A71" s="1" t="s">
        <v>1541</v>
      </c>
      <c r="B71" s="1" t="s">
        <v>939</v>
      </c>
      <c r="C71" s="4">
        <v>37.128100000000003</v>
      </c>
      <c r="D71" s="4">
        <v>138.74680000000001</v>
      </c>
      <c r="E71" s="1" t="s">
        <v>1396</v>
      </c>
      <c r="F71" s="1">
        <v>1</v>
      </c>
      <c r="G71" s="1" t="s">
        <v>1262</v>
      </c>
      <c r="H71" s="1" t="s">
        <v>938</v>
      </c>
      <c r="I71" s="1" t="s">
        <v>75</v>
      </c>
      <c r="J71" s="1" t="s">
        <v>1542</v>
      </c>
      <c r="K71" s="1"/>
    </row>
    <row r="72" spans="1:11" ht="19" customHeight="1">
      <c r="A72" s="1" t="s">
        <v>1541</v>
      </c>
      <c r="B72" s="1" t="s">
        <v>939</v>
      </c>
      <c r="C72" s="4">
        <v>37.128100000000003</v>
      </c>
      <c r="D72" s="4">
        <v>138.74680000000001</v>
      </c>
      <c r="E72" s="1" t="s">
        <v>1404</v>
      </c>
      <c r="F72" s="1">
        <v>1</v>
      </c>
      <c r="G72" s="1" t="s">
        <v>1263</v>
      </c>
      <c r="H72" s="1" t="s">
        <v>1123</v>
      </c>
      <c r="I72" s="1" t="s">
        <v>70</v>
      </c>
      <c r="J72" s="1" t="s">
        <v>1543</v>
      </c>
      <c r="K72" s="1"/>
    </row>
    <row r="73" spans="1:11" ht="19" customHeight="1">
      <c r="A73" s="1" t="s">
        <v>1544</v>
      </c>
      <c r="B73" s="1" t="s">
        <v>940</v>
      </c>
      <c r="C73" s="4">
        <v>37.169699999999999</v>
      </c>
      <c r="D73" s="4">
        <v>138.74719999999999</v>
      </c>
      <c r="E73" s="1" t="s">
        <v>1396</v>
      </c>
      <c r="F73" s="1">
        <v>1</v>
      </c>
      <c r="G73" s="1" t="s">
        <v>1262</v>
      </c>
      <c r="H73" s="1" t="s">
        <v>938</v>
      </c>
      <c r="I73" s="1" t="s">
        <v>75</v>
      </c>
      <c r="J73" s="1" t="s">
        <v>1545</v>
      </c>
      <c r="K73" s="1"/>
    </row>
    <row r="74" spans="1:11" ht="19" customHeight="1">
      <c r="A74" s="1" t="s">
        <v>1544</v>
      </c>
      <c r="B74" s="1" t="s">
        <v>940</v>
      </c>
      <c r="C74" s="4">
        <v>37.169699999999999</v>
      </c>
      <c r="D74" s="4">
        <v>138.74719999999999</v>
      </c>
      <c r="E74" s="1" t="s">
        <v>1404</v>
      </c>
      <c r="F74" s="1">
        <v>1</v>
      </c>
      <c r="G74" s="1" t="s">
        <v>1263</v>
      </c>
      <c r="H74" s="1" t="s">
        <v>1123</v>
      </c>
      <c r="I74" s="1" t="s">
        <v>70</v>
      </c>
      <c r="J74" s="1" t="s">
        <v>1546</v>
      </c>
      <c r="K74" s="1"/>
    </row>
    <row r="75" spans="1:11" ht="19" customHeight="1">
      <c r="A75" s="1" t="s">
        <v>1547</v>
      </c>
      <c r="B75" s="1" t="s">
        <v>958</v>
      </c>
      <c r="C75" s="4">
        <v>37.302199999999999</v>
      </c>
      <c r="D75" s="4">
        <v>138.7122</v>
      </c>
      <c r="E75" s="1" t="s">
        <v>1396</v>
      </c>
      <c r="F75" s="1">
        <v>1</v>
      </c>
      <c r="G75" s="1" t="s">
        <v>1262</v>
      </c>
      <c r="H75" s="1" t="s">
        <v>954</v>
      </c>
      <c r="I75" s="1" t="s">
        <v>75</v>
      </c>
      <c r="J75" s="1" t="s">
        <v>1548</v>
      </c>
      <c r="K75" s="1"/>
    </row>
    <row r="76" spans="1:11" ht="19" customHeight="1">
      <c r="A76" s="1" t="s">
        <v>1549</v>
      </c>
      <c r="B76" s="1" t="s">
        <v>855</v>
      </c>
      <c r="C76" s="4">
        <v>34.67</v>
      </c>
      <c r="D76" s="4">
        <v>135.20099999999999</v>
      </c>
      <c r="E76" s="1" t="s">
        <v>1396</v>
      </c>
      <c r="F76" s="1">
        <v>1</v>
      </c>
      <c r="G76" s="1" t="s">
        <v>1262</v>
      </c>
      <c r="H76" s="1" t="s">
        <v>853</v>
      </c>
      <c r="I76" s="1" t="s">
        <v>75</v>
      </c>
      <c r="J76" s="1" t="s">
        <v>1550</v>
      </c>
      <c r="K76" s="1"/>
    </row>
    <row r="77" spans="1:11" ht="19" customHeight="1">
      <c r="A77" s="1" t="s">
        <v>1549</v>
      </c>
      <c r="B77" s="1" t="s">
        <v>855</v>
      </c>
      <c r="C77" s="4">
        <v>34.67</v>
      </c>
      <c r="D77" s="4">
        <v>135.20099999999999</v>
      </c>
      <c r="E77" s="1" t="s">
        <v>1404</v>
      </c>
      <c r="F77" s="1">
        <v>1</v>
      </c>
      <c r="G77" s="1" t="s">
        <v>1263</v>
      </c>
      <c r="H77" s="1" t="s">
        <v>1062</v>
      </c>
      <c r="I77" s="1" t="s">
        <v>70</v>
      </c>
      <c r="J77" s="1" t="s">
        <v>1551</v>
      </c>
      <c r="K77" s="1"/>
    </row>
    <row r="78" spans="1:11" ht="19" customHeight="1">
      <c r="A78" s="1" t="s">
        <v>1552</v>
      </c>
      <c r="B78" s="1" t="s">
        <v>858</v>
      </c>
      <c r="C78" s="4"/>
      <c r="D78" s="4"/>
      <c r="E78" s="1" t="s">
        <v>1553</v>
      </c>
      <c r="F78" s="1">
        <v>1</v>
      </c>
      <c r="G78" s="1" t="s">
        <v>1262</v>
      </c>
      <c r="H78" s="1" t="s">
        <v>853</v>
      </c>
      <c r="I78" s="1"/>
      <c r="J78" s="1"/>
      <c r="K78" s="1" t="s">
        <v>1554</v>
      </c>
    </row>
    <row r="79" spans="1:11" ht="19" customHeight="1">
      <c r="A79" s="1" t="s">
        <v>1555</v>
      </c>
      <c r="B79" s="1" t="s">
        <v>963</v>
      </c>
      <c r="C79" s="4">
        <v>37.426699999999997</v>
      </c>
      <c r="D79" s="4">
        <v>138.60830000000001</v>
      </c>
      <c r="E79" s="1" t="s">
        <v>1396</v>
      </c>
      <c r="F79" s="1">
        <v>1</v>
      </c>
      <c r="G79" s="1" t="s">
        <v>1262</v>
      </c>
      <c r="H79" s="1" t="s">
        <v>954</v>
      </c>
      <c r="I79" s="1" t="s">
        <v>75</v>
      </c>
      <c r="J79" s="1" t="s">
        <v>1556</v>
      </c>
      <c r="K79" s="1"/>
    </row>
    <row r="80" spans="1:11" ht="19" customHeight="1">
      <c r="A80" s="1" t="s">
        <v>1557</v>
      </c>
      <c r="B80" s="1" t="s">
        <v>964</v>
      </c>
      <c r="C80" s="4"/>
      <c r="D80" s="4"/>
      <c r="E80" s="1" t="s">
        <v>1553</v>
      </c>
      <c r="F80" s="1">
        <v>1</v>
      </c>
      <c r="G80" s="1" t="s">
        <v>1262</v>
      </c>
      <c r="H80" s="1" t="s">
        <v>954</v>
      </c>
      <c r="I80" s="1"/>
      <c r="J80" s="1"/>
      <c r="K80" s="1" t="s">
        <v>1554</v>
      </c>
    </row>
    <row r="81" spans="1:11" ht="19" customHeight="1">
      <c r="A81" s="1" t="s">
        <v>1558</v>
      </c>
      <c r="B81" s="1" t="s">
        <v>856</v>
      </c>
      <c r="C81" s="4">
        <v>34.808999999999997</v>
      </c>
      <c r="D81" s="4">
        <v>135.34399999999999</v>
      </c>
      <c r="E81" s="1" t="s">
        <v>1396</v>
      </c>
      <c r="F81" s="1">
        <v>1</v>
      </c>
      <c r="G81" s="1" t="s">
        <v>1262</v>
      </c>
      <c r="H81" s="1" t="s">
        <v>853</v>
      </c>
      <c r="I81" s="1" t="s">
        <v>75</v>
      </c>
      <c r="J81" s="1" t="s">
        <v>1559</v>
      </c>
      <c r="K81" s="1"/>
    </row>
    <row r="82" spans="1:11" ht="19" customHeight="1">
      <c r="A82" s="1" t="s">
        <v>1558</v>
      </c>
      <c r="B82" s="1" t="s">
        <v>856</v>
      </c>
      <c r="C82" s="4">
        <v>34.808999999999997</v>
      </c>
      <c r="D82" s="4">
        <v>135.34399999999999</v>
      </c>
      <c r="E82" s="1" t="s">
        <v>1404</v>
      </c>
      <c r="F82" s="1">
        <v>1</v>
      </c>
      <c r="G82" s="1" t="s">
        <v>1263</v>
      </c>
      <c r="H82" s="1" t="s">
        <v>1062</v>
      </c>
      <c r="I82" s="1" t="s">
        <v>70</v>
      </c>
      <c r="J82" s="1" t="s">
        <v>1560</v>
      </c>
      <c r="K82" s="1"/>
    </row>
    <row r="83" spans="1:11" ht="19" customHeight="1">
      <c r="A83" s="1" t="s">
        <v>1561</v>
      </c>
      <c r="B83" s="1" t="s">
        <v>857</v>
      </c>
      <c r="C83" s="4">
        <v>34.649000000000001</v>
      </c>
      <c r="D83" s="4">
        <v>135.13900000000001</v>
      </c>
      <c r="E83" s="1" t="s">
        <v>1396</v>
      </c>
      <c r="F83" s="1">
        <v>1</v>
      </c>
      <c r="G83" s="1" t="s">
        <v>1262</v>
      </c>
      <c r="H83" s="1" t="s">
        <v>853</v>
      </c>
      <c r="I83" s="1" t="s">
        <v>75</v>
      </c>
      <c r="J83" s="1" t="s">
        <v>1562</v>
      </c>
      <c r="K83" s="1"/>
    </row>
    <row r="84" spans="1:11" ht="19" customHeight="1">
      <c r="A84" s="1" t="s">
        <v>1561</v>
      </c>
      <c r="B84" s="1" t="s">
        <v>857</v>
      </c>
      <c r="C84" s="4">
        <v>34.649000000000001</v>
      </c>
      <c r="D84" s="4">
        <v>135.13900000000001</v>
      </c>
      <c r="E84" s="1" t="s">
        <v>1404</v>
      </c>
      <c r="F84" s="1">
        <v>1</v>
      </c>
      <c r="G84" s="1" t="s">
        <v>1263</v>
      </c>
      <c r="H84" s="1" t="s">
        <v>1062</v>
      </c>
      <c r="I84" s="1" t="s">
        <v>70</v>
      </c>
      <c r="J84" s="1" t="s">
        <v>1563</v>
      </c>
      <c r="K84" s="1"/>
    </row>
    <row r="85" spans="1:11" ht="19" customHeight="1">
      <c r="A85" s="1" t="s">
        <v>1564</v>
      </c>
      <c r="B85" s="1" t="s">
        <v>931</v>
      </c>
      <c r="C85" s="4">
        <v>35.422699999999999</v>
      </c>
      <c r="D85" s="4">
        <v>133.33269999999999</v>
      </c>
      <c r="E85" s="1" t="s">
        <v>1396</v>
      </c>
      <c r="F85" s="1">
        <v>1</v>
      </c>
      <c r="G85" s="1" t="s">
        <v>1262</v>
      </c>
      <c r="H85" s="1" t="s">
        <v>930</v>
      </c>
      <c r="I85" s="1" t="s">
        <v>75</v>
      </c>
      <c r="J85" s="1" t="s">
        <v>1565</v>
      </c>
      <c r="K85" s="1"/>
    </row>
    <row r="86" spans="1:11" ht="19" customHeight="1">
      <c r="A86" s="1" t="s">
        <v>1564</v>
      </c>
      <c r="B86" s="1" t="s">
        <v>931</v>
      </c>
      <c r="C86" s="4">
        <v>35.422699999999999</v>
      </c>
      <c r="D86" s="4">
        <v>133.33269999999999</v>
      </c>
      <c r="E86" s="1" t="s">
        <v>1404</v>
      </c>
      <c r="F86" s="1">
        <v>1</v>
      </c>
      <c r="G86" s="1" t="s">
        <v>1263</v>
      </c>
      <c r="H86" s="1" t="s">
        <v>1106</v>
      </c>
      <c r="I86" s="1" t="s">
        <v>70</v>
      </c>
      <c r="J86" s="1" t="s">
        <v>1566</v>
      </c>
      <c r="K86" s="1"/>
    </row>
    <row r="87" spans="1:11" ht="19" customHeight="1">
      <c r="A87" s="1" t="s">
        <v>1567</v>
      </c>
      <c r="B87" s="1" t="s">
        <v>960</v>
      </c>
      <c r="C87" s="4">
        <v>37.6233</v>
      </c>
      <c r="D87" s="4">
        <v>138.84280000000001</v>
      </c>
      <c r="E87" s="1" t="s">
        <v>1396</v>
      </c>
      <c r="F87" s="1">
        <v>1</v>
      </c>
      <c r="G87" s="1" t="s">
        <v>1262</v>
      </c>
      <c r="H87" s="1" t="s">
        <v>954</v>
      </c>
      <c r="I87" s="1" t="s">
        <v>75</v>
      </c>
      <c r="J87" s="1" t="s">
        <v>1568</v>
      </c>
      <c r="K87" s="1"/>
    </row>
    <row r="88" spans="1:11" ht="19" customHeight="1">
      <c r="A88" s="1" t="s">
        <v>1569</v>
      </c>
      <c r="B88" s="1" t="s">
        <v>956</v>
      </c>
      <c r="C88" s="4">
        <v>37.220300000000002</v>
      </c>
      <c r="D88" s="4">
        <v>138.40809999999999</v>
      </c>
      <c r="E88" s="1" t="s">
        <v>1396</v>
      </c>
      <c r="F88" s="1">
        <v>1</v>
      </c>
      <c r="G88" s="1" t="s">
        <v>1262</v>
      </c>
      <c r="H88" s="1" t="s">
        <v>954</v>
      </c>
      <c r="I88" s="1" t="s">
        <v>75</v>
      </c>
      <c r="J88" s="1" t="s">
        <v>1570</v>
      </c>
      <c r="K88" s="1"/>
    </row>
    <row r="89" spans="1:11" ht="19" customHeight="1">
      <c r="A89" s="1" t="s">
        <v>1571</v>
      </c>
      <c r="B89" s="1" t="s">
        <v>738</v>
      </c>
      <c r="C89" s="4">
        <v>42.094999999999999</v>
      </c>
      <c r="D89" s="4">
        <v>19.100999999999999</v>
      </c>
      <c r="E89" s="1" t="s">
        <v>1396</v>
      </c>
      <c r="F89" s="1">
        <v>1</v>
      </c>
      <c r="G89" s="1" t="s">
        <v>1262</v>
      </c>
      <c r="H89" s="1" t="s">
        <v>737</v>
      </c>
      <c r="I89" s="1" t="s">
        <v>75</v>
      </c>
      <c r="J89" s="1" t="s">
        <v>1572</v>
      </c>
      <c r="K89" s="1"/>
    </row>
    <row r="90" spans="1:11" ht="19" customHeight="1">
      <c r="A90" s="1" t="s">
        <v>1571</v>
      </c>
      <c r="B90" s="1" t="s">
        <v>738</v>
      </c>
      <c r="C90" s="4">
        <v>42.094999999999999</v>
      </c>
      <c r="D90" s="4">
        <v>19.100999999999999</v>
      </c>
      <c r="E90" s="1" t="s">
        <v>1404</v>
      </c>
      <c r="F90" s="1">
        <v>1</v>
      </c>
      <c r="G90" s="1" t="s">
        <v>1263</v>
      </c>
      <c r="H90" s="1" t="s">
        <v>1045</v>
      </c>
      <c r="I90" s="1" t="s">
        <v>70</v>
      </c>
      <c r="J90" s="1" t="s">
        <v>1573</v>
      </c>
      <c r="K90" s="1"/>
    </row>
    <row r="91" spans="1:11" ht="19" customHeight="1">
      <c r="A91" s="1" t="s">
        <v>1574</v>
      </c>
      <c r="B91" s="1" t="s">
        <v>739</v>
      </c>
      <c r="C91" s="4">
        <v>41.911000000000001</v>
      </c>
      <c r="D91" s="4">
        <v>19.248999999999999</v>
      </c>
      <c r="E91" s="1" t="s">
        <v>1396</v>
      </c>
      <c r="F91" s="1">
        <v>1</v>
      </c>
      <c r="G91" s="1" t="s">
        <v>1262</v>
      </c>
      <c r="H91" s="1" t="s">
        <v>737</v>
      </c>
      <c r="I91" s="1" t="s">
        <v>75</v>
      </c>
      <c r="J91" s="1" t="s">
        <v>1575</v>
      </c>
      <c r="K91" s="1"/>
    </row>
    <row r="92" spans="1:11" ht="19" customHeight="1">
      <c r="A92" s="1" t="s">
        <v>1574</v>
      </c>
      <c r="B92" s="1" t="s">
        <v>739</v>
      </c>
      <c r="C92" s="4">
        <v>41.911000000000001</v>
      </c>
      <c r="D92" s="4">
        <v>19.248999999999999</v>
      </c>
      <c r="E92" s="1" t="s">
        <v>1404</v>
      </c>
      <c r="F92" s="1">
        <v>1</v>
      </c>
      <c r="G92" s="1" t="s">
        <v>1263</v>
      </c>
      <c r="H92" s="1" t="s">
        <v>1045</v>
      </c>
      <c r="I92" s="1" t="s">
        <v>70</v>
      </c>
      <c r="J92" s="1" t="s">
        <v>1576</v>
      </c>
      <c r="K92" s="1"/>
    </row>
    <row r="93" spans="1:11" ht="19" customHeight="1">
      <c r="A93" s="1" t="s">
        <v>1577</v>
      </c>
      <c r="B93" s="1" t="s">
        <v>991</v>
      </c>
      <c r="C93" s="4">
        <v>32.718000000000004</v>
      </c>
      <c r="D93" s="4">
        <v>-115.637</v>
      </c>
      <c r="E93" s="1" t="s">
        <v>1396</v>
      </c>
      <c r="F93" s="1">
        <v>1</v>
      </c>
      <c r="G93" s="1" t="s">
        <v>1262</v>
      </c>
      <c r="H93" s="1" t="s">
        <v>989</v>
      </c>
      <c r="I93" s="1" t="s">
        <v>75</v>
      </c>
      <c r="J93" s="1" t="s">
        <v>1578</v>
      </c>
      <c r="K93" s="1"/>
    </row>
    <row r="94" spans="1:11" ht="19" customHeight="1">
      <c r="A94" s="1" t="s">
        <v>1577</v>
      </c>
      <c r="B94" s="1" t="s">
        <v>1155</v>
      </c>
      <c r="C94" s="4">
        <v>32.718000000000004</v>
      </c>
      <c r="D94" s="4">
        <v>-115.637</v>
      </c>
      <c r="E94" s="1" t="s">
        <v>1404</v>
      </c>
      <c r="F94" s="1">
        <v>1</v>
      </c>
      <c r="G94" s="1" t="s">
        <v>1263</v>
      </c>
      <c r="H94" s="1" t="s">
        <v>1154</v>
      </c>
      <c r="I94" s="1" t="s">
        <v>70</v>
      </c>
      <c r="J94" s="1" t="s">
        <v>1579</v>
      </c>
      <c r="K94" s="1"/>
    </row>
    <row r="95" spans="1:11" ht="19" customHeight="1">
      <c r="A95" s="1" t="s">
        <v>1580</v>
      </c>
      <c r="B95" s="1" t="s">
        <v>990</v>
      </c>
      <c r="C95" s="4">
        <v>32.549500000000002</v>
      </c>
      <c r="D95" s="4">
        <v>-115.23569999999999</v>
      </c>
      <c r="E95" s="1" t="s">
        <v>1396</v>
      </c>
      <c r="F95" s="1">
        <v>1</v>
      </c>
      <c r="G95" s="1" t="s">
        <v>1262</v>
      </c>
      <c r="H95" s="1" t="s">
        <v>989</v>
      </c>
      <c r="I95" s="1" t="s">
        <v>75</v>
      </c>
      <c r="J95" s="1" t="s">
        <v>1581</v>
      </c>
      <c r="K95" s="1"/>
    </row>
    <row r="96" spans="1:11" ht="19" customHeight="1">
      <c r="A96" s="1" t="s">
        <v>1582</v>
      </c>
      <c r="B96" s="1" t="s">
        <v>992</v>
      </c>
      <c r="C96" s="4">
        <v>32.759039999999999</v>
      </c>
      <c r="D96" s="4">
        <v>-115.7316</v>
      </c>
      <c r="E96" s="1" t="s">
        <v>1396</v>
      </c>
      <c r="F96" s="1">
        <v>1</v>
      </c>
      <c r="G96" s="1" t="s">
        <v>1262</v>
      </c>
      <c r="H96" s="1" t="s">
        <v>989</v>
      </c>
      <c r="I96" s="1" t="s">
        <v>75</v>
      </c>
      <c r="J96" s="1" t="s">
        <v>1583</v>
      </c>
      <c r="K96" s="1"/>
    </row>
    <row r="97" spans="1:11" ht="19" customHeight="1">
      <c r="A97" s="1" t="s">
        <v>1582</v>
      </c>
      <c r="B97" s="1" t="s">
        <v>992</v>
      </c>
      <c r="C97" s="4">
        <v>32.759039999999999</v>
      </c>
      <c r="D97" s="4">
        <v>-115.7316</v>
      </c>
      <c r="E97" s="1" t="s">
        <v>1404</v>
      </c>
      <c r="F97" s="1">
        <v>1</v>
      </c>
      <c r="G97" s="1" t="s">
        <v>1263</v>
      </c>
      <c r="H97" s="1" t="s">
        <v>1154</v>
      </c>
      <c r="I97" s="1" t="s">
        <v>70</v>
      </c>
      <c r="J97" s="1" t="s">
        <v>1584</v>
      </c>
      <c r="K97" s="1"/>
    </row>
    <row r="98" spans="1:11" ht="19" customHeight="1">
      <c r="A98" s="1" t="s">
        <v>1585</v>
      </c>
      <c r="B98" s="1" t="s">
        <v>1189</v>
      </c>
      <c r="C98" s="4">
        <v>27.712350000000001</v>
      </c>
      <c r="D98" s="4">
        <v>85.315610000000007</v>
      </c>
      <c r="E98" s="1" t="s">
        <v>1404</v>
      </c>
      <c r="F98" s="1">
        <v>1</v>
      </c>
      <c r="G98" s="1" t="s">
        <v>1263</v>
      </c>
      <c r="H98" s="1" t="s">
        <v>661</v>
      </c>
      <c r="I98" s="1" t="s">
        <v>70</v>
      </c>
      <c r="J98" s="1" t="s">
        <v>1586</v>
      </c>
      <c r="K98" s="1"/>
    </row>
    <row r="99" spans="1:11" ht="19" customHeight="1">
      <c r="A99" s="1" t="s">
        <v>1587</v>
      </c>
      <c r="B99" s="1" t="s">
        <v>976</v>
      </c>
      <c r="C99" s="4">
        <v>-43.530999999999999</v>
      </c>
      <c r="D99" s="4">
        <v>172.61969999999999</v>
      </c>
      <c r="E99" s="1" t="s">
        <v>1396</v>
      </c>
      <c r="F99" s="1">
        <v>1</v>
      </c>
      <c r="G99" s="1" t="s">
        <v>1262</v>
      </c>
      <c r="H99" s="1" t="s">
        <v>975</v>
      </c>
      <c r="I99" s="1" t="s">
        <v>75</v>
      </c>
      <c r="J99" s="1" t="s">
        <v>1588</v>
      </c>
      <c r="K99" s="1"/>
    </row>
    <row r="100" spans="1:11" ht="19" customHeight="1">
      <c r="A100" s="1" t="s">
        <v>1589</v>
      </c>
      <c r="B100" s="1" t="s">
        <v>994</v>
      </c>
      <c r="C100" s="4">
        <v>-43.539499999999997</v>
      </c>
      <c r="D100" s="4">
        <v>172.6464</v>
      </c>
      <c r="E100" s="1" t="s">
        <v>1396</v>
      </c>
      <c r="F100" s="1">
        <v>1</v>
      </c>
      <c r="G100" s="1" t="s">
        <v>1262</v>
      </c>
      <c r="H100" s="1" t="s">
        <v>993</v>
      </c>
      <c r="I100" s="1" t="s">
        <v>75</v>
      </c>
      <c r="J100" s="1" t="s">
        <v>1590</v>
      </c>
      <c r="K100" s="1"/>
    </row>
    <row r="101" spans="1:11" ht="19" customHeight="1">
      <c r="A101" s="1" t="s">
        <v>1591</v>
      </c>
      <c r="B101" s="1" t="s">
        <v>995</v>
      </c>
      <c r="C101" s="4">
        <v>-43.535499999999999</v>
      </c>
      <c r="D101" s="4">
        <v>172.62610000000001</v>
      </c>
      <c r="E101" s="1" t="s">
        <v>1396</v>
      </c>
      <c r="F101" s="1">
        <v>1</v>
      </c>
      <c r="G101" s="1" t="s">
        <v>1262</v>
      </c>
      <c r="H101" s="1" t="s">
        <v>993</v>
      </c>
      <c r="I101" s="1" t="s">
        <v>75</v>
      </c>
      <c r="J101" s="1" t="s">
        <v>1592</v>
      </c>
      <c r="K101" s="1"/>
    </row>
    <row r="102" spans="1:11" ht="19" customHeight="1">
      <c r="A102" s="1" t="s">
        <v>1593</v>
      </c>
      <c r="B102" s="1" t="s">
        <v>1148</v>
      </c>
      <c r="C102" s="4">
        <v>-43.530999999999999</v>
      </c>
      <c r="D102" s="4">
        <v>172.61969999999999</v>
      </c>
      <c r="E102" s="1" t="s">
        <v>1404</v>
      </c>
      <c r="F102" s="1">
        <v>1</v>
      </c>
      <c r="G102" s="1" t="s">
        <v>1263</v>
      </c>
      <c r="H102" s="1" t="s">
        <v>1147</v>
      </c>
      <c r="I102" s="1" t="s">
        <v>70</v>
      </c>
      <c r="J102" s="1" t="s">
        <v>1594</v>
      </c>
      <c r="K102" s="1"/>
    </row>
    <row r="103" spans="1:11" ht="19" customHeight="1">
      <c r="A103" s="1" t="s">
        <v>1595</v>
      </c>
      <c r="B103" s="1" t="s">
        <v>1149</v>
      </c>
      <c r="C103" s="4">
        <v>-43.523600000000002</v>
      </c>
      <c r="D103" s="4">
        <v>172.63499999999999</v>
      </c>
      <c r="E103" s="1" t="s">
        <v>1404</v>
      </c>
      <c r="F103" s="1">
        <v>2</v>
      </c>
      <c r="G103" s="1" t="s">
        <v>1263</v>
      </c>
      <c r="H103" s="1" t="s">
        <v>1596</v>
      </c>
      <c r="I103" s="1" t="s">
        <v>70</v>
      </c>
      <c r="J103" s="1" t="s">
        <v>1597</v>
      </c>
      <c r="K103" s="1"/>
    </row>
    <row r="104" spans="1:11" ht="19" customHeight="1">
      <c r="A104" s="1" t="s">
        <v>1598</v>
      </c>
      <c r="B104" s="1" t="s">
        <v>996</v>
      </c>
      <c r="C104" s="4">
        <v>-43.567300000000003</v>
      </c>
      <c r="D104" s="4">
        <v>172.6241</v>
      </c>
      <c r="E104" s="1" t="s">
        <v>1396</v>
      </c>
      <c r="F104" s="1">
        <v>1</v>
      </c>
      <c r="G104" s="1" t="s">
        <v>1262</v>
      </c>
      <c r="H104" s="1" t="s">
        <v>993</v>
      </c>
      <c r="I104" s="1" t="s">
        <v>75</v>
      </c>
      <c r="J104" s="1" t="s">
        <v>1599</v>
      </c>
      <c r="K104" s="1"/>
    </row>
    <row r="105" spans="1:11" ht="19" customHeight="1">
      <c r="A105" s="1" t="s">
        <v>1600</v>
      </c>
      <c r="B105" s="1" t="s">
        <v>977</v>
      </c>
      <c r="C105" s="4">
        <v>-43.669199999999996</v>
      </c>
      <c r="D105" s="4">
        <v>172.1978</v>
      </c>
      <c r="E105" s="1" t="s">
        <v>1396</v>
      </c>
      <c r="F105" s="1">
        <v>2</v>
      </c>
      <c r="G105" s="1" t="s">
        <v>1601</v>
      </c>
      <c r="H105" s="1" t="s">
        <v>1602</v>
      </c>
      <c r="I105" s="1" t="s">
        <v>1603</v>
      </c>
      <c r="J105" s="1" t="s">
        <v>1604</v>
      </c>
      <c r="K105" s="1"/>
    </row>
    <row r="106" spans="1:11" ht="19" customHeight="1">
      <c r="A106" s="1" t="s">
        <v>1600</v>
      </c>
      <c r="B106" s="1" t="s">
        <v>977</v>
      </c>
      <c r="C106" s="4">
        <v>-43.669199999999996</v>
      </c>
      <c r="D106" s="4">
        <v>172.1978</v>
      </c>
      <c r="E106" s="1" t="s">
        <v>1404</v>
      </c>
      <c r="F106" s="1">
        <v>1</v>
      </c>
      <c r="G106" s="1" t="s">
        <v>1263</v>
      </c>
      <c r="H106" s="1" t="s">
        <v>1147</v>
      </c>
      <c r="I106" s="1" t="s">
        <v>70</v>
      </c>
      <c r="J106" s="1" t="s">
        <v>1605</v>
      </c>
      <c r="K106" s="1"/>
    </row>
    <row r="107" spans="1:11" ht="19" customHeight="1">
      <c r="A107" s="1" t="s">
        <v>1606</v>
      </c>
      <c r="B107" s="1" t="s">
        <v>978</v>
      </c>
      <c r="C107" s="4">
        <v>-43.588000000000001</v>
      </c>
      <c r="D107" s="4">
        <v>172.08930000000001</v>
      </c>
      <c r="E107" s="1" t="s">
        <v>1396</v>
      </c>
      <c r="F107" s="1">
        <v>2</v>
      </c>
      <c r="G107" s="1" t="s">
        <v>1601</v>
      </c>
      <c r="H107" s="1" t="s">
        <v>1602</v>
      </c>
      <c r="I107" s="1" t="s">
        <v>1603</v>
      </c>
      <c r="J107" s="1" t="s">
        <v>1607</v>
      </c>
      <c r="K107" s="1"/>
    </row>
    <row r="108" spans="1:11" ht="19" customHeight="1">
      <c r="A108" s="1" t="s">
        <v>1606</v>
      </c>
      <c r="B108" s="1" t="s">
        <v>978</v>
      </c>
      <c r="C108" s="4">
        <v>-43.588000000000001</v>
      </c>
      <c r="D108" s="4">
        <v>172.08930000000001</v>
      </c>
      <c r="E108" s="1" t="s">
        <v>1404</v>
      </c>
      <c r="F108" s="1">
        <v>1</v>
      </c>
      <c r="G108" s="1" t="s">
        <v>1263</v>
      </c>
      <c r="H108" s="1" t="s">
        <v>1147</v>
      </c>
      <c r="I108" s="1" t="s">
        <v>70</v>
      </c>
      <c r="J108" s="1" t="s">
        <v>1608</v>
      </c>
      <c r="K108" s="1"/>
    </row>
    <row r="109" spans="1:11" ht="19" customHeight="1">
      <c r="A109" s="1" t="s">
        <v>1609</v>
      </c>
      <c r="B109" s="1" t="s">
        <v>979</v>
      </c>
      <c r="C109" s="4">
        <v>-43.5413</v>
      </c>
      <c r="D109" s="4">
        <v>171.9598</v>
      </c>
      <c r="E109" s="1" t="s">
        <v>1396</v>
      </c>
      <c r="F109" s="1">
        <v>2</v>
      </c>
      <c r="G109" s="1" t="s">
        <v>1601</v>
      </c>
      <c r="H109" s="1" t="s">
        <v>1602</v>
      </c>
      <c r="I109" s="1" t="s">
        <v>1603</v>
      </c>
      <c r="J109" s="1" t="s">
        <v>1610</v>
      </c>
      <c r="K109" s="1"/>
    </row>
    <row r="110" spans="1:11" ht="19" customHeight="1">
      <c r="A110" s="1" t="s">
        <v>1609</v>
      </c>
      <c r="B110" s="1" t="s">
        <v>979</v>
      </c>
      <c r="C110" s="4">
        <v>-43.5413</v>
      </c>
      <c r="D110" s="4">
        <v>171.9598</v>
      </c>
      <c r="E110" s="1" t="s">
        <v>1404</v>
      </c>
      <c r="F110" s="1">
        <v>1</v>
      </c>
      <c r="G110" s="1" t="s">
        <v>1263</v>
      </c>
      <c r="H110" s="1" t="s">
        <v>1147</v>
      </c>
      <c r="I110" s="1" t="s">
        <v>70</v>
      </c>
      <c r="J110" s="1" t="s">
        <v>1611</v>
      </c>
      <c r="K110" s="1"/>
    </row>
    <row r="111" spans="1:11" ht="19" customHeight="1">
      <c r="A111" s="1" t="s">
        <v>1612</v>
      </c>
      <c r="B111" s="1" t="s">
        <v>997</v>
      </c>
      <c r="C111" s="4">
        <v>-43.501600000000003</v>
      </c>
      <c r="D111" s="4">
        <v>172.7022</v>
      </c>
      <c r="E111" s="1" t="s">
        <v>1396</v>
      </c>
      <c r="F111" s="1">
        <v>1</v>
      </c>
      <c r="G111" s="1" t="s">
        <v>1262</v>
      </c>
      <c r="H111" s="1" t="s">
        <v>993</v>
      </c>
      <c r="I111" s="1" t="s">
        <v>75</v>
      </c>
      <c r="J111" s="1" t="s">
        <v>1613</v>
      </c>
      <c r="K111" s="1"/>
    </row>
    <row r="112" spans="1:11" ht="19" customHeight="1">
      <c r="A112" s="1" t="s">
        <v>1614</v>
      </c>
      <c r="B112" s="1" t="s">
        <v>1191</v>
      </c>
      <c r="C112" s="4">
        <v>-42.425812000000001</v>
      </c>
      <c r="D112" s="4">
        <v>173.68212500000001</v>
      </c>
      <c r="E112" s="1" t="s">
        <v>1404</v>
      </c>
      <c r="F112" s="1">
        <v>1</v>
      </c>
      <c r="G112" s="1" t="s">
        <v>1263</v>
      </c>
      <c r="H112" s="1" t="s">
        <v>664</v>
      </c>
      <c r="I112" s="1" t="s">
        <v>70</v>
      </c>
      <c r="J112" s="1" t="s">
        <v>1615</v>
      </c>
      <c r="K112" s="1"/>
    </row>
    <row r="113" spans="1:11" ht="19" customHeight="1">
      <c r="A113" s="1" t="s">
        <v>1616</v>
      </c>
      <c r="B113" s="1" t="s">
        <v>980</v>
      </c>
      <c r="C113" s="4">
        <v>-43.6248</v>
      </c>
      <c r="D113" s="4">
        <v>172.46789999999999</v>
      </c>
      <c r="E113" s="1" t="s">
        <v>1396</v>
      </c>
      <c r="F113" s="1">
        <v>2</v>
      </c>
      <c r="G113" s="1" t="s">
        <v>1601</v>
      </c>
      <c r="H113" s="1" t="s">
        <v>1602</v>
      </c>
      <c r="I113" s="1" t="s">
        <v>1603</v>
      </c>
      <c r="J113" s="1" t="s">
        <v>1617</v>
      </c>
      <c r="K113" s="1"/>
    </row>
    <row r="114" spans="1:11" ht="19" customHeight="1">
      <c r="A114" s="1" t="s">
        <v>1616</v>
      </c>
      <c r="B114" s="1" t="s">
        <v>980</v>
      </c>
      <c r="C114" s="4">
        <v>-43.6248</v>
      </c>
      <c r="D114" s="4">
        <v>172.46789999999999</v>
      </c>
      <c r="E114" s="1" t="s">
        <v>1404</v>
      </c>
      <c r="F114" s="1">
        <v>1</v>
      </c>
      <c r="G114" s="1" t="s">
        <v>1263</v>
      </c>
      <c r="H114" s="1" t="s">
        <v>1147</v>
      </c>
      <c r="I114" s="1" t="s">
        <v>70</v>
      </c>
      <c r="J114" s="1" t="s">
        <v>1618</v>
      </c>
      <c r="K114" s="1"/>
    </row>
    <row r="115" spans="1:11" ht="19" customHeight="1">
      <c r="A115" s="1" t="s">
        <v>1619</v>
      </c>
      <c r="B115" s="1" t="s">
        <v>981</v>
      </c>
      <c r="C115" s="4">
        <v>-43.605600000000003</v>
      </c>
      <c r="D115" s="4">
        <v>172.72229999999999</v>
      </c>
      <c r="E115" s="1" t="s">
        <v>1396</v>
      </c>
      <c r="F115" s="1">
        <v>2</v>
      </c>
      <c r="G115" s="1" t="s">
        <v>1262</v>
      </c>
      <c r="H115" s="1" t="s">
        <v>1620</v>
      </c>
      <c r="I115" s="1" t="s">
        <v>75</v>
      </c>
      <c r="J115" s="1" t="s">
        <v>1621</v>
      </c>
      <c r="K115" s="1"/>
    </row>
    <row r="116" spans="1:11" ht="19" customHeight="1">
      <c r="A116" s="1" t="s">
        <v>1619</v>
      </c>
      <c r="B116" s="1" t="s">
        <v>981</v>
      </c>
      <c r="C116" s="4">
        <v>-43.605600000000003</v>
      </c>
      <c r="D116" s="4">
        <v>172.72229999999999</v>
      </c>
      <c r="E116" s="1" t="s">
        <v>1404</v>
      </c>
      <c r="F116" s="1">
        <v>1</v>
      </c>
      <c r="G116" s="1" t="s">
        <v>1263</v>
      </c>
      <c r="H116" s="1" t="s">
        <v>1147</v>
      </c>
      <c r="I116" s="1" t="s">
        <v>70</v>
      </c>
      <c r="J116" s="1" t="s">
        <v>1622</v>
      </c>
      <c r="K116" s="1"/>
    </row>
    <row r="117" spans="1:11" ht="19" customHeight="1">
      <c r="A117" s="1" t="s">
        <v>1623</v>
      </c>
      <c r="B117" s="1" t="s">
        <v>982</v>
      </c>
      <c r="C117" s="4">
        <v>-43.497100000000003</v>
      </c>
      <c r="D117" s="4">
        <v>172.71789999999999</v>
      </c>
      <c r="E117" s="1" t="s">
        <v>1396</v>
      </c>
      <c r="F117" s="1">
        <v>2</v>
      </c>
      <c r="G117" s="1" t="s">
        <v>1601</v>
      </c>
      <c r="H117" s="1" t="s">
        <v>1602</v>
      </c>
      <c r="I117" s="1" t="s">
        <v>75</v>
      </c>
      <c r="J117" s="1" t="s">
        <v>1624</v>
      </c>
      <c r="K117" s="1"/>
    </row>
    <row r="118" spans="1:11" ht="19" customHeight="1">
      <c r="A118" s="1" t="s">
        <v>1625</v>
      </c>
      <c r="B118" s="1" t="s">
        <v>1150</v>
      </c>
      <c r="C118" s="4">
        <v>-43.497100000000003</v>
      </c>
      <c r="D118" s="4">
        <v>172.71789999999999</v>
      </c>
      <c r="E118" s="1" t="s">
        <v>1404</v>
      </c>
      <c r="F118" s="1">
        <v>1</v>
      </c>
      <c r="G118" s="1" t="s">
        <v>1263</v>
      </c>
      <c r="H118" s="1" t="s">
        <v>1147</v>
      </c>
      <c r="I118" s="1" t="s">
        <v>70</v>
      </c>
      <c r="J118" s="1" t="s">
        <v>1626</v>
      </c>
      <c r="K118" s="1"/>
    </row>
    <row r="119" spans="1:11" ht="19" customHeight="1">
      <c r="A119" s="1" t="s">
        <v>1627</v>
      </c>
      <c r="B119" s="1" t="s">
        <v>1176</v>
      </c>
      <c r="C119" s="4">
        <v>-43.527000000000001</v>
      </c>
      <c r="D119" s="4">
        <v>172.70169999999999</v>
      </c>
      <c r="E119" s="1" t="s">
        <v>1404</v>
      </c>
      <c r="F119" s="1">
        <v>1</v>
      </c>
      <c r="G119" s="1" t="s">
        <v>1263</v>
      </c>
      <c r="H119" s="1" t="s">
        <v>1175</v>
      </c>
      <c r="I119" s="1" t="s">
        <v>70</v>
      </c>
      <c r="J119" s="1" t="s">
        <v>1628</v>
      </c>
      <c r="K119" s="1"/>
    </row>
    <row r="120" spans="1:11" ht="19" customHeight="1">
      <c r="A120" s="1" t="s">
        <v>1629</v>
      </c>
      <c r="B120" s="1" t="s">
        <v>998</v>
      </c>
      <c r="C120" s="4">
        <v>-43.527000000000001</v>
      </c>
      <c r="D120" s="4">
        <v>172.70169999999999</v>
      </c>
      <c r="E120" s="1" t="s">
        <v>1396</v>
      </c>
      <c r="F120" s="1">
        <v>1</v>
      </c>
      <c r="G120" s="1" t="s">
        <v>1262</v>
      </c>
      <c r="H120" s="1" t="s">
        <v>993</v>
      </c>
      <c r="I120" s="1" t="s">
        <v>75</v>
      </c>
      <c r="J120" s="1" t="s">
        <v>1630</v>
      </c>
      <c r="K120" s="1"/>
    </row>
    <row r="121" spans="1:11" ht="19" customHeight="1">
      <c r="A121" s="1" t="s">
        <v>1631</v>
      </c>
      <c r="B121" s="1" t="s">
        <v>983</v>
      </c>
      <c r="C121" s="4">
        <v>-43.523600000000002</v>
      </c>
      <c r="D121" s="4">
        <v>172.63499999999999</v>
      </c>
      <c r="E121" s="1" t="s">
        <v>1396</v>
      </c>
      <c r="F121" s="1">
        <v>3</v>
      </c>
      <c r="G121" s="1" t="s">
        <v>1601</v>
      </c>
      <c r="H121" s="1" t="s">
        <v>1632</v>
      </c>
      <c r="I121" s="1" t="s">
        <v>75</v>
      </c>
      <c r="J121" s="1" t="s">
        <v>1633</v>
      </c>
      <c r="K121" s="1"/>
    </row>
    <row r="122" spans="1:11" ht="19" customHeight="1">
      <c r="A122" s="1" t="s">
        <v>1634</v>
      </c>
      <c r="B122" s="1" t="s">
        <v>984</v>
      </c>
      <c r="C122" s="4">
        <v>-43.536200000000001</v>
      </c>
      <c r="D122" s="4">
        <v>172.56440000000001</v>
      </c>
      <c r="E122" s="1" t="s">
        <v>1396</v>
      </c>
      <c r="F122" s="1">
        <v>2</v>
      </c>
      <c r="G122" s="1" t="s">
        <v>1601</v>
      </c>
      <c r="H122" s="1" t="s">
        <v>1602</v>
      </c>
      <c r="I122" s="1" t="s">
        <v>75</v>
      </c>
      <c r="J122" s="1" t="s">
        <v>1635</v>
      </c>
      <c r="K122" s="1"/>
    </row>
    <row r="123" spans="1:11" ht="19" customHeight="1">
      <c r="A123" s="1" t="s">
        <v>1636</v>
      </c>
      <c r="B123" s="1" t="s">
        <v>1151</v>
      </c>
      <c r="C123" s="4">
        <v>-43.536200000000001</v>
      </c>
      <c r="D123" s="4">
        <v>172.56440000000001</v>
      </c>
      <c r="E123" s="1" t="s">
        <v>1404</v>
      </c>
      <c r="F123" s="1">
        <v>1</v>
      </c>
      <c r="G123" s="1" t="s">
        <v>1263</v>
      </c>
      <c r="H123" s="1" t="s">
        <v>1147</v>
      </c>
      <c r="I123" s="1" t="s">
        <v>70</v>
      </c>
      <c r="J123" s="1" t="s">
        <v>1637</v>
      </c>
      <c r="K123" s="1"/>
    </row>
    <row r="124" spans="1:11" ht="19" customHeight="1">
      <c r="A124" s="1" t="s">
        <v>1638</v>
      </c>
      <c r="B124" s="1" t="s">
        <v>985</v>
      </c>
      <c r="C124" s="4">
        <v>-43.594499999999996</v>
      </c>
      <c r="D124" s="4">
        <v>172.381</v>
      </c>
      <c r="E124" s="1" t="s">
        <v>1396</v>
      </c>
      <c r="F124" s="1">
        <v>2</v>
      </c>
      <c r="G124" s="1" t="s">
        <v>1601</v>
      </c>
      <c r="H124" s="1" t="s">
        <v>1602</v>
      </c>
      <c r="I124" s="1" t="s">
        <v>1603</v>
      </c>
      <c r="J124" s="1" t="s">
        <v>1639</v>
      </c>
      <c r="K124" s="1"/>
    </row>
    <row r="125" spans="1:11" ht="19" customHeight="1">
      <c r="A125" s="1" t="s">
        <v>1638</v>
      </c>
      <c r="B125" s="1" t="s">
        <v>985</v>
      </c>
      <c r="C125" s="4">
        <v>-43.594499999999996</v>
      </c>
      <c r="D125" s="4">
        <v>172.381</v>
      </c>
      <c r="E125" s="1" t="s">
        <v>1404</v>
      </c>
      <c r="F125" s="1">
        <v>1</v>
      </c>
      <c r="G125" s="1" t="s">
        <v>1263</v>
      </c>
      <c r="H125" s="1" t="s">
        <v>1147</v>
      </c>
      <c r="I125" s="1" t="s">
        <v>70</v>
      </c>
      <c r="J125" s="1" t="s">
        <v>1640</v>
      </c>
      <c r="K125" s="1"/>
    </row>
    <row r="126" spans="1:11" ht="19" customHeight="1">
      <c r="A126" s="1" t="s">
        <v>1641</v>
      </c>
      <c r="B126" s="1" t="s">
        <v>1193</v>
      </c>
      <c r="C126" s="4">
        <v>-41.672289999999997</v>
      </c>
      <c r="D126" s="4">
        <v>174.07644999999999</v>
      </c>
      <c r="E126" s="1" t="s">
        <v>1404</v>
      </c>
      <c r="F126" s="1">
        <v>1</v>
      </c>
      <c r="G126" s="1" t="s">
        <v>1263</v>
      </c>
      <c r="H126" s="1" t="s">
        <v>664</v>
      </c>
      <c r="I126" s="1" t="s">
        <v>70</v>
      </c>
      <c r="J126" s="1" t="s">
        <v>1642</v>
      </c>
      <c r="K126" s="1"/>
    </row>
    <row r="127" spans="1:11" ht="19" customHeight="1">
      <c r="A127" s="1" t="s">
        <v>1643</v>
      </c>
      <c r="B127" s="1" t="s">
        <v>1152</v>
      </c>
      <c r="C127" s="4">
        <v>-43.505299999999998</v>
      </c>
      <c r="D127" s="4">
        <v>172.6634</v>
      </c>
      <c r="E127" s="1" t="s">
        <v>1404</v>
      </c>
      <c r="F127" s="1">
        <v>1</v>
      </c>
      <c r="G127" s="1" t="s">
        <v>1263</v>
      </c>
      <c r="H127" s="1" t="s">
        <v>1147</v>
      </c>
      <c r="I127" s="1" t="s">
        <v>70</v>
      </c>
      <c r="J127" s="1" t="s">
        <v>1644</v>
      </c>
      <c r="K127" s="1"/>
    </row>
    <row r="128" spans="1:11" ht="19" customHeight="1">
      <c r="A128" s="1" t="s">
        <v>1645</v>
      </c>
      <c r="B128" s="1" t="s">
        <v>986</v>
      </c>
      <c r="C128" s="4">
        <v>-43.505299999999998</v>
      </c>
      <c r="D128" s="4">
        <v>172.6634</v>
      </c>
      <c r="E128" s="1" t="s">
        <v>1396</v>
      </c>
      <c r="F128" s="1">
        <v>3</v>
      </c>
      <c r="G128" s="1" t="s">
        <v>1601</v>
      </c>
      <c r="H128" s="1" t="s">
        <v>1632</v>
      </c>
      <c r="I128" s="1" t="s">
        <v>75</v>
      </c>
      <c r="J128" s="1" t="s">
        <v>1646</v>
      </c>
      <c r="K128" s="1"/>
    </row>
    <row r="129" spans="1:11" ht="19" customHeight="1">
      <c r="A129" s="1" t="s">
        <v>1647</v>
      </c>
      <c r="B129" s="1" t="s">
        <v>987</v>
      </c>
      <c r="C129" s="4">
        <v>-43.467500000000001</v>
      </c>
      <c r="D129" s="4">
        <v>172.6139</v>
      </c>
      <c r="E129" s="1" t="s">
        <v>1396</v>
      </c>
      <c r="F129" s="1">
        <v>2</v>
      </c>
      <c r="G129" s="1" t="s">
        <v>1601</v>
      </c>
      <c r="H129" s="1" t="s">
        <v>1602</v>
      </c>
      <c r="I129" s="1" t="s">
        <v>75</v>
      </c>
      <c r="J129" s="1" t="s">
        <v>1648</v>
      </c>
      <c r="K129" s="1"/>
    </row>
    <row r="130" spans="1:11" ht="19" customHeight="1">
      <c r="A130" s="1" t="s">
        <v>1649</v>
      </c>
      <c r="B130" s="1" t="s">
        <v>1153</v>
      </c>
      <c r="C130" s="4">
        <v>-43.467500000000001</v>
      </c>
      <c r="D130" s="4">
        <v>172.6139</v>
      </c>
      <c r="E130" s="1" t="s">
        <v>1404</v>
      </c>
      <c r="F130" s="1">
        <v>1</v>
      </c>
      <c r="G130" s="1" t="s">
        <v>1263</v>
      </c>
      <c r="H130" s="1" t="s">
        <v>1147</v>
      </c>
      <c r="I130" s="1" t="s">
        <v>70</v>
      </c>
      <c r="J130" s="1" t="s">
        <v>1650</v>
      </c>
      <c r="K130" s="1"/>
    </row>
    <row r="131" spans="1:11" ht="19" customHeight="1">
      <c r="A131" s="1" t="s">
        <v>1651</v>
      </c>
      <c r="B131" s="1" t="s">
        <v>988</v>
      </c>
      <c r="C131" s="4">
        <v>-43.551699999999997</v>
      </c>
      <c r="D131" s="4">
        <v>172.4718</v>
      </c>
      <c r="E131" s="1" t="s">
        <v>1396</v>
      </c>
      <c r="F131" s="1">
        <v>2</v>
      </c>
      <c r="G131" s="1" t="s">
        <v>1601</v>
      </c>
      <c r="H131" s="1" t="s">
        <v>1602</v>
      </c>
      <c r="I131" s="1" t="s">
        <v>1603</v>
      </c>
      <c r="J131" s="1" t="s">
        <v>1652</v>
      </c>
      <c r="K131" s="1"/>
    </row>
    <row r="132" spans="1:11" ht="19" customHeight="1">
      <c r="A132" s="1" t="s">
        <v>1651</v>
      </c>
      <c r="B132" s="1" t="s">
        <v>988</v>
      </c>
      <c r="C132" s="4">
        <v>-43.551699999999997</v>
      </c>
      <c r="D132" s="4">
        <v>172.4718</v>
      </c>
      <c r="E132" s="1" t="s">
        <v>1404</v>
      </c>
      <c r="F132" s="1">
        <v>1</v>
      </c>
      <c r="G132" s="1" t="s">
        <v>1263</v>
      </c>
      <c r="H132" s="1" t="s">
        <v>1147</v>
      </c>
      <c r="I132" s="1" t="s">
        <v>70</v>
      </c>
      <c r="J132" s="1" t="s">
        <v>1653</v>
      </c>
      <c r="K132" s="1"/>
    </row>
    <row r="133" spans="1:11" ht="19" customHeight="1">
      <c r="A133" s="1" t="s">
        <v>1654</v>
      </c>
      <c r="B133" s="1" t="s">
        <v>805</v>
      </c>
      <c r="C133" s="4">
        <v>13.7</v>
      </c>
      <c r="D133" s="4">
        <v>-89.174999999999997</v>
      </c>
      <c r="E133" s="1" t="s">
        <v>1396</v>
      </c>
      <c r="F133" s="1">
        <v>1</v>
      </c>
      <c r="G133" s="1" t="s">
        <v>1262</v>
      </c>
      <c r="H133" s="1" t="s">
        <v>804</v>
      </c>
      <c r="I133" s="1" t="s">
        <v>75</v>
      </c>
      <c r="J133" s="1" t="s">
        <v>1655</v>
      </c>
      <c r="K133" s="1"/>
    </row>
    <row r="134" spans="1:11" ht="19" customHeight="1">
      <c r="A134" s="1" t="s">
        <v>1654</v>
      </c>
      <c r="B134" s="1" t="s">
        <v>805</v>
      </c>
      <c r="C134" s="4">
        <v>13.7</v>
      </c>
      <c r="D134" s="4">
        <v>-89.174999999999997</v>
      </c>
      <c r="E134" s="1" t="s">
        <v>1404</v>
      </c>
      <c r="F134" s="1">
        <v>1</v>
      </c>
      <c r="G134" s="1" t="s">
        <v>1263</v>
      </c>
      <c r="H134" s="1" t="s">
        <v>1052</v>
      </c>
      <c r="I134" s="1" t="s">
        <v>70</v>
      </c>
      <c r="J134" s="1" t="s">
        <v>1656</v>
      </c>
      <c r="K134" s="1"/>
    </row>
    <row r="135" spans="1:11" ht="19" customHeight="1">
      <c r="A135" s="1" t="s">
        <v>1657</v>
      </c>
      <c r="B135" s="1" t="s">
        <v>806</v>
      </c>
      <c r="C135" s="4">
        <v>13.714</v>
      </c>
      <c r="D135" s="4">
        <v>-89.171000000000006</v>
      </c>
      <c r="E135" s="1" t="s">
        <v>1396</v>
      </c>
      <c r="F135" s="1">
        <v>1</v>
      </c>
      <c r="G135" s="1" t="s">
        <v>1262</v>
      </c>
      <c r="H135" s="1" t="s">
        <v>804</v>
      </c>
      <c r="I135" s="1" t="s">
        <v>75</v>
      </c>
      <c r="J135" s="1" t="s">
        <v>1658</v>
      </c>
      <c r="K135" s="1"/>
    </row>
    <row r="136" spans="1:11" ht="19" customHeight="1">
      <c r="A136" s="1" t="s">
        <v>1657</v>
      </c>
      <c r="B136" s="1" t="s">
        <v>806</v>
      </c>
      <c r="C136" s="4">
        <v>13.714</v>
      </c>
      <c r="D136" s="4">
        <v>-89.171000000000006</v>
      </c>
      <c r="E136" s="1" t="s">
        <v>1404</v>
      </c>
      <c r="F136" s="1">
        <v>1</v>
      </c>
      <c r="G136" s="1" t="s">
        <v>1263</v>
      </c>
      <c r="H136" s="1" t="s">
        <v>1052</v>
      </c>
      <c r="I136" s="1" t="s">
        <v>70</v>
      </c>
      <c r="J136" s="1" t="s">
        <v>1659</v>
      </c>
      <c r="K136" s="1"/>
    </row>
    <row r="137" spans="1:11" ht="19" customHeight="1">
      <c r="A137" s="1" t="s">
        <v>1660</v>
      </c>
      <c r="B137" s="1" t="s">
        <v>1661</v>
      </c>
      <c r="C137" s="4">
        <v>37.856602000000002</v>
      </c>
      <c r="D137" s="4">
        <v>36.115347</v>
      </c>
      <c r="E137" s="1" t="s">
        <v>1396</v>
      </c>
      <c r="F137" s="1">
        <v>1</v>
      </c>
      <c r="G137" s="1" t="s">
        <v>1264</v>
      </c>
      <c r="H137" s="1" t="s">
        <v>1259</v>
      </c>
      <c r="I137" s="1" t="s">
        <v>90</v>
      </c>
      <c r="J137" s="1" t="s">
        <v>1662</v>
      </c>
      <c r="K137" s="1"/>
    </row>
    <row r="138" spans="1:11" ht="19" customHeight="1">
      <c r="A138" s="1" t="s">
        <v>1663</v>
      </c>
      <c r="B138" s="1" t="s">
        <v>1664</v>
      </c>
      <c r="C138" s="4">
        <v>37.855891999999997</v>
      </c>
      <c r="D138" s="4">
        <v>36.114868000000001</v>
      </c>
      <c r="E138" s="1" t="s">
        <v>1396</v>
      </c>
      <c r="F138" s="1">
        <v>1</v>
      </c>
      <c r="G138" s="1" t="s">
        <v>1264</v>
      </c>
      <c r="H138" s="1" t="s">
        <v>1259</v>
      </c>
      <c r="I138" s="1" t="s">
        <v>90</v>
      </c>
      <c r="J138" s="1" t="s">
        <v>1665</v>
      </c>
      <c r="K138" s="1"/>
    </row>
    <row r="139" spans="1:11" ht="19" customHeight="1">
      <c r="A139" s="1" t="s">
        <v>1666</v>
      </c>
      <c r="B139" s="1" t="s">
        <v>1667</v>
      </c>
      <c r="C139" s="4">
        <v>37.099330000000002</v>
      </c>
      <c r="D139" s="4">
        <v>36.648372999999999</v>
      </c>
      <c r="E139" s="1" t="s">
        <v>1396</v>
      </c>
      <c r="F139" s="1">
        <v>1</v>
      </c>
      <c r="G139" s="1" t="s">
        <v>1264</v>
      </c>
      <c r="H139" s="1" t="s">
        <v>1255</v>
      </c>
      <c r="I139" s="1" t="s">
        <v>87</v>
      </c>
      <c r="J139" s="1" t="s">
        <v>1668</v>
      </c>
      <c r="K139" s="1"/>
    </row>
    <row r="140" spans="1:11" ht="19" customHeight="1">
      <c r="A140" s="1" t="s">
        <v>1669</v>
      </c>
      <c r="B140" s="1" t="s">
        <v>1670</v>
      </c>
      <c r="C140" s="4">
        <v>37.183999999999997</v>
      </c>
      <c r="D140" s="4">
        <v>36.73283</v>
      </c>
      <c r="E140" s="1" t="s">
        <v>1396</v>
      </c>
      <c r="F140" s="1">
        <v>1</v>
      </c>
      <c r="G140" s="1" t="s">
        <v>1264</v>
      </c>
      <c r="H140" s="1" t="s">
        <v>1255</v>
      </c>
      <c r="I140" s="1" t="s">
        <v>87</v>
      </c>
      <c r="J140" s="1" t="s">
        <v>1671</v>
      </c>
      <c r="K140" s="1"/>
    </row>
    <row r="141" spans="1:11" ht="19" customHeight="1">
      <c r="A141" s="1" t="s">
        <v>1672</v>
      </c>
      <c r="B141" s="1" t="s">
        <v>1673</v>
      </c>
      <c r="C141" s="4">
        <v>36.855364000000002</v>
      </c>
      <c r="D141" s="4">
        <v>36.685617999999998</v>
      </c>
      <c r="E141" s="1" t="s">
        <v>1396</v>
      </c>
      <c r="F141" s="1">
        <v>1</v>
      </c>
      <c r="G141" s="1" t="s">
        <v>1264</v>
      </c>
      <c r="H141" s="1" t="s">
        <v>1255</v>
      </c>
      <c r="I141" s="1" t="s">
        <v>87</v>
      </c>
      <c r="J141" s="1" t="s">
        <v>1674</v>
      </c>
      <c r="K141" s="1"/>
    </row>
    <row r="142" spans="1:11" ht="19" customHeight="1">
      <c r="A142" s="1" t="s">
        <v>1675</v>
      </c>
      <c r="B142" s="1" t="s">
        <v>1676</v>
      </c>
      <c r="C142" s="4">
        <v>36.856430000000003</v>
      </c>
      <c r="D142" s="4">
        <v>36.688330000000001</v>
      </c>
      <c r="E142" s="1" t="s">
        <v>1396</v>
      </c>
      <c r="F142" s="1">
        <v>1</v>
      </c>
      <c r="G142" s="1" t="s">
        <v>1264</v>
      </c>
      <c r="H142" s="1" t="s">
        <v>1255</v>
      </c>
      <c r="I142" s="1" t="s">
        <v>87</v>
      </c>
      <c r="J142" s="1" t="s">
        <v>1677</v>
      </c>
      <c r="K142" s="1"/>
    </row>
    <row r="143" spans="1:11" ht="19" customHeight="1">
      <c r="A143" s="1" t="s">
        <v>1678</v>
      </c>
      <c r="B143" s="1" t="s">
        <v>1679</v>
      </c>
      <c r="C143" s="4">
        <v>36.85548</v>
      </c>
      <c r="D143" s="4">
        <v>36.690995999999998</v>
      </c>
      <c r="E143" s="1" t="s">
        <v>1396</v>
      </c>
      <c r="F143" s="1">
        <v>1</v>
      </c>
      <c r="G143" s="1" t="s">
        <v>1264</v>
      </c>
      <c r="H143" s="1" t="s">
        <v>1255</v>
      </c>
      <c r="I143" s="1" t="s">
        <v>87</v>
      </c>
      <c r="J143" s="1" t="s">
        <v>1680</v>
      </c>
      <c r="K143" s="1"/>
    </row>
    <row r="144" spans="1:11" ht="19" customHeight="1">
      <c r="A144" s="1" t="s">
        <v>1681</v>
      </c>
      <c r="B144" s="1" t="s">
        <v>1682</v>
      </c>
      <c r="C144" s="4">
        <v>37.007770000000001</v>
      </c>
      <c r="D144" s="4">
        <v>36.626600000000003</v>
      </c>
      <c r="E144" s="1" t="s">
        <v>1396</v>
      </c>
      <c r="F144" s="1">
        <v>1</v>
      </c>
      <c r="G144" s="1" t="s">
        <v>1264</v>
      </c>
      <c r="H144" s="1" t="s">
        <v>1255</v>
      </c>
      <c r="I144" s="1" t="s">
        <v>87</v>
      </c>
      <c r="J144" s="1" t="s">
        <v>1683</v>
      </c>
      <c r="K144" s="1"/>
    </row>
    <row r="145" spans="1:11" ht="19" customHeight="1">
      <c r="A145" s="1" t="s">
        <v>1684</v>
      </c>
      <c r="B145" s="1" t="s">
        <v>1685</v>
      </c>
      <c r="C145" s="4">
        <v>36.61618</v>
      </c>
      <c r="D145" s="4">
        <v>36.206609999999998</v>
      </c>
      <c r="E145" s="1" t="s">
        <v>1396</v>
      </c>
      <c r="F145" s="1">
        <v>1</v>
      </c>
      <c r="G145" s="1" t="s">
        <v>1264</v>
      </c>
      <c r="H145" s="1" t="s">
        <v>1255</v>
      </c>
      <c r="I145" s="1" t="s">
        <v>87</v>
      </c>
      <c r="J145" s="1" t="s">
        <v>1686</v>
      </c>
      <c r="K145" s="1"/>
    </row>
    <row r="146" spans="1:11" ht="19" customHeight="1">
      <c r="A146" s="1" t="s">
        <v>1687</v>
      </c>
      <c r="B146" s="1" t="s">
        <v>1688</v>
      </c>
      <c r="C146" s="4">
        <v>36.214230000000001</v>
      </c>
      <c r="D146" s="4">
        <v>36.159730000000003</v>
      </c>
      <c r="E146" s="1" t="s">
        <v>1396</v>
      </c>
      <c r="F146" s="1">
        <v>1</v>
      </c>
      <c r="G146" s="1" t="s">
        <v>1264</v>
      </c>
      <c r="H146" s="1" t="s">
        <v>1255</v>
      </c>
      <c r="I146" s="1" t="s">
        <v>87</v>
      </c>
      <c r="J146" s="1" t="s">
        <v>1689</v>
      </c>
      <c r="K146" s="1"/>
    </row>
    <row r="147" spans="1:11" ht="19" customHeight="1">
      <c r="A147" s="1" t="s">
        <v>1690</v>
      </c>
      <c r="B147" s="1" t="s">
        <v>1691</v>
      </c>
      <c r="C147" s="4">
        <v>36.191209999999998</v>
      </c>
      <c r="D147" s="4">
        <v>36.16328</v>
      </c>
      <c r="E147" s="1" t="s">
        <v>1396</v>
      </c>
      <c r="F147" s="1">
        <v>1</v>
      </c>
      <c r="G147" s="1" t="s">
        <v>1264</v>
      </c>
      <c r="H147" s="1" t="s">
        <v>1255</v>
      </c>
      <c r="I147" s="1" t="s">
        <v>87</v>
      </c>
      <c r="J147" s="1" t="s">
        <v>1692</v>
      </c>
      <c r="K147" s="1"/>
    </row>
    <row r="148" spans="1:11" ht="19" customHeight="1">
      <c r="A148" s="1" t="s">
        <v>1693</v>
      </c>
      <c r="B148" s="1" t="s">
        <v>1694</v>
      </c>
      <c r="C148" s="4">
        <v>36.827629999999999</v>
      </c>
      <c r="D148" s="4">
        <v>36.20485</v>
      </c>
      <c r="E148" s="1" t="s">
        <v>1396</v>
      </c>
      <c r="F148" s="1">
        <v>1</v>
      </c>
      <c r="G148" s="1" t="s">
        <v>1264</v>
      </c>
      <c r="H148" s="1" t="s">
        <v>1255</v>
      </c>
      <c r="I148" s="1" t="s">
        <v>87</v>
      </c>
      <c r="J148" s="1" t="s">
        <v>1695</v>
      </c>
      <c r="K148" s="1"/>
    </row>
    <row r="149" spans="1:11" ht="19" customHeight="1">
      <c r="A149" s="1" t="s">
        <v>1696</v>
      </c>
      <c r="B149" s="1" t="s">
        <v>1697</v>
      </c>
      <c r="C149" s="4">
        <v>36.115929999999999</v>
      </c>
      <c r="D149" s="4">
        <v>36.247219999999999</v>
      </c>
      <c r="E149" s="1" t="s">
        <v>1396</v>
      </c>
      <c r="F149" s="1">
        <v>1</v>
      </c>
      <c r="G149" s="1" t="s">
        <v>1264</v>
      </c>
      <c r="H149" s="1" t="s">
        <v>1255</v>
      </c>
      <c r="I149" s="1" t="s">
        <v>87</v>
      </c>
      <c r="J149" s="1" t="s">
        <v>1698</v>
      </c>
      <c r="K149" s="1"/>
    </row>
    <row r="150" spans="1:11" ht="19" customHeight="1">
      <c r="A150" s="1" t="s">
        <v>1699</v>
      </c>
      <c r="B150" s="1" t="s">
        <v>1700</v>
      </c>
      <c r="C150" s="4">
        <v>36.692929999999997</v>
      </c>
      <c r="D150" s="4">
        <v>36.488520000000001</v>
      </c>
      <c r="E150" s="1" t="s">
        <v>1396</v>
      </c>
      <c r="F150" s="1">
        <v>1</v>
      </c>
      <c r="G150" s="1" t="s">
        <v>1264</v>
      </c>
      <c r="H150" s="1" t="s">
        <v>1255</v>
      </c>
      <c r="I150" s="1" t="s">
        <v>87</v>
      </c>
      <c r="J150" s="1" t="s">
        <v>1701</v>
      </c>
      <c r="K150" s="1"/>
    </row>
    <row r="151" spans="1:11" ht="19" customHeight="1">
      <c r="A151" s="1" t="s">
        <v>1702</v>
      </c>
      <c r="B151" s="1" t="s">
        <v>1703</v>
      </c>
      <c r="C151" s="4">
        <v>36.802619999999997</v>
      </c>
      <c r="D151" s="4">
        <v>36.511189999999999</v>
      </c>
      <c r="E151" s="1" t="s">
        <v>1396</v>
      </c>
      <c r="F151" s="1">
        <v>1</v>
      </c>
      <c r="G151" s="1" t="s">
        <v>1264</v>
      </c>
      <c r="H151" s="1" t="s">
        <v>1255</v>
      </c>
      <c r="I151" s="1" t="s">
        <v>87</v>
      </c>
      <c r="J151" s="1" t="s">
        <v>1662</v>
      </c>
      <c r="K151" s="1"/>
    </row>
    <row r="152" spans="1:11" ht="19" customHeight="1">
      <c r="A152" s="1" t="s">
        <v>1704</v>
      </c>
      <c r="B152" s="1" t="s">
        <v>1705</v>
      </c>
      <c r="C152" s="4">
        <v>36.583829999999999</v>
      </c>
      <c r="D152" s="4">
        <v>36.414389999999997</v>
      </c>
      <c r="E152" s="1" t="s">
        <v>1396</v>
      </c>
      <c r="F152" s="1">
        <v>1</v>
      </c>
      <c r="G152" s="1" t="s">
        <v>1264</v>
      </c>
      <c r="H152" s="1" t="s">
        <v>1255</v>
      </c>
      <c r="I152" s="1" t="s">
        <v>87</v>
      </c>
      <c r="J152" s="1" t="s">
        <v>1706</v>
      </c>
      <c r="K152" s="1"/>
    </row>
    <row r="153" spans="1:11" ht="19" customHeight="1">
      <c r="A153" s="1" t="s">
        <v>1707</v>
      </c>
      <c r="B153" s="1" t="s">
        <v>1708</v>
      </c>
      <c r="C153" s="4">
        <v>36.497970000000002</v>
      </c>
      <c r="D153" s="4">
        <v>36.366120000000002</v>
      </c>
      <c r="E153" s="1" t="s">
        <v>1396</v>
      </c>
      <c r="F153" s="1">
        <v>1</v>
      </c>
      <c r="G153" s="1" t="s">
        <v>1264</v>
      </c>
      <c r="H153" s="1" t="s">
        <v>1255</v>
      </c>
      <c r="I153" s="1" t="s">
        <v>87</v>
      </c>
      <c r="J153" s="1" t="s">
        <v>1709</v>
      </c>
      <c r="K153" s="1"/>
    </row>
    <row r="154" spans="1:11" ht="19" customHeight="1">
      <c r="A154" s="1" t="s">
        <v>1710</v>
      </c>
      <c r="B154" s="1" t="s">
        <v>1711</v>
      </c>
      <c r="C154" s="4">
        <v>36.848906999999997</v>
      </c>
      <c r="D154" s="4">
        <v>36.557138000000002</v>
      </c>
      <c r="E154" s="1" t="s">
        <v>1396</v>
      </c>
      <c r="F154" s="1">
        <v>1</v>
      </c>
      <c r="G154" s="1" t="s">
        <v>1264</v>
      </c>
      <c r="H154" s="1" t="s">
        <v>1255</v>
      </c>
      <c r="I154" s="1" t="s">
        <v>87</v>
      </c>
      <c r="J154" s="1" t="s">
        <v>1712</v>
      </c>
      <c r="K154" s="1"/>
    </row>
    <row r="155" spans="1:11" ht="19" customHeight="1">
      <c r="A155" s="1" t="s">
        <v>1713</v>
      </c>
      <c r="B155" s="1" t="s">
        <v>1714</v>
      </c>
      <c r="C155" s="4">
        <v>36.756909999999998</v>
      </c>
      <c r="D155" s="4">
        <v>36.485742000000002</v>
      </c>
      <c r="E155" s="1" t="s">
        <v>1396</v>
      </c>
      <c r="F155" s="1">
        <v>1</v>
      </c>
      <c r="G155" s="1" t="s">
        <v>1264</v>
      </c>
      <c r="H155" s="1" t="s">
        <v>1255</v>
      </c>
      <c r="I155" s="1" t="s">
        <v>87</v>
      </c>
      <c r="J155" s="1" t="s">
        <v>1665</v>
      </c>
      <c r="K155" s="1"/>
    </row>
    <row r="156" spans="1:11" ht="19" customHeight="1">
      <c r="A156" s="1" t="s">
        <v>1715</v>
      </c>
      <c r="B156" s="1" t="s">
        <v>1716</v>
      </c>
      <c r="C156" s="4">
        <v>36.645359999999997</v>
      </c>
      <c r="D156" s="4">
        <v>36.406399999999998</v>
      </c>
      <c r="E156" s="1" t="s">
        <v>1396</v>
      </c>
      <c r="F156" s="1">
        <v>1</v>
      </c>
      <c r="G156" s="1" t="s">
        <v>1264</v>
      </c>
      <c r="H156" s="1" t="s">
        <v>1255</v>
      </c>
      <c r="I156" s="1" t="s">
        <v>87</v>
      </c>
      <c r="J156" s="1" t="s">
        <v>1717</v>
      </c>
      <c r="K156" s="1"/>
    </row>
    <row r="157" spans="1:11" ht="19" customHeight="1">
      <c r="A157" s="1" t="s">
        <v>1718</v>
      </c>
      <c r="B157" s="1" t="s">
        <v>1719</v>
      </c>
      <c r="C157" s="4">
        <v>37.747199999999999</v>
      </c>
      <c r="D157" s="4">
        <v>37.284260000000003</v>
      </c>
      <c r="E157" s="1" t="s">
        <v>1396</v>
      </c>
      <c r="F157" s="1">
        <v>1</v>
      </c>
      <c r="G157" s="1" t="s">
        <v>1264</v>
      </c>
      <c r="H157" s="1" t="s">
        <v>1259</v>
      </c>
      <c r="I157" s="1" t="s">
        <v>90</v>
      </c>
      <c r="J157" s="1" t="s">
        <v>1689</v>
      </c>
      <c r="K157" s="1"/>
    </row>
    <row r="158" spans="1:11" ht="19" customHeight="1">
      <c r="A158" s="1" t="s">
        <v>1720</v>
      </c>
      <c r="B158" s="1" t="s">
        <v>1721</v>
      </c>
      <c r="C158" s="4">
        <v>38.023949999999999</v>
      </c>
      <c r="D158" s="4">
        <v>36.481870000000001</v>
      </c>
      <c r="E158" s="1" t="s">
        <v>1396</v>
      </c>
      <c r="F158" s="1">
        <v>1</v>
      </c>
      <c r="G158" s="1" t="s">
        <v>1264</v>
      </c>
      <c r="H158" s="1" t="s">
        <v>1259</v>
      </c>
      <c r="I158" s="1" t="s">
        <v>90</v>
      </c>
      <c r="J158" s="1" t="s">
        <v>1671</v>
      </c>
      <c r="K158" s="1"/>
    </row>
    <row r="159" spans="1:11" ht="19" customHeight="1">
      <c r="A159" s="1" t="s">
        <v>1722</v>
      </c>
      <c r="B159" s="1" t="s">
        <v>1723</v>
      </c>
      <c r="C159" s="4">
        <v>37.485129999999998</v>
      </c>
      <c r="D159" s="4">
        <v>37.297750000000001</v>
      </c>
      <c r="E159" s="1" t="s">
        <v>1396</v>
      </c>
      <c r="F159" s="1">
        <v>1</v>
      </c>
      <c r="G159" s="1" t="s">
        <v>1264</v>
      </c>
      <c r="H159" s="1" t="s">
        <v>1259</v>
      </c>
      <c r="I159" s="1" t="s">
        <v>90</v>
      </c>
      <c r="J159" s="1" t="s">
        <v>1717</v>
      </c>
      <c r="K159" s="1"/>
    </row>
    <row r="160" spans="1:11" ht="19" customHeight="1">
      <c r="A160" s="1" t="s">
        <v>1724</v>
      </c>
      <c r="B160" s="1" t="s">
        <v>1725</v>
      </c>
      <c r="C160" s="4">
        <v>37.386760000000002</v>
      </c>
      <c r="D160" s="4">
        <v>37.138030000000001</v>
      </c>
      <c r="E160" s="1" t="s">
        <v>1396</v>
      </c>
      <c r="F160" s="1">
        <v>2</v>
      </c>
      <c r="G160" s="1" t="s">
        <v>1264</v>
      </c>
      <c r="H160" s="1" t="s">
        <v>1726</v>
      </c>
      <c r="I160" s="1" t="s">
        <v>87</v>
      </c>
      <c r="J160" s="1" t="s">
        <v>1727</v>
      </c>
      <c r="K160" s="1"/>
    </row>
    <row r="161" spans="1:11" ht="19" customHeight="1">
      <c r="A161" s="1" t="s">
        <v>1728</v>
      </c>
      <c r="B161" s="1" t="s">
        <v>1729</v>
      </c>
      <c r="C161" s="4">
        <v>37.37547</v>
      </c>
      <c r="D161" s="4">
        <v>36.838360000000002</v>
      </c>
      <c r="E161" s="1" t="s">
        <v>1396</v>
      </c>
      <c r="F161" s="1">
        <v>1</v>
      </c>
      <c r="G161" s="1" t="s">
        <v>1264</v>
      </c>
      <c r="H161" s="1" t="s">
        <v>1255</v>
      </c>
      <c r="I161" s="1" t="s">
        <v>87</v>
      </c>
      <c r="J161" s="1" t="s">
        <v>1730</v>
      </c>
      <c r="K161" s="1"/>
    </row>
    <row r="162" spans="1:11" ht="19" customHeight="1">
      <c r="A162" s="1" t="s">
        <v>1731</v>
      </c>
      <c r="B162" s="1" t="s">
        <v>1732</v>
      </c>
      <c r="C162" s="4">
        <v>37.191560000000003</v>
      </c>
      <c r="D162" s="4">
        <v>36.561950000000003</v>
      </c>
      <c r="E162" s="1" t="s">
        <v>1396</v>
      </c>
      <c r="F162" s="1">
        <v>1</v>
      </c>
      <c r="G162" s="1" t="s">
        <v>1264</v>
      </c>
      <c r="H162" s="1" t="s">
        <v>1255</v>
      </c>
      <c r="I162" s="1" t="s">
        <v>87</v>
      </c>
      <c r="J162" s="1" t="s">
        <v>1733</v>
      </c>
      <c r="K162" s="1"/>
    </row>
    <row r="163" spans="1:11" ht="19" customHeight="1">
      <c r="A163" s="1" t="s">
        <v>1734</v>
      </c>
      <c r="B163" s="1" t="s">
        <v>1735</v>
      </c>
      <c r="C163" s="4">
        <v>40.843600000000002</v>
      </c>
      <c r="D163" s="4">
        <v>31.148900000000001</v>
      </c>
      <c r="E163" s="1" t="s">
        <v>1396</v>
      </c>
      <c r="F163" s="1">
        <v>1</v>
      </c>
      <c r="G163" s="1" t="s">
        <v>1264</v>
      </c>
      <c r="H163" s="1" t="s">
        <v>685</v>
      </c>
      <c r="I163" s="1" t="s">
        <v>101</v>
      </c>
      <c r="J163" s="1" t="s">
        <v>1736</v>
      </c>
      <c r="K163" s="1"/>
    </row>
    <row r="164" spans="1:11" ht="19" customHeight="1">
      <c r="A164" s="1" t="s">
        <v>1737</v>
      </c>
      <c r="B164" s="1" t="s">
        <v>1738</v>
      </c>
      <c r="C164" s="4">
        <v>40.834200000000003</v>
      </c>
      <c r="D164" s="4">
        <v>31.164400000000001</v>
      </c>
      <c r="E164" s="1" t="s">
        <v>1396</v>
      </c>
      <c r="F164" s="1">
        <v>1</v>
      </c>
      <c r="G164" s="1" t="s">
        <v>1264</v>
      </c>
      <c r="H164" s="1" t="s">
        <v>685</v>
      </c>
      <c r="I164" s="1" t="s">
        <v>101</v>
      </c>
      <c r="J164" s="1" t="s">
        <v>1736</v>
      </c>
      <c r="K164" s="1"/>
    </row>
    <row r="165" spans="1:11" ht="19" customHeight="1">
      <c r="A165" s="1" t="s">
        <v>1739</v>
      </c>
      <c r="B165" s="1" t="s">
        <v>1740</v>
      </c>
      <c r="C165" s="4">
        <v>40.8611</v>
      </c>
      <c r="D165" s="4">
        <v>31.180399999999999</v>
      </c>
      <c r="E165" s="1" t="s">
        <v>1396</v>
      </c>
      <c r="F165" s="1">
        <v>1</v>
      </c>
      <c r="G165" s="1" t="s">
        <v>1264</v>
      </c>
      <c r="H165" s="1" t="s">
        <v>685</v>
      </c>
      <c r="I165" s="1" t="s">
        <v>101</v>
      </c>
      <c r="J165" s="1" t="s">
        <v>1736</v>
      </c>
      <c r="K165" s="1"/>
    </row>
    <row r="166" spans="1:11" ht="19" customHeight="1">
      <c r="A166" s="1" t="s">
        <v>1741</v>
      </c>
      <c r="B166" s="1" t="s">
        <v>1742</v>
      </c>
      <c r="C166" s="4">
        <v>40.780999999999999</v>
      </c>
      <c r="D166" s="4">
        <v>31.014399999999998</v>
      </c>
      <c r="E166" s="1" t="s">
        <v>1396</v>
      </c>
      <c r="F166" s="1">
        <v>1</v>
      </c>
      <c r="G166" s="1" t="s">
        <v>1264</v>
      </c>
      <c r="H166" s="1" t="s">
        <v>685</v>
      </c>
      <c r="I166" s="1" t="s">
        <v>101</v>
      </c>
      <c r="J166" s="1" t="s">
        <v>1736</v>
      </c>
      <c r="K166" s="1"/>
    </row>
    <row r="167" spans="1:11" ht="19" customHeight="1">
      <c r="A167" s="1" t="s">
        <v>1743</v>
      </c>
      <c r="B167" s="1" t="s">
        <v>925</v>
      </c>
      <c r="C167" s="4">
        <v>40.823599999999999</v>
      </c>
      <c r="D167" s="4">
        <v>29.360700000000001</v>
      </c>
      <c r="E167" s="1" t="s">
        <v>1396</v>
      </c>
      <c r="F167" s="1">
        <v>1</v>
      </c>
      <c r="G167" s="1" t="s">
        <v>1262</v>
      </c>
      <c r="H167" s="1" t="s">
        <v>924</v>
      </c>
      <c r="I167" s="1" t="s">
        <v>75</v>
      </c>
      <c r="J167" s="1" t="s">
        <v>1744</v>
      </c>
      <c r="K167" s="1"/>
    </row>
    <row r="168" spans="1:11" ht="19" customHeight="1">
      <c r="A168" s="1" t="s">
        <v>1743</v>
      </c>
      <c r="B168" s="1" t="s">
        <v>925</v>
      </c>
      <c r="C168" s="4">
        <v>40.823599999999999</v>
      </c>
      <c r="D168" s="4">
        <v>29.360700000000001</v>
      </c>
      <c r="E168" s="1" t="s">
        <v>1404</v>
      </c>
      <c r="F168" s="1">
        <v>1</v>
      </c>
      <c r="G168" s="1" t="s">
        <v>1263</v>
      </c>
      <c r="H168" s="1" t="s">
        <v>1105</v>
      </c>
      <c r="I168" s="1" t="s">
        <v>70</v>
      </c>
      <c r="J168" s="1" t="s">
        <v>1745</v>
      </c>
      <c r="K168" s="1"/>
    </row>
    <row r="169" spans="1:11" ht="19" customHeight="1">
      <c r="A169" s="1" t="s">
        <v>1746</v>
      </c>
      <c r="B169" s="1" t="s">
        <v>922</v>
      </c>
      <c r="C169" s="4">
        <v>40.744999999999997</v>
      </c>
      <c r="D169" s="4">
        <v>31.61</v>
      </c>
      <c r="E169" s="1" t="s">
        <v>1396</v>
      </c>
      <c r="F169" s="1">
        <v>1</v>
      </c>
      <c r="G169" s="1" t="s">
        <v>1262</v>
      </c>
      <c r="H169" s="1" t="s">
        <v>921</v>
      </c>
      <c r="I169" s="1" t="s">
        <v>75</v>
      </c>
      <c r="J169" s="1" t="s">
        <v>1747</v>
      </c>
      <c r="K169" s="1"/>
    </row>
    <row r="170" spans="1:11" ht="19" customHeight="1">
      <c r="A170" s="1" t="s">
        <v>1746</v>
      </c>
      <c r="B170" s="1" t="s">
        <v>922</v>
      </c>
      <c r="C170" s="4">
        <v>40.744999999999997</v>
      </c>
      <c r="D170" s="4">
        <v>31.61</v>
      </c>
      <c r="E170" s="1" t="s">
        <v>1404</v>
      </c>
      <c r="F170" s="1">
        <v>1</v>
      </c>
      <c r="G170" s="1" t="s">
        <v>1263</v>
      </c>
      <c r="H170" s="1" t="s">
        <v>1098</v>
      </c>
      <c r="I170" s="1" t="s">
        <v>70</v>
      </c>
      <c r="J170" s="1" t="s">
        <v>1748</v>
      </c>
      <c r="K170" s="1"/>
    </row>
    <row r="171" spans="1:11" ht="19" customHeight="1">
      <c r="A171" s="1" t="s">
        <v>1749</v>
      </c>
      <c r="B171" s="1" t="s">
        <v>685</v>
      </c>
      <c r="C171" s="4">
        <v>40.844000000000001</v>
      </c>
      <c r="D171" s="4">
        <v>31.149000000000001</v>
      </c>
      <c r="E171" s="1" t="s">
        <v>1396</v>
      </c>
      <c r="F171" s="1">
        <v>1</v>
      </c>
      <c r="G171" s="1" t="s">
        <v>1262</v>
      </c>
      <c r="H171" s="1" t="s">
        <v>921</v>
      </c>
      <c r="I171" s="1" t="s">
        <v>75</v>
      </c>
      <c r="J171" s="1" t="s">
        <v>1750</v>
      </c>
      <c r="K171" s="1"/>
    </row>
    <row r="172" spans="1:11" ht="19" customHeight="1">
      <c r="A172" s="1" t="s">
        <v>1751</v>
      </c>
      <c r="B172" s="1" t="s">
        <v>927</v>
      </c>
      <c r="C172" s="4">
        <v>40.82</v>
      </c>
      <c r="D172" s="4">
        <v>29.44</v>
      </c>
      <c r="E172" s="1" t="s">
        <v>1396</v>
      </c>
      <c r="F172" s="1">
        <v>1</v>
      </c>
      <c r="G172" s="1" t="s">
        <v>1262</v>
      </c>
      <c r="H172" s="1" t="s">
        <v>924</v>
      </c>
      <c r="I172" s="1" t="s">
        <v>75</v>
      </c>
      <c r="J172" s="1" t="s">
        <v>1752</v>
      </c>
      <c r="K172" s="1"/>
    </row>
    <row r="173" spans="1:11" ht="19" customHeight="1">
      <c r="A173" s="1" t="s">
        <v>1751</v>
      </c>
      <c r="B173" s="1" t="s">
        <v>927</v>
      </c>
      <c r="C173" s="4">
        <v>40.82</v>
      </c>
      <c r="D173" s="4">
        <v>29.44</v>
      </c>
      <c r="E173" s="1" t="s">
        <v>1404</v>
      </c>
      <c r="F173" s="1">
        <v>1</v>
      </c>
      <c r="G173" s="1" t="s">
        <v>1263</v>
      </c>
      <c r="H173" s="1" t="s">
        <v>1105</v>
      </c>
      <c r="I173" s="1" t="s">
        <v>70</v>
      </c>
      <c r="J173" s="1" t="s">
        <v>1753</v>
      </c>
      <c r="K173" s="1"/>
    </row>
    <row r="174" spans="1:11" ht="19" customHeight="1">
      <c r="A174" s="1" t="s">
        <v>1754</v>
      </c>
      <c r="B174" s="1" t="s">
        <v>923</v>
      </c>
      <c r="C174" s="4">
        <v>40.748930000000001</v>
      </c>
      <c r="D174" s="4">
        <v>30.889199999999999</v>
      </c>
      <c r="E174" s="1" t="s">
        <v>1396</v>
      </c>
      <c r="F174" s="1">
        <v>1</v>
      </c>
      <c r="G174" s="1" t="s">
        <v>1262</v>
      </c>
      <c r="H174" s="1" t="s">
        <v>921</v>
      </c>
      <c r="I174" s="1" t="s">
        <v>75</v>
      </c>
      <c r="J174" s="1" t="s">
        <v>1755</v>
      </c>
      <c r="K174" s="1"/>
    </row>
    <row r="175" spans="1:11" ht="19" customHeight="1">
      <c r="A175" s="1" t="s">
        <v>1754</v>
      </c>
      <c r="B175" s="1" t="s">
        <v>923</v>
      </c>
      <c r="C175" s="4">
        <v>40.748930000000001</v>
      </c>
      <c r="D175" s="4">
        <v>30.889199999999999</v>
      </c>
      <c r="E175" s="1" t="s">
        <v>1404</v>
      </c>
      <c r="F175" s="1">
        <v>1</v>
      </c>
      <c r="G175" s="1" t="s">
        <v>1263</v>
      </c>
      <c r="H175" s="1" t="s">
        <v>1098</v>
      </c>
      <c r="I175" s="1" t="s">
        <v>70</v>
      </c>
      <c r="J175" s="1" t="s">
        <v>1756</v>
      </c>
      <c r="K175" s="1"/>
    </row>
    <row r="176" spans="1:11" ht="19" customHeight="1">
      <c r="A176" s="1" t="s">
        <v>1757</v>
      </c>
      <c r="B176" s="1" t="s">
        <v>928</v>
      </c>
      <c r="C176" s="4">
        <v>40.79</v>
      </c>
      <c r="D176" s="4">
        <v>29.96</v>
      </c>
      <c r="E176" s="1" t="s">
        <v>1396</v>
      </c>
      <c r="F176" s="1">
        <v>1</v>
      </c>
      <c r="G176" s="1" t="s">
        <v>1262</v>
      </c>
      <c r="H176" s="1" t="s">
        <v>924</v>
      </c>
      <c r="I176" s="1" t="s">
        <v>75</v>
      </c>
      <c r="J176" s="1" t="s">
        <v>1758</v>
      </c>
      <c r="K176" s="1"/>
    </row>
    <row r="177" spans="1:11" ht="19" customHeight="1">
      <c r="A177" s="1" t="s">
        <v>1757</v>
      </c>
      <c r="B177" s="1" t="s">
        <v>928</v>
      </c>
      <c r="C177" s="4">
        <v>40.79</v>
      </c>
      <c r="D177" s="4">
        <v>29.96</v>
      </c>
      <c r="E177" s="1" t="s">
        <v>1404</v>
      </c>
      <c r="F177" s="1">
        <v>1</v>
      </c>
      <c r="G177" s="1" t="s">
        <v>1263</v>
      </c>
      <c r="H177" s="1" t="s">
        <v>1105</v>
      </c>
      <c r="I177" s="1" t="s">
        <v>70</v>
      </c>
      <c r="J177" s="1" t="s">
        <v>1759</v>
      </c>
      <c r="K177" s="1"/>
    </row>
    <row r="178" spans="1:11" ht="19" customHeight="1">
      <c r="A178" s="1" t="s">
        <v>1760</v>
      </c>
      <c r="B178" s="1" t="s">
        <v>1258</v>
      </c>
      <c r="C178" s="4">
        <v>37.392000000000003</v>
      </c>
      <c r="D178" s="4">
        <v>37.156999999999996</v>
      </c>
      <c r="E178" s="1" t="s">
        <v>1396</v>
      </c>
      <c r="F178" s="1">
        <v>1</v>
      </c>
      <c r="G178" s="1" t="s">
        <v>1264</v>
      </c>
      <c r="H178" s="1" t="s">
        <v>1255</v>
      </c>
      <c r="I178" s="1" t="s">
        <v>87</v>
      </c>
      <c r="J178" s="1" t="s">
        <v>1761</v>
      </c>
      <c r="K178" s="1"/>
    </row>
    <row r="179" spans="1:11" ht="19" customHeight="1">
      <c r="A179" s="1" t="s">
        <v>1762</v>
      </c>
      <c r="B179" s="1" t="s">
        <v>1257</v>
      </c>
      <c r="C179" s="4">
        <v>37.3919</v>
      </c>
      <c r="D179" s="4">
        <v>37.157400000000003</v>
      </c>
      <c r="E179" s="1" t="s">
        <v>1396</v>
      </c>
      <c r="F179" s="1">
        <v>2</v>
      </c>
      <c r="G179" s="1" t="s">
        <v>1264</v>
      </c>
      <c r="H179" s="1" t="s">
        <v>1726</v>
      </c>
      <c r="I179" s="1" t="s">
        <v>87</v>
      </c>
      <c r="J179" s="1" t="s">
        <v>1763</v>
      </c>
      <c r="K179" s="1"/>
    </row>
    <row r="180" spans="1:11" ht="19" customHeight="1">
      <c r="A180" s="1" t="s">
        <v>1764</v>
      </c>
      <c r="B180" s="1" t="s">
        <v>929</v>
      </c>
      <c r="C180" s="4">
        <v>40.764400000000002</v>
      </c>
      <c r="D180" s="4">
        <v>29.762</v>
      </c>
      <c r="E180" s="1" t="s">
        <v>1396</v>
      </c>
      <c r="F180" s="1">
        <v>1</v>
      </c>
      <c r="G180" s="1" t="s">
        <v>1262</v>
      </c>
      <c r="H180" s="1" t="s">
        <v>924</v>
      </c>
      <c r="I180" s="1" t="s">
        <v>75</v>
      </c>
      <c r="J180" s="1" t="s">
        <v>1765</v>
      </c>
      <c r="K180" s="1"/>
    </row>
    <row r="181" spans="1:11" ht="19" customHeight="1">
      <c r="A181" s="1" t="s">
        <v>1764</v>
      </c>
      <c r="B181" s="1" t="s">
        <v>929</v>
      </c>
      <c r="C181" s="4">
        <v>40.764400000000002</v>
      </c>
      <c r="D181" s="4">
        <v>29.762</v>
      </c>
      <c r="E181" s="1" t="s">
        <v>1404</v>
      </c>
      <c r="F181" s="1">
        <v>1</v>
      </c>
      <c r="G181" s="1" t="s">
        <v>1263</v>
      </c>
      <c r="H181" s="1" t="s">
        <v>1105</v>
      </c>
      <c r="I181" s="1" t="s">
        <v>70</v>
      </c>
      <c r="J181" s="1" t="s">
        <v>1766</v>
      </c>
      <c r="K181" s="1"/>
    </row>
    <row r="182" spans="1:11" ht="19" customHeight="1">
      <c r="A182" s="1" t="s">
        <v>1767</v>
      </c>
      <c r="B182" s="1" t="s">
        <v>1203</v>
      </c>
      <c r="C182" s="4">
        <v>23.61</v>
      </c>
      <c r="D182" s="4">
        <v>120.4217</v>
      </c>
      <c r="E182" s="1" t="s">
        <v>1404</v>
      </c>
      <c r="F182" s="1">
        <v>1</v>
      </c>
      <c r="G182" s="1" t="s">
        <v>1263</v>
      </c>
      <c r="H182" s="1" t="s">
        <v>1202</v>
      </c>
      <c r="I182" s="1" t="s">
        <v>70</v>
      </c>
      <c r="J182" s="1" t="s">
        <v>1768</v>
      </c>
      <c r="K182" s="1"/>
    </row>
    <row r="183" spans="1:11" ht="19" customHeight="1">
      <c r="A183" s="1" t="s">
        <v>1769</v>
      </c>
      <c r="B183" s="1" t="s">
        <v>861</v>
      </c>
      <c r="C183" s="4">
        <v>23.579499999999999</v>
      </c>
      <c r="D183" s="4">
        <v>120.56016700000001</v>
      </c>
      <c r="E183" s="1" t="s">
        <v>1404</v>
      </c>
      <c r="F183" s="1">
        <v>2</v>
      </c>
      <c r="G183" s="1" t="s">
        <v>1263</v>
      </c>
      <c r="H183" s="1" t="s">
        <v>1770</v>
      </c>
      <c r="I183" s="1" t="s">
        <v>70</v>
      </c>
      <c r="J183" s="1" t="s">
        <v>1771</v>
      </c>
      <c r="K183" s="1"/>
    </row>
    <row r="184" spans="1:11" ht="19" customHeight="1">
      <c r="A184" s="1" t="s">
        <v>1769</v>
      </c>
      <c r="B184" s="1" t="s">
        <v>861</v>
      </c>
      <c r="C184" s="4">
        <v>23.581499999999998</v>
      </c>
      <c r="D184" s="4">
        <v>120.55200000000001</v>
      </c>
      <c r="E184" s="1" t="s">
        <v>1396</v>
      </c>
      <c r="F184" s="1">
        <v>1</v>
      </c>
      <c r="G184" s="1" t="s">
        <v>1262</v>
      </c>
      <c r="H184" s="1" t="s">
        <v>860</v>
      </c>
      <c r="I184" s="1" t="s">
        <v>75</v>
      </c>
      <c r="J184" s="1" t="s">
        <v>1772</v>
      </c>
      <c r="K184" s="1"/>
    </row>
    <row r="185" spans="1:11" ht="19" customHeight="1">
      <c r="A185" s="1" t="s">
        <v>1773</v>
      </c>
      <c r="B185" s="1" t="s">
        <v>1092</v>
      </c>
      <c r="C185" s="4">
        <v>23.48367</v>
      </c>
      <c r="D185" s="4">
        <v>120.2775</v>
      </c>
      <c r="E185" s="1" t="s">
        <v>1404</v>
      </c>
      <c r="F185" s="1">
        <v>1</v>
      </c>
      <c r="G185" s="1" t="s">
        <v>1263</v>
      </c>
      <c r="H185" s="1" t="s">
        <v>634</v>
      </c>
      <c r="I185" s="1" t="s">
        <v>70</v>
      </c>
      <c r="J185" s="1" t="s">
        <v>1774</v>
      </c>
      <c r="K185" s="1"/>
    </row>
    <row r="186" spans="1:11" ht="19" customHeight="1">
      <c r="A186" s="1" t="s">
        <v>1773</v>
      </c>
      <c r="B186" s="1" t="s">
        <v>1092</v>
      </c>
      <c r="C186" s="4">
        <v>23.483699999999999</v>
      </c>
      <c r="D186" s="4">
        <v>120.2775</v>
      </c>
      <c r="E186" s="1" t="s">
        <v>1404</v>
      </c>
      <c r="F186" s="1">
        <v>1</v>
      </c>
      <c r="G186" s="1" t="s">
        <v>1263</v>
      </c>
      <c r="H186" s="1" t="s">
        <v>454</v>
      </c>
      <c r="I186" s="1" t="s">
        <v>70</v>
      </c>
      <c r="J186" s="1" t="s">
        <v>1775</v>
      </c>
      <c r="K186" s="1"/>
    </row>
    <row r="187" spans="1:11" ht="19" customHeight="1">
      <c r="A187" s="1" t="s">
        <v>1776</v>
      </c>
      <c r="B187" s="1" t="s">
        <v>1082</v>
      </c>
      <c r="C187" s="4">
        <v>23.472667000000001</v>
      </c>
      <c r="D187" s="4">
        <v>120.41633299999999</v>
      </c>
      <c r="E187" s="1" t="s">
        <v>1404</v>
      </c>
      <c r="F187" s="1">
        <v>2</v>
      </c>
      <c r="G187" s="1" t="s">
        <v>1263</v>
      </c>
      <c r="H187" s="1" t="s">
        <v>1777</v>
      </c>
      <c r="I187" s="1" t="s">
        <v>70</v>
      </c>
      <c r="J187" s="1" t="s">
        <v>1778</v>
      </c>
      <c r="K187" s="1"/>
    </row>
    <row r="188" spans="1:11" ht="19" customHeight="1">
      <c r="A188" s="1" t="s">
        <v>1779</v>
      </c>
      <c r="B188" s="1" t="s">
        <v>1083</v>
      </c>
      <c r="C188" s="4">
        <v>23.463000000000001</v>
      </c>
      <c r="D188" s="4">
        <v>120.553</v>
      </c>
      <c r="E188" s="1" t="s">
        <v>1404</v>
      </c>
      <c r="F188" s="1">
        <v>1</v>
      </c>
      <c r="G188" s="1" t="s">
        <v>1263</v>
      </c>
      <c r="H188" s="1" t="s">
        <v>448</v>
      </c>
      <c r="I188" s="1" t="s">
        <v>70</v>
      </c>
      <c r="J188" s="1" t="s">
        <v>1780</v>
      </c>
      <c r="K188" s="1"/>
    </row>
    <row r="189" spans="1:11" ht="19" customHeight="1">
      <c r="A189" s="1" t="s">
        <v>1781</v>
      </c>
      <c r="B189" s="1" t="s">
        <v>1063</v>
      </c>
      <c r="C189" s="4">
        <v>23.483000000000001</v>
      </c>
      <c r="D189" s="4">
        <v>120.65433299999999</v>
      </c>
      <c r="E189" s="1" t="s">
        <v>1404</v>
      </c>
      <c r="F189" s="1">
        <v>1</v>
      </c>
      <c r="G189" s="1" t="s">
        <v>1263</v>
      </c>
      <c r="H189" s="1" t="s">
        <v>441</v>
      </c>
      <c r="I189" s="1" t="s">
        <v>70</v>
      </c>
      <c r="J189" s="1" t="s">
        <v>1782</v>
      </c>
      <c r="K189" s="1"/>
    </row>
    <row r="190" spans="1:11" ht="19" customHeight="1">
      <c r="A190" s="1" t="s">
        <v>1783</v>
      </c>
      <c r="B190" s="1" t="s">
        <v>1204</v>
      </c>
      <c r="C190" s="4">
        <v>23.330500000000001</v>
      </c>
      <c r="D190" s="4">
        <v>120.1598</v>
      </c>
      <c r="E190" s="1" t="s">
        <v>1404</v>
      </c>
      <c r="F190" s="1">
        <v>1</v>
      </c>
      <c r="G190" s="1" t="s">
        <v>1263</v>
      </c>
      <c r="H190" s="1" t="s">
        <v>1202</v>
      </c>
      <c r="I190" s="1" t="s">
        <v>70</v>
      </c>
      <c r="J190" s="1" t="s">
        <v>1784</v>
      </c>
      <c r="K190" s="1"/>
    </row>
    <row r="191" spans="1:11" ht="19" customHeight="1">
      <c r="A191" s="1" t="s">
        <v>1785</v>
      </c>
      <c r="B191" s="1" t="s">
        <v>1093</v>
      </c>
      <c r="C191" s="4">
        <v>23.356166999999999</v>
      </c>
      <c r="D191" s="4">
        <v>120.273833</v>
      </c>
      <c r="E191" s="1" t="s">
        <v>1404</v>
      </c>
      <c r="F191" s="1">
        <v>1</v>
      </c>
      <c r="G191" s="1" t="s">
        <v>1263</v>
      </c>
      <c r="H191" s="1" t="s">
        <v>454</v>
      </c>
      <c r="I191" s="1" t="s">
        <v>70</v>
      </c>
      <c r="J191" s="1" t="s">
        <v>1786</v>
      </c>
      <c r="K191" s="1"/>
    </row>
    <row r="192" spans="1:11" ht="19" customHeight="1">
      <c r="A192" s="1" t="s">
        <v>1787</v>
      </c>
      <c r="B192" s="1" t="s">
        <v>1107</v>
      </c>
      <c r="C192" s="4">
        <v>23.294499999999999</v>
      </c>
      <c r="D192" s="4">
        <v>120.59266700000001</v>
      </c>
      <c r="E192" s="1" t="s">
        <v>1404</v>
      </c>
      <c r="F192" s="1">
        <v>1</v>
      </c>
      <c r="G192" s="1" t="s">
        <v>1263</v>
      </c>
      <c r="H192" s="1" t="s">
        <v>519</v>
      </c>
      <c r="I192" s="1" t="s">
        <v>70</v>
      </c>
      <c r="J192" s="1" t="s">
        <v>1788</v>
      </c>
      <c r="K192" s="1"/>
    </row>
    <row r="193" spans="1:11" ht="19" customHeight="1">
      <c r="A193" s="1" t="s">
        <v>1789</v>
      </c>
      <c r="B193" s="1" t="s">
        <v>1156</v>
      </c>
      <c r="C193" s="4">
        <v>23.219169999999998</v>
      </c>
      <c r="D193" s="4">
        <v>120.1622</v>
      </c>
      <c r="E193" s="1" t="s">
        <v>1404</v>
      </c>
      <c r="F193" s="1">
        <v>1</v>
      </c>
      <c r="G193" s="1" t="s">
        <v>1263</v>
      </c>
      <c r="H193" s="1" t="s">
        <v>634</v>
      </c>
      <c r="I193" s="1" t="s">
        <v>70</v>
      </c>
      <c r="J193" s="1" t="s">
        <v>1790</v>
      </c>
      <c r="K193" s="1"/>
    </row>
    <row r="194" spans="1:11" ht="19" customHeight="1">
      <c r="A194" s="1" t="s">
        <v>1791</v>
      </c>
      <c r="B194" s="1" t="s">
        <v>1157</v>
      </c>
      <c r="C194" s="4">
        <v>23.21367</v>
      </c>
      <c r="D194" s="4">
        <v>120.277</v>
      </c>
      <c r="E194" s="1" t="s">
        <v>1404</v>
      </c>
      <c r="F194" s="1">
        <v>2</v>
      </c>
      <c r="G194" s="1" t="s">
        <v>1263</v>
      </c>
      <c r="H194" s="1" t="s">
        <v>1792</v>
      </c>
      <c r="I194" s="1" t="s">
        <v>70</v>
      </c>
      <c r="J194" s="1" t="s">
        <v>1793</v>
      </c>
      <c r="K194" s="1"/>
    </row>
    <row r="195" spans="1:11" ht="19" customHeight="1">
      <c r="A195" s="1" t="s">
        <v>1794</v>
      </c>
      <c r="B195" s="1" t="s">
        <v>1205</v>
      </c>
      <c r="C195" s="4">
        <v>23.2225</v>
      </c>
      <c r="D195" s="4">
        <v>120.4003</v>
      </c>
      <c r="E195" s="1" t="s">
        <v>1404</v>
      </c>
      <c r="F195" s="1">
        <v>1</v>
      </c>
      <c r="G195" s="1" t="s">
        <v>1263</v>
      </c>
      <c r="H195" s="1" t="s">
        <v>1202</v>
      </c>
      <c r="I195" s="1" t="s">
        <v>70</v>
      </c>
      <c r="J195" s="1" t="s">
        <v>1795</v>
      </c>
      <c r="K195" s="1"/>
    </row>
    <row r="196" spans="1:11" ht="19" customHeight="1">
      <c r="A196" s="1" t="s">
        <v>1796</v>
      </c>
      <c r="B196" s="1" t="s">
        <v>1206</v>
      </c>
      <c r="C196" s="4">
        <v>23.102333000000002</v>
      </c>
      <c r="D196" s="4">
        <v>120.158333</v>
      </c>
      <c r="E196" s="1" t="s">
        <v>1396</v>
      </c>
      <c r="F196" s="1">
        <v>1</v>
      </c>
      <c r="G196" s="1" t="s">
        <v>1264</v>
      </c>
      <c r="H196" s="1" t="s">
        <v>1797</v>
      </c>
      <c r="I196" s="1" t="s">
        <v>70</v>
      </c>
      <c r="J196" s="1" t="s">
        <v>1798</v>
      </c>
      <c r="K196" s="1"/>
    </row>
    <row r="197" spans="1:11" ht="19" customHeight="1">
      <c r="A197" s="1" t="s">
        <v>1796</v>
      </c>
      <c r="B197" s="1" t="s">
        <v>1206</v>
      </c>
      <c r="C197" s="4">
        <v>23.102333000000002</v>
      </c>
      <c r="D197" s="4">
        <v>120.158333</v>
      </c>
      <c r="E197" s="1" t="s">
        <v>1404</v>
      </c>
      <c r="F197" s="1">
        <v>1</v>
      </c>
      <c r="G197" s="1" t="s">
        <v>1263</v>
      </c>
      <c r="H197" s="1" t="s">
        <v>1202</v>
      </c>
      <c r="I197" s="1" t="s">
        <v>70</v>
      </c>
      <c r="J197" s="1" t="s">
        <v>1798</v>
      </c>
      <c r="K197" s="1"/>
    </row>
    <row r="198" spans="1:11" ht="19" customHeight="1">
      <c r="A198" s="1" t="s">
        <v>1799</v>
      </c>
      <c r="B198" s="1" t="s">
        <v>864</v>
      </c>
      <c r="C198" s="4">
        <v>23.755333</v>
      </c>
      <c r="D198" s="4">
        <v>120.615667</v>
      </c>
      <c r="E198" s="1" t="s">
        <v>1404</v>
      </c>
      <c r="F198" s="1">
        <v>2</v>
      </c>
      <c r="G198" s="1" t="s">
        <v>1263</v>
      </c>
      <c r="H198" s="1" t="s">
        <v>1800</v>
      </c>
      <c r="I198" s="1" t="s">
        <v>70</v>
      </c>
      <c r="J198" s="1" t="s">
        <v>1801</v>
      </c>
      <c r="K198" s="1"/>
    </row>
    <row r="199" spans="1:11" ht="19" customHeight="1">
      <c r="A199" s="1" t="s">
        <v>1799</v>
      </c>
      <c r="B199" s="1" t="s">
        <v>864</v>
      </c>
      <c r="C199" s="4">
        <v>23.757000000000001</v>
      </c>
      <c r="D199" s="4">
        <v>120.6062</v>
      </c>
      <c r="E199" s="1" t="s">
        <v>1396</v>
      </c>
      <c r="F199" s="1">
        <v>2</v>
      </c>
      <c r="G199" s="1" t="s">
        <v>1262</v>
      </c>
      <c r="H199" s="1" t="s">
        <v>1802</v>
      </c>
      <c r="I199" s="1" t="s">
        <v>75</v>
      </c>
      <c r="J199" s="1" t="s">
        <v>1803</v>
      </c>
      <c r="K199" s="1"/>
    </row>
    <row r="200" spans="1:11" ht="19" customHeight="1">
      <c r="A200" s="1" t="s">
        <v>1804</v>
      </c>
      <c r="B200" s="1" t="s">
        <v>1094</v>
      </c>
      <c r="C200" s="4">
        <v>23.577000000000002</v>
      </c>
      <c r="D200" s="4">
        <v>120.301833</v>
      </c>
      <c r="E200" s="1" t="s">
        <v>1404</v>
      </c>
      <c r="F200" s="1">
        <v>1</v>
      </c>
      <c r="G200" s="1" t="s">
        <v>1263</v>
      </c>
      <c r="H200" s="1" t="s">
        <v>454</v>
      </c>
      <c r="I200" s="1" t="s">
        <v>70</v>
      </c>
      <c r="J200" s="1" t="s">
        <v>1805</v>
      </c>
      <c r="K200" s="1"/>
    </row>
    <row r="201" spans="1:11" ht="19" customHeight="1">
      <c r="A201" s="1" t="s">
        <v>1806</v>
      </c>
      <c r="B201" s="1" t="s">
        <v>1084</v>
      </c>
      <c r="C201" s="4">
        <v>23.520667</v>
      </c>
      <c r="D201" s="4">
        <v>120.55249999999999</v>
      </c>
      <c r="E201" s="1" t="s">
        <v>1404</v>
      </c>
      <c r="F201" s="1">
        <v>1</v>
      </c>
      <c r="G201" s="1" t="s">
        <v>1263</v>
      </c>
      <c r="H201" s="1" t="s">
        <v>448</v>
      </c>
      <c r="I201" s="1" t="s">
        <v>70</v>
      </c>
      <c r="J201" s="1" t="s">
        <v>1807</v>
      </c>
      <c r="K201" s="1"/>
    </row>
    <row r="202" spans="1:11" ht="19" customHeight="1">
      <c r="A202" s="1" t="s">
        <v>1808</v>
      </c>
      <c r="B202" s="1" t="s">
        <v>914</v>
      </c>
      <c r="C202" s="4">
        <v>23.518667000000001</v>
      </c>
      <c r="D202" s="4">
        <v>120.591667</v>
      </c>
      <c r="E202" s="1" t="s">
        <v>1404</v>
      </c>
      <c r="F202" s="1">
        <v>1</v>
      </c>
      <c r="G202" s="1" t="s">
        <v>1263</v>
      </c>
      <c r="H202" s="1" t="s">
        <v>1065</v>
      </c>
      <c r="I202" s="1" t="s">
        <v>70</v>
      </c>
      <c r="J202" s="1" t="s">
        <v>1809</v>
      </c>
      <c r="K202" s="1"/>
    </row>
    <row r="203" spans="1:11" ht="19" customHeight="1">
      <c r="A203" s="1" t="s">
        <v>1808</v>
      </c>
      <c r="B203" s="1" t="s">
        <v>914</v>
      </c>
      <c r="C203" s="4">
        <v>23.52</v>
      </c>
      <c r="D203" s="4">
        <v>120.584</v>
      </c>
      <c r="E203" s="1" t="s">
        <v>1396</v>
      </c>
      <c r="F203" s="1">
        <v>1</v>
      </c>
      <c r="G203" s="1" t="s">
        <v>1262</v>
      </c>
      <c r="H203" s="1" t="s">
        <v>913</v>
      </c>
      <c r="I203" s="1" t="s">
        <v>75</v>
      </c>
      <c r="J203" s="1" t="s">
        <v>1810</v>
      </c>
      <c r="K203" s="1"/>
    </row>
    <row r="204" spans="1:11" ht="19" customHeight="1">
      <c r="A204" s="1" t="s">
        <v>1811</v>
      </c>
      <c r="B204" s="1" t="s">
        <v>1085</v>
      </c>
      <c r="C204" s="4">
        <v>23.605167000000002</v>
      </c>
      <c r="D204" s="4">
        <v>120.488</v>
      </c>
      <c r="E204" s="1" t="s">
        <v>1404</v>
      </c>
      <c r="F204" s="1">
        <v>1</v>
      </c>
      <c r="G204" s="1" t="s">
        <v>1263</v>
      </c>
      <c r="H204" s="1" t="s">
        <v>448</v>
      </c>
      <c r="I204" s="1" t="s">
        <v>70</v>
      </c>
      <c r="J204" s="1" t="s">
        <v>1812</v>
      </c>
      <c r="K204" s="1"/>
    </row>
    <row r="205" spans="1:11" ht="19" customHeight="1">
      <c r="A205" s="1" t="s">
        <v>1813</v>
      </c>
      <c r="B205" s="1" t="s">
        <v>1086</v>
      </c>
      <c r="C205" s="4">
        <v>23.554500000000001</v>
      </c>
      <c r="D205" s="4">
        <v>120.42916700000001</v>
      </c>
      <c r="E205" s="1" t="s">
        <v>1404</v>
      </c>
      <c r="F205" s="1">
        <v>1</v>
      </c>
      <c r="G205" s="1" t="s">
        <v>1263</v>
      </c>
      <c r="H205" s="1" t="s">
        <v>448</v>
      </c>
      <c r="I205" s="1" t="s">
        <v>70</v>
      </c>
      <c r="J205" s="1" t="s">
        <v>1814</v>
      </c>
      <c r="K205" s="1"/>
    </row>
    <row r="206" spans="1:11" ht="19" customHeight="1">
      <c r="A206" s="1" t="s">
        <v>1813</v>
      </c>
      <c r="B206" s="1" t="s">
        <v>1086</v>
      </c>
      <c r="C206" s="4">
        <v>23.554500000000001</v>
      </c>
      <c r="D206" s="4">
        <v>120.42919999999999</v>
      </c>
      <c r="E206" s="1" t="s">
        <v>1404</v>
      </c>
      <c r="F206" s="1">
        <v>1</v>
      </c>
      <c r="G206" s="1" t="s">
        <v>1263</v>
      </c>
      <c r="H206" s="1" t="s">
        <v>1202</v>
      </c>
      <c r="I206" s="1" t="s">
        <v>70</v>
      </c>
      <c r="J206" s="1" t="s">
        <v>1815</v>
      </c>
      <c r="K206" s="1"/>
    </row>
    <row r="207" spans="1:11" ht="19" customHeight="1">
      <c r="A207" s="1" t="s">
        <v>1816</v>
      </c>
      <c r="B207" s="1" t="s">
        <v>1087</v>
      </c>
      <c r="C207" s="4">
        <v>23.534333</v>
      </c>
      <c r="D207" s="4">
        <v>120.4555</v>
      </c>
      <c r="E207" s="1" t="s">
        <v>1404</v>
      </c>
      <c r="F207" s="1">
        <v>1</v>
      </c>
      <c r="G207" s="1" t="s">
        <v>1263</v>
      </c>
      <c r="H207" s="1" t="s">
        <v>448</v>
      </c>
      <c r="I207" s="1" t="s">
        <v>70</v>
      </c>
      <c r="J207" s="1" t="s">
        <v>1817</v>
      </c>
      <c r="K207" s="1"/>
    </row>
    <row r="208" spans="1:11" ht="19" customHeight="1">
      <c r="A208" s="1" t="s">
        <v>1818</v>
      </c>
      <c r="B208" s="1" t="s">
        <v>1095</v>
      </c>
      <c r="C208" s="4">
        <v>23.51933</v>
      </c>
      <c r="D208" s="4">
        <v>120.35120000000001</v>
      </c>
      <c r="E208" s="1" t="s">
        <v>1404</v>
      </c>
      <c r="F208" s="1">
        <v>1</v>
      </c>
      <c r="G208" s="1" t="s">
        <v>1263</v>
      </c>
      <c r="H208" s="1" t="s">
        <v>1202</v>
      </c>
      <c r="I208" s="1" t="s">
        <v>70</v>
      </c>
      <c r="J208" s="1" t="s">
        <v>1819</v>
      </c>
      <c r="K208" s="1"/>
    </row>
    <row r="209" spans="1:11" ht="19" customHeight="1">
      <c r="A209" s="1" t="s">
        <v>1818</v>
      </c>
      <c r="B209" s="1" t="s">
        <v>1095</v>
      </c>
      <c r="C209" s="4">
        <v>23.519333</v>
      </c>
      <c r="D209" s="4">
        <v>120.351167</v>
      </c>
      <c r="E209" s="1" t="s">
        <v>1404</v>
      </c>
      <c r="F209" s="1">
        <v>1</v>
      </c>
      <c r="G209" s="1" t="s">
        <v>1263</v>
      </c>
      <c r="H209" s="1" t="s">
        <v>454</v>
      </c>
      <c r="I209" s="1" t="s">
        <v>70</v>
      </c>
      <c r="J209" s="1" t="s">
        <v>1820</v>
      </c>
      <c r="K209" s="1"/>
    </row>
    <row r="210" spans="1:11" ht="19" customHeight="1">
      <c r="A210" s="1" t="s">
        <v>1821</v>
      </c>
      <c r="B210" s="1" t="s">
        <v>1158</v>
      </c>
      <c r="C210" s="4">
        <v>23.381170000000001</v>
      </c>
      <c r="D210" s="4">
        <v>120.1722</v>
      </c>
      <c r="E210" s="1" t="s">
        <v>1404</v>
      </c>
      <c r="F210" s="1">
        <v>1</v>
      </c>
      <c r="G210" s="1" t="s">
        <v>1263</v>
      </c>
      <c r="H210" s="1" t="s">
        <v>634</v>
      </c>
      <c r="I210" s="1" t="s">
        <v>70</v>
      </c>
      <c r="J210" s="1" t="s">
        <v>1822</v>
      </c>
      <c r="K210" s="1"/>
    </row>
    <row r="211" spans="1:11" ht="19" customHeight="1">
      <c r="A211" s="1" t="s">
        <v>1823</v>
      </c>
      <c r="B211" s="1" t="s">
        <v>1088</v>
      </c>
      <c r="C211" s="4">
        <v>23.475332999999999</v>
      </c>
      <c r="D211" s="4">
        <v>120.471333</v>
      </c>
      <c r="E211" s="1" t="s">
        <v>1404</v>
      </c>
      <c r="F211" s="1">
        <v>1</v>
      </c>
      <c r="G211" s="1" t="s">
        <v>1263</v>
      </c>
      <c r="H211" s="1" t="s">
        <v>448</v>
      </c>
      <c r="I211" s="1" t="s">
        <v>70</v>
      </c>
      <c r="J211" s="1" t="s">
        <v>1824</v>
      </c>
      <c r="K211" s="1"/>
    </row>
    <row r="212" spans="1:11" ht="19" customHeight="1">
      <c r="A212" s="1" t="s">
        <v>1825</v>
      </c>
      <c r="B212" s="1" t="s">
        <v>1089</v>
      </c>
      <c r="C212" s="4">
        <v>23.493666999999999</v>
      </c>
      <c r="D212" s="4">
        <v>120.455333</v>
      </c>
      <c r="E212" s="1" t="s">
        <v>1404</v>
      </c>
      <c r="F212" s="1">
        <v>1</v>
      </c>
      <c r="G212" s="1" t="s">
        <v>1263</v>
      </c>
      <c r="H212" s="1" t="s">
        <v>448</v>
      </c>
      <c r="I212" s="1" t="s">
        <v>70</v>
      </c>
      <c r="J212" s="1" t="s">
        <v>1826</v>
      </c>
      <c r="K212" s="1"/>
    </row>
    <row r="213" spans="1:11" ht="19" customHeight="1">
      <c r="A213" s="1" t="s">
        <v>1827</v>
      </c>
      <c r="B213" s="1" t="s">
        <v>1064</v>
      </c>
      <c r="C213" s="4">
        <v>23.470666999999999</v>
      </c>
      <c r="D213" s="4">
        <v>120.44533300000001</v>
      </c>
      <c r="E213" s="1" t="s">
        <v>1404</v>
      </c>
      <c r="F213" s="1">
        <v>1</v>
      </c>
      <c r="G213" s="1" t="s">
        <v>1263</v>
      </c>
      <c r="H213" s="1" t="s">
        <v>441</v>
      </c>
      <c r="I213" s="1" t="s">
        <v>70</v>
      </c>
      <c r="J213" s="1" t="s">
        <v>1828</v>
      </c>
      <c r="K213" s="1"/>
    </row>
    <row r="214" spans="1:11" ht="19" customHeight="1">
      <c r="A214" s="1" t="s">
        <v>1829</v>
      </c>
      <c r="B214" s="1" t="s">
        <v>1159</v>
      </c>
      <c r="C214" s="4">
        <v>23.365500000000001</v>
      </c>
      <c r="D214" s="4">
        <v>120.36669999999999</v>
      </c>
      <c r="E214" s="1" t="s">
        <v>1404</v>
      </c>
      <c r="F214" s="1">
        <v>1</v>
      </c>
      <c r="G214" s="1" t="s">
        <v>1263</v>
      </c>
      <c r="H214" s="1" t="s">
        <v>634</v>
      </c>
      <c r="I214" s="1" t="s">
        <v>70</v>
      </c>
      <c r="J214" s="1" t="s">
        <v>1830</v>
      </c>
      <c r="K214" s="1"/>
    </row>
    <row r="215" spans="1:11" ht="19" customHeight="1">
      <c r="A215" s="1" t="s">
        <v>1831</v>
      </c>
      <c r="B215" s="1" t="s">
        <v>1207</v>
      </c>
      <c r="C215" s="4">
        <v>23.28</v>
      </c>
      <c r="D215" s="4">
        <v>120.46729999999999</v>
      </c>
      <c r="E215" s="1" t="s">
        <v>1404</v>
      </c>
      <c r="F215" s="1">
        <v>1</v>
      </c>
      <c r="G215" s="1" t="s">
        <v>1263</v>
      </c>
      <c r="H215" s="1" t="s">
        <v>1202</v>
      </c>
      <c r="I215" s="1" t="s">
        <v>70</v>
      </c>
      <c r="J215" s="1" t="s">
        <v>1832</v>
      </c>
      <c r="K215" s="1"/>
    </row>
    <row r="216" spans="1:11" ht="19" customHeight="1">
      <c r="A216" s="1" t="s">
        <v>1833</v>
      </c>
      <c r="B216" s="1" t="s">
        <v>1160</v>
      </c>
      <c r="C216" s="4">
        <v>23.26867</v>
      </c>
      <c r="D216" s="4">
        <v>120.27679999999999</v>
      </c>
      <c r="E216" s="1" t="s">
        <v>1404</v>
      </c>
      <c r="F216" s="1">
        <v>2</v>
      </c>
      <c r="G216" s="1" t="s">
        <v>1263</v>
      </c>
      <c r="H216" s="1" t="s">
        <v>1792</v>
      </c>
      <c r="I216" s="1" t="s">
        <v>70</v>
      </c>
      <c r="J216" s="1" t="s">
        <v>1834</v>
      </c>
      <c r="K216" s="1"/>
    </row>
    <row r="217" spans="1:11" ht="19" customHeight="1">
      <c r="A217" s="1" t="s">
        <v>1835</v>
      </c>
      <c r="B217" s="1" t="s">
        <v>1161</v>
      </c>
      <c r="C217" s="4">
        <v>23.262170000000001</v>
      </c>
      <c r="D217" s="4">
        <v>120.1392</v>
      </c>
      <c r="E217" s="1" t="s">
        <v>1404</v>
      </c>
      <c r="F217" s="1">
        <v>1</v>
      </c>
      <c r="G217" s="1" t="s">
        <v>1263</v>
      </c>
      <c r="H217" s="1" t="s">
        <v>634</v>
      </c>
      <c r="I217" s="1" t="s">
        <v>70</v>
      </c>
      <c r="J217" s="1" t="s">
        <v>1836</v>
      </c>
      <c r="K217" s="1"/>
    </row>
    <row r="218" spans="1:11" ht="19" customHeight="1">
      <c r="A218" s="1" t="s">
        <v>1835</v>
      </c>
      <c r="B218" s="1" t="s">
        <v>1161</v>
      </c>
      <c r="C218" s="4">
        <v>23.2622</v>
      </c>
      <c r="D218" s="4">
        <v>120.1392</v>
      </c>
      <c r="E218" s="1" t="s">
        <v>1404</v>
      </c>
      <c r="F218" s="1">
        <v>1</v>
      </c>
      <c r="G218" s="1" t="s">
        <v>1263</v>
      </c>
      <c r="H218" s="1" t="s">
        <v>1202</v>
      </c>
      <c r="I218" s="1" t="s">
        <v>70</v>
      </c>
      <c r="J218" s="1" t="s">
        <v>1837</v>
      </c>
      <c r="K218" s="1"/>
    </row>
    <row r="219" spans="1:11" ht="19" customHeight="1">
      <c r="A219" s="1" t="s">
        <v>1838</v>
      </c>
      <c r="B219" s="1" t="s">
        <v>1162</v>
      </c>
      <c r="C219" s="4">
        <v>23.171330000000001</v>
      </c>
      <c r="D219" s="4">
        <v>120.3272</v>
      </c>
      <c r="E219" s="1" t="s">
        <v>1396</v>
      </c>
      <c r="F219" s="1">
        <v>1</v>
      </c>
      <c r="G219" s="1" t="s">
        <v>1264</v>
      </c>
      <c r="H219" s="1" t="s">
        <v>1797</v>
      </c>
      <c r="I219" s="1" t="s">
        <v>70</v>
      </c>
      <c r="J219" s="1" t="s">
        <v>1839</v>
      </c>
      <c r="K219" s="1"/>
    </row>
    <row r="220" spans="1:11" ht="19" customHeight="1">
      <c r="A220" s="1" t="s">
        <v>1838</v>
      </c>
      <c r="B220" s="1" t="s">
        <v>1162</v>
      </c>
      <c r="C220" s="4">
        <v>23.171330000000001</v>
      </c>
      <c r="D220" s="4">
        <v>120.3272</v>
      </c>
      <c r="E220" s="1" t="s">
        <v>1404</v>
      </c>
      <c r="F220" s="1">
        <v>2</v>
      </c>
      <c r="G220" s="1" t="s">
        <v>1263</v>
      </c>
      <c r="H220" s="1" t="s">
        <v>1792</v>
      </c>
      <c r="I220" s="1" t="s">
        <v>70</v>
      </c>
      <c r="J220" s="1" t="s">
        <v>1840</v>
      </c>
      <c r="K220" s="1"/>
    </row>
    <row r="221" spans="1:11" ht="19" customHeight="1">
      <c r="A221" s="1" t="s">
        <v>1841</v>
      </c>
      <c r="B221" s="1" t="s">
        <v>1163</v>
      </c>
      <c r="C221" s="4">
        <v>23.183</v>
      </c>
      <c r="D221" s="4">
        <v>120.1113</v>
      </c>
      <c r="E221" s="1" t="s">
        <v>1404</v>
      </c>
      <c r="F221" s="1">
        <v>1</v>
      </c>
      <c r="G221" s="1" t="s">
        <v>1263</v>
      </c>
      <c r="H221" s="1" t="s">
        <v>634</v>
      </c>
      <c r="I221" s="1" t="s">
        <v>70</v>
      </c>
      <c r="J221" s="1" t="s">
        <v>1842</v>
      </c>
      <c r="K221" s="1"/>
    </row>
    <row r="222" spans="1:11" ht="19" customHeight="1">
      <c r="A222" s="1" t="s">
        <v>1843</v>
      </c>
      <c r="B222" s="1" t="s">
        <v>1208</v>
      </c>
      <c r="C222" s="4">
        <v>23.1235</v>
      </c>
      <c r="D222" s="4">
        <v>120.2458</v>
      </c>
      <c r="E222" s="1" t="s">
        <v>1396</v>
      </c>
      <c r="F222" s="1">
        <v>1</v>
      </c>
      <c r="G222" s="1" t="s">
        <v>1264</v>
      </c>
      <c r="H222" s="1" t="s">
        <v>1797</v>
      </c>
      <c r="I222" s="1" t="s">
        <v>70</v>
      </c>
      <c r="J222" s="1" t="s">
        <v>1844</v>
      </c>
      <c r="K222" s="1"/>
    </row>
    <row r="223" spans="1:11" ht="19" customHeight="1">
      <c r="A223" s="1" t="s">
        <v>1843</v>
      </c>
      <c r="B223" s="1" t="s">
        <v>1208</v>
      </c>
      <c r="C223" s="4">
        <v>23.1235</v>
      </c>
      <c r="D223" s="4">
        <v>120.2458</v>
      </c>
      <c r="E223" s="1" t="s">
        <v>1404</v>
      </c>
      <c r="F223" s="1">
        <v>1</v>
      </c>
      <c r="G223" s="1" t="s">
        <v>1263</v>
      </c>
      <c r="H223" s="1" t="s">
        <v>1202</v>
      </c>
      <c r="I223" s="1" t="s">
        <v>70</v>
      </c>
      <c r="J223" s="1" t="s">
        <v>1844</v>
      </c>
      <c r="K223" s="1"/>
    </row>
    <row r="224" spans="1:11" ht="19" customHeight="1">
      <c r="A224" s="1" t="s">
        <v>1845</v>
      </c>
      <c r="B224" s="1" t="s">
        <v>1209</v>
      </c>
      <c r="C224" s="4">
        <v>23.121500000000001</v>
      </c>
      <c r="D224" s="4">
        <v>120.459</v>
      </c>
      <c r="E224" s="1" t="s">
        <v>1396</v>
      </c>
      <c r="F224" s="1">
        <v>1</v>
      </c>
      <c r="G224" s="1" t="s">
        <v>1264</v>
      </c>
      <c r="H224" s="1" t="s">
        <v>1797</v>
      </c>
      <c r="I224" s="1" t="s">
        <v>70</v>
      </c>
      <c r="J224" s="1" t="s">
        <v>1846</v>
      </c>
      <c r="K224" s="1"/>
    </row>
    <row r="225" spans="1:11" ht="19" customHeight="1">
      <c r="A225" s="1" t="s">
        <v>1845</v>
      </c>
      <c r="B225" s="1" t="s">
        <v>1209</v>
      </c>
      <c r="C225" s="4">
        <v>23.121500000000001</v>
      </c>
      <c r="D225" s="4">
        <v>120.459</v>
      </c>
      <c r="E225" s="1" t="s">
        <v>1404</v>
      </c>
      <c r="F225" s="1">
        <v>1</v>
      </c>
      <c r="G225" s="1" t="s">
        <v>1263</v>
      </c>
      <c r="H225" s="1" t="s">
        <v>1202</v>
      </c>
      <c r="I225" s="1" t="s">
        <v>70</v>
      </c>
      <c r="J225" s="1" t="s">
        <v>1846</v>
      </c>
      <c r="K225" s="1"/>
    </row>
    <row r="226" spans="1:11" ht="19" customHeight="1">
      <c r="A226" s="1" t="s">
        <v>1847</v>
      </c>
      <c r="B226" s="1" t="s">
        <v>1164</v>
      </c>
      <c r="C226" s="4">
        <v>23.025829999999999</v>
      </c>
      <c r="D226" s="4">
        <v>120.34950000000001</v>
      </c>
      <c r="E226" s="1" t="s">
        <v>1396</v>
      </c>
      <c r="F226" s="1">
        <v>1</v>
      </c>
      <c r="G226" s="1" t="s">
        <v>1264</v>
      </c>
      <c r="H226" s="1" t="s">
        <v>1797</v>
      </c>
      <c r="I226" s="1" t="s">
        <v>70</v>
      </c>
      <c r="J226" s="1" t="s">
        <v>1848</v>
      </c>
      <c r="K226" s="1"/>
    </row>
    <row r="227" spans="1:11" ht="19" customHeight="1">
      <c r="A227" s="1" t="s">
        <v>1847</v>
      </c>
      <c r="B227" s="1" t="s">
        <v>1164</v>
      </c>
      <c r="C227" s="4">
        <v>23.025829999999999</v>
      </c>
      <c r="D227" s="4">
        <v>120.34950000000001</v>
      </c>
      <c r="E227" s="1" t="s">
        <v>1404</v>
      </c>
      <c r="F227" s="1">
        <v>2</v>
      </c>
      <c r="G227" s="1" t="s">
        <v>1263</v>
      </c>
      <c r="H227" s="1" t="s">
        <v>1792</v>
      </c>
      <c r="I227" s="1" t="s">
        <v>70</v>
      </c>
      <c r="J227" s="1" t="s">
        <v>1849</v>
      </c>
      <c r="K227" s="1"/>
    </row>
    <row r="228" spans="1:11" ht="19" customHeight="1">
      <c r="A228" s="1" t="s">
        <v>1850</v>
      </c>
      <c r="B228" s="1" t="s">
        <v>1210</v>
      </c>
      <c r="C228" s="4">
        <v>22.904299999999999</v>
      </c>
      <c r="D228" s="4">
        <v>120.35169999999999</v>
      </c>
      <c r="E228" s="1" t="s">
        <v>1404</v>
      </c>
      <c r="F228" s="1">
        <v>1</v>
      </c>
      <c r="G228" s="1" t="s">
        <v>1263</v>
      </c>
      <c r="H228" s="1" t="s">
        <v>1202</v>
      </c>
      <c r="I228" s="1" t="s">
        <v>70</v>
      </c>
      <c r="J228" s="1" t="s">
        <v>1851</v>
      </c>
      <c r="K228" s="1"/>
    </row>
    <row r="229" spans="1:11" ht="19" customHeight="1">
      <c r="A229" s="1" t="s">
        <v>1852</v>
      </c>
      <c r="B229" s="1" t="s">
        <v>1211</v>
      </c>
      <c r="C229" s="4">
        <v>22.997330000000002</v>
      </c>
      <c r="D229" s="4">
        <v>120.1923</v>
      </c>
      <c r="E229" s="1" t="s">
        <v>1396</v>
      </c>
      <c r="F229" s="1">
        <v>1</v>
      </c>
      <c r="G229" s="1" t="s">
        <v>1264</v>
      </c>
      <c r="H229" s="1" t="s">
        <v>1797</v>
      </c>
      <c r="I229" s="1" t="s">
        <v>70</v>
      </c>
      <c r="J229" s="1" t="s">
        <v>1853</v>
      </c>
      <c r="K229" s="1"/>
    </row>
    <row r="230" spans="1:11" ht="19" customHeight="1">
      <c r="A230" s="1" t="s">
        <v>1852</v>
      </c>
      <c r="B230" s="1" t="s">
        <v>1211</v>
      </c>
      <c r="C230" s="4">
        <v>22.997330000000002</v>
      </c>
      <c r="D230" s="4">
        <v>120.1923</v>
      </c>
      <c r="E230" s="1" t="s">
        <v>1404</v>
      </c>
      <c r="F230" s="1">
        <v>1</v>
      </c>
      <c r="G230" s="1" t="s">
        <v>1263</v>
      </c>
      <c r="H230" s="1" t="s">
        <v>1202</v>
      </c>
      <c r="I230" s="1" t="s">
        <v>70</v>
      </c>
      <c r="J230" s="1" t="s">
        <v>1853</v>
      </c>
      <c r="K230" s="1"/>
    </row>
    <row r="231" spans="1:11" ht="19" customHeight="1">
      <c r="A231" s="1" t="s">
        <v>1854</v>
      </c>
      <c r="B231" s="1" t="s">
        <v>1212</v>
      </c>
      <c r="C231" s="4">
        <v>22.986170000000001</v>
      </c>
      <c r="D231" s="4">
        <v>120.20950000000001</v>
      </c>
      <c r="E231" s="1" t="s">
        <v>1404</v>
      </c>
      <c r="F231" s="1">
        <v>1</v>
      </c>
      <c r="G231" s="1" t="s">
        <v>1263</v>
      </c>
      <c r="H231" s="1" t="s">
        <v>1202</v>
      </c>
      <c r="I231" s="1" t="s">
        <v>70</v>
      </c>
      <c r="J231" s="1" t="s">
        <v>1855</v>
      </c>
      <c r="K231" s="1"/>
    </row>
    <row r="232" spans="1:11" ht="19" customHeight="1">
      <c r="A232" s="1" t="s">
        <v>1856</v>
      </c>
      <c r="B232" s="1" t="s">
        <v>1213</v>
      </c>
      <c r="C232" s="4">
        <v>22.97317</v>
      </c>
      <c r="D232" s="4">
        <v>120.1897</v>
      </c>
      <c r="E232" s="1" t="s">
        <v>1396</v>
      </c>
      <c r="F232" s="1">
        <v>1</v>
      </c>
      <c r="G232" s="1" t="s">
        <v>1264</v>
      </c>
      <c r="H232" s="1" t="s">
        <v>1797</v>
      </c>
      <c r="I232" s="1" t="s">
        <v>70</v>
      </c>
      <c r="J232" s="1" t="s">
        <v>1857</v>
      </c>
      <c r="K232" s="1"/>
    </row>
    <row r="233" spans="1:11" ht="19" customHeight="1">
      <c r="A233" s="1" t="s">
        <v>1856</v>
      </c>
      <c r="B233" s="1" t="s">
        <v>1213</v>
      </c>
      <c r="C233" s="4">
        <v>22.97317</v>
      </c>
      <c r="D233" s="4">
        <v>120.1897</v>
      </c>
      <c r="E233" s="1" t="s">
        <v>1404</v>
      </c>
      <c r="F233" s="1">
        <v>1</v>
      </c>
      <c r="G233" s="1" t="s">
        <v>1263</v>
      </c>
      <c r="H233" s="1" t="s">
        <v>1202</v>
      </c>
      <c r="I233" s="1" t="s">
        <v>70</v>
      </c>
      <c r="J233" s="1" t="s">
        <v>1857</v>
      </c>
      <c r="K233" s="1"/>
    </row>
    <row r="234" spans="1:11" ht="19" customHeight="1">
      <c r="A234" s="1" t="s">
        <v>1858</v>
      </c>
      <c r="B234" s="1" t="s">
        <v>1214</v>
      </c>
      <c r="C234" s="4">
        <v>22.963830000000002</v>
      </c>
      <c r="D234" s="4">
        <v>120.2363</v>
      </c>
      <c r="E234" s="1" t="s">
        <v>1396</v>
      </c>
      <c r="F234" s="1">
        <v>1</v>
      </c>
      <c r="G234" s="1" t="s">
        <v>1264</v>
      </c>
      <c r="H234" s="1" t="s">
        <v>1797</v>
      </c>
      <c r="I234" s="1" t="s">
        <v>70</v>
      </c>
      <c r="J234" s="1" t="s">
        <v>1859</v>
      </c>
      <c r="K234" s="1"/>
    </row>
    <row r="235" spans="1:11" ht="19" customHeight="1">
      <c r="A235" s="1" t="s">
        <v>1858</v>
      </c>
      <c r="B235" s="1" t="s">
        <v>1214</v>
      </c>
      <c r="C235" s="4">
        <v>22.963830000000002</v>
      </c>
      <c r="D235" s="4">
        <v>120.2363</v>
      </c>
      <c r="E235" s="1" t="s">
        <v>1404</v>
      </c>
      <c r="F235" s="1">
        <v>1</v>
      </c>
      <c r="G235" s="1" t="s">
        <v>1263</v>
      </c>
      <c r="H235" s="1" t="s">
        <v>1202</v>
      </c>
      <c r="I235" s="1" t="s">
        <v>70</v>
      </c>
      <c r="J235" s="1" t="s">
        <v>1859</v>
      </c>
      <c r="K235" s="1"/>
    </row>
    <row r="236" spans="1:11" ht="19" customHeight="1">
      <c r="A236" s="1" t="s">
        <v>1860</v>
      </c>
      <c r="B236" s="1" t="s">
        <v>1215</v>
      </c>
      <c r="C236" s="4">
        <v>23.062999999999999</v>
      </c>
      <c r="D236" s="4">
        <v>120.1728</v>
      </c>
      <c r="E236" s="1" t="s">
        <v>1396</v>
      </c>
      <c r="F236" s="1">
        <v>1</v>
      </c>
      <c r="G236" s="1" t="s">
        <v>1264</v>
      </c>
      <c r="H236" s="1" t="s">
        <v>1797</v>
      </c>
      <c r="I236" s="1" t="s">
        <v>70</v>
      </c>
      <c r="J236" s="1" t="s">
        <v>1861</v>
      </c>
      <c r="K236" s="1"/>
    </row>
    <row r="237" spans="1:11" ht="19" customHeight="1">
      <c r="A237" s="1" t="s">
        <v>1860</v>
      </c>
      <c r="B237" s="1" t="s">
        <v>1215</v>
      </c>
      <c r="C237" s="4">
        <v>23.062999999999999</v>
      </c>
      <c r="D237" s="4">
        <v>120.1728</v>
      </c>
      <c r="E237" s="1" t="s">
        <v>1404</v>
      </c>
      <c r="F237" s="1">
        <v>1</v>
      </c>
      <c r="G237" s="1" t="s">
        <v>1263</v>
      </c>
      <c r="H237" s="1" t="s">
        <v>1202</v>
      </c>
      <c r="I237" s="1" t="s">
        <v>70</v>
      </c>
      <c r="J237" s="1" t="s">
        <v>1861</v>
      </c>
      <c r="K237" s="1"/>
    </row>
    <row r="238" spans="1:11" ht="19" customHeight="1">
      <c r="A238" s="1" t="s">
        <v>1862</v>
      </c>
      <c r="B238" s="1" t="s">
        <v>1090</v>
      </c>
      <c r="C238" s="4">
        <v>23.496333</v>
      </c>
      <c r="D238" s="4">
        <v>120.4325</v>
      </c>
      <c r="E238" s="1" t="s">
        <v>1404</v>
      </c>
      <c r="F238" s="1">
        <v>1</v>
      </c>
      <c r="G238" s="1" t="s">
        <v>1263</v>
      </c>
      <c r="H238" s="1" t="s">
        <v>448</v>
      </c>
      <c r="I238" s="1" t="s">
        <v>70</v>
      </c>
      <c r="J238" s="1" t="s">
        <v>1863</v>
      </c>
      <c r="K238" s="1"/>
    </row>
    <row r="239" spans="1:11" ht="19" customHeight="1">
      <c r="A239" s="1" t="s">
        <v>1864</v>
      </c>
      <c r="B239" s="1" t="s">
        <v>920</v>
      </c>
      <c r="C239" s="4">
        <v>23.508333</v>
      </c>
      <c r="D239" s="4">
        <v>120.813333</v>
      </c>
      <c r="E239" s="1" t="s">
        <v>1404</v>
      </c>
      <c r="F239" s="1">
        <v>1</v>
      </c>
      <c r="G239" s="1" t="s">
        <v>1263</v>
      </c>
      <c r="H239" s="1" t="s">
        <v>1097</v>
      </c>
      <c r="I239" s="1" t="s">
        <v>70</v>
      </c>
      <c r="J239" s="1" t="s">
        <v>1865</v>
      </c>
      <c r="K239" s="1"/>
    </row>
    <row r="240" spans="1:11" ht="19" customHeight="1">
      <c r="A240" s="1" t="s">
        <v>1864</v>
      </c>
      <c r="B240" s="1" t="s">
        <v>920</v>
      </c>
      <c r="C240" s="4">
        <v>23.510300000000001</v>
      </c>
      <c r="D240" s="4">
        <v>120.8052</v>
      </c>
      <c r="E240" s="1" t="s">
        <v>1396</v>
      </c>
      <c r="F240" s="1">
        <v>1</v>
      </c>
      <c r="G240" s="1" t="s">
        <v>1262</v>
      </c>
      <c r="H240" s="1" t="s">
        <v>919</v>
      </c>
      <c r="I240" s="1" t="s">
        <v>75</v>
      </c>
      <c r="J240" s="1" t="s">
        <v>1866</v>
      </c>
      <c r="K240" s="1"/>
    </row>
    <row r="241" spans="1:11" ht="19" customHeight="1">
      <c r="A241" s="1" t="s">
        <v>1867</v>
      </c>
      <c r="B241" s="1" t="s">
        <v>915</v>
      </c>
      <c r="C241" s="4">
        <v>23.597166999999999</v>
      </c>
      <c r="D241" s="4">
        <v>120.676833</v>
      </c>
      <c r="E241" s="1" t="s">
        <v>1404</v>
      </c>
      <c r="F241" s="1">
        <v>1</v>
      </c>
      <c r="G241" s="1" t="s">
        <v>1263</v>
      </c>
      <c r="H241" s="1" t="s">
        <v>1065</v>
      </c>
      <c r="I241" s="1" t="s">
        <v>70</v>
      </c>
      <c r="J241" s="1" t="s">
        <v>1868</v>
      </c>
      <c r="K241" s="1"/>
    </row>
    <row r="242" spans="1:11" ht="19" customHeight="1">
      <c r="A242" s="1" t="s">
        <v>1867</v>
      </c>
      <c r="B242" s="1" t="s">
        <v>915</v>
      </c>
      <c r="C242" s="4">
        <v>23.597169999999998</v>
      </c>
      <c r="D242" s="4">
        <v>120.6768</v>
      </c>
      <c r="E242" s="1" t="s">
        <v>1404</v>
      </c>
      <c r="F242" s="1">
        <v>1</v>
      </c>
      <c r="G242" s="1" t="s">
        <v>1263</v>
      </c>
      <c r="H242" s="1" t="s">
        <v>1202</v>
      </c>
      <c r="I242" s="1" t="s">
        <v>70</v>
      </c>
      <c r="J242" s="1" t="s">
        <v>1869</v>
      </c>
      <c r="K242" s="1"/>
    </row>
    <row r="243" spans="1:11" ht="19" customHeight="1">
      <c r="A243" s="1" t="s">
        <v>1867</v>
      </c>
      <c r="B243" s="1" t="s">
        <v>915</v>
      </c>
      <c r="C243" s="4">
        <v>23.597200000000001</v>
      </c>
      <c r="D243" s="4">
        <v>120.6777</v>
      </c>
      <c r="E243" s="1" t="s">
        <v>1396</v>
      </c>
      <c r="F243" s="1">
        <v>1</v>
      </c>
      <c r="G243" s="1" t="s">
        <v>1262</v>
      </c>
      <c r="H243" s="1" t="s">
        <v>913</v>
      </c>
      <c r="I243" s="1" t="s">
        <v>75</v>
      </c>
      <c r="J243" s="1" t="s">
        <v>1870</v>
      </c>
      <c r="K243" s="1"/>
    </row>
    <row r="244" spans="1:11" ht="19" customHeight="1">
      <c r="A244" s="1" t="s">
        <v>1871</v>
      </c>
      <c r="B244" s="1" t="s">
        <v>1180</v>
      </c>
      <c r="C244" s="4">
        <v>23.722169999999998</v>
      </c>
      <c r="D244" s="4">
        <v>120.58580000000001</v>
      </c>
      <c r="E244" s="1" t="s">
        <v>1404</v>
      </c>
      <c r="F244" s="1">
        <v>1</v>
      </c>
      <c r="G244" s="1" t="s">
        <v>1263</v>
      </c>
      <c r="H244" s="1" t="s">
        <v>652</v>
      </c>
      <c r="I244" s="1" t="s">
        <v>70</v>
      </c>
      <c r="J244" s="1" t="s">
        <v>1872</v>
      </c>
      <c r="K244" s="1"/>
    </row>
    <row r="245" spans="1:11" ht="19" customHeight="1">
      <c r="A245" s="1" t="s">
        <v>1873</v>
      </c>
      <c r="B245" s="1" t="s">
        <v>1216</v>
      </c>
      <c r="C245" s="4">
        <v>22.99333</v>
      </c>
      <c r="D245" s="4">
        <v>120.2047</v>
      </c>
      <c r="E245" s="1" t="s">
        <v>1396</v>
      </c>
      <c r="F245" s="1">
        <v>1</v>
      </c>
      <c r="G245" s="1" t="s">
        <v>1264</v>
      </c>
      <c r="H245" s="1" t="s">
        <v>1797</v>
      </c>
      <c r="I245" s="1" t="s">
        <v>70</v>
      </c>
      <c r="J245" s="1" t="s">
        <v>1874</v>
      </c>
      <c r="K245" s="1"/>
    </row>
    <row r="246" spans="1:11" ht="19" customHeight="1">
      <c r="A246" s="1" t="s">
        <v>1873</v>
      </c>
      <c r="B246" s="1" t="s">
        <v>1216</v>
      </c>
      <c r="C246" s="4">
        <v>22.99333</v>
      </c>
      <c r="D246" s="4">
        <v>120.2047</v>
      </c>
      <c r="E246" s="1" t="s">
        <v>1404</v>
      </c>
      <c r="F246" s="1">
        <v>1</v>
      </c>
      <c r="G246" s="1" t="s">
        <v>1263</v>
      </c>
      <c r="H246" s="1" t="s">
        <v>1202</v>
      </c>
      <c r="I246" s="1" t="s">
        <v>70</v>
      </c>
      <c r="J246" s="1" t="s">
        <v>1874</v>
      </c>
      <c r="K246" s="1"/>
    </row>
    <row r="247" spans="1:11" ht="19" customHeight="1">
      <c r="A247" s="1" t="s">
        <v>1875</v>
      </c>
      <c r="B247" s="1" t="s">
        <v>1165</v>
      </c>
      <c r="C247" s="4">
        <v>23.075330000000001</v>
      </c>
      <c r="D247" s="4">
        <v>120.364</v>
      </c>
      <c r="E247" s="1" t="s">
        <v>1396</v>
      </c>
      <c r="F247" s="1">
        <v>1</v>
      </c>
      <c r="G247" s="1" t="s">
        <v>1264</v>
      </c>
      <c r="H247" s="1" t="s">
        <v>1797</v>
      </c>
      <c r="I247" s="1" t="s">
        <v>70</v>
      </c>
      <c r="J247" s="1" t="s">
        <v>1876</v>
      </c>
      <c r="K247" s="1"/>
    </row>
    <row r="248" spans="1:11" ht="19" customHeight="1">
      <c r="A248" s="1" t="s">
        <v>1875</v>
      </c>
      <c r="B248" s="1" t="s">
        <v>1165</v>
      </c>
      <c r="C248" s="4">
        <v>23.075330000000001</v>
      </c>
      <c r="D248" s="4">
        <v>120.364</v>
      </c>
      <c r="E248" s="1" t="s">
        <v>1404</v>
      </c>
      <c r="F248" s="1">
        <v>2</v>
      </c>
      <c r="G248" s="1" t="s">
        <v>1263</v>
      </c>
      <c r="H248" s="1" t="s">
        <v>1792</v>
      </c>
      <c r="I248" s="1" t="s">
        <v>70</v>
      </c>
      <c r="J248" s="1" t="s">
        <v>1877</v>
      </c>
      <c r="K248" s="1"/>
    </row>
    <row r="249" spans="1:11" ht="19" customHeight="1">
      <c r="A249" s="1" t="s">
        <v>1878</v>
      </c>
      <c r="B249" s="1" t="s">
        <v>1096</v>
      </c>
      <c r="C249" s="4">
        <v>23.456</v>
      </c>
      <c r="D249" s="4">
        <v>120.33066700000001</v>
      </c>
      <c r="E249" s="1" t="s">
        <v>1404</v>
      </c>
      <c r="F249" s="1">
        <v>1</v>
      </c>
      <c r="G249" s="1" t="s">
        <v>1263</v>
      </c>
      <c r="H249" s="1" t="s">
        <v>454</v>
      </c>
      <c r="I249" s="1" t="s">
        <v>70</v>
      </c>
      <c r="J249" s="1" t="s">
        <v>1879</v>
      </c>
      <c r="K249" s="1"/>
    </row>
    <row r="250" spans="1:11" ht="19" customHeight="1">
      <c r="A250" s="1" t="s">
        <v>1878</v>
      </c>
      <c r="B250" s="1" t="s">
        <v>1096</v>
      </c>
      <c r="C250" s="4">
        <v>23.456</v>
      </c>
      <c r="D250" s="4">
        <v>120.33069999999999</v>
      </c>
      <c r="E250" s="1" t="s">
        <v>1404</v>
      </c>
      <c r="F250" s="1">
        <v>1</v>
      </c>
      <c r="G250" s="1" t="s">
        <v>1263</v>
      </c>
      <c r="H250" s="1" t="s">
        <v>634</v>
      </c>
      <c r="I250" s="1" t="s">
        <v>70</v>
      </c>
      <c r="J250" s="1" t="s">
        <v>1880</v>
      </c>
      <c r="K250" s="1"/>
    </row>
    <row r="251" spans="1:11" ht="19" customHeight="1">
      <c r="A251" s="1" t="s">
        <v>1881</v>
      </c>
      <c r="B251" s="1" t="s">
        <v>1217</v>
      </c>
      <c r="C251" s="4">
        <v>23.009</v>
      </c>
      <c r="D251" s="4">
        <v>120.2115</v>
      </c>
      <c r="E251" s="1" t="s">
        <v>1396</v>
      </c>
      <c r="F251" s="1">
        <v>1</v>
      </c>
      <c r="G251" s="1" t="s">
        <v>1264</v>
      </c>
      <c r="H251" s="1" t="s">
        <v>1797</v>
      </c>
      <c r="I251" s="1" t="s">
        <v>70</v>
      </c>
      <c r="J251" s="1" t="s">
        <v>1882</v>
      </c>
      <c r="K251" s="1"/>
    </row>
    <row r="252" spans="1:11" ht="19" customHeight="1">
      <c r="A252" s="1" t="s">
        <v>1881</v>
      </c>
      <c r="B252" s="1" t="s">
        <v>1217</v>
      </c>
      <c r="C252" s="4">
        <v>23.009</v>
      </c>
      <c r="D252" s="4">
        <v>120.2115</v>
      </c>
      <c r="E252" s="1" t="s">
        <v>1404</v>
      </c>
      <c r="F252" s="1">
        <v>1</v>
      </c>
      <c r="G252" s="1" t="s">
        <v>1263</v>
      </c>
      <c r="H252" s="1" t="s">
        <v>1202</v>
      </c>
      <c r="I252" s="1" t="s">
        <v>70</v>
      </c>
      <c r="J252" s="1" t="s">
        <v>1882</v>
      </c>
      <c r="K252" s="1"/>
    </row>
    <row r="253" spans="1:11" ht="19" customHeight="1">
      <c r="A253" s="1" t="s">
        <v>1883</v>
      </c>
      <c r="B253" s="1" t="s">
        <v>1218</v>
      </c>
      <c r="C253" s="4">
        <v>23.00067</v>
      </c>
      <c r="D253" s="4">
        <v>120.1662</v>
      </c>
      <c r="E253" s="1" t="s">
        <v>1396</v>
      </c>
      <c r="F253" s="1">
        <v>1</v>
      </c>
      <c r="G253" s="1" t="s">
        <v>1264</v>
      </c>
      <c r="H253" s="1" t="s">
        <v>1797</v>
      </c>
      <c r="I253" s="1" t="s">
        <v>70</v>
      </c>
      <c r="J253" s="1" t="s">
        <v>1884</v>
      </c>
      <c r="K253" s="1"/>
    </row>
    <row r="254" spans="1:11" ht="19" customHeight="1">
      <c r="A254" s="1" t="s">
        <v>1883</v>
      </c>
      <c r="B254" s="1" t="s">
        <v>1218</v>
      </c>
      <c r="C254" s="4">
        <v>23.00067</v>
      </c>
      <c r="D254" s="4">
        <v>120.1662</v>
      </c>
      <c r="E254" s="1" t="s">
        <v>1404</v>
      </c>
      <c r="F254" s="1">
        <v>1</v>
      </c>
      <c r="G254" s="1" t="s">
        <v>1263</v>
      </c>
      <c r="H254" s="1" t="s">
        <v>1202</v>
      </c>
      <c r="I254" s="1" t="s">
        <v>70</v>
      </c>
      <c r="J254" s="1" t="s">
        <v>1884</v>
      </c>
      <c r="K254" s="1"/>
    </row>
    <row r="255" spans="1:11" ht="19" customHeight="1">
      <c r="A255" s="1" t="s">
        <v>1885</v>
      </c>
      <c r="B255" s="1" t="s">
        <v>865</v>
      </c>
      <c r="C255" s="4">
        <v>23.6845</v>
      </c>
      <c r="D255" s="4">
        <v>120.57033300000001</v>
      </c>
      <c r="E255" s="1" t="s">
        <v>1404</v>
      </c>
      <c r="F255" s="1">
        <v>2</v>
      </c>
      <c r="G255" s="1" t="s">
        <v>1263</v>
      </c>
      <c r="H255" s="1" t="s">
        <v>1886</v>
      </c>
      <c r="I255" s="1" t="s">
        <v>70</v>
      </c>
      <c r="J255" s="1" t="s">
        <v>1887</v>
      </c>
      <c r="K255" s="1"/>
    </row>
    <row r="256" spans="1:11" ht="19" customHeight="1">
      <c r="A256" s="1" t="s">
        <v>1885</v>
      </c>
      <c r="B256" s="1" t="s">
        <v>865</v>
      </c>
      <c r="C256" s="4">
        <v>23.686199999999999</v>
      </c>
      <c r="D256" s="4">
        <v>120.5622</v>
      </c>
      <c r="E256" s="1" t="s">
        <v>1396</v>
      </c>
      <c r="F256" s="1">
        <v>2</v>
      </c>
      <c r="G256" s="1" t="s">
        <v>1262</v>
      </c>
      <c r="H256" s="1" t="s">
        <v>1888</v>
      </c>
      <c r="I256" s="1" t="s">
        <v>75</v>
      </c>
      <c r="J256" s="1" t="s">
        <v>1889</v>
      </c>
      <c r="K256" s="1"/>
    </row>
    <row r="257" spans="1:11" ht="19" customHeight="1">
      <c r="A257" s="1" t="s">
        <v>1890</v>
      </c>
      <c r="B257" s="1" t="s">
        <v>1219</v>
      </c>
      <c r="C257" s="4">
        <v>23.554670000000002</v>
      </c>
      <c r="D257" s="4">
        <v>120.34529999999999</v>
      </c>
      <c r="E257" s="1" t="s">
        <v>1404</v>
      </c>
      <c r="F257" s="1">
        <v>1</v>
      </c>
      <c r="G257" s="1" t="s">
        <v>1263</v>
      </c>
      <c r="H257" s="1" t="s">
        <v>1202</v>
      </c>
      <c r="I257" s="1" t="s">
        <v>70</v>
      </c>
      <c r="J257" s="1" t="s">
        <v>1891</v>
      </c>
      <c r="K257" s="1"/>
    </row>
    <row r="258" spans="1:11" ht="19" customHeight="1">
      <c r="A258" s="1" t="s">
        <v>1892</v>
      </c>
      <c r="B258" s="1" t="s">
        <v>1091</v>
      </c>
      <c r="C258" s="4">
        <v>23.436299999999999</v>
      </c>
      <c r="D258" s="4">
        <v>120.4147</v>
      </c>
      <c r="E258" s="1" t="s">
        <v>1404</v>
      </c>
      <c r="F258" s="1">
        <v>1</v>
      </c>
      <c r="G258" s="1" t="s">
        <v>1263</v>
      </c>
      <c r="H258" s="1" t="s">
        <v>454</v>
      </c>
      <c r="I258" s="1" t="s">
        <v>70</v>
      </c>
      <c r="J258" s="1" t="s">
        <v>1893</v>
      </c>
      <c r="K258" s="1"/>
    </row>
    <row r="259" spans="1:11" ht="19" customHeight="1">
      <c r="A259" s="1" t="s">
        <v>1892</v>
      </c>
      <c r="B259" s="1" t="s">
        <v>1091</v>
      </c>
      <c r="C259" s="4">
        <v>23.436333000000001</v>
      </c>
      <c r="D259" s="4">
        <v>120.41466699999999</v>
      </c>
      <c r="E259" s="1" t="s">
        <v>1404</v>
      </c>
      <c r="F259" s="1">
        <v>1</v>
      </c>
      <c r="G259" s="1" t="s">
        <v>1263</v>
      </c>
      <c r="H259" s="1" t="s">
        <v>448</v>
      </c>
      <c r="I259" s="1" t="s">
        <v>70</v>
      </c>
      <c r="J259" s="1" t="s">
        <v>1894</v>
      </c>
      <c r="K259" s="1"/>
    </row>
    <row r="260" spans="1:11" ht="19" customHeight="1">
      <c r="A260" s="1" t="s">
        <v>1895</v>
      </c>
      <c r="B260" s="1" t="s">
        <v>1166</v>
      </c>
      <c r="C260" s="4">
        <v>23.29767</v>
      </c>
      <c r="D260" s="4">
        <v>120.2992</v>
      </c>
      <c r="E260" s="1" t="s">
        <v>1404</v>
      </c>
      <c r="F260" s="1">
        <v>2</v>
      </c>
      <c r="G260" s="1" t="s">
        <v>1263</v>
      </c>
      <c r="H260" s="1" t="s">
        <v>1792</v>
      </c>
      <c r="I260" s="1" t="s">
        <v>70</v>
      </c>
      <c r="J260" s="1" t="s">
        <v>1896</v>
      </c>
      <c r="K260" s="1"/>
    </row>
    <row r="261" spans="1:11" ht="19" customHeight="1">
      <c r="A261" s="1" t="s">
        <v>1897</v>
      </c>
      <c r="B261" s="1" t="s">
        <v>1167</v>
      </c>
      <c r="C261" s="4">
        <v>23.420169999999999</v>
      </c>
      <c r="D261" s="4">
        <v>120.21380000000001</v>
      </c>
      <c r="E261" s="1" t="s">
        <v>1404</v>
      </c>
      <c r="F261" s="1">
        <v>1</v>
      </c>
      <c r="G261" s="1" t="s">
        <v>1263</v>
      </c>
      <c r="H261" s="1" t="s">
        <v>634</v>
      </c>
      <c r="I261" s="1" t="s">
        <v>70</v>
      </c>
      <c r="J261" s="1" t="s">
        <v>1898</v>
      </c>
      <c r="K261" s="1"/>
    </row>
    <row r="262" spans="1:11" ht="19" customHeight="1">
      <c r="A262" s="1" t="s">
        <v>1899</v>
      </c>
      <c r="B262" s="1" t="s">
        <v>1168</v>
      </c>
      <c r="C262" s="4">
        <v>23.146999999999998</v>
      </c>
      <c r="D262" s="4">
        <v>120.08580000000001</v>
      </c>
      <c r="E262" s="1" t="s">
        <v>1396</v>
      </c>
      <c r="F262" s="1">
        <v>1</v>
      </c>
      <c r="G262" s="1" t="s">
        <v>1264</v>
      </c>
      <c r="H262" s="1" t="s">
        <v>1797</v>
      </c>
      <c r="I262" s="1" t="s">
        <v>70</v>
      </c>
      <c r="J262" s="1" t="s">
        <v>1900</v>
      </c>
      <c r="K262" s="1"/>
    </row>
    <row r="263" spans="1:11" ht="19" customHeight="1">
      <c r="A263" s="1" t="s">
        <v>1899</v>
      </c>
      <c r="B263" s="1" t="s">
        <v>1168</v>
      </c>
      <c r="C263" s="4">
        <v>23.146999999999998</v>
      </c>
      <c r="D263" s="4">
        <v>120.08580000000001</v>
      </c>
      <c r="E263" s="1" t="s">
        <v>1404</v>
      </c>
      <c r="F263" s="1">
        <v>2</v>
      </c>
      <c r="G263" s="1" t="s">
        <v>1263</v>
      </c>
      <c r="H263" s="1" t="s">
        <v>1792</v>
      </c>
      <c r="I263" s="1" t="s">
        <v>70</v>
      </c>
      <c r="J263" s="1" t="s">
        <v>1901</v>
      </c>
      <c r="K263" s="1"/>
    </row>
    <row r="264" spans="1:11" ht="19" customHeight="1">
      <c r="A264" s="1" t="s">
        <v>1902</v>
      </c>
      <c r="B264" s="1" t="s">
        <v>1220</v>
      </c>
      <c r="C264" s="4">
        <v>23.076830000000001</v>
      </c>
      <c r="D264" s="4">
        <v>120.1168</v>
      </c>
      <c r="E264" s="1" t="s">
        <v>1396</v>
      </c>
      <c r="F264" s="1">
        <v>1</v>
      </c>
      <c r="G264" s="1" t="s">
        <v>1264</v>
      </c>
      <c r="H264" s="1" t="s">
        <v>1797</v>
      </c>
      <c r="I264" s="1" t="s">
        <v>70</v>
      </c>
      <c r="J264" s="1" t="s">
        <v>1903</v>
      </c>
      <c r="K264" s="1"/>
    </row>
    <row r="265" spans="1:11" ht="19" customHeight="1">
      <c r="A265" s="1" t="s">
        <v>1902</v>
      </c>
      <c r="B265" s="1" t="s">
        <v>1220</v>
      </c>
      <c r="C265" s="4">
        <v>23.076830000000001</v>
      </c>
      <c r="D265" s="4">
        <v>120.1168</v>
      </c>
      <c r="E265" s="1" t="s">
        <v>1404</v>
      </c>
      <c r="F265" s="1">
        <v>1</v>
      </c>
      <c r="G265" s="1" t="s">
        <v>1263</v>
      </c>
      <c r="H265" s="1" t="s">
        <v>1202</v>
      </c>
      <c r="I265" s="1" t="s">
        <v>70</v>
      </c>
      <c r="J265" s="1" t="s">
        <v>1903</v>
      </c>
      <c r="K265" s="1"/>
    </row>
    <row r="266" spans="1:11" ht="19" customHeight="1">
      <c r="A266" s="1" t="s">
        <v>1904</v>
      </c>
      <c r="B266" s="1" t="s">
        <v>1169</v>
      </c>
      <c r="C266" s="4">
        <v>23.32283</v>
      </c>
      <c r="D266" s="4">
        <v>120.3095</v>
      </c>
      <c r="E266" s="1" t="s">
        <v>1404</v>
      </c>
      <c r="F266" s="1">
        <v>1</v>
      </c>
      <c r="G266" s="1" t="s">
        <v>1263</v>
      </c>
      <c r="H266" s="1" t="s">
        <v>634</v>
      </c>
      <c r="I266" s="1" t="s">
        <v>70</v>
      </c>
      <c r="J266" s="1" t="s">
        <v>1905</v>
      </c>
      <c r="K266" s="1"/>
    </row>
    <row r="267" spans="1:11" ht="19" customHeight="1">
      <c r="A267" s="1" t="s">
        <v>1906</v>
      </c>
      <c r="B267" s="1" t="s">
        <v>1170</v>
      </c>
      <c r="C267" s="4">
        <v>23.483499999999999</v>
      </c>
      <c r="D267" s="4">
        <v>120.23950000000001</v>
      </c>
      <c r="E267" s="1" t="s">
        <v>1404</v>
      </c>
      <c r="F267" s="1">
        <v>1</v>
      </c>
      <c r="G267" s="1" t="s">
        <v>1263</v>
      </c>
      <c r="H267" s="1" t="s">
        <v>634</v>
      </c>
      <c r="I267" s="1" t="s">
        <v>70</v>
      </c>
      <c r="J267" s="1" t="s">
        <v>1907</v>
      </c>
      <c r="K267" s="1"/>
    </row>
    <row r="268" spans="1:11" ht="19" customHeight="1">
      <c r="A268" s="1" t="s">
        <v>1908</v>
      </c>
      <c r="B268" s="1" t="s">
        <v>1221</v>
      </c>
      <c r="C268" s="4">
        <v>22.992170000000002</v>
      </c>
      <c r="D268" s="4">
        <v>120.16679999999999</v>
      </c>
      <c r="E268" s="1" t="s">
        <v>1396</v>
      </c>
      <c r="F268" s="1">
        <v>1</v>
      </c>
      <c r="G268" s="1" t="s">
        <v>1264</v>
      </c>
      <c r="H268" s="1" t="s">
        <v>1797</v>
      </c>
      <c r="I268" s="1" t="s">
        <v>70</v>
      </c>
      <c r="J268" s="1" t="s">
        <v>1909</v>
      </c>
      <c r="K268" s="1"/>
    </row>
    <row r="269" spans="1:11" ht="19" customHeight="1">
      <c r="A269" s="1" t="s">
        <v>1908</v>
      </c>
      <c r="B269" s="1" t="s">
        <v>1221</v>
      </c>
      <c r="C269" s="4">
        <v>22.992170000000002</v>
      </c>
      <c r="D269" s="4">
        <v>120.16679999999999</v>
      </c>
      <c r="E269" s="1" t="s">
        <v>1404</v>
      </c>
      <c r="F269" s="1">
        <v>1</v>
      </c>
      <c r="G269" s="1" t="s">
        <v>1263</v>
      </c>
      <c r="H269" s="1" t="s">
        <v>1202</v>
      </c>
      <c r="I269" s="1" t="s">
        <v>70</v>
      </c>
      <c r="J269" s="1" t="s">
        <v>1909</v>
      </c>
      <c r="K269" s="1"/>
    </row>
    <row r="270" spans="1:11" ht="19" customHeight="1">
      <c r="A270" s="1" t="s">
        <v>1910</v>
      </c>
      <c r="B270" s="1" t="s">
        <v>1171</v>
      </c>
      <c r="C270" s="4">
        <v>23.294499999999999</v>
      </c>
      <c r="D270" s="4">
        <v>120.3867</v>
      </c>
      <c r="E270" s="1" t="s">
        <v>1404</v>
      </c>
      <c r="F270" s="1">
        <v>1</v>
      </c>
      <c r="G270" s="1" t="s">
        <v>1263</v>
      </c>
      <c r="H270" s="1" t="s">
        <v>634</v>
      </c>
      <c r="I270" s="1" t="s">
        <v>70</v>
      </c>
      <c r="J270" s="1" t="s">
        <v>1911</v>
      </c>
      <c r="K270" s="1"/>
    </row>
    <row r="271" spans="1:11" ht="19" customHeight="1">
      <c r="A271" s="1" t="s">
        <v>1912</v>
      </c>
      <c r="B271" s="1" t="s">
        <v>1172</v>
      </c>
      <c r="C271" s="4">
        <v>23.292670000000001</v>
      </c>
      <c r="D271" s="4">
        <v>120.244</v>
      </c>
      <c r="E271" s="1" t="s">
        <v>1404</v>
      </c>
      <c r="F271" s="1">
        <v>1</v>
      </c>
      <c r="G271" s="1" t="s">
        <v>1263</v>
      </c>
      <c r="H271" s="1" t="s">
        <v>634</v>
      </c>
      <c r="I271" s="1" t="s">
        <v>70</v>
      </c>
      <c r="J271" s="1" t="s">
        <v>1913</v>
      </c>
      <c r="K271" s="1"/>
    </row>
    <row r="272" spans="1:11" ht="19" customHeight="1">
      <c r="A272" s="1" t="s">
        <v>1914</v>
      </c>
      <c r="B272" s="1" t="s">
        <v>1173</v>
      </c>
      <c r="C272" s="4">
        <v>23.119669999999999</v>
      </c>
      <c r="D272" s="4">
        <v>120.3613</v>
      </c>
      <c r="E272" s="1" t="s">
        <v>1396</v>
      </c>
      <c r="F272" s="1">
        <v>1</v>
      </c>
      <c r="G272" s="1" t="s">
        <v>1264</v>
      </c>
      <c r="H272" s="1" t="s">
        <v>1797</v>
      </c>
      <c r="I272" s="1" t="s">
        <v>70</v>
      </c>
      <c r="J272" s="1" t="s">
        <v>1915</v>
      </c>
      <c r="K272" s="1"/>
    </row>
    <row r="273" spans="1:11" ht="19" customHeight="1">
      <c r="A273" s="1" t="s">
        <v>1914</v>
      </c>
      <c r="B273" s="1" t="s">
        <v>1173</v>
      </c>
      <c r="C273" s="4">
        <v>23.119669999999999</v>
      </c>
      <c r="D273" s="4">
        <v>120.3613</v>
      </c>
      <c r="E273" s="1" t="s">
        <v>1404</v>
      </c>
      <c r="F273" s="1">
        <v>1</v>
      </c>
      <c r="G273" s="1" t="s">
        <v>1263</v>
      </c>
      <c r="H273" s="1" t="s">
        <v>1202</v>
      </c>
      <c r="I273" s="1" t="s">
        <v>70</v>
      </c>
      <c r="J273" s="1" t="s">
        <v>1915</v>
      </c>
      <c r="K273" s="1"/>
    </row>
    <row r="274" spans="1:11" ht="19" customHeight="1">
      <c r="A274" s="1" t="s">
        <v>1914</v>
      </c>
      <c r="B274" s="1" t="s">
        <v>1173</v>
      </c>
      <c r="C274" s="4">
        <v>23.119700000000002</v>
      </c>
      <c r="D274" s="4">
        <v>120.3613</v>
      </c>
      <c r="E274" s="1" t="s">
        <v>1404</v>
      </c>
      <c r="F274" s="1">
        <v>1</v>
      </c>
      <c r="G274" s="1" t="s">
        <v>1263</v>
      </c>
      <c r="H274" s="1" t="s">
        <v>634</v>
      </c>
      <c r="I274" s="1" t="s">
        <v>70</v>
      </c>
      <c r="J274" s="1" t="s">
        <v>1916</v>
      </c>
      <c r="K274" s="1"/>
    </row>
    <row r="275" spans="1:11" ht="19" customHeight="1">
      <c r="A275" s="1" t="s">
        <v>1917</v>
      </c>
      <c r="B275" s="1" t="s">
        <v>1174</v>
      </c>
      <c r="C275" s="4">
        <v>23.347329999999999</v>
      </c>
      <c r="D275" s="4">
        <v>120.2227</v>
      </c>
      <c r="E275" s="1" t="s">
        <v>1404</v>
      </c>
      <c r="F275" s="1">
        <v>1</v>
      </c>
      <c r="G275" s="1" t="s">
        <v>1263</v>
      </c>
      <c r="H275" s="1" t="s">
        <v>634</v>
      </c>
      <c r="I275" s="1" t="s">
        <v>70</v>
      </c>
      <c r="J275" s="1" t="s">
        <v>1918</v>
      </c>
      <c r="K275" s="1"/>
    </row>
    <row r="276" spans="1:11" ht="19" customHeight="1">
      <c r="A276" s="1" t="s">
        <v>1919</v>
      </c>
      <c r="B276" s="1" t="s">
        <v>1183</v>
      </c>
      <c r="C276" s="4">
        <v>23.66067</v>
      </c>
      <c r="D276" s="4">
        <v>121.4248</v>
      </c>
      <c r="E276" s="1" t="s">
        <v>1404</v>
      </c>
      <c r="F276" s="1">
        <v>1</v>
      </c>
      <c r="G276" s="1" t="s">
        <v>1263</v>
      </c>
      <c r="H276" s="1" t="s">
        <v>657</v>
      </c>
      <c r="I276" s="1" t="s">
        <v>70</v>
      </c>
      <c r="J276" s="1" t="s">
        <v>1920</v>
      </c>
      <c r="K276" s="1"/>
    </row>
    <row r="277" spans="1:11" ht="19" customHeight="1">
      <c r="A277" s="1" t="s">
        <v>1921</v>
      </c>
      <c r="B277" s="1" t="s">
        <v>1184</v>
      </c>
      <c r="C277" s="4">
        <v>23.670829999999999</v>
      </c>
      <c r="D277" s="4">
        <v>121.42449999999999</v>
      </c>
      <c r="E277" s="1" t="s">
        <v>1404</v>
      </c>
      <c r="F277" s="1">
        <v>1</v>
      </c>
      <c r="G277" s="1" t="s">
        <v>1263</v>
      </c>
      <c r="H277" s="1" t="s">
        <v>657</v>
      </c>
      <c r="I277" s="1" t="s">
        <v>70</v>
      </c>
      <c r="J277" s="1" t="s">
        <v>1922</v>
      </c>
      <c r="K277" s="1"/>
    </row>
    <row r="278" spans="1:11" ht="19" customHeight="1">
      <c r="A278" s="1" t="s">
        <v>1923</v>
      </c>
      <c r="B278" s="1" t="s">
        <v>1226</v>
      </c>
      <c r="C278" s="4">
        <v>23.986499999999999</v>
      </c>
      <c r="D278" s="4">
        <v>121.626167</v>
      </c>
      <c r="E278" s="1" t="s">
        <v>1396</v>
      </c>
      <c r="F278" s="1">
        <v>1</v>
      </c>
      <c r="G278" s="1" t="s">
        <v>1264</v>
      </c>
      <c r="H278" s="1" t="s">
        <v>1924</v>
      </c>
      <c r="I278" s="1" t="s">
        <v>70</v>
      </c>
      <c r="J278" s="1" t="s">
        <v>1925</v>
      </c>
      <c r="K278" s="1"/>
    </row>
    <row r="279" spans="1:11" ht="19" customHeight="1">
      <c r="A279" s="1" t="s">
        <v>1923</v>
      </c>
      <c r="B279" s="1" t="s">
        <v>1226</v>
      </c>
      <c r="C279" s="4">
        <v>23.986499999999999</v>
      </c>
      <c r="D279" s="4">
        <v>121.626167</v>
      </c>
      <c r="E279" s="1" t="s">
        <v>1404</v>
      </c>
      <c r="F279" s="1">
        <v>1</v>
      </c>
      <c r="G279" s="1" t="s">
        <v>1263</v>
      </c>
      <c r="H279" s="1" t="s">
        <v>1225</v>
      </c>
      <c r="I279" s="1" t="s">
        <v>70</v>
      </c>
      <c r="J279" s="1" t="s">
        <v>1925</v>
      </c>
      <c r="K279" s="1"/>
    </row>
    <row r="280" spans="1:11" ht="19" customHeight="1">
      <c r="A280" s="1" t="s">
        <v>1926</v>
      </c>
      <c r="B280" s="1" t="s">
        <v>1227</v>
      </c>
      <c r="C280" s="4">
        <v>23.987333</v>
      </c>
      <c r="D280" s="4">
        <v>121.60299999999999</v>
      </c>
      <c r="E280" s="1" t="s">
        <v>1396</v>
      </c>
      <c r="F280" s="1">
        <v>1</v>
      </c>
      <c r="G280" s="1" t="s">
        <v>1264</v>
      </c>
      <c r="H280" s="1" t="s">
        <v>1924</v>
      </c>
      <c r="I280" s="1" t="s">
        <v>70</v>
      </c>
      <c r="J280" s="1" t="s">
        <v>1927</v>
      </c>
      <c r="K280" s="1"/>
    </row>
    <row r="281" spans="1:11" ht="19" customHeight="1">
      <c r="A281" s="1" t="s">
        <v>1926</v>
      </c>
      <c r="B281" s="1" t="s">
        <v>1227</v>
      </c>
      <c r="C281" s="4">
        <v>23.987333</v>
      </c>
      <c r="D281" s="4">
        <v>121.60299999999999</v>
      </c>
      <c r="E281" s="1" t="s">
        <v>1404</v>
      </c>
      <c r="F281" s="1">
        <v>1</v>
      </c>
      <c r="G281" s="1" t="s">
        <v>1263</v>
      </c>
      <c r="H281" s="1" t="s">
        <v>1225</v>
      </c>
      <c r="I281" s="1" t="s">
        <v>70</v>
      </c>
      <c r="J281" s="1" t="s">
        <v>1927</v>
      </c>
      <c r="K281" s="1"/>
    </row>
    <row r="282" spans="1:11" ht="19" customHeight="1">
      <c r="A282" s="1" t="s">
        <v>1928</v>
      </c>
      <c r="B282" s="1" t="s">
        <v>1228</v>
      </c>
      <c r="C282" s="4">
        <v>23.990333</v>
      </c>
      <c r="D282" s="4">
        <v>121.622333</v>
      </c>
      <c r="E282" s="1" t="s">
        <v>1396</v>
      </c>
      <c r="F282" s="1">
        <v>1</v>
      </c>
      <c r="G282" s="1" t="s">
        <v>1264</v>
      </c>
      <c r="H282" s="1" t="s">
        <v>1924</v>
      </c>
      <c r="I282" s="1" t="s">
        <v>70</v>
      </c>
      <c r="J282" s="1" t="s">
        <v>1929</v>
      </c>
      <c r="K282" s="1"/>
    </row>
    <row r="283" spans="1:11" ht="19" customHeight="1">
      <c r="A283" s="1" t="s">
        <v>1928</v>
      </c>
      <c r="B283" s="1" t="s">
        <v>1228</v>
      </c>
      <c r="C283" s="4">
        <v>23.990333</v>
      </c>
      <c r="D283" s="4">
        <v>121.622333</v>
      </c>
      <c r="E283" s="1" t="s">
        <v>1404</v>
      </c>
      <c r="F283" s="1">
        <v>1</v>
      </c>
      <c r="G283" s="1" t="s">
        <v>1263</v>
      </c>
      <c r="H283" s="1" t="s">
        <v>1225</v>
      </c>
      <c r="I283" s="1" t="s">
        <v>70</v>
      </c>
      <c r="J283" s="1" t="s">
        <v>1929</v>
      </c>
      <c r="K283" s="1"/>
    </row>
    <row r="284" spans="1:11" ht="19" customHeight="1">
      <c r="A284" s="1" t="s">
        <v>1930</v>
      </c>
      <c r="B284" s="1" t="s">
        <v>1229</v>
      </c>
      <c r="C284" s="4">
        <v>23.978332999999999</v>
      </c>
      <c r="D284" s="4">
        <v>121.602667</v>
      </c>
      <c r="E284" s="1" t="s">
        <v>1396</v>
      </c>
      <c r="F284" s="1">
        <v>1</v>
      </c>
      <c r="G284" s="1" t="s">
        <v>1264</v>
      </c>
      <c r="H284" s="1" t="s">
        <v>1924</v>
      </c>
      <c r="I284" s="1" t="s">
        <v>70</v>
      </c>
      <c r="J284" s="1" t="s">
        <v>1931</v>
      </c>
      <c r="K284" s="1"/>
    </row>
    <row r="285" spans="1:11" ht="19" customHeight="1">
      <c r="A285" s="1" t="s">
        <v>1930</v>
      </c>
      <c r="B285" s="1" t="s">
        <v>1229</v>
      </c>
      <c r="C285" s="4">
        <v>23.978332999999999</v>
      </c>
      <c r="D285" s="4">
        <v>121.602667</v>
      </c>
      <c r="E285" s="1" t="s">
        <v>1404</v>
      </c>
      <c r="F285" s="1">
        <v>1</v>
      </c>
      <c r="G285" s="1" t="s">
        <v>1263</v>
      </c>
      <c r="H285" s="1" t="s">
        <v>1225</v>
      </c>
      <c r="I285" s="1" t="s">
        <v>70</v>
      </c>
      <c r="J285" s="1" t="s">
        <v>1931</v>
      </c>
      <c r="K285" s="1"/>
    </row>
    <row r="286" spans="1:11" ht="19" customHeight="1">
      <c r="A286" s="1" t="s">
        <v>1932</v>
      </c>
      <c r="B286" s="1" t="s">
        <v>1099</v>
      </c>
      <c r="C286" s="4">
        <v>23.995332999999999</v>
      </c>
      <c r="D286" s="4">
        <v>121.59483299999999</v>
      </c>
      <c r="E286" s="1" t="s">
        <v>1396</v>
      </c>
      <c r="F286" s="1">
        <v>1</v>
      </c>
      <c r="G286" s="1" t="s">
        <v>1264</v>
      </c>
      <c r="H286" s="1" t="s">
        <v>1924</v>
      </c>
      <c r="I286" s="1" t="s">
        <v>70</v>
      </c>
      <c r="J286" s="1" t="s">
        <v>1933</v>
      </c>
      <c r="K286" s="1"/>
    </row>
    <row r="287" spans="1:11" ht="19" customHeight="1">
      <c r="A287" s="1" t="s">
        <v>1932</v>
      </c>
      <c r="B287" s="1" t="s">
        <v>1099</v>
      </c>
      <c r="C287" s="4">
        <v>23.995332999999999</v>
      </c>
      <c r="D287" s="4">
        <v>121.59483299999999</v>
      </c>
      <c r="E287" s="1" t="s">
        <v>1404</v>
      </c>
      <c r="F287" s="1">
        <v>2</v>
      </c>
      <c r="G287" s="1" t="s">
        <v>1263</v>
      </c>
      <c r="H287" s="1" t="s">
        <v>1934</v>
      </c>
      <c r="I287" s="1" t="s">
        <v>70</v>
      </c>
      <c r="J287" s="1" t="s">
        <v>1935</v>
      </c>
      <c r="K287" s="1"/>
    </row>
    <row r="288" spans="1:11" ht="19" customHeight="1">
      <c r="A288" s="1" t="s">
        <v>1936</v>
      </c>
      <c r="B288" s="1" t="s">
        <v>1230</v>
      </c>
      <c r="C288" s="4">
        <v>23.992000000000001</v>
      </c>
      <c r="D288" s="4">
        <v>121.631333</v>
      </c>
      <c r="E288" s="1" t="s">
        <v>1396</v>
      </c>
      <c r="F288" s="1">
        <v>1</v>
      </c>
      <c r="G288" s="1" t="s">
        <v>1264</v>
      </c>
      <c r="H288" s="1" t="s">
        <v>1924</v>
      </c>
      <c r="I288" s="1" t="s">
        <v>70</v>
      </c>
      <c r="J288" s="1" t="s">
        <v>1937</v>
      </c>
      <c r="K288" s="1"/>
    </row>
    <row r="289" spans="1:11" ht="19" customHeight="1">
      <c r="A289" s="1" t="s">
        <v>1936</v>
      </c>
      <c r="B289" s="1" t="s">
        <v>1230</v>
      </c>
      <c r="C289" s="4">
        <v>23.992000000000001</v>
      </c>
      <c r="D289" s="4">
        <v>121.631333</v>
      </c>
      <c r="E289" s="1" t="s">
        <v>1404</v>
      </c>
      <c r="F289" s="1">
        <v>1</v>
      </c>
      <c r="G289" s="1" t="s">
        <v>1263</v>
      </c>
      <c r="H289" s="1" t="s">
        <v>1225</v>
      </c>
      <c r="I289" s="1" t="s">
        <v>70</v>
      </c>
      <c r="J289" s="1" t="s">
        <v>1937</v>
      </c>
      <c r="K289" s="1"/>
    </row>
    <row r="290" spans="1:11" ht="19" customHeight="1">
      <c r="A290" s="1" t="s">
        <v>1938</v>
      </c>
      <c r="B290" s="1" t="s">
        <v>1231</v>
      </c>
      <c r="C290" s="4">
        <v>23.9755</v>
      </c>
      <c r="D290" s="4">
        <v>121.5985</v>
      </c>
      <c r="E290" s="1" t="s">
        <v>1396</v>
      </c>
      <c r="F290" s="1">
        <v>1</v>
      </c>
      <c r="G290" s="1" t="s">
        <v>1264</v>
      </c>
      <c r="H290" s="1" t="s">
        <v>1924</v>
      </c>
      <c r="I290" s="1" t="s">
        <v>70</v>
      </c>
      <c r="J290" s="1" t="s">
        <v>1939</v>
      </c>
      <c r="K290" s="1"/>
    </row>
    <row r="291" spans="1:11" ht="19" customHeight="1">
      <c r="A291" s="1" t="s">
        <v>1938</v>
      </c>
      <c r="B291" s="1" t="s">
        <v>1231</v>
      </c>
      <c r="C291" s="4">
        <v>23.9755</v>
      </c>
      <c r="D291" s="4">
        <v>121.5985</v>
      </c>
      <c r="E291" s="1" t="s">
        <v>1404</v>
      </c>
      <c r="F291" s="1">
        <v>1</v>
      </c>
      <c r="G291" s="1" t="s">
        <v>1263</v>
      </c>
      <c r="H291" s="1" t="s">
        <v>1225</v>
      </c>
      <c r="I291" s="1" t="s">
        <v>70</v>
      </c>
      <c r="J291" s="1" t="s">
        <v>1939</v>
      </c>
      <c r="K291" s="1"/>
    </row>
    <row r="292" spans="1:11" ht="19" customHeight="1">
      <c r="A292" s="1" t="s">
        <v>1940</v>
      </c>
      <c r="B292" s="1" t="s">
        <v>1232</v>
      </c>
      <c r="C292" s="4">
        <v>23.971167000000001</v>
      </c>
      <c r="D292" s="4">
        <v>121.605667</v>
      </c>
      <c r="E292" s="1" t="s">
        <v>1396</v>
      </c>
      <c r="F292" s="1">
        <v>1</v>
      </c>
      <c r="G292" s="1" t="s">
        <v>1264</v>
      </c>
      <c r="H292" s="1" t="s">
        <v>1924</v>
      </c>
      <c r="I292" s="1" t="s">
        <v>70</v>
      </c>
      <c r="J292" s="1" t="s">
        <v>1941</v>
      </c>
      <c r="K292" s="1"/>
    </row>
    <row r="293" spans="1:11" ht="19" customHeight="1">
      <c r="A293" s="1" t="s">
        <v>1940</v>
      </c>
      <c r="B293" s="1" t="s">
        <v>1232</v>
      </c>
      <c r="C293" s="4">
        <v>23.971167000000001</v>
      </c>
      <c r="D293" s="4">
        <v>121.605667</v>
      </c>
      <c r="E293" s="1" t="s">
        <v>1404</v>
      </c>
      <c r="F293" s="1">
        <v>1</v>
      </c>
      <c r="G293" s="1" t="s">
        <v>1263</v>
      </c>
      <c r="H293" s="1" t="s">
        <v>1225</v>
      </c>
      <c r="I293" s="1" t="s">
        <v>70</v>
      </c>
      <c r="J293" s="1" t="s">
        <v>1941</v>
      </c>
      <c r="K293" s="1"/>
    </row>
    <row r="294" spans="1:11" ht="19" customHeight="1">
      <c r="A294" s="1" t="s">
        <v>1942</v>
      </c>
      <c r="B294" s="1" t="s">
        <v>1138</v>
      </c>
      <c r="C294" s="4">
        <v>23.972829999999998</v>
      </c>
      <c r="D294" s="4">
        <v>121.56270000000001</v>
      </c>
      <c r="E294" s="1" t="s">
        <v>1404</v>
      </c>
      <c r="F294" s="1">
        <v>1</v>
      </c>
      <c r="G294" s="1" t="s">
        <v>1263</v>
      </c>
      <c r="H294" s="1" t="s">
        <v>604</v>
      </c>
      <c r="I294" s="1" t="s">
        <v>70</v>
      </c>
      <c r="J294" s="1" t="s">
        <v>1943</v>
      </c>
      <c r="K294" s="1"/>
    </row>
    <row r="295" spans="1:11" ht="19" customHeight="1">
      <c r="A295" s="1" t="s">
        <v>1942</v>
      </c>
      <c r="B295" s="1" t="s">
        <v>1138</v>
      </c>
      <c r="C295" s="4">
        <v>23.972833000000001</v>
      </c>
      <c r="D295" s="4">
        <v>121.562667</v>
      </c>
      <c r="E295" s="1" t="s">
        <v>1404</v>
      </c>
      <c r="F295" s="1">
        <v>1</v>
      </c>
      <c r="G295" s="1" t="s">
        <v>1263</v>
      </c>
      <c r="H295" s="1" t="s">
        <v>1225</v>
      </c>
      <c r="I295" s="1" t="s">
        <v>70</v>
      </c>
      <c r="J295" s="1" t="s">
        <v>1944</v>
      </c>
      <c r="K295" s="1"/>
    </row>
    <row r="296" spans="1:11" ht="19" customHeight="1">
      <c r="A296" s="1" t="s">
        <v>1945</v>
      </c>
      <c r="B296" s="1" t="s">
        <v>1139</v>
      </c>
      <c r="C296" s="4">
        <v>23.963166999999999</v>
      </c>
      <c r="D296" s="4">
        <v>121.5685</v>
      </c>
      <c r="E296" s="1" t="s">
        <v>1404</v>
      </c>
      <c r="F296" s="1">
        <v>1</v>
      </c>
      <c r="G296" s="1" t="s">
        <v>1263</v>
      </c>
      <c r="H296" s="1" t="s">
        <v>1225</v>
      </c>
      <c r="I296" s="1" t="s">
        <v>70</v>
      </c>
      <c r="J296" s="1" t="s">
        <v>1946</v>
      </c>
      <c r="K296" s="1"/>
    </row>
    <row r="297" spans="1:11" ht="19" customHeight="1">
      <c r="A297" s="1" t="s">
        <v>1945</v>
      </c>
      <c r="B297" s="1" t="s">
        <v>1139</v>
      </c>
      <c r="C297" s="4">
        <v>23.963170000000002</v>
      </c>
      <c r="D297" s="4">
        <v>121.5685</v>
      </c>
      <c r="E297" s="1" t="s">
        <v>1404</v>
      </c>
      <c r="F297" s="1">
        <v>1</v>
      </c>
      <c r="G297" s="1" t="s">
        <v>1263</v>
      </c>
      <c r="H297" s="1" t="s">
        <v>604</v>
      </c>
      <c r="I297" s="1" t="s">
        <v>70</v>
      </c>
      <c r="J297" s="1" t="s">
        <v>1947</v>
      </c>
      <c r="K297" s="1"/>
    </row>
    <row r="298" spans="1:11" ht="19" customHeight="1">
      <c r="A298" s="1" t="s">
        <v>1948</v>
      </c>
      <c r="B298" s="1" t="s">
        <v>1233</v>
      </c>
      <c r="C298" s="4">
        <v>23.9482</v>
      </c>
      <c r="D298" s="4">
        <v>121.547</v>
      </c>
      <c r="E298" s="1" t="s">
        <v>1404</v>
      </c>
      <c r="F298" s="1">
        <v>1</v>
      </c>
      <c r="G298" s="1" t="s">
        <v>1263</v>
      </c>
      <c r="H298" s="1" t="s">
        <v>1225</v>
      </c>
      <c r="I298" s="1" t="s">
        <v>70</v>
      </c>
      <c r="J298" s="1" t="s">
        <v>1949</v>
      </c>
      <c r="K298" s="1"/>
    </row>
    <row r="299" spans="1:11" ht="19" customHeight="1">
      <c r="A299" s="1" t="s">
        <v>1950</v>
      </c>
      <c r="B299" s="1" t="s">
        <v>1234</v>
      </c>
      <c r="C299" s="4">
        <v>23.975000000000001</v>
      </c>
      <c r="D299" s="4">
        <v>121.6135</v>
      </c>
      <c r="E299" s="1" t="s">
        <v>1396</v>
      </c>
      <c r="F299" s="1">
        <v>1</v>
      </c>
      <c r="G299" s="1" t="s">
        <v>1264</v>
      </c>
      <c r="H299" s="1" t="s">
        <v>1924</v>
      </c>
      <c r="I299" s="1" t="s">
        <v>70</v>
      </c>
      <c r="J299" s="1" t="s">
        <v>1951</v>
      </c>
      <c r="K299" s="1"/>
    </row>
    <row r="300" spans="1:11" ht="19" customHeight="1">
      <c r="A300" s="1" t="s">
        <v>1950</v>
      </c>
      <c r="B300" s="1" t="s">
        <v>1234</v>
      </c>
      <c r="C300" s="4">
        <v>23.975000000000001</v>
      </c>
      <c r="D300" s="4">
        <v>121.6135</v>
      </c>
      <c r="E300" s="1" t="s">
        <v>1404</v>
      </c>
      <c r="F300" s="1">
        <v>1</v>
      </c>
      <c r="G300" s="1" t="s">
        <v>1263</v>
      </c>
      <c r="H300" s="1" t="s">
        <v>1225</v>
      </c>
      <c r="I300" s="1" t="s">
        <v>70</v>
      </c>
      <c r="J300" s="1" t="s">
        <v>1951</v>
      </c>
      <c r="K300" s="1"/>
    </row>
    <row r="301" spans="1:11" ht="19" customHeight="1">
      <c r="A301" s="1" t="s">
        <v>1952</v>
      </c>
      <c r="B301" s="1" t="s">
        <v>1140</v>
      </c>
      <c r="C301" s="4">
        <v>24.05367</v>
      </c>
      <c r="D301" s="4">
        <v>121.5985</v>
      </c>
      <c r="E301" s="1" t="s">
        <v>1404</v>
      </c>
      <c r="F301" s="1">
        <v>1</v>
      </c>
      <c r="G301" s="1" t="s">
        <v>1263</v>
      </c>
      <c r="H301" s="1" t="s">
        <v>604</v>
      </c>
      <c r="I301" s="1" t="s">
        <v>70</v>
      </c>
      <c r="J301" s="1" t="s">
        <v>1953</v>
      </c>
      <c r="K301" s="1"/>
    </row>
    <row r="302" spans="1:11" ht="19" customHeight="1">
      <c r="A302" s="1" t="s">
        <v>1954</v>
      </c>
      <c r="B302" s="1" t="s">
        <v>1141</v>
      </c>
      <c r="C302" s="4">
        <v>24.014330000000001</v>
      </c>
      <c r="D302" s="4">
        <v>121.6095</v>
      </c>
      <c r="E302" s="1" t="s">
        <v>1404</v>
      </c>
      <c r="F302" s="1">
        <v>1</v>
      </c>
      <c r="G302" s="1" t="s">
        <v>1263</v>
      </c>
      <c r="H302" s="1" t="s">
        <v>604</v>
      </c>
      <c r="I302" s="1" t="s">
        <v>70</v>
      </c>
      <c r="J302" s="1" t="s">
        <v>1955</v>
      </c>
      <c r="K302" s="1"/>
    </row>
    <row r="303" spans="1:11" ht="19" customHeight="1">
      <c r="A303" s="1" t="s">
        <v>1954</v>
      </c>
      <c r="B303" s="1" t="s">
        <v>1141</v>
      </c>
      <c r="C303" s="4">
        <v>24.014333000000001</v>
      </c>
      <c r="D303" s="4">
        <v>121.6095</v>
      </c>
      <c r="E303" s="1" t="s">
        <v>1396</v>
      </c>
      <c r="F303" s="1">
        <v>1</v>
      </c>
      <c r="G303" s="1" t="s">
        <v>1264</v>
      </c>
      <c r="H303" s="1" t="s">
        <v>1924</v>
      </c>
      <c r="I303" s="1" t="s">
        <v>70</v>
      </c>
      <c r="J303" s="1" t="s">
        <v>1956</v>
      </c>
      <c r="K303" s="1"/>
    </row>
    <row r="304" spans="1:11" ht="19" customHeight="1">
      <c r="A304" s="1" t="s">
        <v>1954</v>
      </c>
      <c r="B304" s="1" t="s">
        <v>1141</v>
      </c>
      <c r="C304" s="4">
        <v>24.014333000000001</v>
      </c>
      <c r="D304" s="4">
        <v>121.6095</v>
      </c>
      <c r="E304" s="1" t="s">
        <v>1404</v>
      </c>
      <c r="F304" s="1">
        <v>1</v>
      </c>
      <c r="G304" s="1" t="s">
        <v>1263</v>
      </c>
      <c r="H304" s="1" t="s">
        <v>1225</v>
      </c>
      <c r="I304" s="1" t="s">
        <v>70</v>
      </c>
      <c r="J304" s="1" t="s">
        <v>1956</v>
      </c>
      <c r="K304" s="1"/>
    </row>
    <row r="305" spans="1:11" ht="19" customHeight="1">
      <c r="A305" s="1" t="s">
        <v>1957</v>
      </c>
      <c r="B305" s="1" t="s">
        <v>1185</v>
      </c>
      <c r="C305" s="4">
        <v>23.783999999999999</v>
      </c>
      <c r="D305" s="4">
        <v>121.456</v>
      </c>
      <c r="E305" s="1" t="s">
        <v>1404</v>
      </c>
      <c r="F305" s="1">
        <v>1</v>
      </c>
      <c r="G305" s="1" t="s">
        <v>1263</v>
      </c>
      <c r="H305" s="1" t="s">
        <v>657</v>
      </c>
      <c r="I305" s="1" t="s">
        <v>70</v>
      </c>
      <c r="J305" s="1" t="s">
        <v>1958</v>
      </c>
      <c r="K305" s="1"/>
    </row>
    <row r="306" spans="1:11" ht="19" customHeight="1">
      <c r="A306" s="1" t="s">
        <v>1959</v>
      </c>
      <c r="B306" s="1" t="s">
        <v>1186</v>
      </c>
      <c r="C306" s="4">
        <v>23.70833</v>
      </c>
      <c r="D306" s="4">
        <v>121.4198</v>
      </c>
      <c r="E306" s="1" t="s">
        <v>1404</v>
      </c>
      <c r="F306" s="1">
        <v>1</v>
      </c>
      <c r="G306" s="1" t="s">
        <v>1263</v>
      </c>
      <c r="H306" s="1" t="s">
        <v>657</v>
      </c>
      <c r="I306" s="1" t="s">
        <v>70</v>
      </c>
      <c r="J306" s="1" t="s">
        <v>1960</v>
      </c>
      <c r="K306" s="1"/>
    </row>
    <row r="307" spans="1:11" ht="19" customHeight="1">
      <c r="A307" s="1" t="s">
        <v>1961</v>
      </c>
      <c r="B307" s="1" t="s">
        <v>1100</v>
      </c>
      <c r="C307" s="4">
        <v>23.6845</v>
      </c>
      <c r="D307" s="4">
        <v>121.48269999999999</v>
      </c>
      <c r="E307" s="1" t="s">
        <v>1404</v>
      </c>
      <c r="F307" s="1">
        <v>1</v>
      </c>
      <c r="G307" s="1" t="s">
        <v>1263</v>
      </c>
      <c r="H307" s="1" t="s">
        <v>498</v>
      </c>
      <c r="I307" s="1" t="s">
        <v>70</v>
      </c>
      <c r="J307" s="1" t="s">
        <v>1962</v>
      </c>
      <c r="K307" s="1"/>
    </row>
    <row r="308" spans="1:11" ht="19" customHeight="1">
      <c r="A308" s="1" t="s">
        <v>1963</v>
      </c>
      <c r="B308" s="1" t="s">
        <v>1187</v>
      </c>
      <c r="C308" s="4">
        <v>23.730329999999999</v>
      </c>
      <c r="D308" s="4">
        <v>121.4447</v>
      </c>
      <c r="E308" s="1" t="s">
        <v>1404</v>
      </c>
      <c r="F308" s="1">
        <v>1</v>
      </c>
      <c r="G308" s="1" t="s">
        <v>1263</v>
      </c>
      <c r="H308" s="1" t="s">
        <v>657</v>
      </c>
      <c r="I308" s="1" t="s">
        <v>70</v>
      </c>
      <c r="J308" s="1" t="s">
        <v>1964</v>
      </c>
      <c r="K308" s="1"/>
    </row>
    <row r="309" spans="1:11" ht="19" customHeight="1">
      <c r="A309" s="1" t="s">
        <v>1965</v>
      </c>
      <c r="B309" s="1" t="s">
        <v>1188</v>
      </c>
      <c r="C309" s="4">
        <v>23.651669999999999</v>
      </c>
      <c r="D309" s="4">
        <v>121.5363</v>
      </c>
      <c r="E309" s="1" t="s">
        <v>1404</v>
      </c>
      <c r="F309" s="1">
        <v>1</v>
      </c>
      <c r="G309" s="1" t="s">
        <v>1263</v>
      </c>
      <c r="H309" s="1" t="s">
        <v>657</v>
      </c>
      <c r="I309" s="1" t="s">
        <v>70</v>
      </c>
      <c r="J309" s="1" t="s">
        <v>1966</v>
      </c>
      <c r="K309" s="1"/>
    </row>
    <row r="310" spans="1:11" ht="19" customHeight="1">
      <c r="A310" s="1" t="s">
        <v>1967</v>
      </c>
      <c r="B310" s="1" t="s">
        <v>1142</v>
      </c>
      <c r="C310" s="4">
        <v>24.009499999999999</v>
      </c>
      <c r="D310" s="4">
        <v>121.5805</v>
      </c>
      <c r="E310" s="1" t="s">
        <v>1404</v>
      </c>
      <c r="F310" s="1">
        <v>1</v>
      </c>
      <c r="G310" s="1" t="s">
        <v>1263</v>
      </c>
      <c r="H310" s="1" t="s">
        <v>604</v>
      </c>
      <c r="I310" s="1" t="s">
        <v>70</v>
      </c>
      <c r="J310" s="1" t="s">
        <v>1968</v>
      </c>
      <c r="K310" s="1"/>
    </row>
    <row r="311" spans="1:11" ht="19" customHeight="1">
      <c r="A311" s="1" t="s">
        <v>1969</v>
      </c>
      <c r="B311" s="1" t="s">
        <v>1101</v>
      </c>
      <c r="C311" s="4">
        <v>23.993167</v>
      </c>
      <c r="D311" s="4">
        <v>121.5645</v>
      </c>
      <c r="E311" s="1" t="s">
        <v>1404</v>
      </c>
      <c r="F311" s="1">
        <v>1</v>
      </c>
      <c r="G311" s="1" t="s">
        <v>1263</v>
      </c>
      <c r="H311" s="1" t="s">
        <v>498</v>
      </c>
      <c r="I311" s="1" t="s">
        <v>70</v>
      </c>
      <c r="J311" s="1" t="s">
        <v>1970</v>
      </c>
      <c r="K311" s="1"/>
    </row>
    <row r="312" spans="1:11" ht="19" customHeight="1">
      <c r="A312" s="1" t="s">
        <v>1971</v>
      </c>
      <c r="B312" s="1" t="s">
        <v>1143</v>
      </c>
      <c r="C312" s="4">
        <v>23.9878</v>
      </c>
      <c r="D312" s="4">
        <v>121.5908</v>
      </c>
      <c r="E312" s="1" t="s">
        <v>1404</v>
      </c>
      <c r="F312" s="1">
        <v>1</v>
      </c>
      <c r="G312" s="1" t="s">
        <v>1263</v>
      </c>
      <c r="H312" s="1" t="s">
        <v>604</v>
      </c>
      <c r="I312" s="1" t="s">
        <v>70</v>
      </c>
      <c r="J312" s="1" t="s">
        <v>1972</v>
      </c>
      <c r="K312" s="1"/>
    </row>
    <row r="313" spans="1:11" ht="19" customHeight="1">
      <c r="A313" s="1" t="s">
        <v>1971</v>
      </c>
      <c r="B313" s="1" t="s">
        <v>1143</v>
      </c>
      <c r="C313" s="4">
        <v>23.987832999999998</v>
      </c>
      <c r="D313" s="4">
        <v>121.590833</v>
      </c>
      <c r="E313" s="1" t="s">
        <v>1396</v>
      </c>
      <c r="F313" s="1">
        <v>1</v>
      </c>
      <c r="G313" s="1" t="s">
        <v>1264</v>
      </c>
      <c r="H313" s="1" t="s">
        <v>1924</v>
      </c>
      <c r="I313" s="1" t="s">
        <v>70</v>
      </c>
      <c r="J313" s="1" t="s">
        <v>1973</v>
      </c>
      <c r="K313" s="1"/>
    </row>
    <row r="314" spans="1:11" ht="19" customHeight="1">
      <c r="A314" s="1" t="s">
        <v>1971</v>
      </c>
      <c r="B314" s="1" t="s">
        <v>1143</v>
      </c>
      <c r="C314" s="4">
        <v>23.987832999999998</v>
      </c>
      <c r="D314" s="4">
        <v>121.590833</v>
      </c>
      <c r="E314" s="1" t="s">
        <v>1404</v>
      </c>
      <c r="F314" s="1">
        <v>1</v>
      </c>
      <c r="G314" s="1" t="s">
        <v>1263</v>
      </c>
      <c r="H314" s="1" t="s">
        <v>1225</v>
      </c>
      <c r="I314" s="1" t="s">
        <v>70</v>
      </c>
      <c r="J314" s="1" t="s">
        <v>1973</v>
      </c>
      <c r="K314" s="1"/>
    </row>
    <row r="315" spans="1:11" ht="19" customHeight="1">
      <c r="A315" s="1" t="s">
        <v>1974</v>
      </c>
      <c r="B315" s="1" t="s">
        <v>1102</v>
      </c>
      <c r="C315" s="4">
        <v>23.867667000000001</v>
      </c>
      <c r="D315" s="4">
        <v>121.556833</v>
      </c>
      <c r="E315" s="1" t="s">
        <v>1404</v>
      </c>
      <c r="F315" s="1">
        <v>1</v>
      </c>
      <c r="G315" s="1" t="s">
        <v>1263</v>
      </c>
      <c r="H315" s="1" t="s">
        <v>498</v>
      </c>
      <c r="I315" s="1" t="s">
        <v>70</v>
      </c>
      <c r="J315" s="1" t="s">
        <v>1975</v>
      </c>
      <c r="K315" s="1"/>
    </row>
    <row r="316" spans="1:11" ht="19" customHeight="1">
      <c r="A316" s="1" t="s">
        <v>1976</v>
      </c>
      <c r="B316" s="1" t="s">
        <v>1103</v>
      </c>
      <c r="C316" s="4">
        <v>23.320667</v>
      </c>
      <c r="D316" s="4">
        <v>121.34</v>
      </c>
      <c r="E316" s="1" t="s">
        <v>1404</v>
      </c>
      <c r="F316" s="1">
        <v>1</v>
      </c>
      <c r="G316" s="1" t="s">
        <v>1263</v>
      </c>
      <c r="H316" s="1" t="s">
        <v>498</v>
      </c>
      <c r="I316" s="1" t="s">
        <v>70</v>
      </c>
      <c r="J316" s="1" t="s">
        <v>1977</v>
      </c>
      <c r="K316" s="1"/>
    </row>
    <row r="317" spans="1:11" ht="19" customHeight="1">
      <c r="A317" s="1" t="s">
        <v>1978</v>
      </c>
      <c r="B317" s="1" t="s">
        <v>1104</v>
      </c>
      <c r="C317" s="4">
        <v>23.870667000000001</v>
      </c>
      <c r="D317" s="4">
        <v>121.507333</v>
      </c>
      <c r="E317" s="1" t="s">
        <v>1404</v>
      </c>
      <c r="F317" s="1">
        <v>1</v>
      </c>
      <c r="G317" s="1" t="s">
        <v>1263</v>
      </c>
      <c r="H317" s="1" t="s">
        <v>498</v>
      </c>
      <c r="I317" s="1" t="s">
        <v>70</v>
      </c>
      <c r="J317" s="1" t="s">
        <v>1979</v>
      </c>
      <c r="K317" s="1"/>
    </row>
    <row r="318" spans="1:11" ht="19" customHeight="1">
      <c r="A318" s="1" t="s">
        <v>1980</v>
      </c>
      <c r="B318" s="1" t="s">
        <v>1235</v>
      </c>
      <c r="C318" s="4">
        <v>23.903500000000001</v>
      </c>
      <c r="D318" s="4">
        <v>121.60169999999999</v>
      </c>
      <c r="E318" s="1" t="s">
        <v>1404</v>
      </c>
      <c r="F318" s="1">
        <v>1</v>
      </c>
      <c r="G318" s="1" t="s">
        <v>1263</v>
      </c>
      <c r="H318" s="1" t="s">
        <v>1225</v>
      </c>
      <c r="I318" s="1" t="s">
        <v>70</v>
      </c>
      <c r="J318" s="1" t="s">
        <v>1981</v>
      </c>
      <c r="K318" s="1"/>
    </row>
    <row r="319" spans="1:11" ht="19" customHeight="1">
      <c r="A319" s="1" t="s">
        <v>1982</v>
      </c>
      <c r="B319" s="1" t="s">
        <v>1144</v>
      </c>
      <c r="C319" s="4">
        <v>24.018000000000001</v>
      </c>
      <c r="D319" s="4">
        <v>121.61069999999999</v>
      </c>
      <c r="E319" s="1" t="s">
        <v>1404</v>
      </c>
      <c r="F319" s="1">
        <v>1</v>
      </c>
      <c r="G319" s="1" t="s">
        <v>1263</v>
      </c>
      <c r="H319" s="1" t="s">
        <v>604</v>
      </c>
      <c r="I319" s="1" t="s">
        <v>70</v>
      </c>
      <c r="J319" s="1" t="s">
        <v>1983</v>
      </c>
      <c r="K319" s="1"/>
    </row>
    <row r="320" spans="1:11" ht="19" customHeight="1">
      <c r="A320" s="1" t="s">
        <v>1984</v>
      </c>
      <c r="B320" s="1" t="s">
        <v>1236</v>
      </c>
      <c r="C320" s="4">
        <v>23.979666999999999</v>
      </c>
      <c r="D320" s="4">
        <v>121.619833</v>
      </c>
      <c r="E320" s="1" t="s">
        <v>1396</v>
      </c>
      <c r="F320" s="1">
        <v>1</v>
      </c>
      <c r="G320" s="1" t="s">
        <v>1264</v>
      </c>
      <c r="H320" s="1" t="s">
        <v>1924</v>
      </c>
      <c r="I320" s="1" t="s">
        <v>70</v>
      </c>
      <c r="J320" s="1" t="s">
        <v>1985</v>
      </c>
      <c r="K320" s="1"/>
    </row>
    <row r="321" spans="1:11" ht="19" customHeight="1">
      <c r="A321" s="1" t="s">
        <v>1984</v>
      </c>
      <c r="B321" s="1" t="s">
        <v>1236</v>
      </c>
      <c r="C321" s="4">
        <v>23.979666999999999</v>
      </c>
      <c r="D321" s="4">
        <v>121.619833</v>
      </c>
      <c r="E321" s="1" t="s">
        <v>1404</v>
      </c>
      <c r="F321" s="1">
        <v>1</v>
      </c>
      <c r="G321" s="1" t="s">
        <v>1263</v>
      </c>
      <c r="H321" s="1" t="s">
        <v>1225</v>
      </c>
      <c r="I321" s="1" t="s">
        <v>70</v>
      </c>
      <c r="J321" s="1" t="s">
        <v>1985</v>
      </c>
      <c r="K321" s="1"/>
    </row>
    <row r="322" spans="1:11" ht="19" customHeight="1">
      <c r="A322" s="1" t="s">
        <v>1986</v>
      </c>
      <c r="B322" s="1" t="s">
        <v>1237</v>
      </c>
      <c r="C322" s="4">
        <v>23.993500000000001</v>
      </c>
      <c r="D322" s="4">
        <v>121.593</v>
      </c>
      <c r="E322" s="1" t="s">
        <v>1396</v>
      </c>
      <c r="F322" s="1">
        <v>1</v>
      </c>
      <c r="G322" s="1" t="s">
        <v>1264</v>
      </c>
      <c r="H322" s="1" t="s">
        <v>1924</v>
      </c>
      <c r="I322" s="1" t="s">
        <v>70</v>
      </c>
      <c r="J322" s="1" t="s">
        <v>1987</v>
      </c>
      <c r="K322" s="1"/>
    </row>
    <row r="323" spans="1:11" ht="19" customHeight="1">
      <c r="A323" s="1" t="s">
        <v>1986</v>
      </c>
      <c r="B323" s="1" t="s">
        <v>1237</v>
      </c>
      <c r="C323" s="4">
        <v>23.993500000000001</v>
      </c>
      <c r="D323" s="4">
        <v>121.593</v>
      </c>
      <c r="E323" s="1" t="s">
        <v>1404</v>
      </c>
      <c r="F323" s="1">
        <v>1</v>
      </c>
      <c r="G323" s="1" t="s">
        <v>1263</v>
      </c>
      <c r="H323" s="1" t="s">
        <v>1225</v>
      </c>
      <c r="I323" s="1" t="s">
        <v>70</v>
      </c>
      <c r="J323" s="1" t="s">
        <v>1987</v>
      </c>
      <c r="K323" s="1"/>
    </row>
    <row r="324" spans="1:11" ht="19" customHeight="1">
      <c r="A324" s="1" t="s">
        <v>1988</v>
      </c>
      <c r="B324" s="1" t="s">
        <v>1110</v>
      </c>
      <c r="C324" s="4">
        <v>24.689</v>
      </c>
      <c r="D324" s="4">
        <v>121.766667</v>
      </c>
      <c r="E324" s="1" t="s">
        <v>1404</v>
      </c>
      <c r="F324" s="1">
        <v>1</v>
      </c>
      <c r="G324" s="1" t="s">
        <v>1263</v>
      </c>
      <c r="H324" s="1" t="s">
        <v>560</v>
      </c>
      <c r="I324" s="1" t="s">
        <v>70</v>
      </c>
      <c r="J324" s="1" t="s">
        <v>1989</v>
      </c>
      <c r="K324" s="1"/>
    </row>
    <row r="325" spans="1:11" ht="19" customHeight="1">
      <c r="A325" s="1" t="s">
        <v>1988</v>
      </c>
      <c r="B325" s="1" t="s">
        <v>1110</v>
      </c>
      <c r="C325" s="4">
        <v>24.689</v>
      </c>
      <c r="D325" s="4">
        <v>121.7667</v>
      </c>
      <c r="E325" s="1" t="s">
        <v>1404</v>
      </c>
      <c r="F325" s="1">
        <v>1</v>
      </c>
      <c r="G325" s="1" t="s">
        <v>1263</v>
      </c>
      <c r="H325" s="1" t="s">
        <v>529</v>
      </c>
      <c r="I325" s="1" t="s">
        <v>70</v>
      </c>
      <c r="J325" s="1" t="s">
        <v>1990</v>
      </c>
      <c r="K325" s="1"/>
    </row>
    <row r="326" spans="1:11" ht="19" customHeight="1">
      <c r="A326" s="1" t="s">
        <v>1991</v>
      </c>
      <c r="B326" s="1" t="s">
        <v>1111</v>
      </c>
      <c r="C326" s="4">
        <v>24.753499999999999</v>
      </c>
      <c r="D326" s="4">
        <v>121.7547</v>
      </c>
      <c r="E326" s="1" t="s">
        <v>1404</v>
      </c>
      <c r="F326" s="1">
        <v>1</v>
      </c>
      <c r="G326" s="1" t="s">
        <v>1263</v>
      </c>
      <c r="H326" s="1" t="s">
        <v>529</v>
      </c>
      <c r="I326" s="1" t="s">
        <v>70</v>
      </c>
      <c r="J326" s="1" t="s">
        <v>1992</v>
      </c>
      <c r="K326" s="1"/>
    </row>
    <row r="327" spans="1:11" ht="19" customHeight="1">
      <c r="A327" s="1" t="s">
        <v>1993</v>
      </c>
      <c r="B327" s="1" t="s">
        <v>1112</v>
      </c>
      <c r="C327" s="4">
        <v>24.719799999999999</v>
      </c>
      <c r="D327" s="4">
        <v>121.744</v>
      </c>
      <c r="E327" s="1" t="s">
        <v>1404</v>
      </c>
      <c r="F327" s="1">
        <v>1</v>
      </c>
      <c r="G327" s="1" t="s">
        <v>1263</v>
      </c>
      <c r="H327" s="1" t="s">
        <v>529</v>
      </c>
      <c r="I327" s="1" t="s">
        <v>70</v>
      </c>
      <c r="J327" s="1" t="s">
        <v>1994</v>
      </c>
      <c r="K327" s="1"/>
    </row>
    <row r="328" spans="1:11" ht="19" customHeight="1">
      <c r="A328" s="1" t="s">
        <v>1993</v>
      </c>
      <c r="B328" s="1" t="s">
        <v>1112</v>
      </c>
      <c r="C328" s="4">
        <v>24.719833000000001</v>
      </c>
      <c r="D328" s="4">
        <v>121.744</v>
      </c>
      <c r="E328" s="1" t="s">
        <v>1404</v>
      </c>
      <c r="F328" s="1">
        <v>1</v>
      </c>
      <c r="G328" s="1" t="s">
        <v>1263</v>
      </c>
      <c r="H328" s="1" t="s">
        <v>560</v>
      </c>
      <c r="I328" s="1" t="s">
        <v>70</v>
      </c>
      <c r="J328" s="1" t="s">
        <v>1995</v>
      </c>
      <c r="K328" s="1"/>
    </row>
    <row r="329" spans="1:11" ht="19" customHeight="1">
      <c r="A329" s="1" t="s">
        <v>1996</v>
      </c>
      <c r="B329" s="1" t="s">
        <v>1113</v>
      </c>
      <c r="C329" s="4">
        <v>24.772300000000001</v>
      </c>
      <c r="D329" s="4">
        <v>121.7988</v>
      </c>
      <c r="E329" s="1" t="s">
        <v>1404</v>
      </c>
      <c r="F329" s="1">
        <v>1</v>
      </c>
      <c r="G329" s="1" t="s">
        <v>1263</v>
      </c>
      <c r="H329" s="1" t="s">
        <v>529</v>
      </c>
      <c r="I329" s="1" t="s">
        <v>70</v>
      </c>
      <c r="J329" s="1" t="s">
        <v>1997</v>
      </c>
      <c r="K329" s="1"/>
    </row>
    <row r="330" spans="1:11" ht="19" customHeight="1">
      <c r="A330" s="1" t="s">
        <v>1998</v>
      </c>
      <c r="B330" s="1" t="s">
        <v>1114</v>
      </c>
      <c r="C330" s="4">
        <v>24.7638</v>
      </c>
      <c r="D330" s="4">
        <v>121.7563</v>
      </c>
      <c r="E330" s="1" t="s">
        <v>1404</v>
      </c>
      <c r="F330" s="1">
        <v>1</v>
      </c>
      <c r="G330" s="1" t="s">
        <v>1263</v>
      </c>
      <c r="H330" s="1" t="s">
        <v>529</v>
      </c>
      <c r="I330" s="1" t="s">
        <v>70</v>
      </c>
      <c r="J330" s="1" t="s">
        <v>1999</v>
      </c>
      <c r="K330" s="1"/>
    </row>
    <row r="331" spans="1:11" ht="19" customHeight="1">
      <c r="A331" s="1" t="s">
        <v>2000</v>
      </c>
      <c r="B331" s="1" t="s">
        <v>1128</v>
      </c>
      <c r="C331" s="4">
        <v>22.003170000000001</v>
      </c>
      <c r="D331" s="4">
        <v>120.7457</v>
      </c>
      <c r="E331" s="1" t="s">
        <v>1404</v>
      </c>
      <c r="F331" s="1">
        <v>1</v>
      </c>
      <c r="G331" s="1" t="s">
        <v>1263</v>
      </c>
      <c r="H331" s="1" t="s">
        <v>567</v>
      </c>
      <c r="I331" s="1" t="s">
        <v>70</v>
      </c>
      <c r="J331" s="1" t="s">
        <v>2001</v>
      </c>
      <c r="K331" s="1"/>
    </row>
    <row r="332" spans="1:11" ht="19" customHeight="1">
      <c r="A332" s="1" t="s">
        <v>2000</v>
      </c>
      <c r="B332" s="1" t="s">
        <v>1128</v>
      </c>
      <c r="C332" s="4">
        <v>22.0032</v>
      </c>
      <c r="D332" s="4">
        <v>120.7457</v>
      </c>
      <c r="E332" s="1" t="s">
        <v>1404</v>
      </c>
      <c r="F332" s="1">
        <v>1</v>
      </c>
      <c r="G332" s="1" t="s">
        <v>1263</v>
      </c>
      <c r="H332" s="1" t="s">
        <v>572</v>
      </c>
      <c r="I332" s="1" t="s">
        <v>70</v>
      </c>
      <c r="J332" s="1" t="s">
        <v>2002</v>
      </c>
      <c r="K332" s="1"/>
    </row>
    <row r="333" spans="1:11" ht="19" customHeight="1">
      <c r="A333" s="1" t="s">
        <v>2003</v>
      </c>
      <c r="B333" s="1" t="s">
        <v>1129</v>
      </c>
      <c r="C333" s="4">
        <v>22.008500000000002</v>
      </c>
      <c r="D333" s="4">
        <v>120.7452</v>
      </c>
      <c r="E333" s="1" t="s">
        <v>1404</v>
      </c>
      <c r="F333" s="1">
        <v>1</v>
      </c>
      <c r="G333" s="1" t="s">
        <v>1263</v>
      </c>
      <c r="H333" s="1" t="s">
        <v>567</v>
      </c>
      <c r="I333" s="1" t="s">
        <v>70</v>
      </c>
      <c r="J333" s="1" t="s">
        <v>2004</v>
      </c>
      <c r="K333" s="1"/>
    </row>
    <row r="334" spans="1:11" ht="19" customHeight="1">
      <c r="A334" s="1" t="s">
        <v>2005</v>
      </c>
      <c r="B334" s="1" t="s">
        <v>1130</v>
      </c>
      <c r="C334" s="4">
        <v>21.940329999999999</v>
      </c>
      <c r="D334" s="4">
        <v>120.73220000000001</v>
      </c>
      <c r="E334" s="1" t="s">
        <v>1404</v>
      </c>
      <c r="F334" s="1">
        <v>1</v>
      </c>
      <c r="G334" s="1" t="s">
        <v>1263</v>
      </c>
      <c r="H334" s="1" t="s">
        <v>567</v>
      </c>
      <c r="I334" s="1" t="s">
        <v>70</v>
      </c>
      <c r="J334" s="1" t="s">
        <v>2006</v>
      </c>
      <c r="K334" s="1"/>
    </row>
    <row r="335" spans="1:11" ht="19" customHeight="1">
      <c r="A335" s="1" t="s">
        <v>2007</v>
      </c>
      <c r="B335" s="1" t="s">
        <v>866</v>
      </c>
      <c r="C335" s="4">
        <v>24.629667000000001</v>
      </c>
      <c r="D335" s="4">
        <v>121.008833</v>
      </c>
      <c r="E335" s="1" t="s">
        <v>1404</v>
      </c>
      <c r="F335" s="1">
        <v>1</v>
      </c>
      <c r="G335" s="1" t="s">
        <v>1263</v>
      </c>
      <c r="H335" s="1" t="s">
        <v>1074</v>
      </c>
      <c r="I335" s="1" t="s">
        <v>70</v>
      </c>
      <c r="J335" s="1" t="s">
        <v>2008</v>
      </c>
      <c r="K335" s="1"/>
    </row>
    <row r="336" spans="1:11" ht="19" customHeight="1">
      <c r="A336" s="1" t="s">
        <v>2007</v>
      </c>
      <c r="B336" s="1" t="s">
        <v>866</v>
      </c>
      <c r="C336" s="4">
        <v>24.6312</v>
      </c>
      <c r="D336" s="4">
        <v>121.0005</v>
      </c>
      <c r="E336" s="1" t="s">
        <v>1396</v>
      </c>
      <c r="F336" s="1">
        <v>1</v>
      </c>
      <c r="G336" s="1" t="s">
        <v>1262</v>
      </c>
      <c r="H336" s="1" t="s">
        <v>860</v>
      </c>
      <c r="I336" s="1" t="s">
        <v>75</v>
      </c>
      <c r="J336" s="1" t="s">
        <v>2009</v>
      </c>
      <c r="K336" s="1"/>
    </row>
    <row r="337" spans="1:11" ht="19" customHeight="1">
      <c r="A337" s="1" t="s">
        <v>2010</v>
      </c>
      <c r="B337" s="1" t="s">
        <v>867</v>
      </c>
      <c r="C337" s="4">
        <v>24.4162</v>
      </c>
      <c r="D337" s="4">
        <v>120.7607</v>
      </c>
      <c r="E337" s="1" t="s">
        <v>1396</v>
      </c>
      <c r="F337" s="1">
        <v>1</v>
      </c>
      <c r="G337" s="1" t="s">
        <v>1262</v>
      </c>
      <c r="H337" s="1" t="s">
        <v>860</v>
      </c>
      <c r="I337" s="1" t="s">
        <v>75</v>
      </c>
      <c r="J337" s="1" t="s">
        <v>2011</v>
      </c>
      <c r="K337" s="1"/>
    </row>
    <row r="338" spans="1:11" ht="19" customHeight="1">
      <c r="A338" s="1" t="s">
        <v>2012</v>
      </c>
      <c r="B338" s="1" t="s">
        <v>1238</v>
      </c>
      <c r="C338" s="4">
        <v>23.992799999999999</v>
      </c>
      <c r="D338" s="4">
        <v>121.601</v>
      </c>
      <c r="E338" s="1" t="s">
        <v>1404</v>
      </c>
      <c r="F338" s="1">
        <v>1</v>
      </c>
      <c r="G338" s="1" t="s">
        <v>1263</v>
      </c>
      <c r="H338" s="1" t="s">
        <v>1225</v>
      </c>
      <c r="I338" s="1" t="s">
        <v>70</v>
      </c>
      <c r="J338" s="1" t="s">
        <v>2013</v>
      </c>
      <c r="K338" s="1"/>
    </row>
    <row r="339" spans="1:11" ht="19" customHeight="1">
      <c r="A339" s="1" t="s">
        <v>2014</v>
      </c>
      <c r="B339" s="1" t="s">
        <v>1239</v>
      </c>
      <c r="C339" s="4">
        <v>23.963000000000001</v>
      </c>
      <c r="D339" s="4">
        <v>121.5689</v>
      </c>
      <c r="E339" s="1" t="s">
        <v>1404</v>
      </c>
      <c r="F339" s="1">
        <v>1</v>
      </c>
      <c r="G339" s="1" t="s">
        <v>1263</v>
      </c>
      <c r="H339" s="1" t="s">
        <v>1225</v>
      </c>
      <c r="I339" s="1" t="s">
        <v>70</v>
      </c>
      <c r="J339" s="1" t="s">
        <v>2015</v>
      </c>
      <c r="K339" s="1"/>
    </row>
    <row r="340" spans="1:11" ht="19" customHeight="1">
      <c r="A340" s="1" t="s">
        <v>2016</v>
      </c>
      <c r="B340" s="1" t="s">
        <v>1222</v>
      </c>
      <c r="C340" s="4">
        <v>23.0213</v>
      </c>
      <c r="D340" s="4">
        <v>120.3479</v>
      </c>
      <c r="E340" s="1" t="s">
        <v>1404</v>
      </c>
      <c r="F340" s="1">
        <v>1</v>
      </c>
      <c r="G340" s="1" t="s">
        <v>1263</v>
      </c>
      <c r="H340" s="1" t="s">
        <v>1202</v>
      </c>
      <c r="I340" s="1" t="s">
        <v>70</v>
      </c>
      <c r="J340" s="1" t="s">
        <v>2017</v>
      </c>
      <c r="K340" s="1"/>
    </row>
    <row r="341" spans="1:11" ht="19" customHeight="1">
      <c r="A341" s="1" t="s">
        <v>2018</v>
      </c>
      <c r="B341" s="1" t="s">
        <v>775</v>
      </c>
      <c r="C341" s="4">
        <v>24.6738</v>
      </c>
      <c r="D341" s="4">
        <v>121.7646</v>
      </c>
      <c r="E341" s="1" t="s">
        <v>1396</v>
      </c>
      <c r="F341" s="1">
        <v>1</v>
      </c>
      <c r="G341" s="1" t="s">
        <v>1262</v>
      </c>
      <c r="H341" s="1" t="s">
        <v>374</v>
      </c>
      <c r="I341" s="1" t="s">
        <v>75</v>
      </c>
      <c r="J341" s="1" t="s">
        <v>2019</v>
      </c>
      <c r="K341" s="1"/>
    </row>
    <row r="342" spans="1:11" ht="19" customHeight="1">
      <c r="A342" s="1" t="s">
        <v>2020</v>
      </c>
      <c r="B342" s="1" t="s">
        <v>776</v>
      </c>
      <c r="C342" s="4">
        <v>24.648700000000002</v>
      </c>
      <c r="D342" s="4">
        <v>121.76439999999999</v>
      </c>
      <c r="E342" s="1" t="s">
        <v>1396</v>
      </c>
      <c r="F342" s="1">
        <v>1</v>
      </c>
      <c r="G342" s="1" t="s">
        <v>1262</v>
      </c>
      <c r="H342" s="1" t="s">
        <v>374</v>
      </c>
      <c r="I342" s="1" t="s">
        <v>75</v>
      </c>
      <c r="J342" s="1" t="s">
        <v>2021</v>
      </c>
      <c r="K342" s="1"/>
    </row>
    <row r="343" spans="1:11" ht="19" customHeight="1">
      <c r="A343" s="1" t="s">
        <v>2022</v>
      </c>
      <c r="B343" s="1" t="s">
        <v>777</v>
      </c>
      <c r="C343" s="4">
        <v>24.6755</v>
      </c>
      <c r="D343" s="4">
        <v>121.765</v>
      </c>
      <c r="E343" s="1" t="s">
        <v>1396</v>
      </c>
      <c r="F343" s="1">
        <v>1</v>
      </c>
      <c r="G343" s="1" t="s">
        <v>1262</v>
      </c>
      <c r="H343" s="1" t="s">
        <v>374</v>
      </c>
      <c r="I343" s="1" t="s">
        <v>75</v>
      </c>
      <c r="J343" s="1" t="s">
        <v>2023</v>
      </c>
      <c r="K343" s="1"/>
    </row>
    <row r="344" spans="1:11" ht="19" customHeight="1">
      <c r="A344" s="1" t="s">
        <v>2024</v>
      </c>
      <c r="B344" s="1" t="s">
        <v>782</v>
      </c>
      <c r="C344" s="4">
        <v>24.675000000000001</v>
      </c>
      <c r="D344" s="4">
        <v>121.76609999999999</v>
      </c>
      <c r="E344" s="1" t="s">
        <v>1396</v>
      </c>
      <c r="F344" s="1">
        <v>1</v>
      </c>
      <c r="G344" s="1" t="s">
        <v>1262</v>
      </c>
      <c r="H344" s="1" t="s">
        <v>374</v>
      </c>
      <c r="I344" s="1" t="s">
        <v>75</v>
      </c>
      <c r="J344" s="1" t="s">
        <v>2025</v>
      </c>
      <c r="K344" s="1"/>
    </row>
    <row r="345" spans="1:11" ht="19" customHeight="1">
      <c r="A345" s="1" t="s">
        <v>2026</v>
      </c>
      <c r="B345" s="1" t="s">
        <v>783</v>
      </c>
      <c r="C345" s="4">
        <v>24.674399999999999</v>
      </c>
      <c r="D345" s="4">
        <v>121.7667</v>
      </c>
      <c r="E345" s="1" t="s">
        <v>1396</v>
      </c>
      <c r="F345" s="1">
        <v>1</v>
      </c>
      <c r="G345" s="1" t="s">
        <v>1262</v>
      </c>
      <c r="H345" s="1" t="s">
        <v>374</v>
      </c>
      <c r="I345" s="1" t="s">
        <v>75</v>
      </c>
      <c r="J345" s="1" t="s">
        <v>2027</v>
      </c>
      <c r="K345" s="1"/>
    </row>
    <row r="346" spans="1:11" ht="19" customHeight="1">
      <c r="A346" s="1" t="s">
        <v>2028</v>
      </c>
      <c r="B346" s="1" t="s">
        <v>784</v>
      </c>
      <c r="C346" s="4">
        <v>24.673400000000001</v>
      </c>
      <c r="D346" s="4">
        <v>121.7668</v>
      </c>
      <c r="E346" s="1" t="s">
        <v>1396</v>
      </c>
      <c r="F346" s="1">
        <v>1</v>
      </c>
      <c r="G346" s="1" t="s">
        <v>1262</v>
      </c>
      <c r="H346" s="1" t="s">
        <v>374</v>
      </c>
      <c r="I346" s="1" t="s">
        <v>75</v>
      </c>
      <c r="J346" s="1" t="s">
        <v>2029</v>
      </c>
      <c r="K346" s="1"/>
    </row>
    <row r="347" spans="1:11" ht="19" customHeight="1">
      <c r="A347" s="1" t="s">
        <v>2030</v>
      </c>
      <c r="B347" s="1" t="s">
        <v>785</v>
      </c>
      <c r="C347" s="4">
        <v>24.672599999999999</v>
      </c>
      <c r="D347" s="4">
        <v>121.7663</v>
      </c>
      <c r="E347" s="1" t="s">
        <v>1396</v>
      </c>
      <c r="F347" s="1">
        <v>1</v>
      </c>
      <c r="G347" s="1" t="s">
        <v>1262</v>
      </c>
      <c r="H347" s="1" t="s">
        <v>374</v>
      </c>
      <c r="I347" s="1" t="s">
        <v>75</v>
      </c>
      <c r="J347" s="1" t="s">
        <v>2031</v>
      </c>
      <c r="K347" s="1"/>
    </row>
    <row r="348" spans="1:11" ht="19" customHeight="1">
      <c r="A348" s="1" t="s">
        <v>2032</v>
      </c>
      <c r="B348" s="1" t="s">
        <v>786</v>
      </c>
      <c r="C348" s="4">
        <v>24.6721</v>
      </c>
      <c r="D348" s="4">
        <v>121.76519999999999</v>
      </c>
      <c r="E348" s="1" t="s">
        <v>1396</v>
      </c>
      <c r="F348" s="1">
        <v>1</v>
      </c>
      <c r="G348" s="1" t="s">
        <v>1262</v>
      </c>
      <c r="H348" s="1" t="s">
        <v>374</v>
      </c>
      <c r="I348" s="1" t="s">
        <v>75</v>
      </c>
      <c r="J348" s="1" t="s">
        <v>2033</v>
      </c>
      <c r="K348" s="1"/>
    </row>
    <row r="349" spans="1:11" ht="19" customHeight="1">
      <c r="A349" s="1" t="s">
        <v>2034</v>
      </c>
      <c r="B349" s="1" t="s">
        <v>778</v>
      </c>
      <c r="C349" s="4">
        <v>24.672000000000001</v>
      </c>
      <c r="D349" s="4">
        <v>121.7642</v>
      </c>
      <c r="E349" s="1" t="s">
        <v>1396</v>
      </c>
      <c r="F349" s="1">
        <v>1</v>
      </c>
      <c r="G349" s="1" t="s">
        <v>1262</v>
      </c>
      <c r="H349" s="1" t="s">
        <v>374</v>
      </c>
      <c r="I349" s="1" t="s">
        <v>75</v>
      </c>
      <c r="J349" s="1" t="s">
        <v>2035</v>
      </c>
      <c r="K349" s="1"/>
    </row>
    <row r="350" spans="1:11" ht="19" customHeight="1">
      <c r="A350" s="1" t="s">
        <v>2036</v>
      </c>
      <c r="B350" s="1" t="s">
        <v>787</v>
      </c>
      <c r="C350" s="4">
        <v>24.672499999999999</v>
      </c>
      <c r="D350" s="4">
        <v>121.7636</v>
      </c>
      <c r="E350" s="1" t="s">
        <v>1396</v>
      </c>
      <c r="F350" s="1">
        <v>1</v>
      </c>
      <c r="G350" s="1" t="s">
        <v>1262</v>
      </c>
      <c r="H350" s="1" t="s">
        <v>374</v>
      </c>
      <c r="I350" s="1" t="s">
        <v>75</v>
      </c>
      <c r="J350" s="1" t="s">
        <v>2037</v>
      </c>
      <c r="K350" s="1"/>
    </row>
    <row r="351" spans="1:11" ht="19" customHeight="1">
      <c r="A351" s="1" t="s">
        <v>2038</v>
      </c>
      <c r="B351" s="1" t="s">
        <v>788</v>
      </c>
      <c r="C351" s="4">
        <v>24.673200000000001</v>
      </c>
      <c r="D351" s="4">
        <v>121.7629</v>
      </c>
      <c r="E351" s="1" t="s">
        <v>1396</v>
      </c>
      <c r="F351" s="1">
        <v>1</v>
      </c>
      <c r="G351" s="1" t="s">
        <v>1262</v>
      </c>
      <c r="H351" s="1" t="s">
        <v>374</v>
      </c>
      <c r="I351" s="1" t="s">
        <v>75</v>
      </c>
      <c r="J351" s="1" t="s">
        <v>2039</v>
      </c>
      <c r="K351" s="1"/>
    </row>
    <row r="352" spans="1:11" ht="19" customHeight="1">
      <c r="A352" s="1" t="s">
        <v>2040</v>
      </c>
      <c r="B352" s="1" t="s">
        <v>789</v>
      </c>
      <c r="C352" s="4">
        <v>24.674900000000001</v>
      </c>
      <c r="D352" s="4">
        <v>121.7634</v>
      </c>
      <c r="E352" s="1" t="s">
        <v>1396</v>
      </c>
      <c r="F352" s="1">
        <v>1</v>
      </c>
      <c r="G352" s="1" t="s">
        <v>1262</v>
      </c>
      <c r="H352" s="1" t="s">
        <v>374</v>
      </c>
      <c r="I352" s="1" t="s">
        <v>75</v>
      </c>
      <c r="J352" s="1" t="s">
        <v>2041</v>
      </c>
      <c r="K352" s="1"/>
    </row>
    <row r="353" spans="1:11" ht="19" customHeight="1">
      <c r="A353" s="1" t="s">
        <v>2042</v>
      </c>
      <c r="B353" s="1" t="s">
        <v>790</v>
      </c>
      <c r="C353" s="4">
        <v>24.6755</v>
      </c>
      <c r="D353" s="4">
        <v>121.7641</v>
      </c>
      <c r="E353" s="1" t="s">
        <v>1396</v>
      </c>
      <c r="F353" s="1">
        <v>1</v>
      </c>
      <c r="G353" s="1" t="s">
        <v>1262</v>
      </c>
      <c r="H353" s="1" t="s">
        <v>374</v>
      </c>
      <c r="I353" s="1" t="s">
        <v>75</v>
      </c>
      <c r="J353" s="1" t="s">
        <v>2043</v>
      </c>
      <c r="K353" s="1"/>
    </row>
    <row r="354" spans="1:11" ht="19" customHeight="1">
      <c r="A354" s="1" t="s">
        <v>2044</v>
      </c>
      <c r="B354" s="1" t="s">
        <v>779</v>
      </c>
      <c r="C354" s="4">
        <v>24.682200000000002</v>
      </c>
      <c r="D354" s="4">
        <v>121.7666</v>
      </c>
      <c r="E354" s="1" t="s">
        <v>1396</v>
      </c>
      <c r="F354" s="1">
        <v>1</v>
      </c>
      <c r="G354" s="1" t="s">
        <v>1262</v>
      </c>
      <c r="H354" s="1" t="s">
        <v>374</v>
      </c>
      <c r="I354" s="1" t="s">
        <v>75</v>
      </c>
      <c r="J354" s="1" t="s">
        <v>2045</v>
      </c>
      <c r="K354" s="1"/>
    </row>
    <row r="355" spans="1:11" ht="19" customHeight="1">
      <c r="A355" s="1" t="s">
        <v>2046</v>
      </c>
      <c r="B355" s="1" t="s">
        <v>791</v>
      </c>
      <c r="C355" s="4">
        <v>24.6815</v>
      </c>
      <c r="D355" s="4">
        <v>121.7717</v>
      </c>
      <c r="E355" s="1" t="s">
        <v>1396</v>
      </c>
      <c r="F355" s="1">
        <v>1</v>
      </c>
      <c r="G355" s="1" t="s">
        <v>1262</v>
      </c>
      <c r="H355" s="1" t="s">
        <v>374</v>
      </c>
      <c r="I355" s="1" t="s">
        <v>75</v>
      </c>
      <c r="J355" s="1" t="s">
        <v>2047</v>
      </c>
      <c r="K355" s="1"/>
    </row>
    <row r="356" spans="1:11" ht="19" customHeight="1">
      <c r="A356" s="1" t="s">
        <v>2048</v>
      </c>
      <c r="B356" s="1" t="s">
        <v>792</v>
      </c>
      <c r="C356" s="4">
        <v>24.6769</v>
      </c>
      <c r="D356" s="4">
        <v>121.7735</v>
      </c>
      <c r="E356" s="1" t="s">
        <v>1396</v>
      </c>
      <c r="F356" s="1">
        <v>1</v>
      </c>
      <c r="G356" s="1" t="s">
        <v>1262</v>
      </c>
      <c r="H356" s="1" t="s">
        <v>374</v>
      </c>
      <c r="I356" s="1" t="s">
        <v>75</v>
      </c>
      <c r="J356" s="1" t="s">
        <v>2049</v>
      </c>
      <c r="K356" s="1"/>
    </row>
    <row r="357" spans="1:11" ht="19" customHeight="1">
      <c r="A357" s="1" t="s">
        <v>2050</v>
      </c>
      <c r="B357" s="1" t="s">
        <v>793</v>
      </c>
      <c r="C357" s="4">
        <v>24.671800000000001</v>
      </c>
      <c r="D357" s="4">
        <v>121.7745</v>
      </c>
      <c r="E357" s="1" t="s">
        <v>1396</v>
      </c>
      <c r="F357" s="1">
        <v>1</v>
      </c>
      <c r="G357" s="1" t="s">
        <v>1262</v>
      </c>
      <c r="H357" s="1" t="s">
        <v>374</v>
      </c>
      <c r="I357" s="1" t="s">
        <v>75</v>
      </c>
      <c r="J357" s="1" t="s">
        <v>2051</v>
      </c>
      <c r="K357" s="1"/>
    </row>
    <row r="358" spans="1:11" ht="19" customHeight="1">
      <c r="A358" s="1" t="s">
        <v>2052</v>
      </c>
      <c r="B358" s="1" t="s">
        <v>794</v>
      </c>
      <c r="C358" s="4">
        <v>24.668299999999999</v>
      </c>
      <c r="D358" s="4">
        <v>121.77209999999999</v>
      </c>
      <c r="E358" s="1" t="s">
        <v>1396</v>
      </c>
      <c r="F358" s="1">
        <v>1</v>
      </c>
      <c r="G358" s="1" t="s">
        <v>1262</v>
      </c>
      <c r="H358" s="1" t="s">
        <v>374</v>
      </c>
      <c r="I358" s="1" t="s">
        <v>75</v>
      </c>
      <c r="J358" s="1" t="s">
        <v>2053</v>
      </c>
      <c r="K358" s="1"/>
    </row>
    <row r="359" spans="1:11" ht="19" customHeight="1">
      <c r="A359" s="1" t="s">
        <v>2054</v>
      </c>
      <c r="B359" s="1" t="s">
        <v>795</v>
      </c>
      <c r="C359" s="4">
        <v>24.665099999999999</v>
      </c>
      <c r="D359" s="4">
        <v>121.7677</v>
      </c>
      <c r="E359" s="1" t="s">
        <v>1396</v>
      </c>
      <c r="F359" s="1">
        <v>1</v>
      </c>
      <c r="G359" s="1" t="s">
        <v>1262</v>
      </c>
      <c r="H359" s="1" t="s">
        <v>374</v>
      </c>
      <c r="I359" s="1" t="s">
        <v>75</v>
      </c>
      <c r="J359" s="1" t="s">
        <v>2055</v>
      </c>
      <c r="K359" s="1"/>
    </row>
    <row r="360" spans="1:11" ht="19" customHeight="1">
      <c r="A360" s="1" t="s">
        <v>2056</v>
      </c>
      <c r="B360" s="1" t="s">
        <v>780</v>
      </c>
      <c r="C360" s="4">
        <v>24.664899999999999</v>
      </c>
      <c r="D360" s="4">
        <v>121.762</v>
      </c>
      <c r="E360" s="1" t="s">
        <v>1396</v>
      </c>
      <c r="F360" s="1">
        <v>1</v>
      </c>
      <c r="G360" s="1" t="s">
        <v>1262</v>
      </c>
      <c r="H360" s="1" t="s">
        <v>374</v>
      </c>
      <c r="I360" s="1" t="s">
        <v>75</v>
      </c>
      <c r="J360" s="1" t="s">
        <v>2057</v>
      </c>
      <c r="K360" s="1"/>
    </row>
    <row r="361" spans="1:11" ht="19" customHeight="1">
      <c r="A361" s="1" t="s">
        <v>2058</v>
      </c>
      <c r="B361" s="1" t="s">
        <v>796</v>
      </c>
      <c r="C361" s="4">
        <v>24.670300000000001</v>
      </c>
      <c r="D361" s="4">
        <v>121.75530000000001</v>
      </c>
      <c r="E361" s="1" t="s">
        <v>1396</v>
      </c>
      <c r="F361" s="1">
        <v>1</v>
      </c>
      <c r="G361" s="1" t="s">
        <v>1262</v>
      </c>
      <c r="H361" s="1" t="s">
        <v>374</v>
      </c>
      <c r="I361" s="1" t="s">
        <v>75</v>
      </c>
      <c r="J361" s="1" t="s">
        <v>2059</v>
      </c>
      <c r="K361" s="1"/>
    </row>
    <row r="362" spans="1:11" ht="19" customHeight="1">
      <c r="A362" s="1" t="s">
        <v>2060</v>
      </c>
      <c r="B362" s="1" t="s">
        <v>797</v>
      </c>
      <c r="C362" s="4">
        <v>24.675000000000001</v>
      </c>
      <c r="D362" s="4">
        <v>121.75579999999999</v>
      </c>
      <c r="E362" s="1" t="s">
        <v>1396</v>
      </c>
      <c r="F362" s="1">
        <v>1</v>
      </c>
      <c r="G362" s="1" t="s">
        <v>1262</v>
      </c>
      <c r="H362" s="1" t="s">
        <v>374</v>
      </c>
      <c r="I362" s="1" t="s">
        <v>75</v>
      </c>
      <c r="J362" s="1" t="s">
        <v>2061</v>
      </c>
      <c r="K362" s="1"/>
    </row>
    <row r="363" spans="1:11" ht="19" customHeight="1">
      <c r="A363" s="1" t="s">
        <v>2062</v>
      </c>
      <c r="B363" s="1" t="s">
        <v>798</v>
      </c>
      <c r="C363" s="4">
        <v>24.682400000000001</v>
      </c>
      <c r="D363" s="4">
        <v>121.7619</v>
      </c>
      <c r="E363" s="1" t="s">
        <v>1396</v>
      </c>
      <c r="F363" s="1">
        <v>1</v>
      </c>
      <c r="G363" s="1" t="s">
        <v>1262</v>
      </c>
      <c r="H363" s="1" t="s">
        <v>374</v>
      </c>
      <c r="I363" s="1" t="s">
        <v>75</v>
      </c>
      <c r="J363" s="1" t="s">
        <v>2063</v>
      </c>
      <c r="K363" s="1"/>
    </row>
    <row r="364" spans="1:11" ht="19" customHeight="1">
      <c r="A364" s="1" t="s">
        <v>2064</v>
      </c>
      <c r="B364" s="1" t="s">
        <v>799</v>
      </c>
      <c r="C364" s="4">
        <v>24.670300000000001</v>
      </c>
      <c r="D364" s="4">
        <v>121.78400000000001</v>
      </c>
      <c r="E364" s="1" t="s">
        <v>1396</v>
      </c>
      <c r="F364" s="1">
        <v>1</v>
      </c>
      <c r="G364" s="1" t="s">
        <v>1262</v>
      </c>
      <c r="H364" s="1" t="s">
        <v>374</v>
      </c>
      <c r="I364" s="1" t="s">
        <v>75</v>
      </c>
      <c r="J364" s="1" t="s">
        <v>2065</v>
      </c>
      <c r="K364" s="1"/>
    </row>
    <row r="365" spans="1:11" ht="19" customHeight="1">
      <c r="A365" s="1" t="s">
        <v>2066</v>
      </c>
      <c r="B365" s="1" t="s">
        <v>800</v>
      </c>
      <c r="C365" s="4">
        <v>24.661999999999999</v>
      </c>
      <c r="D365" s="4">
        <v>121.7799</v>
      </c>
      <c r="E365" s="1" t="s">
        <v>1396</v>
      </c>
      <c r="F365" s="1">
        <v>1</v>
      </c>
      <c r="G365" s="1" t="s">
        <v>1262</v>
      </c>
      <c r="H365" s="1" t="s">
        <v>374</v>
      </c>
      <c r="I365" s="1" t="s">
        <v>75</v>
      </c>
      <c r="J365" s="1" t="s">
        <v>2067</v>
      </c>
      <c r="K365" s="1"/>
    </row>
    <row r="366" spans="1:11" ht="19" customHeight="1">
      <c r="A366" s="1" t="s">
        <v>2068</v>
      </c>
      <c r="B366" s="1" t="s">
        <v>801</v>
      </c>
      <c r="C366" s="4">
        <v>24.656500000000001</v>
      </c>
      <c r="D366" s="4">
        <v>121.77079999999999</v>
      </c>
      <c r="E366" s="1" t="s">
        <v>1396</v>
      </c>
      <c r="F366" s="1">
        <v>1</v>
      </c>
      <c r="G366" s="1" t="s">
        <v>1262</v>
      </c>
      <c r="H366" s="1" t="s">
        <v>374</v>
      </c>
      <c r="I366" s="1" t="s">
        <v>75</v>
      </c>
      <c r="J366" s="1" t="s">
        <v>2069</v>
      </c>
      <c r="K366" s="1"/>
    </row>
    <row r="367" spans="1:11" ht="19" customHeight="1">
      <c r="A367" s="1" t="s">
        <v>2070</v>
      </c>
      <c r="B367" s="1" t="s">
        <v>781</v>
      </c>
      <c r="C367" s="4">
        <v>24.656099999999999</v>
      </c>
      <c r="D367" s="4">
        <v>121.7621</v>
      </c>
      <c r="E367" s="1" t="s">
        <v>1396</v>
      </c>
      <c r="F367" s="1">
        <v>1</v>
      </c>
      <c r="G367" s="1" t="s">
        <v>1262</v>
      </c>
      <c r="H367" s="1" t="s">
        <v>374</v>
      </c>
      <c r="I367" s="1" t="s">
        <v>75</v>
      </c>
      <c r="J367" s="1" t="s">
        <v>2071</v>
      </c>
      <c r="K367" s="1"/>
    </row>
    <row r="368" spans="1:11" ht="19" customHeight="1">
      <c r="A368" s="1" t="s">
        <v>2072</v>
      </c>
      <c r="B368" s="1" t="s">
        <v>802</v>
      </c>
      <c r="C368" s="4">
        <v>24.659400000000002</v>
      </c>
      <c r="D368" s="4">
        <v>121.7518</v>
      </c>
      <c r="E368" s="1" t="s">
        <v>1396</v>
      </c>
      <c r="F368" s="1">
        <v>1</v>
      </c>
      <c r="G368" s="1" t="s">
        <v>1262</v>
      </c>
      <c r="H368" s="1" t="s">
        <v>374</v>
      </c>
      <c r="I368" s="1" t="s">
        <v>75</v>
      </c>
      <c r="J368" s="1" t="s">
        <v>2073</v>
      </c>
      <c r="K368" s="1"/>
    </row>
    <row r="369" spans="1:11" ht="19" customHeight="1">
      <c r="A369" s="1" t="s">
        <v>2074</v>
      </c>
      <c r="B369" s="1" t="s">
        <v>803</v>
      </c>
      <c r="C369" s="4">
        <v>24.685600000000001</v>
      </c>
      <c r="D369" s="4">
        <v>121.75060000000001</v>
      </c>
      <c r="E369" s="1" t="s">
        <v>1396</v>
      </c>
      <c r="F369" s="1">
        <v>1</v>
      </c>
      <c r="G369" s="1" t="s">
        <v>1262</v>
      </c>
      <c r="H369" s="1" t="s">
        <v>374</v>
      </c>
      <c r="I369" s="1" t="s">
        <v>75</v>
      </c>
      <c r="J369" s="1" t="s">
        <v>2075</v>
      </c>
      <c r="K369" s="1"/>
    </row>
    <row r="370" spans="1:11" ht="19" customHeight="1">
      <c r="A370" s="1" t="s">
        <v>2076</v>
      </c>
      <c r="B370" s="1" t="s">
        <v>1223</v>
      </c>
      <c r="C370" s="4">
        <v>23.136146</v>
      </c>
      <c r="D370" s="4">
        <v>120.28819300000001</v>
      </c>
      <c r="E370" s="1" t="s">
        <v>1404</v>
      </c>
      <c r="F370" s="1">
        <v>1</v>
      </c>
      <c r="G370" s="1" t="s">
        <v>1263</v>
      </c>
      <c r="H370" s="1" t="s">
        <v>1202</v>
      </c>
      <c r="I370" s="1" t="s">
        <v>70</v>
      </c>
      <c r="J370" s="1" t="s">
        <v>2077</v>
      </c>
      <c r="K370" s="1"/>
    </row>
    <row r="371" spans="1:11" ht="19" customHeight="1">
      <c r="A371" s="1" t="s">
        <v>2078</v>
      </c>
      <c r="B371" s="1" t="s">
        <v>1115</v>
      </c>
      <c r="C371" s="4">
        <v>25.0565</v>
      </c>
      <c r="D371" s="4">
        <v>121.5337</v>
      </c>
      <c r="E371" s="1" t="s">
        <v>1404</v>
      </c>
      <c r="F371" s="1">
        <v>1</v>
      </c>
      <c r="G371" s="1" t="s">
        <v>1263</v>
      </c>
      <c r="H371" s="1" t="s">
        <v>529</v>
      </c>
      <c r="I371" s="1" t="s">
        <v>70</v>
      </c>
      <c r="J371" s="1" t="s">
        <v>2079</v>
      </c>
      <c r="K371" s="1"/>
    </row>
    <row r="372" spans="1:11" ht="19" customHeight="1">
      <c r="A372" s="1" t="s">
        <v>2080</v>
      </c>
      <c r="B372" s="1" t="s">
        <v>1116</v>
      </c>
      <c r="C372" s="4">
        <v>25.051666999999998</v>
      </c>
      <c r="D372" s="4">
        <v>121.455833</v>
      </c>
      <c r="E372" s="1" t="s">
        <v>1404</v>
      </c>
      <c r="F372" s="1">
        <v>1</v>
      </c>
      <c r="G372" s="1" t="s">
        <v>1263</v>
      </c>
      <c r="H372" s="1" t="s">
        <v>529</v>
      </c>
      <c r="I372" s="1" t="s">
        <v>70</v>
      </c>
      <c r="J372" s="1" t="s">
        <v>2081</v>
      </c>
      <c r="K372" s="1"/>
    </row>
    <row r="373" spans="1:11" ht="19" customHeight="1">
      <c r="A373" s="1" t="s">
        <v>2082</v>
      </c>
      <c r="B373" s="1" t="s">
        <v>1117</v>
      </c>
      <c r="C373" s="4">
        <v>25.037666999999999</v>
      </c>
      <c r="D373" s="4">
        <v>121.534333</v>
      </c>
      <c r="E373" s="1" t="s">
        <v>1404</v>
      </c>
      <c r="F373" s="1">
        <v>1</v>
      </c>
      <c r="G373" s="1" t="s">
        <v>1263</v>
      </c>
      <c r="H373" s="1" t="s">
        <v>529</v>
      </c>
      <c r="I373" s="1" t="s">
        <v>70</v>
      </c>
      <c r="J373" s="1" t="s">
        <v>2083</v>
      </c>
      <c r="K373" s="1"/>
    </row>
    <row r="374" spans="1:11" ht="19" customHeight="1">
      <c r="A374" s="1" t="s">
        <v>2084</v>
      </c>
      <c r="B374" s="1" t="s">
        <v>1118</v>
      </c>
      <c r="C374" s="4">
        <v>25.034333</v>
      </c>
      <c r="D374" s="4">
        <v>121.4415</v>
      </c>
      <c r="E374" s="1" t="s">
        <v>1404</v>
      </c>
      <c r="F374" s="1">
        <v>1</v>
      </c>
      <c r="G374" s="1" t="s">
        <v>1263</v>
      </c>
      <c r="H374" s="1" t="s">
        <v>529</v>
      </c>
      <c r="I374" s="1" t="s">
        <v>70</v>
      </c>
      <c r="J374" s="1" t="s">
        <v>2085</v>
      </c>
      <c r="K374" s="1"/>
    </row>
    <row r="375" spans="1:11" ht="19" customHeight="1">
      <c r="A375" s="1" t="s">
        <v>2086</v>
      </c>
      <c r="B375" s="1" t="s">
        <v>1119</v>
      </c>
      <c r="C375" s="4">
        <v>25.172667000000001</v>
      </c>
      <c r="D375" s="4">
        <v>121.441667</v>
      </c>
      <c r="E375" s="1" t="s">
        <v>1404</v>
      </c>
      <c r="F375" s="1">
        <v>1</v>
      </c>
      <c r="G375" s="1" t="s">
        <v>1263</v>
      </c>
      <c r="H375" s="1" t="s">
        <v>529</v>
      </c>
      <c r="I375" s="1" t="s">
        <v>70</v>
      </c>
      <c r="J375" s="1" t="s">
        <v>2087</v>
      </c>
      <c r="K375" s="1"/>
    </row>
    <row r="376" spans="1:11" ht="19" customHeight="1">
      <c r="A376" s="1" t="s">
        <v>2088</v>
      </c>
      <c r="B376" s="1" t="s">
        <v>1120</v>
      </c>
      <c r="C376" s="4">
        <v>25.181667000000001</v>
      </c>
      <c r="D376" s="4">
        <v>121.424333</v>
      </c>
      <c r="E376" s="1" t="s">
        <v>1404</v>
      </c>
      <c r="F376" s="1">
        <v>1</v>
      </c>
      <c r="G376" s="1" t="s">
        <v>1263</v>
      </c>
      <c r="H376" s="1" t="s">
        <v>529</v>
      </c>
      <c r="I376" s="1" t="s">
        <v>70</v>
      </c>
      <c r="J376" s="1" t="s">
        <v>2089</v>
      </c>
      <c r="K376" s="1"/>
    </row>
    <row r="377" spans="1:11" ht="19" customHeight="1">
      <c r="A377" s="1" t="s">
        <v>2090</v>
      </c>
      <c r="B377" s="1" t="s">
        <v>1121</v>
      </c>
      <c r="C377" s="4">
        <v>25.033833000000001</v>
      </c>
      <c r="D377" s="4">
        <v>121.520167</v>
      </c>
      <c r="E377" s="1" t="s">
        <v>1404</v>
      </c>
      <c r="F377" s="1">
        <v>1</v>
      </c>
      <c r="G377" s="1" t="s">
        <v>1263</v>
      </c>
      <c r="H377" s="1" t="s">
        <v>529</v>
      </c>
      <c r="I377" s="1" t="s">
        <v>70</v>
      </c>
      <c r="J377" s="1" t="s">
        <v>2091</v>
      </c>
      <c r="K377" s="1"/>
    </row>
    <row r="378" spans="1:11" ht="19" customHeight="1">
      <c r="A378" s="1" t="s">
        <v>2092</v>
      </c>
      <c r="B378" s="1" t="s">
        <v>868</v>
      </c>
      <c r="C378" s="4">
        <v>24.147500000000001</v>
      </c>
      <c r="D378" s="4">
        <v>120.676</v>
      </c>
      <c r="E378" s="1" t="s">
        <v>1396</v>
      </c>
      <c r="F378" s="1">
        <v>1</v>
      </c>
      <c r="G378" s="1" t="s">
        <v>1262</v>
      </c>
      <c r="H378" s="1" t="s">
        <v>860</v>
      </c>
      <c r="I378" s="1" t="s">
        <v>75</v>
      </c>
      <c r="J378" s="1" t="s">
        <v>2093</v>
      </c>
      <c r="K378" s="1"/>
    </row>
    <row r="379" spans="1:11" ht="19" customHeight="1">
      <c r="A379" s="1" t="s">
        <v>2094</v>
      </c>
      <c r="B379" s="1" t="s">
        <v>869</v>
      </c>
      <c r="C379" s="4">
        <v>24.909500000000001</v>
      </c>
      <c r="D379" s="4">
        <v>121.149333</v>
      </c>
      <c r="E379" s="1" t="s">
        <v>1404</v>
      </c>
      <c r="F379" s="1">
        <v>1</v>
      </c>
      <c r="G379" s="1" t="s">
        <v>1263</v>
      </c>
      <c r="H379" s="1" t="s">
        <v>1074</v>
      </c>
      <c r="I379" s="1" t="s">
        <v>70</v>
      </c>
      <c r="J379" s="1" t="s">
        <v>2095</v>
      </c>
      <c r="K379" s="1"/>
    </row>
    <row r="380" spans="1:11" ht="19" customHeight="1">
      <c r="A380" s="1" t="s">
        <v>2094</v>
      </c>
      <c r="B380" s="1" t="s">
        <v>869</v>
      </c>
      <c r="C380" s="4">
        <v>24.911799999999999</v>
      </c>
      <c r="D380" s="4">
        <v>121.1405</v>
      </c>
      <c r="E380" s="1" t="s">
        <v>1396</v>
      </c>
      <c r="F380" s="1">
        <v>1</v>
      </c>
      <c r="G380" s="1" t="s">
        <v>1262</v>
      </c>
      <c r="H380" s="1" t="s">
        <v>860</v>
      </c>
      <c r="I380" s="1" t="s">
        <v>75</v>
      </c>
      <c r="J380" s="1" t="s">
        <v>2096</v>
      </c>
      <c r="K380" s="1"/>
    </row>
    <row r="381" spans="1:11" ht="19" customHeight="1">
      <c r="A381" s="1" t="s">
        <v>2097</v>
      </c>
      <c r="B381" s="1" t="s">
        <v>870</v>
      </c>
      <c r="C381" s="4">
        <v>25.046299999999999</v>
      </c>
      <c r="D381" s="4">
        <v>121.3075</v>
      </c>
      <c r="E381" s="1" t="s">
        <v>1396</v>
      </c>
      <c r="F381" s="1">
        <v>1</v>
      </c>
      <c r="G381" s="1" t="s">
        <v>1262</v>
      </c>
      <c r="H381" s="1" t="s">
        <v>860</v>
      </c>
      <c r="I381" s="1" t="s">
        <v>75</v>
      </c>
      <c r="J381" s="1" t="s">
        <v>2098</v>
      </c>
      <c r="K381" s="1"/>
    </row>
    <row r="382" spans="1:11" ht="19" customHeight="1">
      <c r="A382" s="1" t="s">
        <v>2099</v>
      </c>
      <c r="B382" s="1" t="s">
        <v>871</v>
      </c>
      <c r="C382" s="4">
        <v>24.755832999999999</v>
      </c>
      <c r="D382" s="4">
        <v>120.94583299999999</v>
      </c>
      <c r="E382" s="1" t="s">
        <v>1404</v>
      </c>
      <c r="F382" s="1">
        <v>1</v>
      </c>
      <c r="G382" s="1" t="s">
        <v>1263</v>
      </c>
      <c r="H382" s="1" t="s">
        <v>1074</v>
      </c>
      <c r="I382" s="1" t="s">
        <v>70</v>
      </c>
      <c r="J382" s="1" t="s">
        <v>2100</v>
      </c>
      <c r="K382" s="1"/>
    </row>
    <row r="383" spans="1:11" ht="19" customHeight="1">
      <c r="A383" s="1" t="s">
        <v>2099</v>
      </c>
      <c r="B383" s="1" t="s">
        <v>871</v>
      </c>
      <c r="C383" s="4">
        <v>24.757200000000001</v>
      </c>
      <c r="D383" s="4">
        <v>120.9345</v>
      </c>
      <c r="E383" s="1" t="s">
        <v>1396</v>
      </c>
      <c r="F383" s="1">
        <v>1</v>
      </c>
      <c r="G383" s="1" t="s">
        <v>1262</v>
      </c>
      <c r="H383" s="1" t="s">
        <v>860</v>
      </c>
      <c r="I383" s="1" t="s">
        <v>75</v>
      </c>
      <c r="J383" s="1" t="s">
        <v>2101</v>
      </c>
      <c r="K383" s="1"/>
    </row>
    <row r="384" spans="1:11" ht="19" customHeight="1">
      <c r="A384" s="1" t="s">
        <v>2102</v>
      </c>
      <c r="B384" s="1" t="s">
        <v>872</v>
      </c>
      <c r="C384" s="4">
        <v>24.778666999999999</v>
      </c>
      <c r="D384" s="4">
        <v>121.01816700000001</v>
      </c>
      <c r="E384" s="1" t="s">
        <v>1404</v>
      </c>
      <c r="F384" s="1">
        <v>1</v>
      </c>
      <c r="G384" s="1" t="s">
        <v>1263</v>
      </c>
      <c r="H384" s="1" t="s">
        <v>1074</v>
      </c>
      <c r="I384" s="1" t="s">
        <v>70</v>
      </c>
      <c r="J384" s="1" t="s">
        <v>2103</v>
      </c>
      <c r="K384" s="1"/>
    </row>
    <row r="385" spans="1:11" ht="19" customHeight="1">
      <c r="A385" s="1" t="s">
        <v>2102</v>
      </c>
      <c r="B385" s="1" t="s">
        <v>872</v>
      </c>
      <c r="C385" s="4">
        <v>24.780799999999999</v>
      </c>
      <c r="D385" s="4">
        <v>121.0068</v>
      </c>
      <c r="E385" s="1" t="s">
        <v>1396</v>
      </c>
      <c r="F385" s="1">
        <v>1</v>
      </c>
      <c r="G385" s="1" t="s">
        <v>1262</v>
      </c>
      <c r="H385" s="1" t="s">
        <v>860</v>
      </c>
      <c r="I385" s="1" t="s">
        <v>75</v>
      </c>
      <c r="J385" s="1" t="s">
        <v>2104</v>
      </c>
      <c r="K385" s="1"/>
    </row>
    <row r="386" spans="1:11" ht="19" customHeight="1">
      <c r="A386" s="1" t="s">
        <v>2105</v>
      </c>
      <c r="B386" s="1" t="s">
        <v>873</v>
      </c>
      <c r="C386" s="4">
        <v>24.878667</v>
      </c>
      <c r="D386" s="4">
        <v>121.060833</v>
      </c>
      <c r="E386" s="1" t="s">
        <v>1404</v>
      </c>
      <c r="F386" s="1">
        <v>1</v>
      </c>
      <c r="G386" s="1" t="s">
        <v>1263</v>
      </c>
      <c r="H386" s="1" t="s">
        <v>1074</v>
      </c>
      <c r="I386" s="1" t="s">
        <v>70</v>
      </c>
      <c r="J386" s="1" t="s">
        <v>2106</v>
      </c>
      <c r="K386" s="1"/>
    </row>
    <row r="387" spans="1:11" ht="19" customHeight="1">
      <c r="A387" s="1" t="s">
        <v>2105</v>
      </c>
      <c r="B387" s="1" t="s">
        <v>873</v>
      </c>
      <c r="C387" s="4">
        <v>24.88</v>
      </c>
      <c r="D387" s="4">
        <v>121.0535</v>
      </c>
      <c r="E387" s="1" t="s">
        <v>1396</v>
      </c>
      <c r="F387" s="1">
        <v>1</v>
      </c>
      <c r="G387" s="1" t="s">
        <v>1262</v>
      </c>
      <c r="H387" s="1" t="s">
        <v>860</v>
      </c>
      <c r="I387" s="1" t="s">
        <v>75</v>
      </c>
      <c r="J387" s="1" t="s">
        <v>2107</v>
      </c>
      <c r="K387" s="1"/>
    </row>
    <row r="388" spans="1:11" ht="19" customHeight="1">
      <c r="A388" s="1" t="s">
        <v>2108</v>
      </c>
      <c r="B388" s="1" t="s">
        <v>874</v>
      </c>
      <c r="C388" s="4">
        <v>24.773667</v>
      </c>
      <c r="D388" s="4">
        <v>121.08366700000001</v>
      </c>
      <c r="E388" s="1" t="s">
        <v>1404</v>
      </c>
      <c r="F388" s="1">
        <v>1</v>
      </c>
      <c r="G388" s="1" t="s">
        <v>1263</v>
      </c>
      <c r="H388" s="1" t="s">
        <v>1074</v>
      </c>
      <c r="I388" s="1" t="s">
        <v>70</v>
      </c>
      <c r="J388" s="1" t="s">
        <v>2109</v>
      </c>
      <c r="K388" s="1"/>
    </row>
    <row r="389" spans="1:11" ht="19" customHeight="1">
      <c r="A389" s="1" t="s">
        <v>2108</v>
      </c>
      <c r="B389" s="1" t="s">
        <v>874</v>
      </c>
      <c r="C389" s="4">
        <v>24.775700000000001</v>
      </c>
      <c r="D389" s="4">
        <v>121.075</v>
      </c>
      <c r="E389" s="1" t="s">
        <v>1396</v>
      </c>
      <c r="F389" s="1">
        <v>1</v>
      </c>
      <c r="G389" s="1" t="s">
        <v>1262</v>
      </c>
      <c r="H389" s="1" t="s">
        <v>860</v>
      </c>
      <c r="I389" s="1" t="s">
        <v>75</v>
      </c>
      <c r="J389" s="1" t="s">
        <v>2110</v>
      </c>
      <c r="K389" s="1"/>
    </row>
    <row r="390" spans="1:11" ht="19" customHeight="1">
      <c r="A390" s="1" t="s">
        <v>2111</v>
      </c>
      <c r="B390" s="1" t="s">
        <v>875</v>
      </c>
      <c r="C390" s="4">
        <v>24.557666999999999</v>
      </c>
      <c r="D390" s="4">
        <v>120.75749999999999</v>
      </c>
      <c r="E390" s="1" t="s">
        <v>1404</v>
      </c>
      <c r="F390" s="1">
        <v>1</v>
      </c>
      <c r="G390" s="1" t="s">
        <v>1263</v>
      </c>
      <c r="H390" s="1" t="s">
        <v>1074</v>
      </c>
      <c r="I390" s="1" t="s">
        <v>70</v>
      </c>
      <c r="J390" s="1" t="s">
        <v>2112</v>
      </c>
      <c r="K390" s="1"/>
    </row>
    <row r="391" spans="1:11" ht="19" customHeight="1">
      <c r="A391" s="1" t="s">
        <v>2111</v>
      </c>
      <c r="B391" s="1" t="s">
        <v>875</v>
      </c>
      <c r="C391" s="4">
        <v>24.558800000000002</v>
      </c>
      <c r="D391" s="4">
        <v>120.7492</v>
      </c>
      <c r="E391" s="1" t="s">
        <v>1396</v>
      </c>
      <c r="F391" s="1">
        <v>1</v>
      </c>
      <c r="G391" s="1" t="s">
        <v>1262</v>
      </c>
      <c r="H391" s="1" t="s">
        <v>860</v>
      </c>
      <c r="I391" s="1" t="s">
        <v>75</v>
      </c>
      <c r="J391" s="1" t="s">
        <v>2113</v>
      </c>
      <c r="K391" s="1"/>
    </row>
    <row r="392" spans="1:11" ht="19" customHeight="1">
      <c r="A392" s="1" t="s">
        <v>2114</v>
      </c>
      <c r="B392" s="1" t="s">
        <v>876</v>
      </c>
      <c r="C392" s="4">
        <v>24.559332999999999</v>
      </c>
      <c r="D392" s="4">
        <v>120.709667</v>
      </c>
      <c r="E392" s="1" t="s">
        <v>1404</v>
      </c>
      <c r="F392" s="1">
        <v>1</v>
      </c>
      <c r="G392" s="1" t="s">
        <v>1263</v>
      </c>
      <c r="H392" s="1" t="s">
        <v>1074</v>
      </c>
      <c r="I392" s="1" t="s">
        <v>70</v>
      </c>
      <c r="J392" s="1" t="s">
        <v>2115</v>
      </c>
      <c r="K392" s="1"/>
    </row>
    <row r="393" spans="1:11" ht="19" customHeight="1">
      <c r="A393" s="1" t="s">
        <v>2114</v>
      </c>
      <c r="B393" s="1" t="s">
        <v>876</v>
      </c>
      <c r="C393" s="4">
        <v>24.561499999999999</v>
      </c>
      <c r="D393" s="4">
        <v>120.70099999999999</v>
      </c>
      <c r="E393" s="1" t="s">
        <v>1396</v>
      </c>
      <c r="F393" s="1">
        <v>1</v>
      </c>
      <c r="G393" s="1" t="s">
        <v>1262</v>
      </c>
      <c r="H393" s="1" t="s">
        <v>860</v>
      </c>
      <c r="I393" s="1" t="s">
        <v>75</v>
      </c>
      <c r="J393" s="1" t="s">
        <v>2116</v>
      </c>
      <c r="K393" s="1"/>
    </row>
    <row r="394" spans="1:11" ht="19" customHeight="1">
      <c r="A394" s="1" t="s">
        <v>2117</v>
      </c>
      <c r="B394" s="1" t="s">
        <v>877</v>
      </c>
      <c r="C394" s="4">
        <v>24.683499999999999</v>
      </c>
      <c r="D394" s="4">
        <v>120.870333</v>
      </c>
      <c r="E394" s="1" t="s">
        <v>1404</v>
      </c>
      <c r="F394" s="1">
        <v>1</v>
      </c>
      <c r="G394" s="1" t="s">
        <v>1263</v>
      </c>
      <c r="H394" s="1" t="s">
        <v>1074</v>
      </c>
      <c r="I394" s="1" t="s">
        <v>70</v>
      </c>
      <c r="J394" s="1" t="s">
        <v>2118</v>
      </c>
      <c r="K394" s="1"/>
    </row>
    <row r="395" spans="1:11" ht="19" customHeight="1">
      <c r="A395" s="1" t="s">
        <v>2117</v>
      </c>
      <c r="B395" s="1" t="s">
        <v>877</v>
      </c>
      <c r="C395" s="4">
        <v>24.685500000000001</v>
      </c>
      <c r="D395" s="4">
        <v>120.8623</v>
      </c>
      <c r="E395" s="1" t="s">
        <v>1396</v>
      </c>
      <c r="F395" s="1">
        <v>1</v>
      </c>
      <c r="G395" s="1" t="s">
        <v>1262</v>
      </c>
      <c r="H395" s="1" t="s">
        <v>860</v>
      </c>
      <c r="I395" s="1" t="s">
        <v>75</v>
      </c>
      <c r="J395" s="1" t="s">
        <v>2119</v>
      </c>
      <c r="K395" s="1"/>
    </row>
    <row r="396" spans="1:11" ht="19" customHeight="1">
      <c r="A396" s="1" t="s">
        <v>2120</v>
      </c>
      <c r="B396" s="1" t="s">
        <v>878</v>
      </c>
      <c r="C396" s="4">
        <v>24.638000000000002</v>
      </c>
      <c r="D396" s="4">
        <v>120.86533300000001</v>
      </c>
      <c r="E396" s="1" t="s">
        <v>1404</v>
      </c>
      <c r="F396" s="1">
        <v>1</v>
      </c>
      <c r="G396" s="1" t="s">
        <v>1263</v>
      </c>
      <c r="H396" s="1" t="s">
        <v>1074</v>
      </c>
      <c r="I396" s="1" t="s">
        <v>70</v>
      </c>
      <c r="J396" s="1" t="s">
        <v>2121</v>
      </c>
      <c r="K396" s="1"/>
    </row>
    <row r="397" spans="1:11" ht="19" customHeight="1">
      <c r="A397" s="1" t="s">
        <v>2120</v>
      </c>
      <c r="B397" s="1" t="s">
        <v>878</v>
      </c>
      <c r="C397" s="4">
        <v>24.638999999999999</v>
      </c>
      <c r="D397" s="4">
        <v>120.85680000000001</v>
      </c>
      <c r="E397" s="1" t="s">
        <v>1396</v>
      </c>
      <c r="F397" s="1">
        <v>1</v>
      </c>
      <c r="G397" s="1" t="s">
        <v>1262</v>
      </c>
      <c r="H397" s="1" t="s">
        <v>860</v>
      </c>
      <c r="I397" s="1" t="s">
        <v>75</v>
      </c>
      <c r="J397" s="1" t="s">
        <v>2122</v>
      </c>
      <c r="K397" s="1"/>
    </row>
    <row r="398" spans="1:11" ht="19" customHeight="1">
      <c r="A398" s="1" t="s">
        <v>2123</v>
      </c>
      <c r="B398" s="1" t="s">
        <v>879</v>
      </c>
      <c r="C398" s="4">
        <v>24.446833000000002</v>
      </c>
      <c r="D398" s="4">
        <v>120.70483299999999</v>
      </c>
      <c r="E398" s="1" t="s">
        <v>1404</v>
      </c>
      <c r="F398" s="1">
        <v>1</v>
      </c>
      <c r="G398" s="1" t="s">
        <v>1263</v>
      </c>
      <c r="H398" s="1" t="s">
        <v>1074</v>
      </c>
      <c r="I398" s="1" t="s">
        <v>70</v>
      </c>
      <c r="J398" s="1" t="s">
        <v>2124</v>
      </c>
      <c r="K398" s="1"/>
    </row>
    <row r="399" spans="1:11" ht="19" customHeight="1">
      <c r="A399" s="1" t="s">
        <v>2123</v>
      </c>
      <c r="B399" s="1" t="s">
        <v>879</v>
      </c>
      <c r="C399" s="4">
        <v>24.448799999999999</v>
      </c>
      <c r="D399" s="4">
        <v>120.69629999999999</v>
      </c>
      <c r="E399" s="1" t="s">
        <v>1396</v>
      </c>
      <c r="F399" s="1">
        <v>1</v>
      </c>
      <c r="G399" s="1" t="s">
        <v>1262</v>
      </c>
      <c r="H399" s="1" t="s">
        <v>860</v>
      </c>
      <c r="I399" s="1" t="s">
        <v>75</v>
      </c>
      <c r="J399" s="1" t="s">
        <v>2125</v>
      </c>
      <c r="K399" s="1"/>
    </row>
    <row r="400" spans="1:11" ht="19" customHeight="1">
      <c r="A400" s="1" t="s">
        <v>2126</v>
      </c>
      <c r="B400" s="1" t="s">
        <v>880</v>
      </c>
      <c r="C400" s="4">
        <v>24.491167000000001</v>
      </c>
      <c r="D400" s="4">
        <v>120.674167</v>
      </c>
      <c r="E400" s="1" t="s">
        <v>1404</v>
      </c>
      <c r="F400" s="1">
        <v>1</v>
      </c>
      <c r="G400" s="1" t="s">
        <v>1263</v>
      </c>
      <c r="H400" s="1" t="s">
        <v>1074</v>
      </c>
      <c r="I400" s="1" t="s">
        <v>70</v>
      </c>
      <c r="J400" s="1" t="s">
        <v>2127</v>
      </c>
      <c r="K400" s="1"/>
    </row>
    <row r="401" spans="1:11" ht="19" customHeight="1">
      <c r="A401" s="1" t="s">
        <v>2126</v>
      </c>
      <c r="B401" s="1" t="s">
        <v>880</v>
      </c>
      <c r="C401" s="4">
        <v>24.491199999999999</v>
      </c>
      <c r="D401" s="4">
        <v>120.663</v>
      </c>
      <c r="E401" s="1" t="s">
        <v>1396</v>
      </c>
      <c r="F401" s="1">
        <v>1</v>
      </c>
      <c r="G401" s="1" t="s">
        <v>1262</v>
      </c>
      <c r="H401" s="1" t="s">
        <v>860</v>
      </c>
      <c r="I401" s="1" t="s">
        <v>75</v>
      </c>
      <c r="J401" s="1" t="s">
        <v>2128</v>
      </c>
      <c r="K401" s="1"/>
    </row>
    <row r="402" spans="1:11" ht="19" customHeight="1">
      <c r="A402" s="1" t="s">
        <v>2129</v>
      </c>
      <c r="B402" s="1" t="s">
        <v>881</v>
      </c>
      <c r="C402" s="4">
        <v>24.489667000000001</v>
      </c>
      <c r="D402" s="4">
        <v>120.79083300000001</v>
      </c>
      <c r="E402" s="1" t="s">
        <v>1404</v>
      </c>
      <c r="F402" s="1">
        <v>1</v>
      </c>
      <c r="G402" s="1" t="s">
        <v>1263</v>
      </c>
      <c r="H402" s="1" t="s">
        <v>1074</v>
      </c>
      <c r="I402" s="1" t="s">
        <v>70</v>
      </c>
      <c r="J402" s="1" t="s">
        <v>2130</v>
      </c>
      <c r="K402" s="1"/>
    </row>
    <row r="403" spans="1:11" ht="19" customHeight="1">
      <c r="A403" s="1" t="s">
        <v>2129</v>
      </c>
      <c r="B403" s="1" t="s">
        <v>881</v>
      </c>
      <c r="C403" s="4">
        <v>24.491700000000002</v>
      </c>
      <c r="D403" s="4">
        <v>120.7837</v>
      </c>
      <c r="E403" s="1" t="s">
        <v>1396</v>
      </c>
      <c r="F403" s="1">
        <v>1</v>
      </c>
      <c r="G403" s="1" t="s">
        <v>1262</v>
      </c>
      <c r="H403" s="1" t="s">
        <v>860</v>
      </c>
      <c r="I403" s="1" t="s">
        <v>75</v>
      </c>
      <c r="J403" s="1" t="s">
        <v>2131</v>
      </c>
      <c r="K403" s="1"/>
    </row>
    <row r="404" spans="1:11" ht="19" customHeight="1">
      <c r="A404" s="1" t="s">
        <v>2132</v>
      </c>
      <c r="B404" s="1" t="s">
        <v>882</v>
      </c>
      <c r="C404" s="4">
        <v>24.448833</v>
      </c>
      <c r="D404" s="4">
        <v>120.655</v>
      </c>
      <c r="E404" s="1" t="s">
        <v>1404</v>
      </c>
      <c r="F404" s="1">
        <v>1</v>
      </c>
      <c r="G404" s="1" t="s">
        <v>1263</v>
      </c>
      <c r="H404" s="1" t="s">
        <v>1074</v>
      </c>
      <c r="I404" s="1" t="s">
        <v>70</v>
      </c>
      <c r="J404" s="1" t="s">
        <v>2133</v>
      </c>
      <c r="K404" s="1"/>
    </row>
    <row r="405" spans="1:11" ht="19" customHeight="1">
      <c r="A405" s="1" t="s">
        <v>2132</v>
      </c>
      <c r="B405" s="1" t="s">
        <v>882</v>
      </c>
      <c r="C405" s="4">
        <v>24.4497</v>
      </c>
      <c r="D405" s="4">
        <v>120.6455</v>
      </c>
      <c r="E405" s="1" t="s">
        <v>1396</v>
      </c>
      <c r="F405" s="1">
        <v>1</v>
      </c>
      <c r="G405" s="1" t="s">
        <v>1262</v>
      </c>
      <c r="H405" s="1" t="s">
        <v>860</v>
      </c>
      <c r="I405" s="1" t="s">
        <v>75</v>
      </c>
      <c r="J405" s="1" t="s">
        <v>2134</v>
      </c>
      <c r="K405" s="1"/>
    </row>
    <row r="406" spans="1:11" ht="19" customHeight="1">
      <c r="A406" s="1" t="s">
        <v>2135</v>
      </c>
      <c r="B406" s="1" t="s">
        <v>1075</v>
      </c>
      <c r="C406" s="4">
        <v>24.552667</v>
      </c>
      <c r="D406" s="4">
        <v>120.815</v>
      </c>
      <c r="E406" s="1" t="s">
        <v>1404</v>
      </c>
      <c r="F406" s="1">
        <v>1</v>
      </c>
      <c r="G406" s="1" t="s">
        <v>1263</v>
      </c>
      <c r="H406" s="1" t="s">
        <v>1074</v>
      </c>
      <c r="I406" s="1" t="s">
        <v>70</v>
      </c>
      <c r="J406" s="1" t="s">
        <v>2136</v>
      </c>
      <c r="K406" s="1"/>
    </row>
    <row r="407" spans="1:11" ht="19" customHeight="1">
      <c r="A407" s="1" t="s">
        <v>2137</v>
      </c>
      <c r="B407" s="1" t="s">
        <v>883</v>
      </c>
      <c r="C407" s="4">
        <v>24.539833000000002</v>
      </c>
      <c r="D407" s="4">
        <v>120.9205</v>
      </c>
      <c r="E407" s="1" t="s">
        <v>1404</v>
      </c>
      <c r="F407" s="1">
        <v>1</v>
      </c>
      <c r="G407" s="1" t="s">
        <v>1263</v>
      </c>
      <c r="H407" s="1" t="s">
        <v>1074</v>
      </c>
      <c r="I407" s="1" t="s">
        <v>70</v>
      </c>
      <c r="J407" s="1" t="s">
        <v>2138</v>
      </c>
      <c r="K407" s="1"/>
    </row>
    <row r="408" spans="1:11" ht="19" customHeight="1">
      <c r="A408" s="1" t="s">
        <v>2137</v>
      </c>
      <c r="B408" s="1" t="s">
        <v>883</v>
      </c>
      <c r="C408" s="4">
        <v>24.5412</v>
      </c>
      <c r="D408" s="4">
        <v>120.91370000000001</v>
      </c>
      <c r="E408" s="1" t="s">
        <v>1396</v>
      </c>
      <c r="F408" s="1">
        <v>1</v>
      </c>
      <c r="G408" s="1" t="s">
        <v>1262</v>
      </c>
      <c r="H408" s="1" t="s">
        <v>860</v>
      </c>
      <c r="I408" s="1" t="s">
        <v>75</v>
      </c>
      <c r="J408" s="1" t="s">
        <v>2139</v>
      </c>
      <c r="K408" s="1"/>
    </row>
    <row r="409" spans="1:11" ht="19" customHeight="1">
      <c r="A409" s="1" t="s">
        <v>2140</v>
      </c>
      <c r="B409" s="1" t="s">
        <v>884</v>
      </c>
      <c r="C409" s="4">
        <v>24.466166999999999</v>
      </c>
      <c r="D409" s="4">
        <v>120.86116699999999</v>
      </c>
      <c r="E409" s="1" t="s">
        <v>1404</v>
      </c>
      <c r="F409" s="1">
        <v>1</v>
      </c>
      <c r="G409" s="1" t="s">
        <v>1263</v>
      </c>
      <c r="H409" s="1" t="s">
        <v>1074</v>
      </c>
      <c r="I409" s="1" t="s">
        <v>70</v>
      </c>
      <c r="J409" s="1" t="s">
        <v>2141</v>
      </c>
      <c r="K409" s="1"/>
    </row>
    <row r="410" spans="1:11" ht="19" customHeight="1">
      <c r="A410" s="1" t="s">
        <v>2140</v>
      </c>
      <c r="B410" s="1" t="s">
        <v>884</v>
      </c>
      <c r="C410" s="4">
        <v>24.468299999999999</v>
      </c>
      <c r="D410" s="4">
        <v>120.85429999999999</v>
      </c>
      <c r="E410" s="1" t="s">
        <v>1396</v>
      </c>
      <c r="F410" s="1">
        <v>1</v>
      </c>
      <c r="G410" s="1" t="s">
        <v>1262</v>
      </c>
      <c r="H410" s="1" t="s">
        <v>860</v>
      </c>
      <c r="I410" s="1" t="s">
        <v>75</v>
      </c>
      <c r="J410" s="1" t="s">
        <v>2142</v>
      </c>
      <c r="K410" s="1"/>
    </row>
    <row r="411" spans="1:11" ht="19" customHeight="1">
      <c r="A411" s="1" t="s">
        <v>2143</v>
      </c>
      <c r="B411" s="1" t="s">
        <v>885</v>
      </c>
      <c r="C411" s="4">
        <v>24.617667000000001</v>
      </c>
      <c r="D411" s="4">
        <v>120.946167</v>
      </c>
      <c r="E411" s="1" t="s">
        <v>1404</v>
      </c>
      <c r="F411" s="1">
        <v>1</v>
      </c>
      <c r="G411" s="1" t="s">
        <v>1263</v>
      </c>
      <c r="H411" s="1" t="s">
        <v>1074</v>
      </c>
      <c r="I411" s="1" t="s">
        <v>70</v>
      </c>
      <c r="J411" s="1" t="s">
        <v>2144</v>
      </c>
      <c r="K411" s="1"/>
    </row>
    <row r="412" spans="1:11" ht="19" customHeight="1">
      <c r="A412" s="1" t="s">
        <v>2143</v>
      </c>
      <c r="B412" s="1" t="s">
        <v>885</v>
      </c>
      <c r="C412" s="4">
        <v>24.6188</v>
      </c>
      <c r="D412" s="4">
        <v>120.9387</v>
      </c>
      <c r="E412" s="1" t="s">
        <v>1396</v>
      </c>
      <c r="F412" s="1">
        <v>1</v>
      </c>
      <c r="G412" s="1" t="s">
        <v>1262</v>
      </c>
      <c r="H412" s="1" t="s">
        <v>860</v>
      </c>
      <c r="I412" s="1" t="s">
        <v>75</v>
      </c>
      <c r="J412" s="1" t="s">
        <v>2145</v>
      </c>
      <c r="K412" s="1"/>
    </row>
    <row r="413" spans="1:11" ht="19" customHeight="1">
      <c r="A413" s="1" t="s">
        <v>2146</v>
      </c>
      <c r="B413" s="1" t="s">
        <v>886</v>
      </c>
      <c r="C413" s="4">
        <v>24.177333000000001</v>
      </c>
      <c r="D413" s="4">
        <v>120.69966700000001</v>
      </c>
      <c r="E413" s="1" t="s">
        <v>1404</v>
      </c>
      <c r="F413" s="1">
        <v>1</v>
      </c>
      <c r="G413" s="1" t="s">
        <v>1263</v>
      </c>
      <c r="H413" s="1" t="s">
        <v>1074</v>
      </c>
      <c r="I413" s="1" t="s">
        <v>70</v>
      </c>
      <c r="J413" s="1" t="s">
        <v>2147</v>
      </c>
      <c r="K413" s="1"/>
    </row>
    <row r="414" spans="1:11" ht="19" customHeight="1">
      <c r="A414" s="1" t="s">
        <v>2146</v>
      </c>
      <c r="B414" s="1" t="s">
        <v>886</v>
      </c>
      <c r="C414" s="4">
        <v>24.178999999999998</v>
      </c>
      <c r="D414" s="4">
        <v>120.6902</v>
      </c>
      <c r="E414" s="1" t="s">
        <v>1396</v>
      </c>
      <c r="F414" s="1">
        <v>1</v>
      </c>
      <c r="G414" s="1" t="s">
        <v>1262</v>
      </c>
      <c r="H414" s="1" t="s">
        <v>860</v>
      </c>
      <c r="I414" s="1" t="s">
        <v>75</v>
      </c>
      <c r="J414" s="1" t="s">
        <v>2148</v>
      </c>
      <c r="K414" s="1"/>
    </row>
    <row r="415" spans="1:11" ht="19" customHeight="1">
      <c r="A415" s="1" t="s">
        <v>2149</v>
      </c>
      <c r="B415" s="1" t="s">
        <v>1076</v>
      </c>
      <c r="C415" s="4">
        <v>24.18</v>
      </c>
      <c r="D415" s="4">
        <v>120.641667</v>
      </c>
      <c r="E415" s="1" t="s">
        <v>1404</v>
      </c>
      <c r="F415" s="1">
        <v>1</v>
      </c>
      <c r="G415" s="1" t="s">
        <v>1263</v>
      </c>
      <c r="H415" s="1" t="s">
        <v>1074</v>
      </c>
      <c r="I415" s="1" t="s">
        <v>70</v>
      </c>
      <c r="J415" s="1" t="s">
        <v>2150</v>
      </c>
      <c r="K415" s="1"/>
    </row>
    <row r="416" spans="1:11" ht="19" customHeight="1">
      <c r="A416" s="1" t="s">
        <v>2151</v>
      </c>
      <c r="B416" s="1" t="s">
        <v>887</v>
      </c>
      <c r="C416" s="4">
        <v>24.159832999999999</v>
      </c>
      <c r="D416" s="4">
        <v>120.659667</v>
      </c>
      <c r="E416" s="1" t="s">
        <v>1404</v>
      </c>
      <c r="F416" s="1">
        <v>1</v>
      </c>
      <c r="G416" s="1" t="s">
        <v>1263</v>
      </c>
      <c r="H416" s="1" t="s">
        <v>1074</v>
      </c>
      <c r="I416" s="1" t="s">
        <v>70</v>
      </c>
      <c r="J416" s="1" t="s">
        <v>2152</v>
      </c>
      <c r="K416" s="1"/>
    </row>
    <row r="417" spans="1:11" ht="19" customHeight="1">
      <c r="A417" s="1" t="s">
        <v>2151</v>
      </c>
      <c r="B417" s="1" t="s">
        <v>887</v>
      </c>
      <c r="C417" s="4">
        <v>24.160299999999999</v>
      </c>
      <c r="D417" s="4">
        <v>120.65179999999999</v>
      </c>
      <c r="E417" s="1" t="s">
        <v>1396</v>
      </c>
      <c r="F417" s="1">
        <v>1</v>
      </c>
      <c r="G417" s="1" t="s">
        <v>1262</v>
      </c>
      <c r="H417" s="1" t="s">
        <v>860</v>
      </c>
      <c r="I417" s="1" t="s">
        <v>75</v>
      </c>
      <c r="J417" s="1" t="s">
        <v>2153</v>
      </c>
      <c r="K417" s="1"/>
    </row>
    <row r="418" spans="1:11" ht="19" customHeight="1">
      <c r="A418" s="1" t="s">
        <v>2154</v>
      </c>
      <c r="B418" s="1" t="s">
        <v>888</v>
      </c>
      <c r="C418" s="4">
        <v>24.195833</v>
      </c>
      <c r="D418" s="4">
        <v>120.748</v>
      </c>
      <c r="E418" s="1" t="s">
        <v>1404</v>
      </c>
      <c r="F418" s="1">
        <v>1</v>
      </c>
      <c r="G418" s="1" t="s">
        <v>1263</v>
      </c>
      <c r="H418" s="1" t="s">
        <v>1074</v>
      </c>
      <c r="I418" s="1" t="s">
        <v>70</v>
      </c>
      <c r="J418" s="1" t="s">
        <v>2155</v>
      </c>
      <c r="K418" s="1"/>
    </row>
    <row r="419" spans="1:11" ht="19" customHeight="1">
      <c r="A419" s="1" t="s">
        <v>2154</v>
      </c>
      <c r="B419" s="1" t="s">
        <v>888</v>
      </c>
      <c r="C419" s="4">
        <v>24.198</v>
      </c>
      <c r="D419" s="4">
        <v>120.7393</v>
      </c>
      <c r="E419" s="1" t="s">
        <v>1396</v>
      </c>
      <c r="F419" s="1">
        <v>1</v>
      </c>
      <c r="G419" s="1" t="s">
        <v>1262</v>
      </c>
      <c r="H419" s="1" t="s">
        <v>860</v>
      </c>
      <c r="I419" s="1" t="s">
        <v>75</v>
      </c>
      <c r="J419" s="1" t="s">
        <v>2156</v>
      </c>
      <c r="K419" s="1"/>
    </row>
    <row r="420" spans="1:11" ht="19" customHeight="1">
      <c r="A420" s="1" t="s">
        <v>2157</v>
      </c>
      <c r="B420" s="1" t="s">
        <v>889</v>
      </c>
      <c r="C420" s="4">
        <v>24.191666999999999</v>
      </c>
      <c r="D420" s="4">
        <v>120.678833</v>
      </c>
      <c r="E420" s="1" t="s">
        <v>1404</v>
      </c>
      <c r="F420" s="1">
        <v>1</v>
      </c>
      <c r="G420" s="1" t="s">
        <v>1263</v>
      </c>
      <c r="H420" s="1" t="s">
        <v>1074</v>
      </c>
      <c r="I420" s="1" t="s">
        <v>70</v>
      </c>
      <c r="J420" s="1" t="s">
        <v>2158</v>
      </c>
      <c r="K420" s="1"/>
    </row>
    <row r="421" spans="1:11" ht="19" customHeight="1">
      <c r="A421" s="1" t="s">
        <v>2157</v>
      </c>
      <c r="B421" s="1" t="s">
        <v>889</v>
      </c>
      <c r="C421" s="4">
        <v>24.1935</v>
      </c>
      <c r="D421" s="4">
        <v>120.6688</v>
      </c>
      <c r="E421" s="1" t="s">
        <v>1396</v>
      </c>
      <c r="F421" s="1">
        <v>1</v>
      </c>
      <c r="G421" s="1" t="s">
        <v>1262</v>
      </c>
      <c r="H421" s="1" t="s">
        <v>860</v>
      </c>
      <c r="I421" s="1" t="s">
        <v>75</v>
      </c>
      <c r="J421" s="1" t="s">
        <v>2159</v>
      </c>
      <c r="K421" s="1"/>
    </row>
    <row r="422" spans="1:11" ht="19" customHeight="1">
      <c r="A422" s="1" t="s">
        <v>2160</v>
      </c>
      <c r="B422" s="1" t="s">
        <v>1077</v>
      </c>
      <c r="C422" s="4">
        <v>24.16</v>
      </c>
      <c r="D422" s="4">
        <v>120.684833</v>
      </c>
      <c r="E422" s="1" t="s">
        <v>1404</v>
      </c>
      <c r="F422" s="1">
        <v>1</v>
      </c>
      <c r="G422" s="1" t="s">
        <v>1263</v>
      </c>
      <c r="H422" s="1" t="s">
        <v>1074</v>
      </c>
      <c r="I422" s="1" t="s">
        <v>70</v>
      </c>
      <c r="J422" s="1" t="s">
        <v>2161</v>
      </c>
      <c r="K422" s="1"/>
    </row>
    <row r="423" spans="1:11" ht="19" customHeight="1">
      <c r="A423" s="1" t="s">
        <v>2162</v>
      </c>
      <c r="B423" s="1" t="s">
        <v>1078</v>
      </c>
      <c r="C423" s="4">
        <v>24.138200000000001</v>
      </c>
      <c r="D423" s="4">
        <v>120.6748</v>
      </c>
      <c r="E423" s="1" t="s">
        <v>1404</v>
      </c>
      <c r="F423" s="1">
        <v>1</v>
      </c>
      <c r="G423" s="1" t="s">
        <v>1263</v>
      </c>
      <c r="H423" s="1" t="s">
        <v>1074</v>
      </c>
      <c r="I423" s="1" t="s">
        <v>70</v>
      </c>
      <c r="J423" s="1" t="s">
        <v>2163</v>
      </c>
      <c r="K423" s="1"/>
    </row>
    <row r="424" spans="1:11" ht="19" customHeight="1">
      <c r="A424" s="1" t="s">
        <v>2164</v>
      </c>
      <c r="B424" s="1" t="s">
        <v>890</v>
      </c>
      <c r="C424" s="4">
        <v>24.157</v>
      </c>
      <c r="D424" s="4">
        <v>120.6335</v>
      </c>
      <c r="E424" s="1" t="s">
        <v>1404</v>
      </c>
      <c r="F424" s="1">
        <v>1</v>
      </c>
      <c r="G424" s="1" t="s">
        <v>1263</v>
      </c>
      <c r="H424" s="1" t="s">
        <v>1074</v>
      </c>
      <c r="I424" s="1" t="s">
        <v>70</v>
      </c>
      <c r="J424" s="1" t="s">
        <v>2165</v>
      </c>
      <c r="K424" s="1"/>
    </row>
    <row r="425" spans="1:11" ht="19" customHeight="1">
      <c r="A425" s="1" t="s">
        <v>2164</v>
      </c>
      <c r="B425" s="1" t="s">
        <v>890</v>
      </c>
      <c r="C425" s="4">
        <v>24.158799999999999</v>
      </c>
      <c r="D425" s="4">
        <v>120.6238</v>
      </c>
      <c r="E425" s="1" t="s">
        <v>1396</v>
      </c>
      <c r="F425" s="1">
        <v>1</v>
      </c>
      <c r="G425" s="1" t="s">
        <v>1262</v>
      </c>
      <c r="H425" s="1" t="s">
        <v>860</v>
      </c>
      <c r="I425" s="1" t="s">
        <v>75</v>
      </c>
      <c r="J425" s="1" t="s">
        <v>2166</v>
      </c>
      <c r="K425" s="1"/>
    </row>
    <row r="426" spans="1:11" ht="19" customHeight="1">
      <c r="A426" s="1" t="s">
        <v>2167</v>
      </c>
      <c r="B426" s="1" t="s">
        <v>891</v>
      </c>
      <c r="C426" s="4">
        <v>24.266999999999999</v>
      </c>
      <c r="D426" s="4">
        <v>120.571833</v>
      </c>
      <c r="E426" s="1" t="s">
        <v>1404</v>
      </c>
      <c r="F426" s="1">
        <v>1</v>
      </c>
      <c r="G426" s="1" t="s">
        <v>1263</v>
      </c>
      <c r="H426" s="1" t="s">
        <v>1074</v>
      </c>
      <c r="I426" s="1" t="s">
        <v>70</v>
      </c>
      <c r="J426" s="1" t="s">
        <v>2168</v>
      </c>
      <c r="K426" s="1"/>
    </row>
    <row r="427" spans="1:11" ht="19" customHeight="1">
      <c r="A427" s="1" t="s">
        <v>2167</v>
      </c>
      <c r="B427" s="1" t="s">
        <v>891</v>
      </c>
      <c r="C427" s="4">
        <v>24.268699999999999</v>
      </c>
      <c r="D427" s="4">
        <v>120.5637</v>
      </c>
      <c r="E427" s="1" t="s">
        <v>1396</v>
      </c>
      <c r="F427" s="1">
        <v>1</v>
      </c>
      <c r="G427" s="1" t="s">
        <v>1262</v>
      </c>
      <c r="H427" s="1" t="s">
        <v>860</v>
      </c>
      <c r="I427" s="1" t="s">
        <v>75</v>
      </c>
      <c r="J427" s="1" t="s">
        <v>2169</v>
      </c>
      <c r="K427" s="1"/>
    </row>
    <row r="428" spans="1:11" ht="19" customHeight="1">
      <c r="A428" s="1" t="s">
        <v>2170</v>
      </c>
      <c r="B428" s="1" t="s">
        <v>892</v>
      </c>
      <c r="C428" s="4">
        <v>24.107832999999999</v>
      </c>
      <c r="D428" s="4">
        <v>120.623833</v>
      </c>
      <c r="E428" s="1" t="s">
        <v>1404</v>
      </c>
      <c r="F428" s="1">
        <v>1</v>
      </c>
      <c r="G428" s="1" t="s">
        <v>1263</v>
      </c>
      <c r="H428" s="1" t="s">
        <v>1074</v>
      </c>
      <c r="I428" s="1" t="s">
        <v>70</v>
      </c>
      <c r="J428" s="1" t="s">
        <v>2171</v>
      </c>
      <c r="K428" s="1"/>
    </row>
    <row r="429" spans="1:11" ht="19" customHeight="1">
      <c r="A429" s="1" t="s">
        <v>2170</v>
      </c>
      <c r="B429" s="1" t="s">
        <v>892</v>
      </c>
      <c r="C429" s="4">
        <v>24.1083</v>
      </c>
      <c r="D429" s="4">
        <v>120.61579999999999</v>
      </c>
      <c r="E429" s="1" t="s">
        <v>1396</v>
      </c>
      <c r="F429" s="1">
        <v>1</v>
      </c>
      <c r="G429" s="1" t="s">
        <v>1262</v>
      </c>
      <c r="H429" s="1" t="s">
        <v>860</v>
      </c>
      <c r="I429" s="1" t="s">
        <v>75</v>
      </c>
      <c r="J429" s="1" t="s">
        <v>2172</v>
      </c>
      <c r="K429" s="1"/>
    </row>
    <row r="430" spans="1:11" ht="19" customHeight="1">
      <c r="A430" s="1" t="s">
        <v>2173</v>
      </c>
      <c r="B430" s="1" t="s">
        <v>893</v>
      </c>
      <c r="C430" s="4">
        <v>24.3445</v>
      </c>
      <c r="D430" s="4">
        <v>120.619333</v>
      </c>
      <c r="E430" s="1" t="s">
        <v>1404</v>
      </c>
      <c r="F430" s="1">
        <v>1</v>
      </c>
      <c r="G430" s="1" t="s">
        <v>1263</v>
      </c>
      <c r="H430" s="1" t="s">
        <v>1074</v>
      </c>
      <c r="I430" s="1" t="s">
        <v>70</v>
      </c>
      <c r="J430" s="1" t="s">
        <v>2174</v>
      </c>
      <c r="K430" s="1"/>
    </row>
    <row r="431" spans="1:11" ht="19" customHeight="1">
      <c r="A431" s="1" t="s">
        <v>2173</v>
      </c>
      <c r="B431" s="1" t="s">
        <v>893</v>
      </c>
      <c r="C431" s="4">
        <v>24.345700000000001</v>
      </c>
      <c r="D431" s="4">
        <v>120.61</v>
      </c>
      <c r="E431" s="1" t="s">
        <v>1396</v>
      </c>
      <c r="F431" s="1">
        <v>1</v>
      </c>
      <c r="G431" s="1" t="s">
        <v>1262</v>
      </c>
      <c r="H431" s="1" t="s">
        <v>860</v>
      </c>
      <c r="I431" s="1" t="s">
        <v>75</v>
      </c>
      <c r="J431" s="1" t="s">
        <v>2175</v>
      </c>
      <c r="K431" s="1"/>
    </row>
    <row r="432" spans="1:11" ht="19" customHeight="1">
      <c r="A432" s="1" t="s">
        <v>2176</v>
      </c>
      <c r="B432" s="1" t="s">
        <v>894</v>
      </c>
      <c r="C432" s="4">
        <v>24.056166999999999</v>
      </c>
      <c r="D432" s="4">
        <v>120.699833</v>
      </c>
      <c r="E432" s="1" t="s">
        <v>1404</v>
      </c>
      <c r="F432" s="1">
        <v>3</v>
      </c>
      <c r="G432" s="1" t="s">
        <v>1263</v>
      </c>
      <c r="H432" s="1" t="s">
        <v>2177</v>
      </c>
      <c r="I432" s="1" t="s">
        <v>70</v>
      </c>
      <c r="J432" s="1" t="s">
        <v>2178</v>
      </c>
      <c r="K432" s="1"/>
    </row>
    <row r="433" spans="1:11" ht="19" customHeight="1">
      <c r="A433" s="1" t="s">
        <v>2176</v>
      </c>
      <c r="B433" s="1" t="s">
        <v>894</v>
      </c>
      <c r="C433" s="4">
        <v>24.056170000000002</v>
      </c>
      <c r="D433" s="4">
        <v>120.6998</v>
      </c>
      <c r="E433" s="1" t="s">
        <v>1404</v>
      </c>
      <c r="F433" s="1">
        <v>1</v>
      </c>
      <c r="G433" s="1" t="s">
        <v>1263</v>
      </c>
      <c r="H433" s="1" t="s">
        <v>647</v>
      </c>
      <c r="I433" s="1" t="s">
        <v>70</v>
      </c>
      <c r="J433" s="1" t="s">
        <v>2179</v>
      </c>
      <c r="K433" s="1"/>
    </row>
    <row r="434" spans="1:11" ht="19" customHeight="1">
      <c r="A434" s="1" t="s">
        <v>2176</v>
      </c>
      <c r="B434" s="1" t="s">
        <v>894</v>
      </c>
      <c r="C434" s="4">
        <v>24.058800000000002</v>
      </c>
      <c r="D434" s="4">
        <v>120.69119999999999</v>
      </c>
      <c r="E434" s="1" t="s">
        <v>1396</v>
      </c>
      <c r="F434" s="1">
        <v>2</v>
      </c>
      <c r="G434" s="1" t="s">
        <v>1262</v>
      </c>
      <c r="H434" s="1" t="s">
        <v>1802</v>
      </c>
      <c r="I434" s="1" t="s">
        <v>75</v>
      </c>
      <c r="J434" s="1" t="s">
        <v>2180</v>
      </c>
      <c r="K434" s="1"/>
    </row>
    <row r="435" spans="1:11" ht="19" customHeight="1">
      <c r="A435" s="1" t="s">
        <v>2181</v>
      </c>
      <c r="B435" s="1" t="s">
        <v>1068</v>
      </c>
      <c r="C435" s="4">
        <v>24.09</v>
      </c>
      <c r="D435" s="4">
        <v>120.728167</v>
      </c>
      <c r="E435" s="1" t="s">
        <v>1404</v>
      </c>
      <c r="F435" s="1">
        <v>2</v>
      </c>
      <c r="G435" s="1" t="s">
        <v>1263</v>
      </c>
      <c r="H435" s="1" t="s">
        <v>2182</v>
      </c>
      <c r="I435" s="1" t="s">
        <v>70</v>
      </c>
      <c r="J435" s="1" t="s">
        <v>2183</v>
      </c>
      <c r="K435" s="1"/>
    </row>
    <row r="436" spans="1:11" ht="19" customHeight="1">
      <c r="A436" s="1" t="s">
        <v>2184</v>
      </c>
      <c r="B436" s="1" t="s">
        <v>895</v>
      </c>
      <c r="C436" s="4">
        <v>24.276</v>
      </c>
      <c r="D436" s="4">
        <v>120.773167</v>
      </c>
      <c r="E436" s="1" t="s">
        <v>1404</v>
      </c>
      <c r="F436" s="1">
        <v>1</v>
      </c>
      <c r="G436" s="1" t="s">
        <v>1263</v>
      </c>
      <c r="H436" s="1" t="s">
        <v>1074</v>
      </c>
      <c r="I436" s="1" t="s">
        <v>70</v>
      </c>
      <c r="J436" s="1" t="s">
        <v>2185</v>
      </c>
      <c r="K436" s="1"/>
    </row>
    <row r="437" spans="1:11" ht="19" customHeight="1">
      <c r="A437" s="1" t="s">
        <v>2184</v>
      </c>
      <c r="B437" s="1" t="s">
        <v>895</v>
      </c>
      <c r="C437" s="4">
        <v>24.277200000000001</v>
      </c>
      <c r="D437" s="4">
        <v>120.7658</v>
      </c>
      <c r="E437" s="1" t="s">
        <v>1396</v>
      </c>
      <c r="F437" s="1">
        <v>1</v>
      </c>
      <c r="G437" s="1" t="s">
        <v>1262</v>
      </c>
      <c r="H437" s="1" t="s">
        <v>860</v>
      </c>
      <c r="I437" s="1" t="s">
        <v>75</v>
      </c>
      <c r="J437" s="1" t="s">
        <v>2186</v>
      </c>
      <c r="K437" s="1"/>
    </row>
    <row r="438" spans="1:11" ht="19" customHeight="1">
      <c r="A438" s="1" t="s">
        <v>2187</v>
      </c>
      <c r="B438" s="1" t="s">
        <v>1069</v>
      </c>
      <c r="C438" s="4">
        <v>23.984000000000002</v>
      </c>
      <c r="D438" s="4">
        <v>120.79516700000001</v>
      </c>
      <c r="E438" s="1" t="s">
        <v>1404</v>
      </c>
      <c r="F438" s="1">
        <v>1</v>
      </c>
      <c r="G438" s="1" t="s">
        <v>1263</v>
      </c>
      <c r="H438" s="1" t="s">
        <v>478</v>
      </c>
      <c r="I438" s="1" t="s">
        <v>70</v>
      </c>
      <c r="J438" s="1" t="s">
        <v>2188</v>
      </c>
      <c r="K438" s="1"/>
    </row>
    <row r="439" spans="1:11" ht="19" customHeight="1">
      <c r="A439" s="1" t="s">
        <v>2187</v>
      </c>
      <c r="B439" s="1" t="s">
        <v>1069</v>
      </c>
      <c r="C439" s="4">
        <v>23.984000000000002</v>
      </c>
      <c r="D439" s="4">
        <v>120.79519999999999</v>
      </c>
      <c r="E439" s="1" t="s">
        <v>1404</v>
      </c>
      <c r="F439" s="1">
        <v>1</v>
      </c>
      <c r="G439" s="1" t="s">
        <v>1263</v>
      </c>
      <c r="H439" s="1" t="s">
        <v>1074</v>
      </c>
      <c r="I439" s="1" t="s">
        <v>70</v>
      </c>
      <c r="J439" s="1" t="s">
        <v>2189</v>
      </c>
      <c r="K439" s="1"/>
    </row>
    <row r="440" spans="1:11" ht="19" customHeight="1">
      <c r="A440" s="1" t="s">
        <v>2190</v>
      </c>
      <c r="B440" s="1" t="s">
        <v>144</v>
      </c>
      <c r="C440" s="4">
        <v>23.96133</v>
      </c>
      <c r="D440" s="4">
        <v>120.9712</v>
      </c>
      <c r="E440" s="1" t="s">
        <v>1404</v>
      </c>
      <c r="F440" s="1">
        <v>1</v>
      </c>
      <c r="G440" s="1" t="s">
        <v>1263</v>
      </c>
      <c r="H440" s="1" t="s">
        <v>652</v>
      </c>
      <c r="I440" s="1" t="s">
        <v>70</v>
      </c>
      <c r="J440" s="1" t="s">
        <v>2191</v>
      </c>
      <c r="K440" s="1"/>
    </row>
    <row r="441" spans="1:11" ht="19" customHeight="1">
      <c r="A441" s="1" t="s">
        <v>2192</v>
      </c>
      <c r="B441" s="1" t="s">
        <v>896</v>
      </c>
      <c r="C441" s="4">
        <v>23.9815</v>
      </c>
      <c r="D441" s="4">
        <v>120.687667</v>
      </c>
      <c r="E441" s="1" t="s">
        <v>1404</v>
      </c>
      <c r="F441" s="1">
        <v>1</v>
      </c>
      <c r="G441" s="1" t="s">
        <v>1263</v>
      </c>
      <c r="H441" s="1" t="s">
        <v>1074</v>
      </c>
      <c r="I441" s="1" t="s">
        <v>70</v>
      </c>
      <c r="J441" s="1" t="s">
        <v>2193</v>
      </c>
      <c r="K441" s="1"/>
    </row>
    <row r="442" spans="1:11" ht="19" customHeight="1">
      <c r="A442" s="1" t="s">
        <v>2192</v>
      </c>
      <c r="B442" s="1" t="s">
        <v>896</v>
      </c>
      <c r="C442" s="4">
        <v>23.982700000000001</v>
      </c>
      <c r="D442" s="4">
        <v>120.6778</v>
      </c>
      <c r="E442" s="1" t="s">
        <v>1396</v>
      </c>
      <c r="F442" s="1">
        <v>1</v>
      </c>
      <c r="G442" s="1" t="s">
        <v>1262</v>
      </c>
      <c r="H442" s="1" t="s">
        <v>860</v>
      </c>
      <c r="I442" s="1" t="s">
        <v>75</v>
      </c>
      <c r="J442" s="1" t="s">
        <v>2194</v>
      </c>
      <c r="K442" s="1"/>
    </row>
    <row r="443" spans="1:11" ht="19" customHeight="1">
      <c r="A443" s="1" t="s">
        <v>2195</v>
      </c>
      <c r="B443" s="1" t="s">
        <v>897</v>
      </c>
      <c r="C443" s="4">
        <v>23.906500000000001</v>
      </c>
      <c r="D443" s="4">
        <v>120.6835</v>
      </c>
      <c r="E443" s="1" t="s">
        <v>1404</v>
      </c>
      <c r="F443" s="1">
        <v>2</v>
      </c>
      <c r="G443" s="1" t="s">
        <v>1263</v>
      </c>
      <c r="H443" s="1" t="s">
        <v>1800</v>
      </c>
      <c r="I443" s="1" t="s">
        <v>70</v>
      </c>
      <c r="J443" s="1" t="s">
        <v>2196</v>
      </c>
      <c r="K443" s="1"/>
    </row>
    <row r="444" spans="1:11" ht="19" customHeight="1">
      <c r="A444" s="1" t="s">
        <v>2195</v>
      </c>
      <c r="B444" s="1" t="s">
        <v>897</v>
      </c>
      <c r="C444" s="4">
        <v>23.907699999999998</v>
      </c>
      <c r="D444" s="4">
        <v>120.67570000000001</v>
      </c>
      <c r="E444" s="1" t="s">
        <v>1396</v>
      </c>
      <c r="F444" s="1">
        <v>2</v>
      </c>
      <c r="G444" s="1" t="s">
        <v>1262</v>
      </c>
      <c r="H444" s="1" t="s">
        <v>1802</v>
      </c>
      <c r="I444" s="1" t="s">
        <v>75</v>
      </c>
      <c r="J444" s="1" t="s">
        <v>2197</v>
      </c>
      <c r="K444" s="1"/>
    </row>
    <row r="445" spans="1:11" ht="19" customHeight="1">
      <c r="A445" s="1" t="s">
        <v>2198</v>
      </c>
      <c r="B445" s="1" t="s">
        <v>1177</v>
      </c>
      <c r="C445" s="4">
        <v>23.827169999999999</v>
      </c>
      <c r="D445" s="4">
        <v>120.7873</v>
      </c>
      <c r="E445" s="1" t="s">
        <v>1404</v>
      </c>
      <c r="F445" s="1">
        <v>2</v>
      </c>
      <c r="G445" s="1" t="s">
        <v>1263</v>
      </c>
      <c r="H445" s="1" t="s">
        <v>2199</v>
      </c>
      <c r="I445" s="1" t="s">
        <v>70</v>
      </c>
      <c r="J445" s="1" t="s">
        <v>2200</v>
      </c>
      <c r="K445" s="1"/>
    </row>
    <row r="446" spans="1:11" ht="19" customHeight="1">
      <c r="A446" s="1" t="s">
        <v>2201</v>
      </c>
      <c r="B446" s="1" t="s">
        <v>916</v>
      </c>
      <c r="C446" s="4">
        <v>23.810500000000001</v>
      </c>
      <c r="D446" s="4">
        <v>120.853667</v>
      </c>
      <c r="E446" s="1" t="s">
        <v>1404</v>
      </c>
      <c r="F446" s="1">
        <v>2</v>
      </c>
      <c r="G446" s="1" t="s">
        <v>1263</v>
      </c>
      <c r="H446" s="1" t="s">
        <v>2202</v>
      </c>
      <c r="I446" s="1" t="s">
        <v>70</v>
      </c>
      <c r="J446" s="1" t="s">
        <v>2203</v>
      </c>
      <c r="K446" s="1"/>
    </row>
    <row r="447" spans="1:11" ht="19" customHeight="1">
      <c r="A447" s="1" t="s">
        <v>2201</v>
      </c>
      <c r="B447" s="1" t="s">
        <v>916</v>
      </c>
      <c r="C447" s="4">
        <v>23.812000000000001</v>
      </c>
      <c r="D447" s="4">
        <v>120.8455</v>
      </c>
      <c r="E447" s="1" t="s">
        <v>1396</v>
      </c>
      <c r="F447" s="1">
        <v>2</v>
      </c>
      <c r="G447" s="1" t="s">
        <v>1262</v>
      </c>
      <c r="H447" s="1" t="s">
        <v>2204</v>
      </c>
      <c r="I447" s="1" t="s">
        <v>75</v>
      </c>
      <c r="J447" s="1" t="s">
        <v>2205</v>
      </c>
      <c r="K447" s="1"/>
    </row>
    <row r="448" spans="1:11" ht="19" customHeight="1">
      <c r="A448" s="1" t="s">
        <v>2206</v>
      </c>
      <c r="B448" s="1" t="s">
        <v>1070</v>
      </c>
      <c r="C448" s="4">
        <v>23.836829999999999</v>
      </c>
      <c r="D448" s="4">
        <v>120.90219999999999</v>
      </c>
      <c r="E448" s="1" t="s">
        <v>1404</v>
      </c>
      <c r="F448" s="1">
        <v>1</v>
      </c>
      <c r="G448" s="1" t="s">
        <v>1263</v>
      </c>
      <c r="H448" s="1" t="s">
        <v>616</v>
      </c>
      <c r="I448" s="1" t="s">
        <v>70</v>
      </c>
      <c r="J448" s="1" t="s">
        <v>2207</v>
      </c>
      <c r="K448" s="1"/>
    </row>
    <row r="449" spans="1:11" ht="19" customHeight="1">
      <c r="A449" s="1" t="s">
        <v>2206</v>
      </c>
      <c r="B449" s="1" t="s">
        <v>1070</v>
      </c>
      <c r="C449" s="4">
        <v>23.836832999999999</v>
      </c>
      <c r="D449" s="4">
        <v>120.90216700000001</v>
      </c>
      <c r="E449" s="1" t="s">
        <v>1404</v>
      </c>
      <c r="F449" s="1">
        <v>2</v>
      </c>
      <c r="G449" s="1" t="s">
        <v>1263</v>
      </c>
      <c r="H449" s="1" t="s">
        <v>2208</v>
      </c>
      <c r="I449" s="1" t="s">
        <v>70</v>
      </c>
      <c r="J449" s="1" t="s">
        <v>2209</v>
      </c>
      <c r="K449" s="1"/>
    </row>
    <row r="450" spans="1:11" ht="19" customHeight="1">
      <c r="A450" s="1" t="s">
        <v>2210</v>
      </c>
      <c r="B450" s="1" t="s">
        <v>918</v>
      </c>
      <c r="C450" s="4">
        <v>23.9</v>
      </c>
      <c r="D450" s="4">
        <v>120.93</v>
      </c>
      <c r="E450" s="1" t="s">
        <v>1396</v>
      </c>
      <c r="F450" s="1">
        <v>1</v>
      </c>
      <c r="G450" s="1" t="s">
        <v>1262</v>
      </c>
      <c r="H450" s="1" t="s">
        <v>917</v>
      </c>
      <c r="I450" s="1" t="s">
        <v>75</v>
      </c>
      <c r="J450" s="1" t="s">
        <v>2211</v>
      </c>
      <c r="K450" s="1"/>
    </row>
    <row r="451" spans="1:11" ht="19" customHeight="1">
      <c r="A451" s="1" t="s">
        <v>2210</v>
      </c>
      <c r="B451" s="1" t="s">
        <v>918</v>
      </c>
      <c r="C451" s="4">
        <v>23.9</v>
      </c>
      <c r="D451" s="4">
        <v>120.937833</v>
      </c>
      <c r="E451" s="1" t="s">
        <v>1404</v>
      </c>
      <c r="F451" s="1">
        <v>1</v>
      </c>
      <c r="G451" s="1" t="s">
        <v>1263</v>
      </c>
      <c r="H451" s="1" t="s">
        <v>1073</v>
      </c>
      <c r="I451" s="1" t="s">
        <v>70</v>
      </c>
      <c r="J451" s="1" t="s">
        <v>2212</v>
      </c>
      <c r="K451" s="1"/>
    </row>
    <row r="452" spans="1:11" ht="19" customHeight="1">
      <c r="A452" s="1" t="s">
        <v>2213</v>
      </c>
      <c r="B452" s="1" t="s">
        <v>898</v>
      </c>
      <c r="C452" s="4">
        <v>24.802199999999999</v>
      </c>
      <c r="D452" s="4">
        <v>120.9695</v>
      </c>
      <c r="E452" s="1" t="s">
        <v>1396</v>
      </c>
      <c r="F452" s="1">
        <v>1</v>
      </c>
      <c r="G452" s="1" t="s">
        <v>1262</v>
      </c>
      <c r="H452" s="1" t="s">
        <v>860</v>
      </c>
      <c r="I452" s="1" t="s">
        <v>75</v>
      </c>
      <c r="J452" s="1" t="s">
        <v>2214</v>
      </c>
      <c r="K452" s="1"/>
    </row>
    <row r="453" spans="1:11" ht="19" customHeight="1">
      <c r="A453" s="1" t="s">
        <v>2213</v>
      </c>
      <c r="B453" s="1" t="s">
        <v>898</v>
      </c>
      <c r="C453" s="4">
        <v>24.828333000000001</v>
      </c>
      <c r="D453" s="4">
        <v>121.014167</v>
      </c>
      <c r="E453" s="1" t="s">
        <v>1404</v>
      </c>
      <c r="F453" s="1">
        <v>1</v>
      </c>
      <c r="G453" s="1" t="s">
        <v>1263</v>
      </c>
      <c r="H453" s="1" t="s">
        <v>1074</v>
      </c>
      <c r="I453" s="1" t="s">
        <v>70</v>
      </c>
      <c r="J453" s="1" t="s">
        <v>2215</v>
      </c>
      <c r="K453" s="1"/>
    </row>
    <row r="454" spans="1:11" ht="19" customHeight="1">
      <c r="A454" s="1" t="s">
        <v>2216</v>
      </c>
      <c r="B454" s="1" t="s">
        <v>899</v>
      </c>
      <c r="C454" s="4">
        <v>24.145667</v>
      </c>
      <c r="D454" s="4">
        <v>120.684167</v>
      </c>
      <c r="E454" s="1" t="s">
        <v>1404</v>
      </c>
      <c r="F454" s="1">
        <v>1</v>
      </c>
      <c r="G454" s="1" t="s">
        <v>1263</v>
      </c>
      <c r="H454" s="1" t="s">
        <v>1074</v>
      </c>
      <c r="I454" s="1" t="s">
        <v>70</v>
      </c>
      <c r="J454" s="1" t="s">
        <v>2217</v>
      </c>
      <c r="K454" s="1"/>
    </row>
    <row r="455" spans="1:11" ht="19" customHeight="1">
      <c r="A455" s="1" t="s">
        <v>2216</v>
      </c>
      <c r="B455" s="1" t="s">
        <v>899</v>
      </c>
      <c r="C455" s="4">
        <v>24.147500000000001</v>
      </c>
      <c r="D455" s="4">
        <v>120.676</v>
      </c>
      <c r="E455" s="1" t="s">
        <v>1396</v>
      </c>
      <c r="F455" s="1">
        <v>1</v>
      </c>
      <c r="G455" s="1" t="s">
        <v>1262</v>
      </c>
      <c r="H455" s="1" t="s">
        <v>860</v>
      </c>
      <c r="I455" s="1" t="s">
        <v>75</v>
      </c>
      <c r="J455" s="1" t="s">
        <v>2218</v>
      </c>
      <c r="K455" s="1"/>
    </row>
    <row r="456" spans="1:11" ht="19" customHeight="1">
      <c r="A456" s="1" t="s">
        <v>2219</v>
      </c>
      <c r="B456" s="1" t="s">
        <v>1071</v>
      </c>
      <c r="C456" s="4">
        <v>23.881329999999998</v>
      </c>
      <c r="D456" s="4">
        <v>120.90819999999999</v>
      </c>
      <c r="E456" s="1" t="s">
        <v>1404</v>
      </c>
      <c r="F456" s="1">
        <v>1</v>
      </c>
      <c r="G456" s="1" t="s">
        <v>1263</v>
      </c>
      <c r="H456" s="1" t="s">
        <v>647</v>
      </c>
      <c r="I456" s="1" t="s">
        <v>70</v>
      </c>
      <c r="J456" s="1" t="s">
        <v>2220</v>
      </c>
      <c r="K456" s="1"/>
    </row>
    <row r="457" spans="1:11" ht="19" customHeight="1">
      <c r="A457" s="1" t="s">
        <v>2219</v>
      </c>
      <c r="B457" s="1" t="s">
        <v>1071</v>
      </c>
      <c r="C457" s="4">
        <v>23.881333000000001</v>
      </c>
      <c r="D457" s="4">
        <v>120.90816700000001</v>
      </c>
      <c r="E457" s="1" t="s">
        <v>1404</v>
      </c>
      <c r="F457" s="1">
        <v>1</v>
      </c>
      <c r="G457" s="1" t="s">
        <v>1263</v>
      </c>
      <c r="H457" s="1" t="s">
        <v>478</v>
      </c>
      <c r="I457" s="1" t="s">
        <v>70</v>
      </c>
      <c r="J457" s="1" t="s">
        <v>2221</v>
      </c>
      <c r="K457" s="1"/>
    </row>
    <row r="458" spans="1:11" ht="19" customHeight="1">
      <c r="A458" s="1" t="s">
        <v>2222</v>
      </c>
      <c r="B458" s="1" t="s">
        <v>900</v>
      </c>
      <c r="C458" s="4">
        <v>24.346499999999999</v>
      </c>
      <c r="D458" s="4">
        <v>120.780833</v>
      </c>
      <c r="E458" s="1" t="s">
        <v>1404</v>
      </c>
      <c r="F458" s="1">
        <v>1</v>
      </c>
      <c r="G458" s="1" t="s">
        <v>1263</v>
      </c>
      <c r="H458" s="1" t="s">
        <v>1074</v>
      </c>
      <c r="I458" s="1" t="s">
        <v>70</v>
      </c>
      <c r="J458" s="1" t="s">
        <v>2223</v>
      </c>
      <c r="K458" s="1"/>
    </row>
    <row r="459" spans="1:11" ht="19" customHeight="1">
      <c r="A459" s="1" t="s">
        <v>2222</v>
      </c>
      <c r="B459" s="1" t="s">
        <v>900</v>
      </c>
      <c r="C459" s="4">
        <v>24.348199999999999</v>
      </c>
      <c r="D459" s="4">
        <v>120.77330000000001</v>
      </c>
      <c r="E459" s="1" t="s">
        <v>1396</v>
      </c>
      <c r="F459" s="1">
        <v>1</v>
      </c>
      <c r="G459" s="1" t="s">
        <v>1262</v>
      </c>
      <c r="H459" s="1" t="s">
        <v>860</v>
      </c>
      <c r="I459" s="1" t="s">
        <v>75</v>
      </c>
      <c r="J459" s="1" t="s">
        <v>2224</v>
      </c>
      <c r="K459" s="1"/>
    </row>
    <row r="460" spans="1:11" ht="19" customHeight="1">
      <c r="A460" s="1" t="s">
        <v>2225</v>
      </c>
      <c r="B460" s="1" t="s">
        <v>901</v>
      </c>
      <c r="C460" s="4">
        <v>24.253299999999999</v>
      </c>
      <c r="D460" s="4">
        <v>121.1758</v>
      </c>
      <c r="E460" s="1" t="s">
        <v>1396</v>
      </c>
      <c r="F460" s="1">
        <v>1</v>
      </c>
      <c r="G460" s="1" t="s">
        <v>1262</v>
      </c>
      <c r="H460" s="1" t="s">
        <v>860</v>
      </c>
      <c r="I460" s="1" t="s">
        <v>75</v>
      </c>
      <c r="J460" s="1" t="s">
        <v>2226</v>
      </c>
      <c r="K460" s="1"/>
    </row>
    <row r="461" spans="1:11" ht="19" customHeight="1">
      <c r="A461" s="1" t="s">
        <v>2227</v>
      </c>
      <c r="B461" s="1" t="s">
        <v>902</v>
      </c>
      <c r="C461" s="4">
        <v>24.766999999999999</v>
      </c>
      <c r="D461" s="4">
        <v>121.058167</v>
      </c>
      <c r="E461" s="1" t="s">
        <v>1404</v>
      </c>
      <c r="F461" s="1">
        <v>1</v>
      </c>
      <c r="G461" s="1" t="s">
        <v>1263</v>
      </c>
      <c r="H461" s="1" t="s">
        <v>1074</v>
      </c>
      <c r="I461" s="1" t="s">
        <v>70</v>
      </c>
      <c r="J461" s="1" t="s">
        <v>2228</v>
      </c>
      <c r="K461" s="1"/>
    </row>
    <row r="462" spans="1:11" ht="19" customHeight="1">
      <c r="A462" s="1" t="s">
        <v>2227</v>
      </c>
      <c r="B462" s="1" t="s">
        <v>902</v>
      </c>
      <c r="C462" s="4">
        <v>24.769500000000001</v>
      </c>
      <c r="D462" s="4">
        <v>121.0488</v>
      </c>
      <c r="E462" s="1" t="s">
        <v>1396</v>
      </c>
      <c r="F462" s="1">
        <v>1</v>
      </c>
      <c r="G462" s="1" t="s">
        <v>1262</v>
      </c>
      <c r="H462" s="1" t="s">
        <v>860</v>
      </c>
      <c r="I462" s="1" t="s">
        <v>75</v>
      </c>
      <c r="J462" s="1" t="s">
        <v>2229</v>
      </c>
      <c r="K462" s="1"/>
    </row>
    <row r="463" spans="1:11" ht="19" customHeight="1">
      <c r="A463" s="1" t="s">
        <v>2230</v>
      </c>
      <c r="B463" s="1" t="s">
        <v>903</v>
      </c>
      <c r="C463" s="4">
        <v>24.688832999999999</v>
      </c>
      <c r="D463" s="4">
        <v>121.02</v>
      </c>
      <c r="E463" s="1" t="s">
        <v>1404</v>
      </c>
      <c r="F463" s="1">
        <v>1</v>
      </c>
      <c r="G463" s="1" t="s">
        <v>1263</v>
      </c>
      <c r="H463" s="1" t="s">
        <v>1074</v>
      </c>
      <c r="I463" s="1" t="s">
        <v>70</v>
      </c>
      <c r="J463" s="1" t="s">
        <v>2231</v>
      </c>
      <c r="K463" s="1"/>
    </row>
    <row r="464" spans="1:11" ht="19" customHeight="1">
      <c r="A464" s="1" t="s">
        <v>2230</v>
      </c>
      <c r="B464" s="1" t="s">
        <v>903</v>
      </c>
      <c r="C464" s="4">
        <v>24.691700000000001</v>
      </c>
      <c r="D464" s="4">
        <v>121.01349999999999</v>
      </c>
      <c r="E464" s="1" t="s">
        <v>1396</v>
      </c>
      <c r="F464" s="1">
        <v>1</v>
      </c>
      <c r="G464" s="1" t="s">
        <v>1262</v>
      </c>
      <c r="H464" s="1" t="s">
        <v>860</v>
      </c>
      <c r="I464" s="1" t="s">
        <v>75</v>
      </c>
      <c r="J464" s="1" t="s">
        <v>2232</v>
      </c>
      <c r="K464" s="1"/>
    </row>
    <row r="465" spans="1:11" ht="19" customHeight="1">
      <c r="A465" s="1" t="s">
        <v>2233</v>
      </c>
      <c r="B465" s="1" t="s">
        <v>904</v>
      </c>
      <c r="C465" s="4">
        <v>24.792332999999999</v>
      </c>
      <c r="D465" s="4">
        <v>120.96599999999999</v>
      </c>
      <c r="E465" s="1" t="s">
        <v>1404</v>
      </c>
      <c r="F465" s="1">
        <v>1</v>
      </c>
      <c r="G465" s="1" t="s">
        <v>1263</v>
      </c>
      <c r="H465" s="1" t="s">
        <v>1074</v>
      </c>
      <c r="I465" s="1" t="s">
        <v>70</v>
      </c>
      <c r="J465" s="1" t="s">
        <v>2234</v>
      </c>
      <c r="K465" s="1"/>
    </row>
    <row r="466" spans="1:11" ht="19" customHeight="1">
      <c r="A466" s="1" t="s">
        <v>2233</v>
      </c>
      <c r="B466" s="1" t="s">
        <v>904</v>
      </c>
      <c r="C466" s="4">
        <v>24.7957</v>
      </c>
      <c r="D466" s="4">
        <v>120.9558</v>
      </c>
      <c r="E466" s="1" t="s">
        <v>1396</v>
      </c>
      <c r="F466" s="1">
        <v>1</v>
      </c>
      <c r="G466" s="1" t="s">
        <v>1262</v>
      </c>
      <c r="H466" s="1" t="s">
        <v>860</v>
      </c>
      <c r="I466" s="1" t="s">
        <v>75</v>
      </c>
      <c r="J466" s="1" t="s">
        <v>2235</v>
      </c>
      <c r="K466" s="1"/>
    </row>
    <row r="467" spans="1:11" ht="19" customHeight="1">
      <c r="A467" s="1" t="s">
        <v>2236</v>
      </c>
      <c r="B467" s="1" t="s">
        <v>905</v>
      </c>
      <c r="C467" s="4">
        <v>24.742000000000001</v>
      </c>
      <c r="D467" s="4">
        <v>120.907167</v>
      </c>
      <c r="E467" s="1" t="s">
        <v>1404</v>
      </c>
      <c r="F467" s="1">
        <v>1</v>
      </c>
      <c r="G467" s="1" t="s">
        <v>1263</v>
      </c>
      <c r="H467" s="1" t="s">
        <v>1074</v>
      </c>
      <c r="I467" s="1" t="s">
        <v>70</v>
      </c>
      <c r="J467" s="1" t="s">
        <v>2237</v>
      </c>
      <c r="K467" s="1"/>
    </row>
    <row r="468" spans="1:11" ht="19" customHeight="1">
      <c r="A468" s="1" t="s">
        <v>2236</v>
      </c>
      <c r="B468" s="1" t="s">
        <v>905</v>
      </c>
      <c r="C468" s="4">
        <v>24.743300000000001</v>
      </c>
      <c r="D468" s="4">
        <v>120.899</v>
      </c>
      <c r="E468" s="1" t="s">
        <v>1396</v>
      </c>
      <c r="F468" s="1">
        <v>1</v>
      </c>
      <c r="G468" s="1" t="s">
        <v>1262</v>
      </c>
      <c r="H468" s="1" t="s">
        <v>860</v>
      </c>
      <c r="I468" s="1" t="s">
        <v>75</v>
      </c>
      <c r="J468" s="1" t="s">
        <v>2238</v>
      </c>
      <c r="K468" s="1"/>
    </row>
    <row r="469" spans="1:11" ht="19" customHeight="1">
      <c r="A469" s="1" t="s">
        <v>2239</v>
      </c>
      <c r="B469" s="1" t="s">
        <v>1079</v>
      </c>
      <c r="C469" s="4">
        <v>24.183833</v>
      </c>
      <c r="D469" s="4">
        <v>120.625</v>
      </c>
      <c r="E469" s="1" t="s">
        <v>1404</v>
      </c>
      <c r="F469" s="1">
        <v>1</v>
      </c>
      <c r="G469" s="1" t="s">
        <v>1263</v>
      </c>
      <c r="H469" s="1" t="s">
        <v>1074</v>
      </c>
      <c r="I469" s="1" t="s">
        <v>70</v>
      </c>
      <c r="J469" s="1" t="s">
        <v>2240</v>
      </c>
      <c r="K469" s="1"/>
    </row>
    <row r="470" spans="1:11" ht="19" customHeight="1">
      <c r="A470" s="1" t="s">
        <v>2241</v>
      </c>
      <c r="B470" s="1" t="s">
        <v>906</v>
      </c>
      <c r="C470" s="4">
        <v>24.239332999999998</v>
      </c>
      <c r="D470" s="4">
        <v>120.717167</v>
      </c>
      <c r="E470" s="1" t="s">
        <v>1404</v>
      </c>
      <c r="F470" s="1">
        <v>1</v>
      </c>
      <c r="G470" s="1" t="s">
        <v>1263</v>
      </c>
      <c r="H470" s="1" t="s">
        <v>1074</v>
      </c>
      <c r="I470" s="1" t="s">
        <v>70</v>
      </c>
      <c r="J470" s="1" t="s">
        <v>2242</v>
      </c>
      <c r="K470" s="1"/>
    </row>
    <row r="471" spans="1:11" ht="19" customHeight="1">
      <c r="A471" s="1" t="s">
        <v>2241</v>
      </c>
      <c r="B471" s="1" t="s">
        <v>906</v>
      </c>
      <c r="C471" s="4">
        <v>24.242000000000001</v>
      </c>
      <c r="D471" s="4">
        <v>120.7092</v>
      </c>
      <c r="E471" s="1" t="s">
        <v>1396</v>
      </c>
      <c r="F471" s="1">
        <v>1</v>
      </c>
      <c r="G471" s="1" t="s">
        <v>1262</v>
      </c>
      <c r="H471" s="1" t="s">
        <v>860</v>
      </c>
      <c r="I471" s="1" t="s">
        <v>75</v>
      </c>
      <c r="J471" s="1" t="s">
        <v>2243</v>
      </c>
      <c r="K471" s="1"/>
    </row>
    <row r="472" spans="1:11" ht="19" customHeight="1">
      <c r="A472" s="1" t="s">
        <v>2244</v>
      </c>
      <c r="B472" s="1" t="s">
        <v>907</v>
      </c>
      <c r="C472" s="4">
        <v>24.247</v>
      </c>
      <c r="D472" s="4">
        <v>120.728667</v>
      </c>
      <c r="E472" s="1" t="s">
        <v>1404</v>
      </c>
      <c r="F472" s="1">
        <v>1</v>
      </c>
      <c r="G472" s="1" t="s">
        <v>1263</v>
      </c>
      <c r="H472" s="1" t="s">
        <v>1074</v>
      </c>
      <c r="I472" s="1" t="s">
        <v>70</v>
      </c>
      <c r="J472" s="1" t="s">
        <v>2245</v>
      </c>
      <c r="K472" s="1"/>
    </row>
    <row r="473" spans="1:11" ht="19" customHeight="1">
      <c r="A473" s="1" t="s">
        <v>2244</v>
      </c>
      <c r="B473" s="1" t="s">
        <v>907</v>
      </c>
      <c r="C473" s="4">
        <v>24.249300000000002</v>
      </c>
      <c r="D473" s="4">
        <v>120.7208</v>
      </c>
      <c r="E473" s="1" t="s">
        <v>1396</v>
      </c>
      <c r="F473" s="1">
        <v>1</v>
      </c>
      <c r="G473" s="1" t="s">
        <v>1262</v>
      </c>
      <c r="H473" s="1" t="s">
        <v>860</v>
      </c>
      <c r="I473" s="1" t="s">
        <v>75</v>
      </c>
      <c r="J473" s="1" t="s">
        <v>2246</v>
      </c>
      <c r="K473" s="1"/>
    </row>
    <row r="474" spans="1:11" ht="19" customHeight="1">
      <c r="A474" s="1" t="s">
        <v>2247</v>
      </c>
      <c r="B474" s="1" t="s">
        <v>908</v>
      </c>
      <c r="C474" s="4">
        <v>24.307500000000001</v>
      </c>
      <c r="D474" s="4">
        <v>120.715</v>
      </c>
      <c r="E474" s="1" t="s">
        <v>1404</v>
      </c>
      <c r="F474" s="1">
        <v>1</v>
      </c>
      <c r="G474" s="1" t="s">
        <v>1263</v>
      </c>
      <c r="H474" s="1" t="s">
        <v>1074</v>
      </c>
      <c r="I474" s="1" t="s">
        <v>70</v>
      </c>
      <c r="J474" s="1" t="s">
        <v>2248</v>
      </c>
      <c r="K474" s="1"/>
    </row>
    <row r="475" spans="1:11" ht="19" customHeight="1">
      <c r="A475" s="1" t="s">
        <v>2247</v>
      </c>
      <c r="B475" s="1" t="s">
        <v>908</v>
      </c>
      <c r="C475" s="4">
        <v>24.309799999999999</v>
      </c>
      <c r="D475" s="4">
        <v>120.7072</v>
      </c>
      <c r="E475" s="1" t="s">
        <v>1396</v>
      </c>
      <c r="F475" s="1">
        <v>1</v>
      </c>
      <c r="G475" s="1" t="s">
        <v>1262</v>
      </c>
      <c r="H475" s="1" t="s">
        <v>860</v>
      </c>
      <c r="I475" s="1" t="s">
        <v>75</v>
      </c>
      <c r="J475" s="1" t="s">
        <v>2249</v>
      </c>
      <c r="K475" s="1"/>
    </row>
    <row r="476" spans="1:11" ht="19" customHeight="1">
      <c r="A476" s="1" t="s">
        <v>2250</v>
      </c>
      <c r="B476" s="1" t="s">
        <v>909</v>
      </c>
      <c r="C476" s="4">
        <v>24.244333000000001</v>
      </c>
      <c r="D476" s="4">
        <v>120.609167</v>
      </c>
      <c r="E476" s="1" t="s">
        <v>1404</v>
      </c>
      <c r="F476" s="1">
        <v>1</v>
      </c>
      <c r="G476" s="1" t="s">
        <v>1263</v>
      </c>
      <c r="H476" s="1" t="s">
        <v>1074</v>
      </c>
      <c r="I476" s="1" t="s">
        <v>70</v>
      </c>
      <c r="J476" s="1" t="s">
        <v>2251</v>
      </c>
      <c r="K476" s="1"/>
    </row>
    <row r="477" spans="1:11" ht="19" customHeight="1">
      <c r="A477" s="1" t="s">
        <v>2250</v>
      </c>
      <c r="B477" s="1" t="s">
        <v>909</v>
      </c>
      <c r="C477" s="4">
        <v>24.2455</v>
      </c>
      <c r="D477" s="4">
        <v>120.6018</v>
      </c>
      <c r="E477" s="1" t="s">
        <v>1396</v>
      </c>
      <c r="F477" s="1">
        <v>1</v>
      </c>
      <c r="G477" s="1" t="s">
        <v>1262</v>
      </c>
      <c r="H477" s="1" t="s">
        <v>860</v>
      </c>
      <c r="I477" s="1" t="s">
        <v>75</v>
      </c>
      <c r="J477" s="1" t="s">
        <v>2252</v>
      </c>
      <c r="K477" s="1"/>
    </row>
    <row r="478" spans="1:11" ht="19" customHeight="1">
      <c r="A478" s="1" t="s">
        <v>2253</v>
      </c>
      <c r="B478" s="1" t="s">
        <v>1066</v>
      </c>
      <c r="C478" s="4">
        <v>23.855699999999999</v>
      </c>
      <c r="D478" s="4">
        <v>120.58880000000001</v>
      </c>
      <c r="E478" s="1" t="s">
        <v>1404</v>
      </c>
      <c r="F478" s="1">
        <v>1</v>
      </c>
      <c r="G478" s="1" t="s">
        <v>1263</v>
      </c>
      <c r="H478" s="1" t="s">
        <v>1065</v>
      </c>
      <c r="I478" s="1" t="s">
        <v>70</v>
      </c>
      <c r="J478" s="1" t="s">
        <v>2254</v>
      </c>
      <c r="K478" s="1"/>
    </row>
    <row r="479" spans="1:11" ht="19" customHeight="1">
      <c r="A479" s="1" t="s">
        <v>2255</v>
      </c>
      <c r="B479" s="1" t="s">
        <v>1146</v>
      </c>
      <c r="C479" s="4">
        <v>23.913830000000001</v>
      </c>
      <c r="D479" s="4">
        <v>120.6918</v>
      </c>
      <c r="E479" s="1" t="s">
        <v>1404</v>
      </c>
      <c r="F479" s="1">
        <v>2</v>
      </c>
      <c r="G479" s="1" t="s">
        <v>1263</v>
      </c>
      <c r="H479" s="1" t="s">
        <v>2256</v>
      </c>
      <c r="I479" s="1" t="s">
        <v>70</v>
      </c>
      <c r="J479" s="1" t="s">
        <v>2257</v>
      </c>
      <c r="K479" s="1"/>
    </row>
    <row r="480" spans="1:11" ht="19" customHeight="1">
      <c r="A480" s="1" t="s">
        <v>2258</v>
      </c>
      <c r="B480" s="1" t="s">
        <v>1178</v>
      </c>
      <c r="C480" s="4">
        <v>23.95317</v>
      </c>
      <c r="D480" s="4">
        <v>120.6905</v>
      </c>
      <c r="E480" s="1" t="s">
        <v>1404</v>
      </c>
      <c r="F480" s="1">
        <v>1</v>
      </c>
      <c r="G480" s="1" t="s">
        <v>1263</v>
      </c>
      <c r="H480" s="1" t="s">
        <v>647</v>
      </c>
      <c r="I480" s="1" t="s">
        <v>70</v>
      </c>
      <c r="J480" s="1" t="s">
        <v>2259</v>
      </c>
      <c r="K480" s="1"/>
    </row>
    <row r="481" spans="1:11" ht="19" customHeight="1">
      <c r="A481" s="1" t="s">
        <v>2260</v>
      </c>
      <c r="B481" s="1" t="s">
        <v>1181</v>
      </c>
      <c r="C481" s="4">
        <v>23.76333</v>
      </c>
      <c r="D481" s="4">
        <v>120.6862</v>
      </c>
      <c r="E481" s="1" t="s">
        <v>1404</v>
      </c>
      <c r="F481" s="1">
        <v>1</v>
      </c>
      <c r="G481" s="1" t="s">
        <v>1263</v>
      </c>
      <c r="H481" s="1" t="s">
        <v>652</v>
      </c>
      <c r="I481" s="1" t="s">
        <v>70</v>
      </c>
      <c r="J481" s="1" t="s">
        <v>2261</v>
      </c>
      <c r="K481" s="1"/>
    </row>
    <row r="482" spans="1:11" ht="19" customHeight="1">
      <c r="A482" s="1" t="s">
        <v>2262</v>
      </c>
      <c r="B482" s="1" t="s">
        <v>910</v>
      </c>
      <c r="C482" s="4">
        <v>24.4145</v>
      </c>
      <c r="D482" s="4">
        <v>120.769667</v>
      </c>
      <c r="E482" s="1" t="s">
        <v>1404</v>
      </c>
      <c r="F482" s="1">
        <v>1</v>
      </c>
      <c r="G482" s="1" t="s">
        <v>1263</v>
      </c>
      <c r="H482" s="1" t="s">
        <v>1074</v>
      </c>
      <c r="I482" s="1" t="s">
        <v>70</v>
      </c>
      <c r="J482" s="1" t="s">
        <v>2263</v>
      </c>
      <c r="K482" s="1"/>
    </row>
    <row r="483" spans="1:11" ht="19" customHeight="1">
      <c r="A483" s="1" t="s">
        <v>2262</v>
      </c>
      <c r="B483" s="1" t="s">
        <v>910</v>
      </c>
      <c r="C483" s="4">
        <v>24.4162</v>
      </c>
      <c r="D483" s="4">
        <v>120.7607</v>
      </c>
      <c r="E483" s="1" t="s">
        <v>1396</v>
      </c>
      <c r="F483" s="1">
        <v>1</v>
      </c>
      <c r="G483" s="1" t="s">
        <v>1262</v>
      </c>
      <c r="H483" s="1" t="s">
        <v>860</v>
      </c>
      <c r="I483" s="1" t="s">
        <v>75</v>
      </c>
      <c r="J483" s="1" t="s">
        <v>2264</v>
      </c>
      <c r="K483" s="1"/>
    </row>
    <row r="484" spans="1:11" ht="19" customHeight="1">
      <c r="A484" s="1" t="s">
        <v>2265</v>
      </c>
      <c r="B484" s="1" t="s">
        <v>1080</v>
      </c>
      <c r="C484" s="4">
        <v>23.8765</v>
      </c>
      <c r="D484" s="4">
        <v>120.6925</v>
      </c>
      <c r="E484" s="1" t="s">
        <v>1404</v>
      </c>
      <c r="F484" s="1">
        <v>1</v>
      </c>
      <c r="G484" s="1" t="s">
        <v>1263</v>
      </c>
      <c r="H484" s="1" t="s">
        <v>1074</v>
      </c>
      <c r="I484" s="1" t="s">
        <v>70</v>
      </c>
      <c r="J484" s="1" t="s">
        <v>2266</v>
      </c>
      <c r="K484" s="1"/>
    </row>
    <row r="485" spans="1:11" ht="19" customHeight="1">
      <c r="A485" s="1" t="s">
        <v>2267</v>
      </c>
      <c r="B485" s="1" t="s">
        <v>1072</v>
      </c>
      <c r="C485" s="4">
        <v>24.134333000000002</v>
      </c>
      <c r="D485" s="4">
        <v>120.659333</v>
      </c>
      <c r="E485" s="1" t="s">
        <v>1404</v>
      </c>
      <c r="F485" s="1">
        <v>2</v>
      </c>
      <c r="G485" s="1" t="s">
        <v>1263</v>
      </c>
      <c r="H485" s="1" t="s">
        <v>2182</v>
      </c>
      <c r="I485" s="1" t="s">
        <v>70</v>
      </c>
      <c r="J485" s="1" t="s">
        <v>2268</v>
      </c>
      <c r="K485" s="1"/>
    </row>
    <row r="486" spans="1:11" ht="19" customHeight="1">
      <c r="A486" s="1" t="s">
        <v>2269</v>
      </c>
      <c r="B486" s="1" t="s">
        <v>911</v>
      </c>
      <c r="C486" s="4">
        <v>24.258333</v>
      </c>
      <c r="D486" s="4">
        <v>120.65866699999999</v>
      </c>
      <c r="E486" s="1" t="s">
        <v>1404</v>
      </c>
      <c r="F486" s="1">
        <v>1</v>
      </c>
      <c r="G486" s="1" t="s">
        <v>1263</v>
      </c>
      <c r="H486" s="1" t="s">
        <v>1074</v>
      </c>
      <c r="I486" s="1" t="s">
        <v>70</v>
      </c>
      <c r="J486" s="1" t="s">
        <v>2270</v>
      </c>
      <c r="K486" s="1"/>
    </row>
    <row r="487" spans="1:11" ht="19" customHeight="1">
      <c r="A487" s="1" t="s">
        <v>2269</v>
      </c>
      <c r="B487" s="1" t="s">
        <v>911</v>
      </c>
      <c r="C487" s="4">
        <v>24.260300000000001</v>
      </c>
      <c r="D487" s="4">
        <v>120.65179999999999</v>
      </c>
      <c r="E487" s="1" t="s">
        <v>1396</v>
      </c>
      <c r="F487" s="1">
        <v>1</v>
      </c>
      <c r="G487" s="1" t="s">
        <v>1262</v>
      </c>
      <c r="H487" s="1" t="s">
        <v>860</v>
      </c>
      <c r="I487" s="1" t="s">
        <v>75</v>
      </c>
      <c r="J487" s="1" t="s">
        <v>2271</v>
      </c>
      <c r="K487" s="1"/>
    </row>
    <row r="488" spans="1:11" ht="19" customHeight="1">
      <c r="A488" s="1" t="s">
        <v>2272</v>
      </c>
      <c r="B488" s="1" t="s">
        <v>1081</v>
      </c>
      <c r="C488" s="4">
        <v>24.183499999999999</v>
      </c>
      <c r="D488" s="4">
        <v>120.930167</v>
      </c>
      <c r="E488" s="1" t="s">
        <v>1404</v>
      </c>
      <c r="F488" s="1">
        <v>1</v>
      </c>
      <c r="G488" s="1" t="s">
        <v>1263</v>
      </c>
      <c r="H488" s="1" t="s">
        <v>1074</v>
      </c>
      <c r="I488" s="1" t="s">
        <v>70</v>
      </c>
      <c r="J488" s="1" t="s">
        <v>2273</v>
      </c>
      <c r="K488" s="1"/>
    </row>
    <row r="489" spans="1:11" ht="19" customHeight="1">
      <c r="A489" s="1" t="s">
        <v>2274</v>
      </c>
      <c r="B489" s="1" t="s">
        <v>1067</v>
      </c>
      <c r="C489" s="4">
        <v>23.920500000000001</v>
      </c>
      <c r="D489" s="4">
        <v>120.602833</v>
      </c>
      <c r="E489" s="1" t="s">
        <v>1404</v>
      </c>
      <c r="F489" s="1">
        <v>1</v>
      </c>
      <c r="G489" s="1" t="s">
        <v>1263</v>
      </c>
      <c r="H489" s="1" t="s">
        <v>1065</v>
      </c>
      <c r="I489" s="1" t="s">
        <v>70</v>
      </c>
      <c r="J489" s="1" t="s">
        <v>2275</v>
      </c>
      <c r="K489" s="1"/>
    </row>
    <row r="490" spans="1:11" ht="19" customHeight="1">
      <c r="A490" s="1" t="s">
        <v>2276</v>
      </c>
      <c r="B490" s="1" t="s">
        <v>1179</v>
      </c>
      <c r="C490" s="4">
        <v>23.879829999999998</v>
      </c>
      <c r="D490" s="4">
        <v>120.7632</v>
      </c>
      <c r="E490" s="1" t="s">
        <v>1404</v>
      </c>
      <c r="F490" s="1">
        <v>1</v>
      </c>
      <c r="G490" s="1" t="s">
        <v>1263</v>
      </c>
      <c r="H490" s="1" t="s">
        <v>647</v>
      </c>
      <c r="I490" s="1" t="s">
        <v>70</v>
      </c>
      <c r="J490" s="1" t="s">
        <v>2277</v>
      </c>
      <c r="K490" s="1"/>
    </row>
    <row r="491" spans="1:11" ht="19" customHeight="1">
      <c r="A491" s="1" t="s">
        <v>2278</v>
      </c>
      <c r="B491" s="1" t="s">
        <v>1182</v>
      </c>
      <c r="C491" s="4">
        <v>23.6645</v>
      </c>
      <c r="D491" s="4">
        <v>120.7685</v>
      </c>
      <c r="E491" s="1" t="s">
        <v>1404</v>
      </c>
      <c r="F491" s="1">
        <v>1</v>
      </c>
      <c r="G491" s="1" t="s">
        <v>1263</v>
      </c>
      <c r="H491" s="1" t="s">
        <v>652</v>
      </c>
      <c r="I491" s="1" t="s">
        <v>70</v>
      </c>
      <c r="J491" s="1" t="s">
        <v>2279</v>
      </c>
      <c r="K491" s="1"/>
    </row>
    <row r="492" spans="1:11" ht="19" customHeight="1">
      <c r="A492" s="1" t="s">
        <v>2280</v>
      </c>
      <c r="B492" s="1" t="s">
        <v>1224</v>
      </c>
      <c r="C492" s="4">
        <v>23.137080000000001</v>
      </c>
      <c r="D492" s="4">
        <v>120.30697000000001</v>
      </c>
      <c r="E492" s="1" t="s">
        <v>1396</v>
      </c>
      <c r="F492" s="1">
        <v>1</v>
      </c>
      <c r="G492" s="1" t="s">
        <v>1264</v>
      </c>
      <c r="H492" s="1" t="s">
        <v>1797</v>
      </c>
      <c r="I492" s="1" t="s">
        <v>70</v>
      </c>
      <c r="J492" s="1" t="s">
        <v>2281</v>
      </c>
      <c r="K492" s="1"/>
    </row>
    <row r="493" spans="1:11" ht="19" customHeight="1">
      <c r="A493" s="1" t="s">
        <v>2280</v>
      </c>
      <c r="B493" s="1" t="s">
        <v>1224</v>
      </c>
      <c r="C493" s="4">
        <v>23.137080000000001</v>
      </c>
      <c r="D493" s="4">
        <v>120.30697000000001</v>
      </c>
      <c r="E493" s="1" t="s">
        <v>1404</v>
      </c>
      <c r="F493" s="1">
        <v>1</v>
      </c>
      <c r="G493" s="1" t="s">
        <v>1263</v>
      </c>
      <c r="H493" s="1" t="s">
        <v>1202</v>
      </c>
      <c r="I493" s="1" t="s">
        <v>70</v>
      </c>
      <c r="J493" s="1" t="s">
        <v>2281</v>
      </c>
      <c r="K493" s="1"/>
    </row>
    <row r="494" spans="1:11" ht="19" customHeight="1">
      <c r="A494" s="1" t="s">
        <v>2282</v>
      </c>
      <c r="B494" s="1" t="s">
        <v>1240</v>
      </c>
      <c r="C494" s="4">
        <v>24.000299999999999</v>
      </c>
      <c r="D494" s="4">
        <v>121.60380000000001</v>
      </c>
      <c r="E494" s="1" t="s">
        <v>1396</v>
      </c>
      <c r="F494" s="1">
        <v>1</v>
      </c>
      <c r="G494" s="1" t="s">
        <v>1264</v>
      </c>
      <c r="H494" s="1" t="s">
        <v>1924</v>
      </c>
      <c r="I494" s="1" t="s">
        <v>70</v>
      </c>
      <c r="J494" s="1" t="s">
        <v>2283</v>
      </c>
      <c r="K494" s="1"/>
    </row>
    <row r="495" spans="1:11" ht="19" customHeight="1">
      <c r="A495" s="1" t="s">
        <v>2282</v>
      </c>
      <c r="B495" s="1" t="s">
        <v>1240</v>
      </c>
      <c r="C495" s="4">
        <v>24.000299999999999</v>
      </c>
      <c r="D495" s="4">
        <v>121.60380000000001</v>
      </c>
      <c r="E495" s="1" t="s">
        <v>1404</v>
      </c>
      <c r="F495" s="1">
        <v>1</v>
      </c>
      <c r="G495" s="1" t="s">
        <v>1263</v>
      </c>
      <c r="H495" s="1" t="s">
        <v>1225</v>
      </c>
      <c r="I495" s="1" t="s">
        <v>70</v>
      </c>
      <c r="J495" s="1" t="s">
        <v>2283</v>
      </c>
      <c r="K495" s="1"/>
    </row>
    <row r="496" spans="1:11" ht="19" customHeight="1">
      <c r="A496" s="1" t="s">
        <v>2284</v>
      </c>
      <c r="B496" s="1" t="s">
        <v>1131</v>
      </c>
      <c r="C496" s="4">
        <v>22.781333</v>
      </c>
      <c r="D496" s="4">
        <v>121.119333</v>
      </c>
      <c r="E496" s="1" t="s">
        <v>1404</v>
      </c>
      <c r="F496" s="1">
        <v>1</v>
      </c>
      <c r="G496" s="1" t="s">
        <v>1263</v>
      </c>
      <c r="H496" s="1" t="s">
        <v>577</v>
      </c>
      <c r="I496" s="1" t="s">
        <v>70</v>
      </c>
      <c r="J496" s="1" t="s">
        <v>2285</v>
      </c>
      <c r="K496" s="1"/>
    </row>
    <row r="497" spans="1:11" ht="19" customHeight="1">
      <c r="A497" s="1" t="s">
        <v>2286</v>
      </c>
      <c r="B497" s="1" t="s">
        <v>1132</v>
      </c>
      <c r="C497" s="4">
        <v>22.763999999999999</v>
      </c>
      <c r="D497" s="4">
        <v>121.14149999999999</v>
      </c>
      <c r="E497" s="1" t="s">
        <v>1404</v>
      </c>
      <c r="F497" s="1">
        <v>1</v>
      </c>
      <c r="G497" s="1" t="s">
        <v>1263</v>
      </c>
      <c r="H497" s="1" t="s">
        <v>577</v>
      </c>
      <c r="I497" s="1" t="s">
        <v>70</v>
      </c>
      <c r="J497" s="1" t="s">
        <v>2287</v>
      </c>
      <c r="K497" s="1"/>
    </row>
    <row r="498" spans="1:11" ht="19" customHeight="1">
      <c r="A498" s="1" t="s">
        <v>2288</v>
      </c>
      <c r="B498" s="1" t="s">
        <v>1133</v>
      </c>
      <c r="C498" s="4">
        <v>22.807333</v>
      </c>
      <c r="D498" s="4">
        <v>121.093833</v>
      </c>
      <c r="E498" s="1" t="s">
        <v>1404</v>
      </c>
      <c r="F498" s="1">
        <v>1</v>
      </c>
      <c r="G498" s="1" t="s">
        <v>1263</v>
      </c>
      <c r="H498" s="1" t="s">
        <v>577</v>
      </c>
      <c r="I498" s="1" t="s">
        <v>70</v>
      </c>
      <c r="J498" s="1" t="s">
        <v>2289</v>
      </c>
      <c r="K498" s="1"/>
    </row>
    <row r="499" spans="1:11" ht="19" customHeight="1">
      <c r="A499" s="1" t="s">
        <v>2290</v>
      </c>
      <c r="B499" s="1" t="s">
        <v>1126</v>
      </c>
      <c r="C499" s="4">
        <v>22.974</v>
      </c>
      <c r="D499" s="4">
        <v>121.156333</v>
      </c>
      <c r="E499" s="1" t="s">
        <v>1404</v>
      </c>
      <c r="F499" s="1">
        <v>1</v>
      </c>
      <c r="G499" s="1" t="s">
        <v>1263</v>
      </c>
      <c r="H499" s="1" t="s">
        <v>555</v>
      </c>
      <c r="I499" s="1" t="s">
        <v>70</v>
      </c>
      <c r="J499" s="1" t="s">
        <v>2291</v>
      </c>
      <c r="K499" s="1"/>
    </row>
    <row r="500" spans="1:11" ht="19" customHeight="1">
      <c r="A500" s="1" t="s">
        <v>2292</v>
      </c>
      <c r="B500" s="1" t="s">
        <v>1134</v>
      </c>
      <c r="C500" s="4">
        <v>22.772167</v>
      </c>
      <c r="D500" s="4">
        <v>121.09099999999999</v>
      </c>
      <c r="E500" s="1" t="s">
        <v>1404</v>
      </c>
      <c r="F500" s="1">
        <v>1</v>
      </c>
      <c r="G500" s="1" t="s">
        <v>1263</v>
      </c>
      <c r="H500" s="1" t="s">
        <v>577</v>
      </c>
      <c r="I500" s="1" t="s">
        <v>70</v>
      </c>
      <c r="J500" s="1" t="s">
        <v>2293</v>
      </c>
      <c r="K500" s="1"/>
    </row>
    <row r="501" spans="1:11" ht="19" customHeight="1">
      <c r="A501" s="1" t="s">
        <v>2292</v>
      </c>
      <c r="B501" s="1" t="s">
        <v>1134</v>
      </c>
      <c r="C501" s="4">
        <v>22.772200000000002</v>
      </c>
      <c r="D501" s="4">
        <v>121.09099999999999</v>
      </c>
      <c r="E501" s="1" t="s">
        <v>1404</v>
      </c>
      <c r="F501" s="1">
        <v>1</v>
      </c>
      <c r="G501" s="1" t="s">
        <v>1263</v>
      </c>
      <c r="H501" s="1" t="s">
        <v>589</v>
      </c>
      <c r="I501" s="1" t="s">
        <v>70</v>
      </c>
      <c r="J501" s="1" t="s">
        <v>2294</v>
      </c>
      <c r="K501" s="1"/>
    </row>
    <row r="502" spans="1:11" ht="19" customHeight="1">
      <c r="A502" s="1" t="s">
        <v>2295</v>
      </c>
      <c r="B502" s="1" t="s">
        <v>1135</v>
      </c>
      <c r="C502" s="4">
        <v>22.730499999999999</v>
      </c>
      <c r="D502" s="4">
        <v>121.107333</v>
      </c>
      <c r="E502" s="1" t="s">
        <v>1404</v>
      </c>
      <c r="F502" s="1">
        <v>1</v>
      </c>
      <c r="G502" s="1" t="s">
        <v>1263</v>
      </c>
      <c r="H502" s="1" t="s">
        <v>577</v>
      </c>
      <c r="I502" s="1" t="s">
        <v>70</v>
      </c>
      <c r="J502" s="1" t="s">
        <v>2296</v>
      </c>
      <c r="K502" s="1"/>
    </row>
    <row r="503" spans="1:11" ht="19" customHeight="1">
      <c r="A503" s="1" t="s">
        <v>2297</v>
      </c>
      <c r="B503" s="1" t="s">
        <v>1136</v>
      </c>
      <c r="C503" s="4">
        <v>22.764973000000001</v>
      </c>
      <c r="D503" s="4">
        <v>121.145516</v>
      </c>
      <c r="E503" s="1" t="s">
        <v>1404</v>
      </c>
      <c r="F503" s="1">
        <v>1</v>
      </c>
      <c r="G503" s="1" t="s">
        <v>1263</v>
      </c>
      <c r="H503" s="1" t="s">
        <v>577</v>
      </c>
      <c r="I503" s="1" t="s">
        <v>70</v>
      </c>
      <c r="J503" s="1" t="s">
        <v>2298</v>
      </c>
      <c r="K503" s="1"/>
    </row>
    <row r="504" spans="1:11" ht="19" customHeight="1">
      <c r="A504" s="1" t="s">
        <v>2299</v>
      </c>
      <c r="B504" s="1" t="s">
        <v>912</v>
      </c>
      <c r="C504" s="4">
        <v>23.686199999999999</v>
      </c>
      <c r="D504" s="4">
        <v>120.5622</v>
      </c>
      <c r="E504" s="1" t="s">
        <v>1396</v>
      </c>
      <c r="F504" s="1">
        <v>1</v>
      </c>
      <c r="G504" s="1" t="s">
        <v>1262</v>
      </c>
      <c r="H504" s="1" t="s">
        <v>860</v>
      </c>
      <c r="I504" s="1" t="s">
        <v>75</v>
      </c>
      <c r="J504" s="1" t="s">
        <v>2300</v>
      </c>
      <c r="K504" s="1"/>
    </row>
    <row r="505" spans="1:11" ht="19" customHeight="1">
      <c r="A505" s="1" t="s">
        <v>2301</v>
      </c>
      <c r="B505" s="1" t="s">
        <v>746</v>
      </c>
      <c r="C505" s="4">
        <v>32.621000000000002</v>
      </c>
      <c r="D505" s="4">
        <v>-115.301</v>
      </c>
      <c r="E505" s="1" t="s">
        <v>1396</v>
      </c>
      <c r="F505" s="1">
        <v>1</v>
      </c>
      <c r="G505" s="1" t="s">
        <v>1262</v>
      </c>
      <c r="H505" s="1" t="s">
        <v>745</v>
      </c>
      <c r="I505" s="1" t="s">
        <v>75</v>
      </c>
      <c r="J505" s="1" t="s">
        <v>2302</v>
      </c>
      <c r="K505" s="1"/>
    </row>
    <row r="506" spans="1:11" ht="19" customHeight="1">
      <c r="A506" s="1" t="s">
        <v>2301</v>
      </c>
      <c r="B506" s="1" t="s">
        <v>746</v>
      </c>
      <c r="C506" s="4">
        <v>32.621000000000002</v>
      </c>
      <c r="D506" s="4">
        <v>-115.301</v>
      </c>
      <c r="E506" s="1" t="s">
        <v>1404</v>
      </c>
      <c r="F506" s="1">
        <v>1</v>
      </c>
      <c r="G506" s="1" t="s">
        <v>1263</v>
      </c>
      <c r="H506" s="1" t="s">
        <v>1037</v>
      </c>
      <c r="I506" s="1" t="s">
        <v>70</v>
      </c>
      <c r="J506" s="1" t="s">
        <v>2303</v>
      </c>
      <c r="K506" s="1"/>
    </row>
    <row r="507" spans="1:11" ht="19" customHeight="1">
      <c r="A507" s="1" t="s">
        <v>2304</v>
      </c>
      <c r="B507" s="1" t="s">
        <v>818</v>
      </c>
      <c r="C507" s="4">
        <v>37.784999999999997</v>
      </c>
      <c r="D507" s="4">
        <v>-122.303</v>
      </c>
      <c r="E507" s="1" t="s">
        <v>1396</v>
      </c>
      <c r="F507" s="1">
        <v>1</v>
      </c>
      <c r="G507" s="1" t="s">
        <v>1262</v>
      </c>
      <c r="H507" s="1" t="s">
        <v>817</v>
      </c>
      <c r="I507" s="1" t="s">
        <v>75</v>
      </c>
      <c r="J507" s="1" t="s">
        <v>2305</v>
      </c>
      <c r="K507" s="1"/>
    </row>
    <row r="508" spans="1:11" ht="19" customHeight="1">
      <c r="A508" s="1" t="s">
        <v>2306</v>
      </c>
      <c r="B508" s="1" t="s">
        <v>766</v>
      </c>
      <c r="C508" s="4">
        <v>36.232999999999997</v>
      </c>
      <c r="D508" s="4">
        <v>-120.333</v>
      </c>
      <c r="E508" s="1" t="s">
        <v>1396</v>
      </c>
      <c r="F508" s="1">
        <v>1</v>
      </c>
      <c r="G508" s="1" t="s">
        <v>1262</v>
      </c>
      <c r="H508" s="1" t="s">
        <v>326</v>
      </c>
      <c r="I508" s="1" t="s">
        <v>75</v>
      </c>
      <c r="J508" s="1" t="s">
        <v>2307</v>
      </c>
      <c r="K508" s="1"/>
    </row>
    <row r="509" spans="1:11" ht="19" customHeight="1">
      <c r="A509" s="1" t="s">
        <v>2308</v>
      </c>
      <c r="B509" s="1" t="s">
        <v>767</v>
      </c>
      <c r="C509" s="4">
        <v>36.232999999999997</v>
      </c>
      <c r="D509" s="4">
        <v>-120.333</v>
      </c>
      <c r="E509" s="1" t="s">
        <v>1396</v>
      </c>
      <c r="F509" s="1">
        <v>1</v>
      </c>
      <c r="G509" s="1" t="s">
        <v>1262</v>
      </c>
      <c r="H509" s="1" t="s">
        <v>326</v>
      </c>
      <c r="I509" s="1" t="s">
        <v>75</v>
      </c>
      <c r="J509" s="1" t="s">
        <v>2309</v>
      </c>
      <c r="K509" s="1"/>
    </row>
    <row r="510" spans="1:11" ht="19" customHeight="1">
      <c r="A510" s="1" t="s">
        <v>2310</v>
      </c>
      <c r="B510" s="1" t="s">
        <v>834</v>
      </c>
      <c r="C510" s="4">
        <v>34.887</v>
      </c>
      <c r="D510" s="4">
        <v>-117.047</v>
      </c>
      <c r="E510" s="1" t="s">
        <v>1396</v>
      </c>
      <c r="F510" s="1">
        <v>1</v>
      </c>
      <c r="G510" s="1" t="s">
        <v>1262</v>
      </c>
      <c r="H510" s="1" t="s">
        <v>833</v>
      </c>
      <c r="I510" s="1" t="s">
        <v>75</v>
      </c>
      <c r="J510" s="1" t="s">
        <v>2311</v>
      </c>
      <c r="K510" s="1"/>
    </row>
    <row r="511" spans="1:11" ht="19" customHeight="1">
      <c r="A511" s="1" t="s">
        <v>2310</v>
      </c>
      <c r="B511" s="1" t="s">
        <v>834</v>
      </c>
      <c r="C511" s="4">
        <v>34.887</v>
      </c>
      <c r="D511" s="4">
        <v>-117.047</v>
      </c>
      <c r="E511" s="1" t="s">
        <v>1404</v>
      </c>
      <c r="F511" s="1">
        <v>1</v>
      </c>
      <c r="G511" s="1" t="s">
        <v>1263</v>
      </c>
      <c r="H511" s="1" t="s">
        <v>1058</v>
      </c>
      <c r="I511" s="1" t="s">
        <v>70</v>
      </c>
      <c r="J511" s="1" t="s">
        <v>2312</v>
      </c>
      <c r="K511" s="1"/>
    </row>
    <row r="512" spans="1:11" ht="19" customHeight="1">
      <c r="A512" s="1" t="s">
        <v>2313</v>
      </c>
      <c r="B512" s="1" t="s">
        <v>807</v>
      </c>
      <c r="C512" s="4">
        <v>33.965000000000003</v>
      </c>
      <c r="D512" s="4">
        <v>-118.158</v>
      </c>
      <c r="E512" s="1" t="s">
        <v>1396</v>
      </c>
      <c r="F512" s="1">
        <v>1</v>
      </c>
      <c r="G512" s="1" t="s">
        <v>1262</v>
      </c>
      <c r="H512" s="1" t="s">
        <v>387</v>
      </c>
      <c r="I512" s="1" t="s">
        <v>75</v>
      </c>
      <c r="J512" s="1" t="s">
        <v>2314</v>
      </c>
      <c r="K512" s="1"/>
    </row>
    <row r="513" spans="1:11" ht="19" customHeight="1">
      <c r="A513" s="1" t="s">
        <v>2315</v>
      </c>
      <c r="B513" s="1" t="s">
        <v>747</v>
      </c>
      <c r="C513" s="4">
        <v>32.991</v>
      </c>
      <c r="D513" s="4">
        <v>-115.51300000000001</v>
      </c>
      <c r="E513" s="1" t="s">
        <v>1396</v>
      </c>
      <c r="F513" s="1">
        <v>1</v>
      </c>
      <c r="G513" s="1" t="s">
        <v>1262</v>
      </c>
      <c r="H513" s="1" t="s">
        <v>745</v>
      </c>
      <c r="I513" s="1" t="s">
        <v>75</v>
      </c>
      <c r="J513" s="1" t="s">
        <v>2316</v>
      </c>
      <c r="K513" s="1"/>
    </row>
    <row r="514" spans="1:11" ht="19" customHeight="1">
      <c r="A514" s="1" t="s">
        <v>2315</v>
      </c>
      <c r="B514" s="1" t="s">
        <v>747</v>
      </c>
      <c r="C514" s="4">
        <v>32.991</v>
      </c>
      <c r="D514" s="4">
        <v>-115.51300000000001</v>
      </c>
      <c r="E514" s="1" t="s">
        <v>1404</v>
      </c>
      <c r="F514" s="1">
        <v>1</v>
      </c>
      <c r="G514" s="1" t="s">
        <v>1263</v>
      </c>
      <c r="H514" s="1" t="s">
        <v>1037</v>
      </c>
      <c r="I514" s="1" t="s">
        <v>70</v>
      </c>
      <c r="J514" s="1" t="s">
        <v>2317</v>
      </c>
      <c r="K514" s="1"/>
    </row>
    <row r="515" spans="1:11" ht="19" customHeight="1">
      <c r="A515" s="1" t="s">
        <v>2318</v>
      </c>
      <c r="B515" s="1" t="s">
        <v>830</v>
      </c>
      <c r="C515" s="4">
        <v>40.497599999999998</v>
      </c>
      <c r="D515" s="4">
        <v>-124.2945</v>
      </c>
      <c r="E515" s="1" t="s">
        <v>1396</v>
      </c>
      <c r="F515" s="1">
        <v>1</v>
      </c>
      <c r="G515" s="1" t="s">
        <v>1262</v>
      </c>
      <c r="H515" s="1" t="s">
        <v>828</v>
      </c>
      <c r="I515" s="1" t="s">
        <v>75</v>
      </c>
      <c r="J515" s="1" t="s">
        <v>2319</v>
      </c>
      <c r="K515" s="1"/>
    </row>
    <row r="516" spans="1:11" ht="19" customHeight="1">
      <c r="A516" s="1" t="s">
        <v>2318</v>
      </c>
      <c r="B516" s="1" t="s">
        <v>830</v>
      </c>
      <c r="C516" s="4">
        <v>40.497599999999998</v>
      </c>
      <c r="D516" s="4">
        <v>-124.2945</v>
      </c>
      <c r="E516" s="1" t="s">
        <v>1404</v>
      </c>
      <c r="F516" s="1">
        <v>1</v>
      </c>
      <c r="G516" s="1" t="s">
        <v>1263</v>
      </c>
      <c r="H516" s="1" t="s">
        <v>1056</v>
      </c>
      <c r="I516" s="1" t="s">
        <v>70</v>
      </c>
      <c r="J516" s="1" t="s">
        <v>2320</v>
      </c>
      <c r="K516" s="1"/>
    </row>
    <row r="517" spans="1:11" ht="19" customHeight="1">
      <c r="A517" s="1" t="s">
        <v>2321</v>
      </c>
      <c r="B517" s="1" t="s">
        <v>828</v>
      </c>
      <c r="C517" s="4">
        <v>40.347999999999999</v>
      </c>
      <c r="D517" s="4">
        <v>-124.352</v>
      </c>
      <c r="E517" s="1" t="s">
        <v>1396</v>
      </c>
      <c r="F517" s="1">
        <v>1</v>
      </c>
      <c r="G517" s="1" t="s">
        <v>1262</v>
      </c>
      <c r="H517" s="1" t="s">
        <v>828</v>
      </c>
      <c r="I517" s="1" t="s">
        <v>75</v>
      </c>
      <c r="J517" s="1" t="s">
        <v>2322</v>
      </c>
      <c r="K517" s="1"/>
    </row>
    <row r="518" spans="1:11" ht="19" customHeight="1">
      <c r="A518" s="1" t="s">
        <v>2323</v>
      </c>
      <c r="B518" s="1" t="s">
        <v>831</v>
      </c>
      <c r="C518" s="4">
        <v>40.563000000000002</v>
      </c>
      <c r="D518" s="4">
        <v>-124.348</v>
      </c>
      <c r="E518" s="1" t="s">
        <v>1396</v>
      </c>
      <c r="F518" s="1">
        <v>1</v>
      </c>
      <c r="G518" s="1" t="s">
        <v>1262</v>
      </c>
      <c r="H518" s="1" t="s">
        <v>828</v>
      </c>
      <c r="I518" s="1" t="s">
        <v>75</v>
      </c>
      <c r="J518" s="1" t="s">
        <v>2324</v>
      </c>
      <c r="K518" s="1"/>
    </row>
    <row r="519" spans="1:11" ht="19" customHeight="1">
      <c r="A519" s="1" t="s">
        <v>2323</v>
      </c>
      <c r="B519" s="1" t="s">
        <v>1057</v>
      </c>
      <c r="C519" s="4">
        <v>40.563000000000002</v>
      </c>
      <c r="D519" s="4">
        <v>-124.348</v>
      </c>
      <c r="E519" s="1" t="s">
        <v>1404</v>
      </c>
      <c r="F519" s="1">
        <v>1</v>
      </c>
      <c r="G519" s="1" t="s">
        <v>1263</v>
      </c>
      <c r="H519" s="1" t="s">
        <v>1056</v>
      </c>
      <c r="I519" s="1" t="s">
        <v>70</v>
      </c>
      <c r="J519" s="1" t="s">
        <v>2325</v>
      </c>
      <c r="K519" s="1"/>
    </row>
    <row r="520" spans="1:11" ht="19" customHeight="1">
      <c r="A520" s="1" t="s">
        <v>2326</v>
      </c>
      <c r="B520" s="1" t="s">
        <v>769</v>
      </c>
      <c r="C520" s="4">
        <v>36.151000000000003</v>
      </c>
      <c r="D520" s="4">
        <v>-120.35299999999999</v>
      </c>
      <c r="E520" s="1" t="s">
        <v>1396</v>
      </c>
      <c r="F520" s="1">
        <v>1</v>
      </c>
      <c r="G520" s="1" t="s">
        <v>1262</v>
      </c>
      <c r="H520" s="1" t="s">
        <v>339</v>
      </c>
      <c r="I520" s="1" t="s">
        <v>75</v>
      </c>
      <c r="J520" s="1" t="s">
        <v>2327</v>
      </c>
      <c r="K520" s="1"/>
    </row>
    <row r="521" spans="1:11" ht="19" customHeight="1">
      <c r="A521" s="1" t="s">
        <v>2328</v>
      </c>
      <c r="B521" s="1" t="s">
        <v>808</v>
      </c>
      <c r="C521" s="4">
        <v>33.899000000000001</v>
      </c>
      <c r="D521" s="4">
        <v>-118.196</v>
      </c>
      <c r="E521" s="1" t="s">
        <v>1396</v>
      </c>
      <c r="F521" s="1">
        <v>1</v>
      </c>
      <c r="G521" s="1" t="s">
        <v>1262</v>
      </c>
      <c r="H521" s="1" t="s">
        <v>387</v>
      </c>
      <c r="I521" s="1" t="s">
        <v>75</v>
      </c>
      <c r="J521" s="1" t="s">
        <v>2329</v>
      </c>
      <c r="K521" s="1"/>
    </row>
    <row r="522" spans="1:11" ht="19" customHeight="1">
      <c r="A522" s="1" t="s">
        <v>2330</v>
      </c>
      <c r="B522" s="1" t="s">
        <v>1050</v>
      </c>
      <c r="C522" s="4">
        <v>37.118000000000002</v>
      </c>
      <c r="D522" s="4">
        <v>-121.55</v>
      </c>
      <c r="E522" s="1" t="s">
        <v>1404</v>
      </c>
      <c r="F522" s="1">
        <v>1</v>
      </c>
      <c r="G522" s="1" t="s">
        <v>1263</v>
      </c>
      <c r="H522" s="1" t="s">
        <v>1049</v>
      </c>
      <c r="I522" s="1" t="s">
        <v>70</v>
      </c>
      <c r="J522" s="1" t="s">
        <v>2331</v>
      </c>
      <c r="K522" s="1"/>
    </row>
    <row r="523" spans="1:11" ht="19" customHeight="1">
      <c r="A523" s="1" t="s">
        <v>2332</v>
      </c>
      <c r="B523" s="1" t="s">
        <v>771</v>
      </c>
      <c r="C523" s="4">
        <v>37.118000000000002</v>
      </c>
      <c r="D523" s="4">
        <v>-121.55</v>
      </c>
      <c r="E523" s="1" t="s">
        <v>1396</v>
      </c>
      <c r="F523" s="1">
        <v>1</v>
      </c>
      <c r="G523" s="1" t="s">
        <v>1262</v>
      </c>
      <c r="H523" s="1" t="s">
        <v>770</v>
      </c>
      <c r="I523" s="1" t="s">
        <v>75</v>
      </c>
      <c r="J523" s="1" t="s">
        <v>2333</v>
      </c>
      <c r="K523" s="1"/>
    </row>
    <row r="524" spans="1:11" ht="19" customHeight="1">
      <c r="A524" s="1" t="s">
        <v>2334</v>
      </c>
      <c r="B524" s="1" t="s">
        <v>809</v>
      </c>
      <c r="C524" s="4">
        <v>33.92</v>
      </c>
      <c r="D524" s="4">
        <v>-118.137</v>
      </c>
      <c r="E524" s="1" t="s">
        <v>1396</v>
      </c>
      <c r="F524" s="1">
        <v>1</v>
      </c>
      <c r="G524" s="1" t="s">
        <v>1262</v>
      </c>
      <c r="H524" s="1" t="s">
        <v>387</v>
      </c>
      <c r="I524" s="1" t="s">
        <v>75</v>
      </c>
      <c r="J524" s="1" t="s">
        <v>2335</v>
      </c>
      <c r="K524" s="1"/>
    </row>
    <row r="525" spans="1:11" ht="19" customHeight="1">
      <c r="A525" s="1" t="s">
        <v>2336</v>
      </c>
      <c r="B525" s="1" t="s">
        <v>810</v>
      </c>
      <c r="C525" s="4">
        <v>33.923999999999999</v>
      </c>
      <c r="D525" s="4">
        <v>-118.167</v>
      </c>
      <c r="E525" s="1" t="s">
        <v>1396</v>
      </c>
      <c r="F525" s="1">
        <v>1</v>
      </c>
      <c r="G525" s="1" t="s">
        <v>1262</v>
      </c>
      <c r="H525" s="1" t="s">
        <v>387</v>
      </c>
      <c r="I525" s="1" t="s">
        <v>75</v>
      </c>
      <c r="J525" s="1" t="s">
        <v>2337</v>
      </c>
      <c r="K525" s="1"/>
    </row>
    <row r="526" spans="1:11" ht="19" customHeight="1">
      <c r="A526" s="1" t="s">
        <v>2338</v>
      </c>
      <c r="B526" s="1" t="s">
        <v>748</v>
      </c>
      <c r="C526" s="4">
        <v>32.792999999999999</v>
      </c>
      <c r="D526" s="4">
        <v>-115.562</v>
      </c>
      <c r="E526" s="1" t="s">
        <v>1396</v>
      </c>
      <c r="F526" s="1">
        <v>1</v>
      </c>
      <c r="G526" s="1" t="s">
        <v>1262</v>
      </c>
      <c r="H526" s="1" t="s">
        <v>745</v>
      </c>
      <c r="I526" s="1" t="s">
        <v>75</v>
      </c>
      <c r="J526" s="1" t="s">
        <v>2339</v>
      </c>
      <c r="K526" s="1"/>
    </row>
    <row r="527" spans="1:11" ht="19" customHeight="1">
      <c r="A527" s="1" t="s">
        <v>2338</v>
      </c>
      <c r="B527" s="1" t="s">
        <v>748</v>
      </c>
      <c r="C527" s="4">
        <v>32.792999999999999</v>
      </c>
      <c r="D527" s="4">
        <v>-115.562</v>
      </c>
      <c r="E527" s="1" t="s">
        <v>1404</v>
      </c>
      <c r="F527" s="1">
        <v>1</v>
      </c>
      <c r="G527" s="1" t="s">
        <v>1263</v>
      </c>
      <c r="H527" s="1" t="s">
        <v>1037</v>
      </c>
      <c r="I527" s="1" t="s">
        <v>70</v>
      </c>
      <c r="J527" s="1" t="s">
        <v>2340</v>
      </c>
      <c r="K527" s="1"/>
    </row>
    <row r="528" spans="1:11" ht="19" customHeight="1">
      <c r="A528" s="1" t="s">
        <v>2341</v>
      </c>
      <c r="B528" s="1" t="s">
        <v>750</v>
      </c>
      <c r="C528" s="4">
        <v>32.7806</v>
      </c>
      <c r="D528" s="4">
        <v>-115.5681</v>
      </c>
      <c r="E528" s="1" t="s">
        <v>1396</v>
      </c>
      <c r="F528" s="1">
        <v>1</v>
      </c>
      <c r="G528" s="1" t="s">
        <v>1262</v>
      </c>
      <c r="H528" s="1" t="s">
        <v>745</v>
      </c>
      <c r="I528" s="1" t="s">
        <v>75</v>
      </c>
      <c r="J528" s="1" t="s">
        <v>2342</v>
      </c>
      <c r="K528" s="1"/>
    </row>
    <row r="529" spans="1:11" ht="19" customHeight="1">
      <c r="A529" s="1" t="s">
        <v>2341</v>
      </c>
      <c r="B529" s="1" t="s">
        <v>1039</v>
      </c>
      <c r="C529" s="4">
        <v>32.7806</v>
      </c>
      <c r="D529" s="4">
        <v>-115.5681</v>
      </c>
      <c r="E529" s="1" t="s">
        <v>1404</v>
      </c>
      <c r="F529" s="1">
        <v>1</v>
      </c>
      <c r="G529" s="1" t="s">
        <v>1263</v>
      </c>
      <c r="H529" s="1" t="s">
        <v>1037</v>
      </c>
      <c r="I529" s="1" t="s">
        <v>70</v>
      </c>
      <c r="J529" s="1" t="s">
        <v>2343</v>
      </c>
      <c r="K529" s="1"/>
    </row>
    <row r="530" spans="1:11" ht="19" customHeight="1">
      <c r="A530" s="1" t="s">
        <v>2344</v>
      </c>
      <c r="B530" s="1" t="s">
        <v>751</v>
      </c>
      <c r="C530" s="4">
        <v>32.893999999999998</v>
      </c>
      <c r="D530" s="4">
        <v>-115.38</v>
      </c>
      <c r="E530" s="1" t="s">
        <v>1396</v>
      </c>
      <c r="F530" s="1">
        <v>1</v>
      </c>
      <c r="G530" s="1" t="s">
        <v>1262</v>
      </c>
      <c r="H530" s="1" t="s">
        <v>745</v>
      </c>
      <c r="I530" s="1" t="s">
        <v>75</v>
      </c>
      <c r="J530" s="1" t="s">
        <v>2345</v>
      </c>
      <c r="K530" s="1"/>
    </row>
    <row r="531" spans="1:11" ht="19" customHeight="1">
      <c r="A531" s="1" t="s">
        <v>2344</v>
      </c>
      <c r="B531" s="1" t="s">
        <v>1040</v>
      </c>
      <c r="C531" s="4">
        <v>32.893999999999998</v>
      </c>
      <c r="D531" s="4">
        <v>-115.38</v>
      </c>
      <c r="E531" s="1" t="s">
        <v>1404</v>
      </c>
      <c r="F531" s="1">
        <v>1</v>
      </c>
      <c r="G531" s="1" t="s">
        <v>1263</v>
      </c>
      <c r="H531" s="1" t="s">
        <v>1037</v>
      </c>
      <c r="I531" s="1" t="s">
        <v>70</v>
      </c>
      <c r="J531" s="1" t="s">
        <v>2346</v>
      </c>
      <c r="K531" s="1"/>
    </row>
    <row r="532" spans="1:11" ht="19" customHeight="1">
      <c r="A532" s="1" t="s">
        <v>2347</v>
      </c>
      <c r="B532" s="1" t="s">
        <v>752</v>
      </c>
      <c r="C532" s="4">
        <v>32.863999999999997</v>
      </c>
      <c r="D532" s="4">
        <v>-115.432</v>
      </c>
      <c r="E532" s="1" t="s">
        <v>1396</v>
      </c>
      <c r="F532" s="1">
        <v>1</v>
      </c>
      <c r="G532" s="1" t="s">
        <v>1262</v>
      </c>
      <c r="H532" s="1" t="s">
        <v>745</v>
      </c>
      <c r="I532" s="1" t="s">
        <v>75</v>
      </c>
      <c r="J532" s="1" t="s">
        <v>2348</v>
      </c>
      <c r="K532" s="1"/>
    </row>
    <row r="533" spans="1:11" ht="19" customHeight="1">
      <c r="A533" s="1" t="s">
        <v>2347</v>
      </c>
      <c r="B533" s="1" t="s">
        <v>1041</v>
      </c>
      <c r="C533" s="4">
        <v>32.863999999999997</v>
      </c>
      <c r="D533" s="4">
        <v>-115.432</v>
      </c>
      <c r="E533" s="1" t="s">
        <v>1404</v>
      </c>
      <c r="F533" s="1">
        <v>1</v>
      </c>
      <c r="G533" s="1" t="s">
        <v>1263</v>
      </c>
      <c r="H533" s="1" t="s">
        <v>1037</v>
      </c>
      <c r="I533" s="1" t="s">
        <v>70</v>
      </c>
      <c r="J533" s="1" t="s">
        <v>2349</v>
      </c>
      <c r="K533" s="1"/>
    </row>
    <row r="534" spans="1:11" ht="19" customHeight="1">
      <c r="A534" s="1" t="s">
        <v>2350</v>
      </c>
      <c r="B534" s="1" t="s">
        <v>753</v>
      </c>
      <c r="C534" s="4">
        <v>32.854999999999997</v>
      </c>
      <c r="D534" s="4">
        <v>-115.46599999999999</v>
      </c>
      <c r="E534" s="1" t="s">
        <v>1396</v>
      </c>
      <c r="F534" s="1">
        <v>1</v>
      </c>
      <c r="G534" s="1" t="s">
        <v>1262</v>
      </c>
      <c r="H534" s="1" t="s">
        <v>745</v>
      </c>
      <c r="I534" s="1" t="s">
        <v>75</v>
      </c>
      <c r="J534" s="1" t="s">
        <v>2351</v>
      </c>
      <c r="K534" s="1"/>
    </row>
    <row r="535" spans="1:11" ht="19" customHeight="1">
      <c r="A535" s="1" t="s">
        <v>2350</v>
      </c>
      <c r="B535" s="1" t="s">
        <v>1042</v>
      </c>
      <c r="C535" s="4">
        <v>32.854999999999997</v>
      </c>
      <c r="D535" s="4">
        <v>-115.46599999999999</v>
      </c>
      <c r="E535" s="1" t="s">
        <v>1404</v>
      </c>
      <c r="F535" s="1">
        <v>1</v>
      </c>
      <c r="G535" s="1" t="s">
        <v>1263</v>
      </c>
      <c r="H535" s="1" t="s">
        <v>1037</v>
      </c>
      <c r="I535" s="1" t="s">
        <v>70</v>
      </c>
      <c r="J535" s="1" t="s">
        <v>2352</v>
      </c>
      <c r="K535" s="1"/>
    </row>
    <row r="536" spans="1:11" ht="19" customHeight="1">
      <c r="A536" s="1" t="s">
        <v>2353</v>
      </c>
      <c r="B536" s="1" t="s">
        <v>754</v>
      </c>
      <c r="C536" s="4">
        <v>32.838999999999999</v>
      </c>
      <c r="D536" s="4">
        <v>-115.48699999999999</v>
      </c>
      <c r="E536" s="1" t="s">
        <v>1396</v>
      </c>
      <c r="F536" s="1">
        <v>2</v>
      </c>
      <c r="G536" s="1" t="s">
        <v>1262</v>
      </c>
      <c r="H536" s="1" t="s">
        <v>2354</v>
      </c>
      <c r="I536" s="1" t="s">
        <v>75</v>
      </c>
      <c r="J536" s="1" t="s">
        <v>2355</v>
      </c>
      <c r="K536" s="1"/>
    </row>
    <row r="537" spans="1:11" ht="19" customHeight="1">
      <c r="A537" s="1" t="s">
        <v>2353</v>
      </c>
      <c r="B537" s="1" t="s">
        <v>1043</v>
      </c>
      <c r="C537" s="4">
        <v>32.838999999999999</v>
      </c>
      <c r="D537" s="4">
        <v>-115.48699999999999</v>
      </c>
      <c r="E537" s="1" t="s">
        <v>1404</v>
      </c>
      <c r="F537" s="1">
        <v>1</v>
      </c>
      <c r="G537" s="1" t="s">
        <v>1263</v>
      </c>
      <c r="H537" s="1" t="s">
        <v>1037</v>
      </c>
      <c r="I537" s="1" t="s">
        <v>70</v>
      </c>
      <c r="J537" s="1" t="s">
        <v>2356</v>
      </c>
      <c r="K537" s="1"/>
    </row>
    <row r="538" spans="1:11" ht="19" customHeight="1">
      <c r="A538" s="1" t="s">
        <v>2357</v>
      </c>
      <c r="B538" s="1" t="s">
        <v>755</v>
      </c>
      <c r="C538" s="4">
        <v>32.829000000000001</v>
      </c>
      <c r="D538" s="4">
        <v>-115.504</v>
      </c>
      <c r="E538" s="1" t="s">
        <v>1396</v>
      </c>
      <c r="F538" s="1">
        <v>1</v>
      </c>
      <c r="G538" s="1" t="s">
        <v>1262</v>
      </c>
      <c r="H538" s="1" t="s">
        <v>745</v>
      </c>
      <c r="I538" s="1" t="s">
        <v>75</v>
      </c>
      <c r="J538" s="1" t="s">
        <v>2358</v>
      </c>
      <c r="K538" s="1"/>
    </row>
    <row r="539" spans="1:11" ht="19" customHeight="1">
      <c r="A539" s="1" t="s">
        <v>2357</v>
      </c>
      <c r="B539" s="1" t="s">
        <v>1044</v>
      </c>
      <c r="C539" s="4">
        <v>32.829000000000001</v>
      </c>
      <c r="D539" s="4">
        <v>-115.504</v>
      </c>
      <c r="E539" s="1" t="s">
        <v>1404</v>
      </c>
      <c r="F539" s="1">
        <v>1</v>
      </c>
      <c r="G539" s="1" t="s">
        <v>1263</v>
      </c>
      <c r="H539" s="1" t="s">
        <v>1037</v>
      </c>
      <c r="I539" s="1" t="s">
        <v>70</v>
      </c>
      <c r="J539" s="1" t="s">
        <v>2359</v>
      </c>
      <c r="K539" s="1"/>
    </row>
    <row r="540" spans="1:11" ht="19" customHeight="1">
      <c r="A540" s="1" t="s">
        <v>2360</v>
      </c>
      <c r="B540" s="1" t="s">
        <v>756</v>
      </c>
      <c r="C540" s="4">
        <v>32.795999999999999</v>
      </c>
      <c r="D540" s="4">
        <v>-115.535</v>
      </c>
      <c r="E540" s="1" t="s">
        <v>1396</v>
      </c>
      <c r="F540" s="1">
        <v>1</v>
      </c>
      <c r="G540" s="1" t="s">
        <v>1262</v>
      </c>
      <c r="H540" s="1" t="s">
        <v>745</v>
      </c>
      <c r="I540" s="1" t="s">
        <v>75</v>
      </c>
      <c r="J540" s="1" t="s">
        <v>2361</v>
      </c>
      <c r="K540" s="1"/>
    </row>
    <row r="541" spans="1:11" ht="19" customHeight="1">
      <c r="A541" s="1" t="s">
        <v>2360</v>
      </c>
      <c r="B541" s="1" t="s">
        <v>756</v>
      </c>
      <c r="C541" s="4">
        <v>32.795999999999999</v>
      </c>
      <c r="D541" s="4">
        <v>-115.535</v>
      </c>
      <c r="E541" s="1" t="s">
        <v>1404</v>
      </c>
      <c r="F541" s="1">
        <v>1</v>
      </c>
      <c r="G541" s="1" t="s">
        <v>1263</v>
      </c>
      <c r="H541" s="1" t="s">
        <v>1037</v>
      </c>
      <c r="I541" s="1" t="s">
        <v>70</v>
      </c>
      <c r="J541" s="1" t="s">
        <v>2362</v>
      </c>
      <c r="K541" s="1"/>
    </row>
    <row r="542" spans="1:11" ht="19" customHeight="1">
      <c r="A542" s="1" t="s">
        <v>2363</v>
      </c>
      <c r="B542" s="1" t="s">
        <v>749</v>
      </c>
      <c r="C542" s="4">
        <v>32.773000000000003</v>
      </c>
      <c r="D542" s="4">
        <v>-115.447</v>
      </c>
      <c r="E542" s="1" t="s">
        <v>1396</v>
      </c>
      <c r="F542" s="1">
        <v>1</v>
      </c>
      <c r="G542" s="1" t="s">
        <v>1262</v>
      </c>
      <c r="H542" s="1" t="s">
        <v>745</v>
      </c>
      <c r="I542" s="1" t="s">
        <v>75</v>
      </c>
      <c r="J542" s="1" t="s">
        <v>2364</v>
      </c>
      <c r="K542" s="1"/>
    </row>
    <row r="543" spans="1:11" ht="19" customHeight="1">
      <c r="A543" s="1" t="s">
        <v>2363</v>
      </c>
      <c r="B543" s="1" t="s">
        <v>1038</v>
      </c>
      <c r="C543" s="4">
        <v>32.773000000000003</v>
      </c>
      <c r="D543" s="4">
        <v>-115.447</v>
      </c>
      <c r="E543" s="1" t="s">
        <v>1404</v>
      </c>
      <c r="F543" s="1">
        <v>1</v>
      </c>
      <c r="G543" s="1" t="s">
        <v>1263</v>
      </c>
      <c r="H543" s="1" t="s">
        <v>1037</v>
      </c>
      <c r="I543" s="1" t="s">
        <v>70</v>
      </c>
      <c r="J543" s="1" t="s">
        <v>2365</v>
      </c>
      <c r="K543" s="1"/>
    </row>
    <row r="544" spans="1:11" ht="19" customHeight="1">
      <c r="A544" s="1" t="s">
        <v>2366</v>
      </c>
      <c r="B544" s="1" t="s">
        <v>819</v>
      </c>
      <c r="C544" s="4">
        <v>37.844000000000001</v>
      </c>
      <c r="D544" s="4">
        <v>-122.295</v>
      </c>
      <c r="E544" s="1" t="s">
        <v>1396</v>
      </c>
      <c r="F544" s="1">
        <v>1</v>
      </c>
      <c r="G544" s="1" t="s">
        <v>1262</v>
      </c>
      <c r="H544" s="1" t="s">
        <v>817</v>
      </c>
      <c r="I544" s="1" t="s">
        <v>75</v>
      </c>
      <c r="J544" s="1" t="s">
        <v>2367</v>
      </c>
      <c r="K544" s="1"/>
    </row>
    <row r="545" spans="1:11" ht="19" customHeight="1">
      <c r="A545" s="1" t="s">
        <v>2368</v>
      </c>
      <c r="B545" s="1" t="s">
        <v>729</v>
      </c>
      <c r="C545" s="4">
        <v>40.576000000000001</v>
      </c>
      <c r="D545" s="4">
        <v>-124.26300000000001</v>
      </c>
      <c r="E545" s="1" t="s">
        <v>1396</v>
      </c>
      <c r="F545" s="1">
        <v>1</v>
      </c>
      <c r="G545" s="1" t="s">
        <v>1262</v>
      </c>
      <c r="H545" s="1" t="s">
        <v>253</v>
      </c>
      <c r="I545" s="1" t="s">
        <v>75</v>
      </c>
      <c r="J545" s="1" t="s">
        <v>2369</v>
      </c>
      <c r="K545" s="1"/>
    </row>
    <row r="546" spans="1:11" ht="19" customHeight="1">
      <c r="A546" s="1" t="s">
        <v>2370</v>
      </c>
      <c r="B546" s="1" t="s">
        <v>741</v>
      </c>
      <c r="C546" s="4">
        <v>36.981999999999999</v>
      </c>
      <c r="D546" s="4">
        <v>-121.556</v>
      </c>
      <c r="E546" s="1" t="s">
        <v>1396</v>
      </c>
      <c r="F546" s="1">
        <v>2</v>
      </c>
      <c r="G546" s="1" t="s">
        <v>1262</v>
      </c>
      <c r="H546" s="1" t="s">
        <v>2371</v>
      </c>
      <c r="I546" s="1" t="s">
        <v>75</v>
      </c>
      <c r="J546" s="1" t="s">
        <v>2372</v>
      </c>
      <c r="K546" s="1"/>
    </row>
    <row r="547" spans="1:11" ht="19" customHeight="1">
      <c r="A547" s="1" t="s">
        <v>2370</v>
      </c>
      <c r="B547" s="1" t="s">
        <v>1033</v>
      </c>
      <c r="C547" s="4">
        <v>36.981999999999999</v>
      </c>
      <c r="D547" s="4">
        <v>-121.556</v>
      </c>
      <c r="E547" s="1" t="s">
        <v>1404</v>
      </c>
      <c r="F547" s="1">
        <v>2</v>
      </c>
      <c r="G547" s="1" t="s">
        <v>1263</v>
      </c>
      <c r="H547" s="1" t="s">
        <v>2373</v>
      </c>
      <c r="I547" s="1" t="s">
        <v>70</v>
      </c>
      <c r="J547" s="1" t="s">
        <v>2374</v>
      </c>
      <c r="K547" s="1"/>
    </row>
    <row r="548" spans="1:11" ht="19" customHeight="1">
      <c r="A548" s="1" t="s">
        <v>2375</v>
      </c>
      <c r="B548" s="1" t="s">
        <v>742</v>
      </c>
      <c r="C548" s="4">
        <v>36.987000000000002</v>
      </c>
      <c r="D548" s="4">
        <v>-121.536</v>
      </c>
      <c r="E548" s="1" t="s">
        <v>1396</v>
      </c>
      <c r="F548" s="1">
        <v>2</v>
      </c>
      <c r="G548" s="1" t="s">
        <v>1262</v>
      </c>
      <c r="H548" s="1" t="s">
        <v>2371</v>
      </c>
      <c r="I548" s="1" t="s">
        <v>75</v>
      </c>
      <c r="J548" s="1" t="s">
        <v>2376</v>
      </c>
      <c r="K548" s="1"/>
    </row>
    <row r="549" spans="1:11" ht="19" customHeight="1">
      <c r="A549" s="1" t="s">
        <v>2375</v>
      </c>
      <c r="B549" s="1" t="s">
        <v>1034</v>
      </c>
      <c r="C549" s="4">
        <v>36.987000000000002</v>
      </c>
      <c r="D549" s="4">
        <v>-121.536</v>
      </c>
      <c r="E549" s="1" t="s">
        <v>1404</v>
      </c>
      <c r="F549" s="1">
        <v>2</v>
      </c>
      <c r="G549" s="1" t="s">
        <v>1263</v>
      </c>
      <c r="H549" s="1" t="s">
        <v>2373</v>
      </c>
      <c r="I549" s="1" t="s">
        <v>70</v>
      </c>
      <c r="J549" s="1" t="s">
        <v>2377</v>
      </c>
      <c r="K549" s="1"/>
    </row>
    <row r="550" spans="1:11" ht="19" customHeight="1">
      <c r="A550" s="1" t="s">
        <v>2378</v>
      </c>
      <c r="B550" s="1" t="s">
        <v>743</v>
      </c>
      <c r="C550" s="4">
        <v>37.000999999999998</v>
      </c>
      <c r="D550" s="4">
        <v>-121.52200000000001</v>
      </c>
      <c r="E550" s="1" t="s">
        <v>1396</v>
      </c>
      <c r="F550" s="1">
        <v>1</v>
      </c>
      <c r="G550" s="1" t="s">
        <v>1262</v>
      </c>
      <c r="H550" s="1" t="s">
        <v>740</v>
      </c>
      <c r="I550" s="1" t="s">
        <v>75</v>
      </c>
      <c r="J550" s="1" t="s">
        <v>2379</v>
      </c>
      <c r="K550" s="1"/>
    </row>
    <row r="551" spans="1:11" ht="19" customHeight="1">
      <c r="A551" s="1" t="s">
        <v>2378</v>
      </c>
      <c r="B551" s="1" t="s">
        <v>1035</v>
      </c>
      <c r="C551" s="4">
        <v>37.000999999999998</v>
      </c>
      <c r="D551" s="4">
        <v>-121.52200000000001</v>
      </c>
      <c r="E551" s="1" t="s">
        <v>1404</v>
      </c>
      <c r="F551" s="1">
        <v>1</v>
      </c>
      <c r="G551" s="1" t="s">
        <v>1263</v>
      </c>
      <c r="H551" s="1" t="s">
        <v>1031</v>
      </c>
      <c r="I551" s="1" t="s">
        <v>70</v>
      </c>
      <c r="J551" s="1" t="s">
        <v>2380</v>
      </c>
      <c r="K551" s="1"/>
    </row>
    <row r="552" spans="1:11" ht="19" customHeight="1">
      <c r="A552" s="1" t="s">
        <v>2381</v>
      </c>
      <c r="B552" s="1" t="s">
        <v>744</v>
      </c>
      <c r="C552" s="4">
        <v>37.026000000000003</v>
      </c>
      <c r="D552" s="4">
        <v>-121.48399999999999</v>
      </c>
      <c r="E552" s="1" t="s">
        <v>1396</v>
      </c>
      <c r="F552" s="1">
        <v>2</v>
      </c>
      <c r="G552" s="1" t="s">
        <v>1262</v>
      </c>
      <c r="H552" s="1" t="s">
        <v>2382</v>
      </c>
      <c r="I552" s="1" t="s">
        <v>75</v>
      </c>
      <c r="J552" s="1" t="s">
        <v>2383</v>
      </c>
      <c r="K552" s="1"/>
    </row>
    <row r="553" spans="1:11" ht="19" customHeight="1">
      <c r="A553" s="1" t="s">
        <v>2381</v>
      </c>
      <c r="B553" s="1" t="s">
        <v>1036</v>
      </c>
      <c r="C553" s="4">
        <v>37.026000000000003</v>
      </c>
      <c r="D553" s="4">
        <v>-121.48399999999999</v>
      </c>
      <c r="E553" s="1" t="s">
        <v>1404</v>
      </c>
      <c r="F553" s="1">
        <v>2</v>
      </c>
      <c r="G553" s="1" t="s">
        <v>1263</v>
      </c>
      <c r="H553" s="1" t="s">
        <v>2384</v>
      </c>
      <c r="I553" s="1" t="s">
        <v>70</v>
      </c>
      <c r="J553" s="1" t="s">
        <v>2385</v>
      </c>
      <c r="K553" s="1"/>
    </row>
    <row r="554" spans="1:11" ht="19" customHeight="1">
      <c r="A554" s="1" t="s">
        <v>2386</v>
      </c>
      <c r="B554" s="1" t="s">
        <v>820</v>
      </c>
      <c r="C554" s="4">
        <v>37.009</v>
      </c>
      <c r="D554" s="4">
        <v>-121.569</v>
      </c>
      <c r="E554" s="1" t="s">
        <v>1396</v>
      </c>
      <c r="F554" s="1">
        <v>1</v>
      </c>
      <c r="G554" s="1" t="s">
        <v>1262</v>
      </c>
      <c r="H554" s="1" t="s">
        <v>817</v>
      </c>
      <c r="I554" s="1" t="s">
        <v>75</v>
      </c>
      <c r="J554" s="1" t="s">
        <v>2387</v>
      </c>
      <c r="K554" s="1"/>
    </row>
    <row r="555" spans="1:11" ht="19" customHeight="1">
      <c r="A555" s="1" t="s">
        <v>2386</v>
      </c>
      <c r="B555" s="1" t="s">
        <v>820</v>
      </c>
      <c r="C555" s="4">
        <v>37.009</v>
      </c>
      <c r="D555" s="4">
        <v>-121.569</v>
      </c>
      <c r="E555" s="1" t="s">
        <v>1404</v>
      </c>
      <c r="F555" s="1">
        <v>1</v>
      </c>
      <c r="G555" s="1" t="s">
        <v>1263</v>
      </c>
      <c r="H555" s="1" t="s">
        <v>1054</v>
      </c>
      <c r="I555" s="1" t="s">
        <v>70</v>
      </c>
      <c r="J555" s="1" t="s">
        <v>2388</v>
      </c>
      <c r="K555" s="1"/>
    </row>
    <row r="556" spans="1:11" ht="19" customHeight="1">
      <c r="A556" s="1" t="s">
        <v>2389</v>
      </c>
      <c r="B556" s="1" t="s">
        <v>757</v>
      </c>
      <c r="C556" s="4">
        <v>32.811399999999999</v>
      </c>
      <c r="D556" s="4">
        <v>-115.37860000000001</v>
      </c>
      <c r="E556" s="1" t="s">
        <v>1396</v>
      </c>
      <c r="F556" s="1">
        <v>1</v>
      </c>
      <c r="G556" s="1" t="s">
        <v>1262</v>
      </c>
      <c r="H556" s="1" t="s">
        <v>745</v>
      </c>
      <c r="I556" s="1" t="s">
        <v>75</v>
      </c>
      <c r="J556" s="1" t="s">
        <v>2390</v>
      </c>
      <c r="K556" s="1"/>
    </row>
    <row r="557" spans="1:11" ht="19" customHeight="1">
      <c r="A557" s="1" t="s">
        <v>2389</v>
      </c>
      <c r="B557" s="1" t="s">
        <v>757</v>
      </c>
      <c r="C557" s="4">
        <v>32.811399999999999</v>
      </c>
      <c r="D557" s="4">
        <v>-115.37860000000001</v>
      </c>
      <c r="E557" s="1" t="s">
        <v>1404</v>
      </c>
      <c r="F557" s="1">
        <v>1</v>
      </c>
      <c r="G557" s="1" t="s">
        <v>1263</v>
      </c>
      <c r="H557" s="1" t="s">
        <v>1037</v>
      </c>
      <c r="I557" s="1" t="s">
        <v>70</v>
      </c>
      <c r="J557" s="1" t="s">
        <v>2391</v>
      </c>
      <c r="K557" s="1"/>
    </row>
    <row r="558" spans="1:11" ht="19" customHeight="1">
      <c r="A558" s="1" t="s">
        <v>2392</v>
      </c>
      <c r="B558" s="1" t="s">
        <v>832</v>
      </c>
      <c r="C558" s="4">
        <v>33.746200000000002</v>
      </c>
      <c r="D558" s="4">
        <v>-116.2163</v>
      </c>
      <c r="E558" s="1" t="s">
        <v>1396</v>
      </c>
      <c r="F558" s="1">
        <v>1</v>
      </c>
      <c r="G558" s="1" t="s">
        <v>1262</v>
      </c>
      <c r="H558" s="1" t="s">
        <v>407</v>
      </c>
      <c r="I558" s="1" t="s">
        <v>75</v>
      </c>
      <c r="J558" s="1" t="s">
        <v>2393</v>
      </c>
      <c r="K558" s="1"/>
    </row>
    <row r="559" spans="1:11" ht="19" customHeight="1">
      <c r="A559" s="1" t="s">
        <v>2394</v>
      </c>
      <c r="B559" s="1" t="s">
        <v>838</v>
      </c>
      <c r="C559" s="4">
        <v>34.311999999999998</v>
      </c>
      <c r="D559" s="4">
        <v>-118.496</v>
      </c>
      <c r="E559" s="1" t="s">
        <v>1396</v>
      </c>
      <c r="F559" s="1">
        <v>1</v>
      </c>
      <c r="G559" s="1" t="s">
        <v>1262</v>
      </c>
      <c r="H559" s="1" t="s">
        <v>837</v>
      </c>
      <c r="I559" s="1" t="s">
        <v>75</v>
      </c>
      <c r="J559" s="1" t="s">
        <v>2395</v>
      </c>
      <c r="K559" s="1"/>
    </row>
    <row r="560" spans="1:11" ht="19" customHeight="1">
      <c r="A560" s="1" t="s">
        <v>2396</v>
      </c>
      <c r="B560" s="1" t="s">
        <v>1060</v>
      </c>
      <c r="C560" s="4">
        <v>34.311999999999998</v>
      </c>
      <c r="D560" s="4">
        <v>-118.496</v>
      </c>
      <c r="E560" s="1" t="s">
        <v>1404</v>
      </c>
      <c r="F560" s="1">
        <v>1</v>
      </c>
      <c r="G560" s="1" t="s">
        <v>1263</v>
      </c>
      <c r="H560" s="1" t="s">
        <v>1059</v>
      </c>
      <c r="I560" s="1" t="s">
        <v>70</v>
      </c>
      <c r="J560" s="1" t="s">
        <v>2397</v>
      </c>
      <c r="K560" s="1"/>
    </row>
    <row r="561" spans="1:11" ht="19" customHeight="1">
      <c r="A561" s="1" t="s">
        <v>2398</v>
      </c>
      <c r="B561" s="1" t="s">
        <v>839</v>
      </c>
      <c r="C561" s="4">
        <v>34.313000000000002</v>
      </c>
      <c r="D561" s="4">
        <v>-118.498</v>
      </c>
      <c r="E561" s="1" t="s">
        <v>1396</v>
      </c>
      <c r="F561" s="1">
        <v>1</v>
      </c>
      <c r="G561" s="1" t="s">
        <v>1262</v>
      </c>
      <c r="H561" s="1" t="s">
        <v>837</v>
      </c>
      <c r="I561" s="1" t="s">
        <v>75</v>
      </c>
      <c r="J561" s="1" t="s">
        <v>2399</v>
      </c>
      <c r="K561" s="1"/>
    </row>
    <row r="562" spans="1:11" ht="19" customHeight="1">
      <c r="A562" s="1" t="s">
        <v>2400</v>
      </c>
      <c r="B562" s="1" t="s">
        <v>1061</v>
      </c>
      <c r="C562" s="4">
        <v>34.313000000000002</v>
      </c>
      <c r="D562" s="4">
        <v>-118.498</v>
      </c>
      <c r="E562" s="1" t="s">
        <v>1404</v>
      </c>
      <c r="F562" s="1">
        <v>1</v>
      </c>
      <c r="G562" s="1" t="s">
        <v>1263</v>
      </c>
      <c r="H562" s="1" t="s">
        <v>1059</v>
      </c>
      <c r="I562" s="1" t="s">
        <v>70</v>
      </c>
      <c r="J562" s="1" t="s">
        <v>2401</v>
      </c>
      <c r="K562" s="1"/>
    </row>
    <row r="563" spans="1:11" ht="19" customHeight="1">
      <c r="A563" s="1" t="s">
        <v>2402</v>
      </c>
      <c r="B563" s="1" t="s">
        <v>815</v>
      </c>
      <c r="C563" s="4">
        <v>33.125</v>
      </c>
      <c r="D563" s="4">
        <v>-115.66500000000001</v>
      </c>
      <c r="E563" s="1" t="s">
        <v>1396</v>
      </c>
      <c r="F563" s="1">
        <v>1</v>
      </c>
      <c r="G563" s="1" t="s">
        <v>1262</v>
      </c>
      <c r="H563" s="1" t="s">
        <v>814</v>
      </c>
      <c r="I563" s="1" t="s">
        <v>75</v>
      </c>
      <c r="J563" s="1" t="s">
        <v>2403</v>
      </c>
      <c r="K563" s="1"/>
    </row>
    <row r="564" spans="1:11" ht="19" customHeight="1">
      <c r="A564" s="1" t="s">
        <v>2402</v>
      </c>
      <c r="B564" s="1" t="s">
        <v>815</v>
      </c>
      <c r="C564" s="4">
        <v>33.125</v>
      </c>
      <c r="D564" s="4">
        <v>-115.66500000000001</v>
      </c>
      <c r="E564" s="1" t="s">
        <v>1404</v>
      </c>
      <c r="F564" s="1">
        <v>1</v>
      </c>
      <c r="G564" s="1" t="s">
        <v>1263</v>
      </c>
      <c r="H564" s="1" t="s">
        <v>1053</v>
      </c>
      <c r="I564" s="1" t="s">
        <v>70</v>
      </c>
      <c r="J564" s="1" t="s">
        <v>2404</v>
      </c>
      <c r="K564" s="1"/>
    </row>
    <row r="565" spans="1:11" ht="19" customHeight="1">
      <c r="A565" s="1" t="s">
        <v>2405</v>
      </c>
      <c r="B565" s="1" t="s">
        <v>842</v>
      </c>
      <c r="C565" s="4">
        <v>34.293999999999997</v>
      </c>
      <c r="D565" s="4">
        <v>-118.483</v>
      </c>
      <c r="E565" s="1" t="s">
        <v>1396</v>
      </c>
      <c r="F565" s="1">
        <v>1</v>
      </c>
      <c r="G565" s="1" t="s">
        <v>1262</v>
      </c>
      <c r="H565" s="1" t="s">
        <v>837</v>
      </c>
      <c r="I565" s="1" t="s">
        <v>75</v>
      </c>
      <c r="J565" s="1" t="s">
        <v>2406</v>
      </c>
      <c r="K565" s="1"/>
    </row>
    <row r="566" spans="1:11" ht="19" customHeight="1">
      <c r="A566" s="1" t="s">
        <v>2405</v>
      </c>
      <c r="B566" s="1" t="s">
        <v>842</v>
      </c>
      <c r="C566" s="4">
        <v>34.293999999999997</v>
      </c>
      <c r="D566" s="4">
        <v>-118.483</v>
      </c>
      <c r="E566" s="1" t="s">
        <v>1404</v>
      </c>
      <c r="F566" s="1">
        <v>1</v>
      </c>
      <c r="G566" s="1" t="s">
        <v>1263</v>
      </c>
      <c r="H566" s="1" t="s">
        <v>1059</v>
      </c>
      <c r="I566" s="1" t="s">
        <v>70</v>
      </c>
      <c r="J566" s="1" t="s">
        <v>2407</v>
      </c>
      <c r="K566" s="1"/>
    </row>
    <row r="567" spans="1:11" ht="19" customHeight="1">
      <c r="A567" s="1" t="s">
        <v>2408</v>
      </c>
      <c r="B567" s="1" t="s">
        <v>840</v>
      </c>
      <c r="C567" s="4">
        <v>34.045999999999999</v>
      </c>
      <c r="D567" s="4">
        <v>-118.355</v>
      </c>
      <c r="E567" s="1" t="s">
        <v>1396</v>
      </c>
      <c r="F567" s="1">
        <v>1</v>
      </c>
      <c r="G567" s="1" t="s">
        <v>1262</v>
      </c>
      <c r="H567" s="1" t="s">
        <v>837</v>
      </c>
      <c r="I567" s="1" t="s">
        <v>75</v>
      </c>
      <c r="J567" s="1" t="s">
        <v>2409</v>
      </c>
      <c r="K567" s="1"/>
    </row>
    <row r="568" spans="1:11" ht="19" customHeight="1">
      <c r="A568" s="1" t="s">
        <v>2410</v>
      </c>
      <c r="B568" s="1" t="s">
        <v>841</v>
      </c>
      <c r="C568" s="4">
        <v>34.248899999999999</v>
      </c>
      <c r="D568" s="4">
        <v>-118.4789</v>
      </c>
      <c r="E568" s="1" t="s">
        <v>1396</v>
      </c>
      <c r="F568" s="1">
        <v>1</v>
      </c>
      <c r="G568" s="1" t="s">
        <v>1262</v>
      </c>
      <c r="H568" s="1" t="s">
        <v>837</v>
      </c>
      <c r="I568" s="1" t="s">
        <v>75</v>
      </c>
      <c r="J568" s="1" t="s">
        <v>2411</v>
      </c>
      <c r="K568" s="1"/>
    </row>
    <row r="569" spans="1:11" ht="19" customHeight="1">
      <c r="A569" s="1" t="s">
        <v>2410</v>
      </c>
      <c r="B569" s="1" t="s">
        <v>841</v>
      </c>
      <c r="C569" s="4">
        <v>34.248899999999999</v>
      </c>
      <c r="D569" s="4">
        <v>-118.4789</v>
      </c>
      <c r="E569" s="1" t="s">
        <v>1404</v>
      </c>
      <c r="F569" s="1">
        <v>1</v>
      </c>
      <c r="G569" s="1" t="s">
        <v>1263</v>
      </c>
      <c r="H569" s="1" t="s">
        <v>1059</v>
      </c>
      <c r="I569" s="1" t="s">
        <v>70</v>
      </c>
      <c r="J569" s="1" t="s">
        <v>2412</v>
      </c>
      <c r="K569" s="1"/>
    </row>
    <row r="570" spans="1:11" ht="19" customHeight="1">
      <c r="A570" s="1" t="s">
        <v>2413</v>
      </c>
      <c r="B570" s="1" t="s">
        <v>811</v>
      </c>
      <c r="C570" s="4">
        <v>33.881</v>
      </c>
      <c r="D570" s="4">
        <v>-118.176</v>
      </c>
      <c r="E570" s="1" t="s">
        <v>1396</v>
      </c>
      <c r="F570" s="1">
        <v>1</v>
      </c>
      <c r="G570" s="1" t="s">
        <v>1262</v>
      </c>
      <c r="H570" s="1" t="s">
        <v>387</v>
      </c>
      <c r="I570" s="1" t="s">
        <v>75</v>
      </c>
      <c r="J570" s="1" t="s">
        <v>2414</v>
      </c>
      <c r="K570" s="1"/>
    </row>
    <row r="571" spans="1:11" ht="19" customHeight="1">
      <c r="A571" s="1" t="s">
        <v>2415</v>
      </c>
      <c r="B571" s="1" t="s">
        <v>762</v>
      </c>
      <c r="C571" s="4">
        <v>37.588000000000001</v>
      </c>
      <c r="D571" s="4">
        <v>-118.705</v>
      </c>
      <c r="E571" s="1" t="s">
        <v>1396</v>
      </c>
      <c r="F571" s="1">
        <v>1</v>
      </c>
      <c r="G571" s="1" t="s">
        <v>1262</v>
      </c>
      <c r="H571" s="1" t="s">
        <v>313</v>
      </c>
      <c r="I571" s="1" t="s">
        <v>75</v>
      </c>
      <c r="J571" s="1" t="s">
        <v>2416</v>
      </c>
      <c r="K571" s="1"/>
    </row>
    <row r="572" spans="1:11" ht="19" customHeight="1">
      <c r="A572" s="1" t="s">
        <v>2417</v>
      </c>
      <c r="B572" s="1" t="s">
        <v>827</v>
      </c>
      <c r="C572" s="4">
        <v>37.201999999999998</v>
      </c>
      <c r="D572" s="4">
        <v>-121.991</v>
      </c>
      <c r="E572" s="1" t="s">
        <v>1396</v>
      </c>
      <c r="F572" s="1">
        <v>1</v>
      </c>
      <c r="G572" s="1" t="s">
        <v>1262</v>
      </c>
      <c r="H572" s="1" t="s">
        <v>817</v>
      </c>
      <c r="I572" s="1" t="s">
        <v>75</v>
      </c>
      <c r="J572" s="1" t="s">
        <v>2418</v>
      </c>
      <c r="K572" s="1"/>
    </row>
    <row r="573" spans="1:11" ht="19" customHeight="1">
      <c r="A573" s="1" t="s">
        <v>2417</v>
      </c>
      <c r="B573" s="1" t="s">
        <v>827</v>
      </c>
      <c r="C573" s="4">
        <v>37.201999999999998</v>
      </c>
      <c r="D573" s="4">
        <v>-121.991</v>
      </c>
      <c r="E573" s="1" t="s">
        <v>1404</v>
      </c>
      <c r="F573" s="1">
        <v>1</v>
      </c>
      <c r="G573" s="1" t="s">
        <v>1263</v>
      </c>
      <c r="H573" s="1" t="s">
        <v>1054</v>
      </c>
      <c r="I573" s="1" t="s">
        <v>70</v>
      </c>
      <c r="J573" s="1" t="s">
        <v>2419</v>
      </c>
      <c r="K573" s="1"/>
    </row>
    <row r="574" spans="1:11" ht="19" customHeight="1">
      <c r="A574" s="1" t="s">
        <v>2420</v>
      </c>
      <c r="B574" s="1" t="s">
        <v>835</v>
      </c>
      <c r="C574" s="4">
        <v>34.567999999999998</v>
      </c>
      <c r="D574" s="4">
        <v>-116.61199999999999</v>
      </c>
      <c r="E574" s="1" t="s">
        <v>1396</v>
      </c>
      <c r="F574" s="1">
        <v>1</v>
      </c>
      <c r="G574" s="1" t="s">
        <v>1262</v>
      </c>
      <c r="H574" s="1" t="s">
        <v>833</v>
      </c>
      <c r="I574" s="1" t="s">
        <v>75</v>
      </c>
      <c r="J574" s="1" t="s">
        <v>2421</v>
      </c>
      <c r="K574" s="1"/>
    </row>
    <row r="575" spans="1:11" ht="19" customHeight="1">
      <c r="A575" s="1" t="s">
        <v>2420</v>
      </c>
      <c r="B575" s="1" t="s">
        <v>835</v>
      </c>
      <c r="C575" s="4">
        <v>34.567999999999998</v>
      </c>
      <c r="D575" s="4">
        <v>-116.61199999999999</v>
      </c>
      <c r="E575" s="1" t="s">
        <v>1404</v>
      </c>
      <c r="F575" s="1">
        <v>1</v>
      </c>
      <c r="G575" s="1" t="s">
        <v>1263</v>
      </c>
      <c r="H575" s="1" t="s">
        <v>1058</v>
      </c>
      <c r="I575" s="1" t="s">
        <v>70</v>
      </c>
      <c r="J575" s="1" t="s">
        <v>2422</v>
      </c>
      <c r="K575" s="1"/>
    </row>
    <row r="576" spans="1:11" ht="19" customHeight="1">
      <c r="A576" s="1" t="s">
        <v>2423</v>
      </c>
      <c r="B576" s="1" t="s">
        <v>774</v>
      </c>
      <c r="C576" s="4">
        <v>34.0486</v>
      </c>
      <c r="D576" s="4">
        <v>-116.5782</v>
      </c>
      <c r="E576" s="1" t="s">
        <v>1396</v>
      </c>
      <c r="F576" s="1">
        <v>1</v>
      </c>
      <c r="G576" s="1" t="s">
        <v>1262</v>
      </c>
      <c r="H576" s="1" t="s">
        <v>361</v>
      </c>
      <c r="I576" s="1" t="s">
        <v>75</v>
      </c>
      <c r="J576" s="1" t="s">
        <v>2424</v>
      </c>
      <c r="K576" s="1"/>
    </row>
    <row r="577" spans="1:11" ht="19" customHeight="1">
      <c r="A577" s="1" t="s">
        <v>2425</v>
      </c>
      <c r="B577" s="1" t="s">
        <v>932</v>
      </c>
      <c r="C577" s="4">
        <v>38.33</v>
      </c>
      <c r="D577" s="4">
        <v>-122.318</v>
      </c>
      <c r="E577" s="1" t="s">
        <v>1396</v>
      </c>
      <c r="F577" s="1">
        <v>1</v>
      </c>
      <c r="G577" s="1" t="s">
        <v>1262</v>
      </c>
      <c r="H577" s="1" t="s">
        <v>514</v>
      </c>
      <c r="I577" s="1" t="s">
        <v>75</v>
      </c>
      <c r="J577" s="1" t="s">
        <v>2426</v>
      </c>
      <c r="K577" s="1"/>
    </row>
    <row r="578" spans="1:11" ht="19" customHeight="1">
      <c r="A578" s="1" t="s">
        <v>2427</v>
      </c>
      <c r="B578" s="1" t="s">
        <v>843</v>
      </c>
      <c r="C578" s="4">
        <v>34.387</v>
      </c>
      <c r="D578" s="4">
        <v>-118.533</v>
      </c>
      <c r="E578" s="1" t="s">
        <v>1396</v>
      </c>
      <c r="F578" s="1">
        <v>1</v>
      </c>
      <c r="G578" s="1" t="s">
        <v>1262</v>
      </c>
      <c r="H578" s="1" t="s">
        <v>837</v>
      </c>
      <c r="I578" s="1" t="s">
        <v>75</v>
      </c>
      <c r="J578" s="1" t="s">
        <v>2428</v>
      </c>
      <c r="K578" s="1"/>
    </row>
    <row r="579" spans="1:11" ht="19" customHeight="1">
      <c r="A579" s="1" t="s">
        <v>2427</v>
      </c>
      <c r="B579" s="1" t="s">
        <v>843</v>
      </c>
      <c r="C579" s="4">
        <v>34.387</v>
      </c>
      <c r="D579" s="4">
        <v>-118.533</v>
      </c>
      <c r="E579" s="1" t="s">
        <v>1404</v>
      </c>
      <c r="F579" s="1">
        <v>1</v>
      </c>
      <c r="G579" s="1" t="s">
        <v>1263</v>
      </c>
      <c r="H579" s="1" t="s">
        <v>1059</v>
      </c>
      <c r="I579" s="1" t="s">
        <v>70</v>
      </c>
      <c r="J579" s="1" t="s">
        <v>2429</v>
      </c>
      <c r="K579" s="1"/>
    </row>
    <row r="580" spans="1:11" ht="19" customHeight="1">
      <c r="A580" s="1" t="s">
        <v>2430</v>
      </c>
      <c r="B580" s="1" t="s">
        <v>844</v>
      </c>
      <c r="C580" s="4">
        <v>34.390999999999998</v>
      </c>
      <c r="D580" s="4">
        <v>-118.622</v>
      </c>
      <c r="E580" s="1" t="s">
        <v>1396</v>
      </c>
      <c r="F580" s="1">
        <v>1</v>
      </c>
      <c r="G580" s="1" t="s">
        <v>1262</v>
      </c>
      <c r="H580" s="1" t="s">
        <v>837</v>
      </c>
      <c r="I580" s="1" t="s">
        <v>75</v>
      </c>
      <c r="J580" s="1" t="s">
        <v>2431</v>
      </c>
      <c r="K580" s="1"/>
    </row>
    <row r="581" spans="1:11" ht="19" customHeight="1">
      <c r="A581" s="1" t="s">
        <v>2430</v>
      </c>
      <c r="B581" s="1" t="s">
        <v>844</v>
      </c>
      <c r="C581" s="4">
        <v>34.390999999999998</v>
      </c>
      <c r="D581" s="4">
        <v>-118.622</v>
      </c>
      <c r="E581" s="1" t="s">
        <v>1404</v>
      </c>
      <c r="F581" s="1">
        <v>1</v>
      </c>
      <c r="G581" s="1" t="s">
        <v>1263</v>
      </c>
      <c r="H581" s="1" t="s">
        <v>1059</v>
      </c>
      <c r="I581" s="1" t="s">
        <v>70</v>
      </c>
      <c r="J581" s="1" t="s">
        <v>2432</v>
      </c>
      <c r="K581" s="1"/>
    </row>
    <row r="582" spans="1:11" ht="19" customHeight="1">
      <c r="A582" s="1" t="s">
        <v>2433</v>
      </c>
      <c r="B582" s="1" t="s">
        <v>812</v>
      </c>
      <c r="C582" s="4">
        <v>33.914999999999999</v>
      </c>
      <c r="D582" s="4">
        <v>-118.07</v>
      </c>
      <c r="E582" s="1" t="s">
        <v>1396</v>
      </c>
      <c r="F582" s="1">
        <v>1</v>
      </c>
      <c r="G582" s="1" t="s">
        <v>1262</v>
      </c>
      <c r="H582" s="1" t="s">
        <v>387</v>
      </c>
      <c r="I582" s="1" t="s">
        <v>75</v>
      </c>
      <c r="J582" s="1" t="s">
        <v>2434</v>
      </c>
      <c r="K582" s="1"/>
    </row>
    <row r="583" spans="1:11" ht="19" customHeight="1">
      <c r="A583" s="1" t="s">
        <v>2435</v>
      </c>
      <c r="B583" s="1" t="s">
        <v>821</v>
      </c>
      <c r="C583" s="4">
        <v>37.813000000000002</v>
      </c>
      <c r="D583" s="4">
        <v>-122.31399999999999</v>
      </c>
      <c r="E583" s="1" t="s">
        <v>1396</v>
      </c>
      <c r="F583" s="1">
        <v>1</v>
      </c>
      <c r="G583" s="1" t="s">
        <v>1262</v>
      </c>
      <c r="H583" s="1" t="s">
        <v>817</v>
      </c>
      <c r="I583" s="1" t="s">
        <v>75</v>
      </c>
      <c r="J583" s="1" t="s">
        <v>2436</v>
      </c>
      <c r="K583" s="1"/>
    </row>
    <row r="584" spans="1:11" ht="19" customHeight="1">
      <c r="A584" s="1" t="s">
        <v>2437</v>
      </c>
      <c r="B584" s="1" t="s">
        <v>822</v>
      </c>
      <c r="C584" s="4">
        <v>37.805999999999997</v>
      </c>
      <c r="D584" s="4">
        <v>-122.267</v>
      </c>
      <c r="E584" s="1" t="s">
        <v>1396</v>
      </c>
      <c r="F584" s="1">
        <v>1</v>
      </c>
      <c r="G584" s="1" t="s">
        <v>1262</v>
      </c>
      <c r="H584" s="1" t="s">
        <v>817</v>
      </c>
      <c r="I584" s="1" t="s">
        <v>75</v>
      </c>
      <c r="J584" s="1" t="s">
        <v>2438</v>
      </c>
      <c r="K584" s="1"/>
    </row>
    <row r="585" spans="1:11" ht="19" customHeight="1">
      <c r="A585" s="1" t="s">
        <v>2439</v>
      </c>
      <c r="B585" s="1" t="s">
        <v>845</v>
      </c>
      <c r="C585" s="4">
        <v>34.334000000000003</v>
      </c>
      <c r="D585" s="4">
        <v>-118.396</v>
      </c>
      <c r="E585" s="1" t="s">
        <v>1396</v>
      </c>
      <c r="F585" s="1">
        <v>1</v>
      </c>
      <c r="G585" s="1" t="s">
        <v>1262</v>
      </c>
      <c r="H585" s="1" t="s">
        <v>837</v>
      </c>
      <c r="I585" s="1" t="s">
        <v>75</v>
      </c>
      <c r="J585" s="1" t="s">
        <v>2440</v>
      </c>
      <c r="K585" s="1"/>
    </row>
    <row r="586" spans="1:11" ht="19" customHeight="1">
      <c r="A586" s="1" t="s">
        <v>2439</v>
      </c>
      <c r="B586" s="1" t="s">
        <v>845</v>
      </c>
      <c r="C586" s="4">
        <v>34.334000000000003</v>
      </c>
      <c r="D586" s="4">
        <v>-118.396</v>
      </c>
      <c r="E586" s="1" t="s">
        <v>1404</v>
      </c>
      <c r="F586" s="1">
        <v>1</v>
      </c>
      <c r="G586" s="1" t="s">
        <v>1263</v>
      </c>
      <c r="H586" s="1" t="s">
        <v>1059</v>
      </c>
      <c r="I586" s="1" t="s">
        <v>70</v>
      </c>
      <c r="J586" s="1" t="s">
        <v>2441</v>
      </c>
      <c r="K586" s="1"/>
    </row>
    <row r="587" spans="1:11" ht="19" customHeight="1">
      <c r="A587" s="1" t="s">
        <v>2442</v>
      </c>
      <c r="B587" s="1" t="s">
        <v>846</v>
      </c>
      <c r="C587" s="4">
        <v>34.334000000000003</v>
      </c>
      <c r="D587" s="4">
        <v>-118.396</v>
      </c>
      <c r="E587" s="1" t="s">
        <v>1396</v>
      </c>
      <c r="F587" s="1">
        <v>1</v>
      </c>
      <c r="G587" s="1" t="s">
        <v>1262</v>
      </c>
      <c r="H587" s="1" t="s">
        <v>837</v>
      </c>
      <c r="I587" s="1" t="s">
        <v>75</v>
      </c>
      <c r="J587" s="1" t="s">
        <v>2443</v>
      </c>
      <c r="K587" s="1"/>
    </row>
    <row r="588" spans="1:11" ht="19" customHeight="1">
      <c r="A588" s="1" t="s">
        <v>2442</v>
      </c>
      <c r="B588" s="1" t="s">
        <v>846</v>
      </c>
      <c r="C588" s="4">
        <v>34.334000000000003</v>
      </c>
      <c r="D588" s="4">
        <v>-118.396</v>
      </c>
      <c r="E588" s="1" t="s">
        <v>1404</v>
      </c>
      <c r="F588" s="1">
        <v>1</v>
      </c>
      <c r="G588" s="1" t="s">
        <v>1263</v>
      </c>
      <c r="H588" s="1" t="s">
        <v>1059</v>
      </c>
      <c r="I588" s="1" t="s">
        <v>70</v>
      </c>
      <c r="J588" s="1" t="s">
        <v>2444</v>
      </c>
      <c r="K588" s="1"/>
    </row>
    <row r="589" spans="1:11" ht="19" customHeight="1">
      <c r="A589" s="1" t="s">
        <v>2445</v>
      </c>
      <c r="B589" s="1" t="s">
        <v>733</v>
      </c>
      <c r="C589" s="4">
        <v>34.334000000000003</v>
      </c>
      <c r="D589" s="4">
        <v>-118.396</v>
      </c>
      <c r="E589" s="1" t="s">
        <v>1396</v>
      </c>
      <c r="F589" s="1">
        <v>1</v>
      </c>
      <c r="G589" s="1" t="s">
        <v>1262</v>
      </c>
      <c r="H589" s="1" t="s">
        <v>732</v>
      </c>
      <c r="I589" s="1" t="s">
        <v>75</v>
      </c>
      <c r="J589" s="1" t="s">
        <v>2446</v>
      </c>
      <c r="K589" s="1"/>
    </row>
    <row r="590" spans="1:11" ht="19" customHeight="1">
      <c r="A590" s="1" t="s">
        <v>2445</v>
      </c>
      <c r="B590" s="1" t="s">
        <v>733</v>
      </c>
      <c r="C590" s="4">
        <v>34.334000000000003</v>
      </c>
      <c r="D590" s="4">
        <v>-118.396</v>
      </c>
      <c r="E590" s="1" t="s">
        <v>1404</v>
      </c>
      <c r="F590" s="1">
        <v>1</v>
      </c>
      <c r="G590" s="1" t="s">
        <v>1263</v>
      </c>
      <c r="H590" s="1" t="s">
        <v>1027</v>
      </c>
      <c r="I590" s="1" t="s">
        <v>70</v>
      </c>
      <c r="J590" s="1" t="s">
        <v>2447</v>
      </c>
      <c r="K590" s="1"/>
    </row>
    <row r="591" spans="1:11" ht="19" customHeight="1">
      <c r="A591" s="1" t="s">
        <v>2448</v>
      </c>
      <c r="B591" s="1" t="s">
        <v>847</v>
      </c>
      <c r="C591" s="4">
        <v>34.295999999999999</v>
      </c>
      <c r="D591" s="4">
        <v>-118.375</v>
      </c>
      <c r="E591" s="1" t="s">
        <v>1396</v>
      </c>
      <c r="F591" s="1">
        <v>1</v>
      </c>
      <c r="G591" s="1" t="s">
        <v>1262</v>
      </c>
      <c r="H591" s="1" t="s">
        <v>837</v>
      </c>
      <c r="I591" s="1" t="s">
        <v>75</v>
      </c>
      <c r="J591" s="1" t="s">
        <v>2449</v>
      </c>
      <c r="K591" s="1"/>
    </row>
    <row r="592" spans="1:11" ht="19" customHeight="1">
      <c r="A592" s="1" t="s">
        <v>2448</v>
      </c>
      <c r="B592" s="1" t="s">
        <v>847</v>
      </c>
      <c r="C592" s="4">
        <v>34.295999999999999</v>
      </c>
      <c r="D592" s="4">
        <v>-118.375</v>
      </c>
      <c r="E592" s="1" t="s">
        <v>1404</v>
      </c>
      <c r="F592" s="1">
        <v>1</v>
      </c>
      <c r="G592" s="1" t="s">
        <v>1263</v>
      </c>
      <c r="H592" s="1" t="s">
        <v>1059</v>
      </c>
      <c r="I592" s="1" t="s">
        <v>70</v>
      </c>
      <c r="J592" s="1" t="s">
        <v>2450</v>
      </c>
      <c r="K592" s="1"/>
    </row>
    <row r="593" spans="1:11" ht="19" customHeight="1">
      <c r="A593" s="1" t="s">
        <v>2451</v>
      </c>
      <c r="B593" s="1" t="s">
        <v>764</v>
      </c>
      <c r="C593" s="4">
        <v>32.929000000000002</v>
      </c>
      <c r="D593" s="4">
        <v>-115.70099999999999</v>
      </c>
      <c r="E593" s="1" t="s">
        <v>1396</v>
      </c>
      <c r="F593" s="1">
        <v>2</v>
      </c>
      <c r="G593" s="1" t="s">
        <v>1262</v>
      </c>
      <c r="H593" s="1" t="s">
        <v>2452</v>
      </c>
      <c r="I593" s="1" t="s">
        <v>75</v>
      </c>
      <c r="J593" s="1" t="s">
        <v>2453</v>
      </c>
      <c r="K593" s="1"/>
    </row>
    <row r="594" spans="1:11" ht="19" customHeight="1">
      <c r="A594" s="1" t="s">
        <v>2451</v>
      </c>
      <c r="B594" s="1" t="s">
        <v>764</v>
      </c>
      <c r="C594" s="4">
        <v>32.929000000000002</v>
      </c>
      <c r="D594" s="4">
        <v>-115.70099999999999</v>
      </c>
      <c r="E594" s="1" t="s">
        <v>1404</v>
      </c>
      <c r="F594" s="1">
        <v>2</v>
      </c>
      <c r="G594" s="1" t="s">
        <v>1263</v>
      </c>
      <c r="H594" s="1" t="s">
        <v>2454</v>
      </c>
      <c r="I594" s="1" t="s">
        <v>70</v>
      </c>
      <c r="J594" s="1" t="s">
        <v>2455</v>
      </c>
      <c r="K594" s="1"/>
    </row>
    <row r="595" spans="1:11" ht="19" customHeight="1">
      <c r="A595" s="1" t="s">
        <v>2456</v>
      </c>
      <c r="B595" s="1" t="s">
        <v>848</v>
      </c>
      <c r="C595" s="4">
        <v>34.435000000000002</v>
      </c>
      <c r="D595" s="4">
        <v>-118.58199999999999</v>
      </c>
      <c r="E595" s="1" t="s">
        <v>1396</v>
      </c>
      <c r="F595" s="1">
        <v>1</v>
      </c>
      <c r="G595" s="1" t="s">
        <v>1262</v>
      </c>
      <c r="H595" s="1" t="s">
        <v>837</v>
      </c>
      <c r="I595" s="1" t="s">
        <v>75</v>
      </c>
      <c r="J595" s="1" t="s">
        <v>2457</v>
      </c>
      <c r="K595" s="1"/>
    </row>
    <row r="596" spans="1:11" ht="19" customHeight="1">
      <c r="A596" s="1" t="s">
        <v>2456</v>
      </c>
      <c r="B596" s="1" t="s">
        <v>848</v>
      </c>
      <c r="C596" s="4">
        <v>34.435000000000002</v>
      </c>
      <c r="D596" s="4">
        <v>-118.58199999999999</v>
      </c>
      <c r="E596" s="1" t="s">
        <v>1404</v>
      </c>
      <c r="F596" s="1">
        <v>1</v>
      </c>
      <c r="G596" s="1" t="s">
        <v>1263</v>
      </c>
      <c r="H596" s="1" t="s">
        <v>1059</v>
      </c>
      <c r="I596" s="1" t="s">
        <v>70</v>
      </c>
      <c r="J596" s="1" t="s">
        <v>2458</v>
      </c>
      <c r="K596" s="1"/>
    </row>
    <row r="597" spans="1:11" ht="19" customHeight="1">
      <c r="A597" s="1" t="s">
        <v>2459</v>
      </c>
      <c r="B597" s="1" t="s">
        <v>944</v>
      </c>
      <c r="C597" s="4">
        <v>35.743000000000002</v>
      </c>
      <c r="D597" s="4">
        <v>-120.277</v>
      </c>
      <c r="E597" s="1" t="s">
        <v>1396</v>
      </c>
      <c r="F597" s="1">
        <v>1</v>
      </c>
      <c r="G597" s="1" t="s">
        <v>1262</v>
      </c>
      <c r="H597" s="1" t="s">
        <v>941</v>
      </c>
      <c r="I597" s="1" t="s">
        <v>75</v>
      </c>
      <c r="J597" s="1" t="s">
        <v>2460</v>
      </c>
      <c r="K597" s="1"/>
    </row>
    <row r="598" spans="1:11" ht="19" customHeight="1">
      <c r="A598" s="1" t="s">
        <v>2459</v>
      </c>
      <c r="B598" s="1" t="s">
        <v>944</v>
      </c>
      <c r="C598" s="4">
        <v>35.743000000000002</v>
      </c>
      <c r="D598" s="4">
        <v>-120.277</v>
      </c>
      <c r="E598" s="1" t="s">
        <v>1404</v>
      </c>
      <c r="F598" s="1">
        <v>1</v>
      </c>
      <c r="G598" s="1" t="s">
        <v>1263</v>
      </c>
      <c r="H598" s="1" t="s">
        <v>1124</v>
      </c>
      <c r="I598" s="1" t="s">
        <v>70</v>
      </c>
      <c r="J598" s="1" t="s">
        <v>2461</v>
      </c>
      <c r="K598" s="1"/>
    </row>
    <row r="599" spans="1:11" ht="19" customHeight="1">
      <c r="A599" s="1" t="s">
        <v>2462</v>
      </c>
      <c r="B599" s="1" t="s">
        <v>945</v>
      </c>
      <c r="C599" s="4">
        <v>35.732999999999997</v>
      </c>
      <c r="D599" s="4">
        <v>-120.29</v>
      </c>
      <c r="E599" s="1" t="s">
        <v>1396</v>
      </c>
      <c r="F599" s="1">
        <v>1</v>
      </c>
      <c r="G599" s="1" t="s">
        <v>1262</v>
      </c>
      <c r="H599" s="1" t="s">
        <v>941</v>
      </c>
      <c r="I599" s="1" t="s">
        <v>75</v>
      </c>
      <c r="J599" s="1" t="s">
        <v>2463</v>
      </c>
      <c r="K599" s="1"/>
    </row>
    <row r="600" spans="1:11" ht="19" customHeight="1">
      <c r="A600" s="1" t="s">
        <v>2462</v>
      </c>
      <c r="B600" s="1" t="s">
        <v>945</v>
      </c>
      <c r="C600" s="4">
        <v>35.732999999999997</v>
      </c>
      <c r="D600" s="4">
        <v>-120.29</v>
      </c>
      <c r="E600" s="1" t="s">
        <v>1404</v>
      </c>
      <c r="F600" s="1">
        <v>1</v>
      </c>
      <c r="G600" s="1" t="s">
        <v>1263</v>
      </c>
      <c r="H600" s="1" t="s">
        <v>1124</v>
      </c>
      <c r="I600" s="1" t="s">
        <v>70</v>
      </c>
      <c r="J600" s="1" t="s">
        <v>2464</v>
      </c>
      <c r="K600" s="1"/>
    </row>
    <row r="601" spans="1:11" ht="19" customHeight="1">
      <c r="A601" s="1" t="s">
        <v>2465</v>
      </c>
      <c r="B601" s="1" t="s">
        <v>946</v>
      </c>
      <c r="C601" s="4">
        <v>35.770000000000003</v>
      </c>
      <c r="D601" s="4">
        <v>-120.247</v>
      </c>
      <c r="E601" s="1" t="s">
        <v>1396</v>
      </c>
      <c r="F601" s="1">
        <v>1</v>
      </c>
      <c r="G601" s="1" t="s">
        <v>1262</v>
      </c>
      <c r="H601" s="1" t="s">
        <v>941</v>
      </c>
      <c r="I601" s="1" t="s">
        <v>75</v>
      </c>
      <c r="J601" s="1" t="s">
        <v>2466</v>
      </c>
      <c r="K601" s="1"/>
    </row>
    <row r="602" spans="1:11" ht="19" customHeight="1">
      <c r="A602" s="1" t="s">
        <v>2465</v>
      </c>
      <c r="B602" s="1" t="s">
        <v>946</v>
      </c>
      <c r="C602" s="4">
        <v>35.770000000000003</v>
      </c>
      <c r="D602" s="4">
        <v>-120.247</v>
      </c>
      <c r="E602" s="1" t="s">
        <v>1404</v>
      </c>
      <c r="F602" s="1">
        <v>1</v>
      </c>
      <c r="G602" s="1" t="s">
        <v>1263</v>
      </c>
      <c r="H602" s="1" t="s">
        <v>1124</v>
      </c>
      <c r="I602" s="1" t="s">
        <v>70</v>
      </c>
      <c r="J602" s="1" t="s">
        <v>2467</v>
      </c>
      <c r="K602" s="1"/>
    </row>
    <row r="603" spans="1:11" ht="19" customHeight="1">
      <c r="A603" s="1" t="s">
        <v>2468</v>
      </c>
      <c r="B603" s="1" t="s">
        <v>947</v>
      </c>
      <c r="C603" s="4">
        <v>35.723999999999997</v>
      </c>
      <c r="D603" s="4">
        <v>-120.294</v>
      </c>
      <c r="E603" s="1" t="s">
        <v>1396</v>
      </c>
      <c r="F603" s="1">
        <v>1</v>
      </c>
      <c r="G603" s="1" t="s">
        <v>1262</v>
      </c>
      <c r="H603" s="1" t="s">
        <v>941</v>
      </c>
      <c r="I603" s="1" t="s">
        <v>75</v>
      </c>
      <c r="J603" s="1" t="s">
        <v>2469</v>
      </c>
      <c r="K603" s="1"/>
    </row>
    <row r="604" spans="1:11" ht="19" customHeight="1">
      <c r="A604" s="1" t="s">
        <v>2468</v>
      </c>
      <c r="B604" s="1" t="s">
        <v>947</v>
      </c>
      <c r="C604" s="4">
        <v>35.723999999999997</v>
      </c>
      <c r="D604" s="4">
        <v>-120.294</v>
      </c>
      <c r="E604" s="1" t="s">
        <v>1404</v>
      </c>
      <c r="F604" s="1">
        <v>1</v>
      </c>
      <c r="G604" s="1" t="s">
        <v>1263</v>
      </c>
      <c r="H604" s="1" t="s">
        <v>1124</v>
      </c>
      <c r="I604" s="1" t="s">
        <v>70</v>
      </c>
      <c r="J604" s="1" t="s">
        <v>2470</v>
      </c>
      <c r="K604" s="1"/>
    </row>
    <row r="605" spans="1:11" ht="19" customHeight="1">
      <c r="A605" s="1" t="s">
        <v>2471</v>
      </c>
      <c r="B605" s="1" t="s">
        <v>948</v>
      </c>
      <c r="C605" s="4">
        <v>35.718000000000004</v>
      </c>
      <c r="D605" s="4">
        <v>-120.304</v>
      </c>
      <c r="E605" s="1" t="s">
        <v>1396</v>
      </c>
      <c r="F605" s="1">
        <v>1</v>
      </c>
      <c r="G605" s="1" t="s">
        <v>1262</v>
      </c>
      <c r="H605" s="1" t="s">
        <v>941</v>
      </c>
      <c r="I605" s="1" t="s">
        <v>75</v>
      </c>
      <c r="J605" s="1" t="s">
        <v>2472</v>
      </c>
      <c r="K605" s="1"/>
    </row>
    <row r="606" spans="1:11" ht="19" customHeight="1">
      <c r="A606" s="1" t="s">
        <v>2471</v>
      </c>
      <c r="B606" s="1" t="s">
        <v>948</v>
      </c>
      <c r="C606" s="4">
        <v>35.718000000000004</v>
      </c>
      <c r="D606" s="4">
        <v>-120.304</v>
      </c>
      <c r="E606" s="1" t="s">
        <v>1404</v>
      </c>
      <c r="F606" s="1">
        <v>1</v>
      </c>
      <c r="G606" s="1" t="s">
        <v>1263</v>
      </c>
      <c r="H606" s="1" t="s">
        <v>1124</v>
      </c>
      <c r="I606" s="1" t="s">
        <v>70</v>
      </c>
      <c r="J606" s="1" t="s">
        <v>2473</v>
      </c>
      <c r="K606" s="1"/>
    </row>
    <row r="607" spans="1:11" ht="19" customHeight="1">
      <c r="A607" s="1" t="s">
        <v>2474</v>
      </c>
      <c r="B607" s="1" t="s">
        <v>942</v>
      </c>
      <c r="C607" s="4">
        <v>35.893999999999998</v>
      </c>
      <c r="D607" s="4">
        <v>-120.42100000000001</v>
      </c>
      <c r="E607" s="1" t="s">
        <v>1396</v>
      </c>
      <c r="F607" s="1">
        <v>1</v>
      </c>
      <c r="G607" s="1" t="s">
        <v>1262</v>
      </c>
      <c r="H607" s="1" t="s">
        <v>941</v>
      </c>
      <c r="I607" s="1" t="s">
        <v>75</v>
      </c>
      <c r="J607" s="1" t="s">
        <v>2475</v>
      </c>
      <c r="K607" s="1"/>
    </row>
    <row r="608" spans="1:11" ht="19" customHeight="1">
      <c r="A608" s="1" t="s">
        <v>2474</v>
      </c>
      <c r="B608" s="1" t="s">
        <v>942</v>
      </c>
      <c r="C608" s="4">
        <v>35.893999999999998</v>
      </c>
      <c r="D608" s="4">
        <v>-120.42100000000001</v>
      </c>
      <c r="E608" s="1" t="s">
        <v>1404</v>
      </c>
      <c r="F608" s="1">
        <v>1</v>
      </c>
      <c r="G608" s="1" t="s">
        <v>1263</v>
      </c>
      <c r="H608" s="1" t="s">
        <v>1124</v>
      </c>
      <c r="I608" s="1" t="s">
        <v>70</v>
      </c>
      <c r="J608" s="1" t="s">
        <v>2476</v>
      </c>
      <c r="K608" s="1"/>
    </row>
    <row r="609" spans="1:11" ht="19" customHeight="1">
      <c r="A609" s="1" t="s">
        <v>2477</v>
      </c>
      <c r="B609" s="1" t="s">
        <v>949</v>
      </c>
      <c r="C609" s="4">
        <v>35.758000000000003</v>
      </c>
      <c r="D609" s="4">
        <v>-120.307</v>
      </c>
      <c r="E609" s="1" t="s">
        <v>1396</v>
      </c>
      <c r="F609" s="1">
        <v>1</v>
      </c>
      <c r="G609" s="1" t="s">
        <v>1262</v>
      </c>
      <c r="H609" s="1" t="s">
        <v>941</v>
      </c>
      <c r="I609" s="1" t="s">
        <v>75</v>
      </c>
      <c r="J609" s="1" t="s">
        <v>2478</v>
      </c>
      <c r="K609" s="1"/>
    </row>
    <row r="610" spans="1:11" ht="19" customHeight="1">
      <c r="A610" s="1" t="s">
        <v>2477</v>
      </c>
      <c r="B610" s="1" t="s">
        <v>949</v>
      </c>
      <c r="C610" s="4">
        <v>35.758000000000003</v>
      </c>
      <c r="D610" s="4">
        <v>-120.307</v>
      </c>
      <c r="E610" s="1" t="s">
        <v>1404</v>
      </c>
      <c r="F610" s="1">
        <v>1</v>
      </c>
      <c r="G610" s="1" t="s">
        <v>1263</v>
      </c>
      <c r="H610" s="1" t="s">
        <v>1124</v>
      </c>
      <c r="I610" s="1" t="s">
        <v>70</v>
      </c>
      <c r="J610" s="1" t="s">
        <v>2479</v>
      </c>
      <c r="K610" s="1"/>
    </row>
    <row r="611" spans="1:11" ht="19" customHeight="1">
      <c r="A611" s="1" t="s">
        <v>2480</v>
      </c>
      <c r="B611" s="1" t="s">
        <v>951</v>
      </c>
      <c r="C611" s="4">
        <v>35.899000000000001</v>
      </c>
      <c r="D611" s="4">
        <v>-120.43300000000001</v>
      </c>
      <c r="E611" s="1" t="s">
        <v>1396</v>
      </c>
      <c r="F611" s="1">
        <v>1</v>
      </c>
      <c r="G611" s="1" t="s">
        <v>1262</v>
      </c>
      <c r="H611" s="1" t="s">
        <v>941</v>
      </c>
      <c r="I611" s="1" t="s">
        <v>75</v>
      </c>
      <c r="J611" s="1" t="s">
        <v>2481</v>
      </c>
      <c r="K611" s="1"/>
    </row>
    <row r="612" spans="1:11" ht="19" customHeight="1">
      <c r="A612" s="1" t="s">
        <v>2480</v>
      </c>
      <c r="B612" s="1" t="s">
        <v>951</v>
      </c>
      <c r="C612" s="4">
        <v>35.899000000000001</v>
      </c>
      <c r="D612" s="4">
        <v>-120.43300000000001</v>
      </c>
      <c r="E612" s="1" t="s">
        <v>1404</v>
      </c>
      <c r="F612" s="1">
        <v>1</v>
      </c>
      <c r="G612" s="1" t="s">
        <v>1263</v>
      </c>
      <c r="H612" s="1" t="s">
        <v>1124</v>
      </c>
      <c r="I612" s="1" t="s">
        <v>70</v>
      </c>
      <c r="J612" s="1" t="s">
        <v>2482</v>
      </c>
      <c r="K612" s="1"/>
    </row>
    <row r="613" spans="1:11" ht="19" customHeight="1">
      <c r="A613" s="1" t="s">
        <v>2483</v>
      </c>
      <c r="B613" s="1" t="s">
        <v>950</v>
      </c>
      <c r="C613" s="4">
        <v>35.878999999999998</v>
      </c>
      <c r="D613" s="4">
        <v>-120.44499999999999</v>
      </c>
      <c r="E613" s="1" t="s">
        <v>1396</v>
      </c>
      <c r="F613" s="1">
        <v>1</v>
      </c>
      <c r="G613" s="1" t="s">
        <v>1262</v>
      </c>
      <c r="H613" s="1" t="s">
        <v>941</v>
      </c>
      <c r="I613" s="1" t="s">
        <v>75</v>
      </c>
      <c r="J613" s="1" t="s">
        <v>2484</v>
      </c>
      <c r="K613" s="1"/>
    </row>
    <row r="614" spans="1:11" ht="19" customHeight="1">
      <c r="A614" s="1" t="s">
        <v>2483</v>
      </c>
      <c r="B614" s="1" t="s">
        <v>950</v>
      </c>
      <c r="C614" s="4">
        <v>35.878999999999998</v>
      </c>
      <c r="D614" s="4">
        <v>-120.44499999999999</v>
      </c>
      <c r="E614" s="1" t="s">
        <v>1404</v>
      </c>
      <c r="F614" s="1">
        <v>1</v>
      </c>
      <c r="G614" s="1" t="s">
        <v>1263</v>
      </c>
      <c r="H614" s="1" t="s">
        <v>1124</v>
      </c>
      <c r="I614" s="1" t="s">
        <v>70</v>
      </c>
      <c r="J614" s="1" t="s">
        <v>2485</v>
      </c>
      <c r="K614" s="1"/>
    </row>
    <row r="615" spans="1:11" ht="19" customHeight="1">
      <c r="A615" s="1" t="s">
        <v>2486</v>
      </c>
      <c r="B615" s="1" t="s">
        <v>953</v>
      </c>
      <c r="C615" s="4">
        <v>35.787999999999997</v>
      </c>
      <c r="D615" s="4">
        <v>-120.294</v>
      </c>
      <c r="E615" s="1" t="s">
        <v>1396</v>
      </c>
      <c r="F615" s="1">
        <v>1</v>
      </c>
      <c r="G615" s="1" t="s">
        <v>1262</v>
      </c>
      <c r="H615" s="1" t="s">
        <v>941</v>
      </c>
      <c r="I615" s="1" t="s">
        <v>75</v>
      </c>
      <c r="J615" s="1" t="s">
        <v>2487</v>
      </c>
      <c r="K615" s="1"/>
    </row>
    <row r="616" spans="1:11" ht="19" customHeight="1">
      <c r="A616" s="1" t="s">
        <v>2486</v>
      </c>
      <c r="B616" s="1" t="s">
        <v>1125</v>
      </c>
      <c r="C616" s="4">
        <v>35.787999999999997</v>
      </c>
      <c r="D616" s="4">
        <v>-120.294</v>
      </c>
      <c r="E616" s="1" t="s">
        <v>1404</v>
      </c>
      <c r="F616" s="1">
        <v>1</v>
      </c>
      <c r="G616" s="1" t="s">
        <v>1263</v>
      </c>
      <c r="H616" s="1" t="s">
        <v>1124</v>
      </c>
      <c r="I616" s="1" t="s">
        <v>70</v>
      </c>
      <c r="J616" s="1" t="s">
        <v>2488</v>
      </c>
      <c r="K616" s="1"/>
    </row>
    <row r="617" spans="1:11" ht="19" customHeight="1">
      <c r="A617" s="1" t="s">
        <v>2489</v>
      </c>
      <c r="B617" s="1" t="s">
        <v>952</v>
      </c>
      <c r="C617" s="4">
        <v>35.854999999999997</v>
      </c>
      <c r="D617" s="4">
        <v>-120.28100000000001</v>
      </c>
      <c r="E617" s="1" t="s">
        <v>1396</v>
      </c>
      <c r="F617" s="1">
        <v>1</v>
      </c>
      <c r="G617" s="1" t="s">
        <v>1262</v>
      </c>
      <c r="H617" s="1" t="s">
        <v>941</v>
      </c>
      <c r="I617" s="1" t="s">
        <v>75</v>
      </c>
      <c r="J617" s="1" t="s">
        <v>2490</v>
      </c>
      <c r="K617" s="1"/>
    </row>
    <row r="618" spans="1:11" ht="19" customHeight="1">
      <c r="A618" s="1" t="s">
        <v>2491</v>
      </c>
      <c r="B618" s="1" t="s">
        <v>829</v>
      </c>
      <c r="C618" s="4">
        <v>40.323999999999998</v>
      </c>
      <c r="D618" s="4">
        <v>-124.286</v>
      </c>
      <c r="E618" s="1" t="s">
        <v>1396</v>
      </c>
      <c r="F618" s="1">
        <v>1</v>
      </c>
      <c r="G618" s="1" t="s">
        <v>1262</v>
      </c>
      <c r="H618" s="1" t="s">
        <v>828</v>
      </c>
      <c r="I618" s="1" t="s">
        <v>75</v>
      </c>
      <c r="J618" s="1" t="s">
        <v>2492</v>
      </c>
      <c r="K618" s="1"/>
    </row>
    <row r="619" spans="1:11" ht="19" customHeight="1">
      <c r="A619" s="1" t="s">
        <v>2491</v>
      </c>
      <c r="B619" s="1" t="s">
        <v>829</v>
      </c>
      <c r="C619" s="4">
        <v>40.323999999999998</v>
      </c>
      <c r="D619" s="4">
        <v>-124.286</v>
      </c>
      <c r="E619" s="1" t="s">
        <v>1404</v>
      </c>
      <c r="F619" s="1">
        <v>1</v>
      </c>
      <c r="G619" s="1" t="s">
        <v>1263</v>
      </c>
      <c r="H619" s="1" t="s">
        <v>1056</v>
      </c>
      <c r="I619" s="1" t="s">
        <v>70</v>
      </c>
      <c r="J619" s="1" t="s">
        <v>2493</v>
      </c>
      <c r="K619" s="1"/>
    </row>
    <row r="620" spans="1:11" ht="19" customHeight="1">
      <c r="A620" s="1" t="s">
        <v>2494</v>
      </c>
      <c r="B620" s="1" t="s">
        <v>816</v>
      </c>
      <c r="C620" s="4">
        <v>33.097000000000001</v>
      </c>
      <c r="D620" s="4">
        <v>-115.751</v>
      </c>
      <c r="E620" s="1" t="s">
        <v>1396</v>
      </c>
      <c r="F620" s="1">
        <v>1</v>
      </c>
      <c r="G620" s="1" t="s">
        <v>1262</v>
      </c>
      <c r="H620" s="1" t="s">
        <v>814</v>
      </c>
      <c r="I620" s="1" t="s">
        <v>75</v>
      </c>
      <c r="J620" s="1" t="s">
        <v>2495</v>
      </c>
      <c r="K620" s="1"/>
    </row>
    <row r="621" spans="1:11" ht="19" customHeight="1">
      <c r="A621" s="1" t="s">
        <v>2496</v>
      </c>
      <c r="B621" s="1" t="s">
        <v>849</v>
      </c>
      <c r="C621" s="4">
        <v>34.280999999999999</v>
      </c>
      <c r="D621" s="4">
        <v>-118.47799999999999</v>
      </c>
      <c r="E621" s="1" t="s">
        <v>1396</v>
      </c>
      <c r="F621" s="1">
        <v>1</v>
      </c>
      <c r="G621" s="1" t="s">
        <v>1262</v>
      </c>
      <c r="H621" s="1" t="s">
        <v>837</v>
      </c>
      <c r="I621" s="1" t="s">
        <v>75</v>
      </c>
      <c r="J621" s="1" t="s">
        <v>2497</v>
      </c>
      <c r="K621" s="1"/>
    </row>
    <row r="622" spans="1:11" ht="19" customHeight="1">
      <c r="A622" s="1" t="s">
        <v>2496</v>
      </c>
      <c r="B622" s="1" t="s">
        <v>849</v>
      </c>
      <c r="C622" s="4">
        <v>34.280999999999999</v>
      </c>
      <c r="D622" s="4">
        <v>-118.47799999999999</v>
      </c>
      <c r="E622" s="1" t="s">
        <v>1404</v>
      </c>
      <c r="F622" s="1">
        <v>1</v>
      </c>
      <c r="G622" s="1" t="s">
        <v>1263</v>
      </c>
      <c r="H622" s="1" t="s">
        <v>1059</v>
      </c>
      <c r="I622" s="1" t="s">
        <v>70</v>
      </c>
      <c r="J622" s="1" t="s">
        <v>2498</v>
      </c>
      <c r="K622" s="1"/>
    </row>
    <row r="623" spans="1:11" ht="19" customHeight="1">
      <c r="A623" s="1" t="s">
        <v>2499</v>
      </c>
      <c r="B623" s="1" t="s">
        <v>813</v>
      </c>
      <c r="C623" s="4">
        <v>33.944000000000003</v>
      </c>
      <c r="D623" s="4">
        <v>-118.087</v>
      </c>
      <c r="E623" s="1" t="s">
        <v>1396</v>
      </c>
      <c r="F623" s="1">
        <v>1</v>
      </c>
      <c r="G623" s="1" t="s">
        <v>1262</v>
      </c>
      <c r="H623" s="1" t="s">
        <v>387</v>
      </c>
      <c r="I623" s="1" t="s">
        <v>75</v>
      </c>
      <c r="J623" s="1" t="s">
        <v>2500</v>
      </c>
      <c r="K623" s="1"/>
    </row>
    <row r="624" spans="1:11" ht="19" customHeight="1">
      <c r="A624" s="1" t="s">
        <v>2501</v>
      </c>
      <c r="B624" s="1" t="s">
        <v>824</v>
      </c>
      <c r="C624" s="4">
        <v>37.255000000000003</v>
      </c>
      <c r="D624" s="4">
        <v>-122.03100000000001</v>
      </c>
      <c r="E624" s="1" t="s">
        <v>1396</v>
      </c>
      <c r="F624" s="1">
        <v>1</v>
      </c>
      <c r="G624" s="1" t="s">
        <v>1262</v>
      </c>
      <c r="H624" s="1" t="s">
        <v>817</v>
      </c>
      <c r="I624" s="1" t="s">
        <v>75</v>
      </c>
      <c r="J624" s="1" t="s">
        <v>2502</v>
      </c>
      <c r="K624" s="1"/>
    </row>
    <row r="625" spans="1:11" ht="19" customHeight="1">
      <c r="A625" s="1" t="s">
        <v>2501</v>
      </c>
      <c r="B625" s="1" t="s">
        <v>824</v>
      </c>
      <c r="C625" s="4">
        <v>37.255000000000003</v>
      </c>
      <c r="D625" s="4">
        <v>-122.03100000000001</v>
      </c>
      <c r="E625" s="1" t="s">
        <v>1404</v>
      </c>
      <c r="F625" s="1">
        <v>1</v>
      </c>
      <c r="G625" s="1" t="s">
        <v>1263</v>
      </c>
      <c r="H625" s="1" t="s">
        <v>1054</v>
      </c>
      <c r="I625" s="1" t="s">
        <v>70</v>
      </c>
      <c r="J625" s="1" t="s">
        <v>2503</v>
      </c>
      <c r="K625" s="1"/>
    </row>
    <row r="626" spans="1:11" ht="19" customHeight="1">
      <c r="A626" s="1" t="s">
        <v>2504</v>
      </c>
      <c r="B626" s="1" t="s">
        <v>825</v>
      </c>
      <c r="C626" s="4">
        <v>37.262</v>
      </c>
      <c r="D626" s="4">
        <v>-122.009</v>
      </c>
      <c r="E626" s="1" t="s">
        <v>1396</v>
      </c>
      <c r="F626" s="1">
        <v>1</v>
      </c>
      <c r="G626" s="1" t="s">
        <v>1262</v>
      </c>
      <c r="H626" s="1" t="s">
        <v>817</v>
      </c>
      <c r="I626" s="1" t="s">
        <v>75</v>
      </c>
      <c r="J626" s="1" t="s">
        <v>2505</v>
      </c>
      <c r="K626" s="1"/>
    </row>
    <row r="627" spans="1:11" ht="19" customHeight="1">
      <c r="A627" s="1" t="s">
        <v>2504</v>
      </c>
      <c r="B627" s="1" t="s">
        <v>825</v>
      </c>
      <c r="C627" s="4">
        <v>37.262</v>
      </c>
      <c r="D627" s="4">
        <v>-122.009</v>
      </c>
      <c r="E627" s="1" t="s">
        <v>1404</v>
      </c>
      <c r="F627" s="1">
        <v>1</v>
      </c>
      <c r="G627" s="1" t="s">
        <v>1263</v>
      </c>
      <c r="H627" s="1" t="s">
        <v>1054</v>
      </c>
      <c r="I627" s="1" t="s">
        <v>70</v>
      </c>
      <c r="J627" s="1" t="s">
        <v>2506</v>
      </c>
      <c r="K627" s="1"/>
    </row>
    <row r="628" spans="1:11" ht="19" customHeight="1">
      <c r="A628" s="1" t="s">
        <v>2507</v>
      </c>
      <c r="B628" s="1" t="s">
        <v>823</v>
      </c>
      <c r="C628" s="4">
        <v>37.792000000000002</v>
      </c>
      <c r="D628" s="4">
        <v>-122.45699999999999</v>
      </c>
      <c r="E628" s="1" t="s">
        <v>1396</v>
      </c>
      <c r="F628" s="1">
        <v>1</v>
      </c>
      <c r="G628" s="1" t="s">
        <v>1262</v>
      </c>
      <c r="H628" s="1" t="s">
        <v>817</v>
      </c>
      <c r="I628" s="1" t="s">
        <v>75</v>
      </c>
      <c r="J628" s="1" t="s">
        <v>2508</v>
      </c>
      <c r="K628" s="1"/>
    </row>
    <row r="629" spans="1:11" ht="19" customHeight="1">
      <c r="A629" s="1" t="s">
        <v>2509</v>
      </c>
      <c r="B629" s="1" t="s">
        <v>943</v>
      </c>
      <c r="C629" s="4">
        <v>36.033999999999999</v>
      </c>
      <c r="D629" s="4">
        <v>-120.59</v>
      </c>
      <c r="E629" s="1" t="s">
        <v>1396</v>
      </c>
      <c r="F629" s="1">
        <v>1</v>
      </c>
      <c r="G629" s="1" t="s">
        <v>1262</v>
      </c>
      <c r="H629" s="1" t="s">
        <v>941</v>
      </c>
      <c r="I629" s="1" t="s">
        <v>75</v>
      </c>
      <c r="J629" s="1" t="s">
        <v>2510</v>
      </c>
      <c r="K629" s="1"/>
    </row>
    <row r="630" spans="1:11" ht="19" customHeight="1">
      <c r="A630" s="1" t="s">
        <v>2509</v>
      </c>
      <c r="B630" s="1" t="s">
        <v>943</v>
      </c>
      <c r="C630" s="4">
        <v>36.033999999999999</v>
      </c>
      <c r="D630" s="4">
        <v>-120.59</v>
      </c>
      <c r="E630" s="1" t="s">
        <v>1404</v>
      </c>
      <c r="F630" s="1">
        <v>1</v>
      </c>
      <c r="G630" s="1" t="s">
        <v>1263</v>
      </c>
      <c r="H630" s="1" t="s">
        <v>1124</v>
      </c>
      <c r="I630" s="1" t="s">
        <v>70</v>
      </c>
      <c r="J630" s="1" t="s">
        <v>2511</v>
      </c>
      <c r="K630" s="1"/>
    </row>
    <row r="631" spans="1:11" ht="19" customHeight="1">
      <c r="A631" s="1" t="s">
        <v>2512</v>
      </c>
      <c r="B631" s="1" t="s">
        <v>850</v>
      </c>
      <c r="C631" s="4">
        <v>34.311</v>
      </c>
      <c r="D631" s="4">
        <v>-118.49</v>
      </c>
      <c r="E631" s="1" t="s">
        <v>1396</v>
      </c>
      <c r="F631" s="1">
        <v>1</v>
      </c>
      <c r="G631" s="1" t="s">
        <v>1262</v>
      </c>
      <c r="H631" s="1" t="s">
        <v>837</v>
      </c>
      <c r="I631" s="1" t="s">
        <v>75</v>
      </c>
      <c r="J631" s="1" t="s">
        <v>2513</v>
      </c>
      <c r="K631" s="1"/>
    </row>
    <row r="632" spans="1:11" ht="19" customHeight="1">
      <c r="A632" s="1" t="s">
        <v>2512</v>
      </c>
      <c r="B632" s="1" t="s">
        <v>850</v>
      </c>
      <c r="C632" s="4">
        <v>34.311</v>
      </c>
      <c r="D632" s="4">
        <v>-118.49</v>
      </c>
      <c r="E632" s="1" t="s">
        <v>1404</v>
      </c>
      <c r="F632" s="1">
        <v>1</v>
      </c>
      <c r="G632" s="1" t="s">
        <v>1263</v>
      </c>
      <c r="H632" s="1" t="s">
        <v>1059</v>
      </c>
      <c r="I632" s="1" t="s">
        <v>70</v>
      </c>
      <c r="J632" s="1" t="s">
        <v>2514</v>
      </c>
      <c r="K632" s="1"/>
    </row>
    <row r="633" spans="1:11" ht="19" customHeight="1">
      <c r="A633" s="1" t="s">
        <v>2515</v>
      </c>
      <c r="B633" s="1" t="s">
        <v>851</v>
      </c>
      <c r="C633" s="4">
        <v>34.311999999999998</v>
      </c>
      <c r="D633" s="4">
        <v>-118.48099999999999</v>
      </c>
      <c r="E633" s="1" t="s">
        <v>1396</v>
      </c>
      <c r="F633" s="1">
        <v>1</v>
      </c>
      <c r="G633" s="1" t="s">
        <v>1262</v>
      </c>
      <c r="H633" s="1" t="s">
        <v>837</v>
      </c>
      <c r="I633" s="1" t="s">
        <v>75</v>
      </c>
      <c r="J633" s="1" t="s">
        <v>2516</v>
      </c>
      <c r="K633" s="1"/>
    </row>
    <row r="634" spans="1:11" ht="19" customHeight="1">
      <c r="A634" s="1" t="s">
        <v>2515</v>
      </c>
      <c r="B634" s="1" t="s">
        <v>851</v>
      </c>
      <c r="C634" s="4">
        <v>34.311999999999998</v>
      </c>
      <c r="D634" s="4">
        <v>-118.48099999999999</v>
      </c>
      <c r="E634" s="1" t="s">
        <v>1404</v>
      </c>
      <c r="F634" s="1">
        <v>1</v>
      </c>
      <c r="G634" s="1" t="s">
        <v>1263</v>
      </c>
      <c r="H634" s="1" t="s">
        <v>1059</v>
      </c>
      <c r="I634" s="1" t="s">
        <v>70</v>
      </c>
      <c r="J634" s="1" t="s">
        <v>2517</v>
      </c>
      <c r="K634" s="1"/>
    </row>
    <row r="635" spans="1:11" ht="19" customHeight="1">
      <c r="A635" s="1" t="s">
        <v>2518</v>
      </c>
      <c r="B635" s="1" t="s">
        <v>852</v>
      </c>
      <c r="C635" s="4">
        <v>34.326000000000001</v>
      </c>
      <c r="D635" s="4">
        <v>-118.444</v>
      </c>
      <c r="E635" s="1" t="s">
        <v>1396</v>
      </c>
      <c r="F635" s="1">
        <v>1</v>
      </c>
      <c r="G635" s="1" t="s">
        <v>1262</v>
      </c>
      <c r="H635" s="1" t="s">
        <v>837</v>
      </c>
      <c r="I635" s="1" t="s">
        <v>75</v>
      </c>
      <c r="J635" s="1" t="s">
        <v>2519</v>
      </c>
      <c r="K635" s="1"/>
    </row>
    <row r="636" spans="1:11" ht="19" customHeight="1">
      <c r="A636" s="1" t="s">
        <v>2518</v>
      </c>
      <c r="B636" s="1" t="s">
        <v>852</v>
      </c>
      <c r="C636" s="4">
        <v>34.326000000000001</v>
      </c>
      <c r="D636" s="4">
        <v>-118.444</v>
      </c>
      <c r="E636" s="1" t="s">
        <v>1404</v>
      </c>
      <c r="F636" s="1">
        <v>1</v>
      </c>
      <c r="G636" s="1" t="s">
        <v>1263</v>
      </c>
      <c r="H636" s="1" t="s">
        <v>1059</v>
      </c>
      <c r="I636" s="1" t="s">
        <v>70</v>
      </c>
      <c r="J636" s="1" t="s">
        <v>2520</v>
      </c>
      <c r="K636" s="1"/>
    </row>
    <row r="637" spans="1:11" ht="19" customHeight="1">
      <c r="A637" s="1" t="s">
        <v>2521</v>
      </c>
      <c r="B637" s="1" t="s">
        <v>934</v>
      </c>
      <c r="C637" s="4">
        <v>63.423900000000003</v>
      </c>
      <c r="D637" s="4">
        <v>-145.76580000000001</v>
      </c>
      <c r="E637" s="1" t="s">
        <v>1396</v>
      </c>
      <c r="F637" s="1">
        <v>1</v>
      </c>
      <c r="G637" s="1" t="s">
        <v>1262</v>
      </c>
      <c r="H637" s="1" t="s">
        <v>933</v>
      </c>
      <c r="I637" s="1" t="s">
        <v>75</v>
      </c>
      <c r="J637" s="1" t="s">
        <v>2522</v>
      </c>
      <c r="K637" s="1"/>
    </row>
    <row r="638" spans="1:11" ht="19" customHeight="1">
      <c r="A638" s="1" t="s">
        <v>2521</v>
      </c>
      <c r="B638" s="1" t="s">
        <v>1109</v>
      </c>
      <c r="C638" s="4">
        <v>63.423900000000003</v>
      </c>
      <c r="D638" s="4">
        <v>-145.76580000000001</v>
      </c>
      <c r="E638" s="1" t="s">
        <v>1404</v>
      </c>
      <c r="F638" s="1">
        <v>1</v>
      </c>
      <c r="G638" s="1" t="s">
        <v>1263</v>
      </c>
      <c r="H638" s="1" t="s">
        <v>1108</v>
      </c>
      <c r="I638" s="1" t="s">
        <v>70</v>
      </c>
      <c r="J638" s="1" t="s">
        <v>2523</v>
      </c>
      <c r="K638" s="1"/>
    </row>
    <row r="639" spans="1:11" ht="19" customHeight="1">
      <c r="A639" s="1" t="s">
        <v>2524</v>
      </c>
      <c r="B639" s="1" t="s">
        <v>768</v>
      </c>
      <c r="C639" s="4">
        <v>36.249000000000002</v>
      </c>
      <c r="D639" s="4">
        <v>-120.343</v>
      </c>
      <c r="E639" s="1" t="s">
        <v>1396</v>
      </c>
      <c r="F639" s="1">
        <v>1</v>
      </c>
      <c r="G639" s="1" t="s">
        <v>1262</v>
      </c>
      <c r="H639" s="1" t="s">
        <v>332</v>
      </c>
      <c r="I639" s="1" t="s">
        <v>75</v>
      </c>
      <c r="J639" s="1" t="s">
        <v>2525</v>
      </c>
      <c r="K639" s="1"/>
    </row>
    <row r="640" spans="1:11" ht="19" customHeight="1">
      <c r="A640" s="1" t="s">
        <v>2526</v>
      </c>
      <c r="B640" s="1" t="s">
        <v>826</v>
      </c>
      <c r="C640" s="4">
        <v>37.825000000000003</v>
      </c>
      <c r="D640" s="4">
        <v>-122.373</v>
      </c>
      <c r="E640" s="1" t="s">
        <v>1396</v>
      </c>
      <c r="F640" s="1">
        <v>1</v>
      </c>
      <c r="G640" s="1" t="s">
        <v>1262</v>
      </c>
      <c r="H640" s="1" t="s">
        <v>817</v>
      </c>
      <c r="I640" s="1" t="s">
        <v>75</v>
      </c>
      <c r="J640" s="1" t="s">
        <v>2527</v>
      </c>
      <c r="K640" s="1"/>
    </row>
    <row r="641" spans="1:11" ht="19" customHeight="1">
      <c r="A641" s="1" t="s">
        <v>2528</v>
      </c>
      <c r="B641" s="1" t="s">
        <v>765</v>
      </c>
      <c r="C641" s="4">
        <v>33.036999999999999</v>
      </c>
      <c r="D641" s="4">
        <v>-115.623</v>
      </c>
      <c r="E641" s="1" t="s">
        <v>1396</v>
      </c>
      <c r="F641" s="1">
        <v>1</v>
      </c>
      <c r="G641" s="1" t="s">
        <v>1262</v>
      </c>
      <c r="H641" s="1" t="s">
        <v>763</v>
      </c>
      <c r="I641" s="1" t="s">
        <v>75</v>
      </c>
      <c r="J641" s="1" t="s">
        <v>2529</v>
      </c>
      <c r="K641" s="1"/>
    </row>
    <row r="642" spans="1:11" ht="19" customHeight="1">
      <c r="A642" s="1" t="s">
        <v>2530</v>
      </c>
      <c r="B642" s="1" t="s">
        <v>836</v>
      </c>
      <c r="C642" s="4">
        <v>34.904000000000003</v>
      </c>
      <c r="D642" s="4">
        <v>-116.82299999999999</v>
      </c>
      <c r="E642" s="1" t="s">
        <v>1396</v>
      </c>
      <c r="F642" s="1">
        <v>1</v>
      </c>
      <c r="G642" s="1" t="s">
        <v>1262</v>
      </c>
      <c r="H642" s="1" t="s">
        <v>833</v>
      </c>
      <c r="I642" s="1" t="s">
        <v>75</v>
      </c>
      <c r="J642" s="1" t="s">
        <v>2531</v>
      </c>
      <c r="K642" s="1"/>
    </row>
    <row r="643" spans="1:11" ht="19" customHeight="1">
      <c r="A643" s="1" t="s">
        <v>2530</v>
      </c>
      <c r="B643" s="1" t="s">
        <v>836</v>
      </c>
      <c r="C643" s="4">
        <v>34.904000000000003</v>
      </c>
      <c r="D643" s="4">
        <v>-116.82299999999999</v>
      </c>
      <c r="E643" s="1" t="s">
        <v>1404</v>
      </c>
      <c r="F643" s="1">
        <v>1</v>
      </c>
      <c r="G643" s="1" t="s">
        <v>1263</v>
      </c>
      <c r="H643" s="1" t="s">
        <v>1058</v>
      </c>
      <c r="I643" s="1" t="s">
        <v>70</v>
      </c>
      <c r="J643" s="1" t="s">
        <v>2532</v>
      </c>
      <c r="K643" s="1"/>
    </row>
    <row r="644" spans="1:11" ht="19" customHeight="1"/>
    <row r="645" spans="1:11" ht="19" customHeight="1"/>
    <row r="646" spans="1:11" ht="19" customHeight="1"/>
    <row r="647" spans="1:11" ht="19" customHeight="1"/>
    <row r="648" spans="1:11" ht="19" customHeight="1"/>
    <row r="649" spans="1:11" ht="19" customHeight="1"/>
    <row r="650" spans="1:11" ht="19" customHeight="1"/>
    <row r="651" spans="1:11" ht="19" customHeight="1"/>
    <row r="652" spans="1:11" ht="19" customHeight="1"/>
    <row r="653" spans="1:11" ht="19" customHeight="1"/>
    <row r="654" spans="1:11" ht="19" customHeight="1"/>
    <row r="655" spans="1:11" ht="19" customHeight="1"/>
    <row r="656" spans="1:11" ht="19" customHeight="1"/>
    <row r="657" ht="19" customHeight="1"/>
    <row r="658" ht="19" customHeight="1"/>
    <row r="659" ht="19" customHeight="1"/>
    <row r="660" ht="19" customHeight="1"/>
    <row r="661" ht="19" customHeight="1"/>
    <row r="662" ht="19" customHeight="1"/>
    <row r="663" ht="19" customHeight="1"/>
    <row r="664" ht="19" customHeight="1"/>
    <row r="665" ht="19" customHeight="1"/>
    <row r="666" ht="19" customHeight="1"/>
    <row r="667" ht="19" customHeight="1"/>
    <row r="668" ht="19" customHeight="1"/>
    <row r="669" ht="19" customHeight="1"/>
    <row r="670" ht="19" customHeight="1"/>
    <row r="671" ht="19" customHeight="1"/>
    <row r="672" ht="19" customHeight="1"/>
    <row r="673" ht="19" customHeight="1"/>
    <row r="674" ht="19" customHeight="1"/>
    <row r="675" ht="19" customHeight="1"/>
    <row r="676" ht="19" customHeight="1"/>
    <row r="677" ht="19" customHeight="1"/>
    <row r="678" ht="19" customHeight="1"/>
    <row r="679" ht="19" customHeight="1"/>
    <row r="680" ht="19" customHeight="1"/>
    <row r="681" ht="19" customHeight="1"/>
    <row r="682" ht="19" customHeight="1"/>
    <row r="683" ht="19" customHeight="1"/>
    <row r="684" ht="19" customHeight="1"/>
    <row r="685" ht="19" customHeight="1"/>
    <row r="686" ht="19" customHeight="1"/>
    <row r="687" ht="19" customHeight="1"/>
    <row r="688" ht="19" customHeight="1"/>
    <row r="689" ht="19" customHeight="1"/>
    <row r="690" ht="19" customHeight="1"/>
    <row r="691" ht="19" customHeight="1"/>
    <row r="692" ht="19" customHeight="1"/>
    <row r="693" ht="19" customHeight="1"/>
    <row r="694" ht="19" customHeight="1"/>
    <row r="695" ht="19" customHeight="1"/>
    <row r="696" ht="19" customHeight="1"/>
    <row r="697" ht="19" customHeight="1"/>
    <row r="698" ht="19" customHeight="1"/>
    <row r="699" ht="19" customHeight="1"/>
    <row r="700" ht="19" customHeight="1"/>
    <row r="701" ht="19" customHeight="1"/>
    <row r="702" ht="19" customHeight="1"/>
    <row r="703" ht="19" customHeight="1"/>
    <row r="704" ht="19" customHeight="1"/>
    <row r="705" ht="19" customHeight="1"/>
    <row r="706" ht="19" customHeight="1"/>
    <row r="707" ht="19" customHeight="1"/>
    <row r="708" ht="19" customHeight="1"/>
    <row r="709" ht="19" customHeight="1"/>
    <row r="710" ht="19" customHeight="1"/>
    <row r="711" ht="19" customHeight="1"/>
    <row r="712" ht="19" customHeight="1"/>
    <row r="713" ht="19" customHeight="1"/>
    <row r="714" ht="19" customHeight="1"/>
    <row r="715" ht="19" customHeight="1"/>
    <row r="716" ht="19" customHeight="1"/>
    <row r="717" ht="19" customHeight="1"/>
    <row r="718" ht="19" customHeight="1"/>
    <row r="719" ht="19" customHeight="1"/>
    <row r="720" ht="19" customHeight="1"/>
    <row r="721" ht="19" customHeight="1"/>
    <row r="722" ht="19" customHeight="1"/>
    <row r="723" ht="19" customHeight="1"/>
    <row r="724" ht="19" customHeight="1"/>
    <row r="725" ht="19" customHeigh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6B91"/>
  </sheetPr>
  <dimension ref="A1:BF11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44" customWidth="1"/>
    <col min="3" max="3" width="20" customWidth="1"/>
    <col min="4" max="4" width="44" customWidth="1"/>
    <col min="5" max="13" width="20" customWidth="1"/>
    <col min="14" max="14" width="44" customWidth="1"/>
    <col min="15" max="20" width="20" customWidth="1"/>
    <col min="21" max="22" width="44" customWidth="1"/>
    <col min="23" max="23" width="20" customWidth="1"/>
    <col min="24" max="24" width="55" customWidth="1"/>
    <col min="25" max="25" width="44" customWidth="1"/>
    <col min="26" max="33" width="20" customWidth="1"/>
    <col min="34" max="35" width="44" customWidth="1"/>
    <col min="36" max="46" width="20" customWidth="1"/>
    <col min="47" max="47" width="44" customWidth="1"/>
    <col min="48" max="49" width="20" customWidth="1"/>
    <col min="50" max="50" width="30" customWidth="1"/>
    <col min="51" max="54" width="55" customWidth="1"/>
    <col min="55" max="56" width="75" customWidth="1"/>
    <col min="57" max="58" width="36" customWidth="1"/>
  </cols>
  <sheetData>
    <row r="1" spans="1:58" ht="58" customHeight="1">
      <c r="A1" s="12" t="s">
        <v>194</v>
      </c>
      <c r="B1" s="12" t="s">
        <v>2533</v>
      </c>
      <c r="C1" s="12" t="s">
        <v>2534</v>
      </c>
      <c r="D1" s="12" t="s">
        <v>721</v>
      </c>
      <c r="E1" s="12" t="s">
        <v>706</v>
      </c>
      <c r="F1" s="12" t="s">
        <v>707</v>
      </c>
      <c r="G1" s="12" t="s">
        <v>2535</v>
      </c>
      <c r="H1" s="12" t="s">
        <v>708</v>
      </c>
      <c r="I1" s="12" t="s">
        <v>709</v>
      </c>
      <c r="J1" s="12" t="s">
        <v>710</v>
      </c>
      <c r="K1" s="12" t="s">
        <v>711</v>
      </c>
      <c r="L1" s="12" t="s">
        <v>712</v>
      </c>
      <c r="M1" s="12" t="s">
        <v>713</v>
      </c>
      <c r="N1" s="12" t="s">
        <v>714</v>
      </c>
      <c r="O1" s="12" t="s">
        <v>715</v>
      </c>
      <c r="P1" s="12" t="s">
        <v>716</v>
      </c>
      <c r="Q1" s="12" t="s">
        <v>717</v>
      </c>
      <c r="R1" s="12" t="s">
        <v>718</v>
      </c>
      <c r="S1" s="12" t="s">
        <v>719</v>
      </c>
      <c r="T1" s="12" t="s">
        <v>720</v>
      </c>
      <c r="U1" s="12" t="s">
        <v>2536</v>
      </c>
      <c r="V1" s="12" t="s">
        <v>2537</v>
      </c>
      <c r="W1" s="12" t="s">
        <v>195</v>
      </c>
      <c r="X1" s="12" t="s">
        <v>728</v>
      </c>
      <c r="Y1" s="12" t="s">
        <v>2538</v>
      </c>
      <c r="Z1" s="12" t="s">
        <v>2539</v>
      </c>
      <c r="AA1" s="12" t="s">
        <v>2540</v>
      </c>
      <c r="AB1" s="12" t="s">
        <v>2541</v>
      </c>
      <c r="AC1" s="12" t="s">
        <v>2542</v>
      </c>
      <c r="AD1" s="12" t="s">
        <v>2543</v>
      </c>
      <c r="AE1" s="12" t="s">
        <v>2544</v>
      </c>
      <c r="AF1" s="12" t="s">
        <v>2545</v>
      </c>
      <c r="AG1" s="12" t="s">
        <v>2546</v>
      </c>
      <c r="AH1" s="12" t="s">
        <v>722</v>
      </c>
      <c r="AI1" s="12" t="s">
        <v>2547</v>
      </c>
      <c r="AJ1" s="12" t="s">
        <v>2548</v>
      </c>
      <c r="AK1" s="12" t="s">
        <v>723</v>
      </c>
      <c r="AL1" s="12" t="s">
        <v>724</v>
      </c>
      <c r="AM1" s="12" t="s">
        <v>2549</v>
      </c>
      <c r="AN1" s="12" t="s">
        <v>725</v>
      </c>
      <c r="AO1" s="12" t="s">
        <v>726</v>
      </c>
      <c r="AP1" s="12" t="s">
        <v>2550</v>
      </c>
      <c r="AQ1" s="12" t="s">
        <v>2551</v>
      </c>
      <c r="AR1" s="12" t="s">
        <v>2552</v>
      </c>
      <c r="AS1" s="12" t="s">
        <v>2553</v>
      </c>
      <c r="AT1" s="12" t="s">
        <v>2554</v>
      </c>
      <c r="AU1" s="12" t="s">
        <v>2555</v>
      </c>
      <c r="AV1" s="12" t="s">
        <v>2556</v>
      </c>
      <c r="AW1" s="12" t="s">
        <v>2557</v>
      </c>
      <c r="AX1" s="12" t="s">
        <v>2558</v>
      </c>
      <c r="AY1" s="12" t="s">
        <v>727</v>
      </c>
      <c r="AZ1" s="12" t="s">
        <v>2559</v>
      </c>
      <c r="BA1" s="12" t="s">
        <v>2560</v>
      </c>
      <c r="BB1" s="12" t="s">
        <v>2561</v>
      </c>
      <c r="BC1" s="18" t="s">
        <v>237</v>
      </c>
      <c r="BD1" s="18" t="s">
        <v>2562</v>
      </c>
      <c r="BE1" s="34" t="s">
        <v>2563</v>
      </c>
      <c r="BF1" s="34" t="s">
        <v>2564</v>
      </c>
    </row>
    <row r="2" spans="1:58" ht="22" customHeight="1">
      <c r="A2" s="1" t="s">
        <v>252</v>
      </c>
      <c r="B2" s="1" t="s">
        <v>253</v>
      </c>
      <c r="C2" s="1" t="s">
        <v>2565</v>
      </c>
      <c r="D2" s="1" t="s">
        <v>2566</v>
      </c>
      <c r="E2" s="1" t="s">
        <v>2567</v>
      </c>
      <c r="F2" s="1" t="s">
        <v>2568</v>
      </c>
      <c r="G2" s="1" t="s">
        <v>2569</v>
      </c>
      <c r="H2" s="1">
        <v>6.5</v>
      </c>
      <c r="I2" s="1" t="s">
        <v>2570</v>
      </c>
      <c r="J2" s="1">
        <v>40.816699999999997</v>
      </c>
      <c r="K2" s="1">
        <v>-124.083</v>
      </c>
      <c r="L2" s="1">
        <v>10</v>
      </c>
      <c r="M2" s="1" t="s">
        <v>730</v>
      </c>
      <c r="N2" s="1" t="s">
        <v>2571</v>
      </c>
      <c r="O2" s="1">
        <v>65.599999999999994</v>
      </c>
      <c r="P2" s="1">
        <v>90</v>
      </c>
      <c r="Q2" s="1">
        <v>0</v>
      </c>
      <c r="R2" s="1"/>
      <c r="S2" s="1"/>
      <c r="T2" s="1"/>
      <c r="U2" s="1" t="s">
        <v>2572</v>
      </c>
      <c r="V2" s="1" t="s">
        <v>2573</v>
      </c>
      <c r="W2" s="1" t="s">
        <v>256</v>
      </c>
      <c r="X2" s="1" t="s">
        <v>167</v>
      </c>
      <c r="Y2" s="1" t="s">
        <v>2574</v>
      </c>
      <c r="Z2" s="1">
        <v>0</v>
      </c>
      <c r="AA2" s="1"/>
      <c r="AB2" s="1">
        <v>65.599999999999994</v>
      </c>
      <c r="AC2" s="1">
        <v>90</v>
      </c>
      <c r="AD2" s="1">
        <v>0</v>
      </c>
      <c r="AE2" s="1">
        <v>4.008</v>
      </c>
      <c r="AF2" s="1">
        <v>14.9</v>
      </c>
      <c r="AG2" s="1">
        <v>9.1</v>
      </c>
      <c r="AH2" s="1" t="s">
        <v>731</v>
      </c>
      <c r="AI2" s="1" t="s">
        <v>2575</v>
      </c>
      <c r="AJ2" s="1" t="s">
        <v>160</v>
      </c>
      <c r="AK2" s="1"/>
      <c r="AL2" s="1"/>
      <c r="AM2" s="13"/>
      <c r="AN2" s="1"/>
      <c r="AO2" s="1"/>
      <c r="AP2" s="1"/>
      <c r="AQ2" s="1"/>
      <c r="AR2" s="1"/>
      <c r="AS2" s="1"/>
      <c r="AT2" s="1"/>
      <c r="AU2" s="1"/>
      <c r="AV2" s="1"/>
      <c r="AW2" s="1"/>
      <c r="AX2" s="14"/>
      <c r="AY2" s="1"/>
      <c r="AZ2" s="1"/>
      <c r="BA2" s="1"/>
      <c r="BB2" s="1"/>
      <c r="BC2" s="17" t="s">
        <v>255</v>
      </c>
      <c r="BD2" s="17" t="s">
        <v>261</v>
      </c>
      <c r="BE2" t="s">
        <v>1262</v>
      </c>
      <c r="BF2" t="s">
        <v>2576</v>
      </c>
    </row>
    <row r="3" spans="1:58" ht="22" customHeight="1">
      <c r="A3" s="1" t="s">
        <v>262</v>
      </c>
      <c r="B3" s="1" t="s">
        <v>263</v>
      </c>
      <c r="C3" s="1" t="s">
        <v>2577</v>
      </c>
      <c r="D3" s="1" t="s">
        <v>2566</v>
      </c>
      <c r="E3" s="1" t="s">
        <v>2578</v>
      </c>
      <c r="F3" s="1" t="s">
        <v>2579</v>
      </c>
      <c r="G3" s="1" t="s">
        <v>2569</v>
      </c>
      <c r="H3" s="1">
        <v>6.61</v>
      </c>
      <c r="I3" s="1" t="s">
        <v>1003</v>
      </c>
      <c r="J3" s="1">
        <v>34.44</v>
      </c>
      <c r="K3" s="1">
        <v>-118.41</v>
      </c>
      <c r="L3" s="1">
        <v>13</v>
      </c>
      <c r="M3" s="1" t="s">
        <v>734</v>
      </c>
      <c r="N3" s="1" t="s">
        <v>2571</v>
      </c>
      <c r="O3" s="1">
        <v>288</v>
      </c>
      <c r="P3" s="1">
        <v>50</v>
      </c>
      <c r="Q3" s="1">
        <v>83</v>
      </c>
      <c r="R3" s="1"/>
      <c r="S3" s="1"/>
      <c r="T3" s="1"/>
      <c r="U3" s="1" t="s">
        <v>2572</v>
      </c>
      <c r="V3" s="1" t="s">
        <v>2573</v>
      </c>
      <c r="W3" s="1" t="s">
        <v>264</v>
      </c>
      <c r="X3" s="1" t="s">
        <v>167</v>
      </c>
      <c r="Y3" s="1" t="s">
        <v>2580</v>
      </c>
      <c r="Z3" s="1">
        <v>1</v>
      </c>
      <c r="AA3" s="1" t="s">
        <v>2581</v>
      </c>
      <c r="AB3" s="1">
        <v>288</v>
      </c>
      <c r="AC3" s="1">
        <v>50</v>
      </c>
      <c r="AD3" s="1">
        <v>83</v>
      </c>
      <c r="AE3" s="1">
        <v>0</v>
      </c>
      <c r="AF3" s="1">
        <v>20</v>
      </c>
      <c r="AG3" s="1">
        <v>27.4</v>
      </c>
      <c r="AH3" s="1" t="s">
        <v>731</v>
      </c>
      <c r="AI3" s="1" t="s">
        <v>2575</v>
      </c>
      <c r="AJ3" s="1" t="s">
        <v>160</v>
      </c>
      <c r="AK3" s="1"/>
      <c r="AL3" s="1"/>
      <c r="AM3" s="13"/>
      <c r="AN3" s="1"/>
      <c r="AO3" s="1"/>
      <c r="AP3" s="1"/>
      <c r="AQ3" s="1"/>
      <c r="AR3" s="1"/>
      <c r="AS3" s="1"/>
      <c r="AT3" s="1"/>
      <c r="AU3" s="1"/>
      <c r="AV3" s="1"/>
      <c r="AW3" s="1"/>
      <c r="AX3" s="14"/>
      <c r="AY3" s="1"/>
      <c r="AZ3" s="1"/>
      <c r="BA3" s="1"/>
      <c r="BB3" s="1"/>
      <c r="BC3" s="17" t="s">
        <v>255</v>
      </c>
      <c r="BD3" s="17" t="s">
        <v>268</v>
      </c>
      <c r="BE3" t="s">
        <v>1262</v>
      </c>
      <c r="BF3" t="s">
        <v>2582</v>
      </c>
    </row>
    <row r="4" spans="1:58" ht="22" customHeight="1">
      <c r="A4" s="1" t="s">
        <v>269</v>
      </c>
      <c r="B4" s="1" t="s">
        <v>270</v>
      </c>
      <c r="C4" s="1" t="s">
        <v>2583</v>
      </c>
      <c r="D4" s="1" t="s">
        <v>2566</v>
      </c>
      <c r="E4" s="1" t="s">
        <v>2584</v>
      </c>
      <c r="F4" s="1" t="s">
        <v>2585</v>
      </c>
      <c r="G4" s="1" t="s">
        <v>2569</v>
      </c>
      <c r="H4" s="1">
        <v>7.35</v>
      </c>
      <c r="I4" s="1" t="s">
        <v>1003</v>
      </c>
      <c r="J4" s="1">
        <v>33.215000000000003</v>
      </c>
      <c r="K4" s="1">
        <v>57.323</v>
      </c>
      <c r="L4" s="1">
        <v>5.75</v>
      </c>
      <c r="M4" s="1" t="s">
        <v>734</v>
      </c>
      <c r="N4" s="1" t="s">
        <v>2571</v>
      </c>
      <c r="O4" s="1">
        <v>330</v>
      </c>
      <c r="P4" s="1">
        <v>25</v>
      </c>
      <c r="Q4" s="1">
        <v>110</v>
      </c>
      <c r="R4" s="1"/>
      <c r="S4" s="1"/>
      <c r="T4" s="1"/>
      <c r="U4" s="1" t="s">
        <v>2572</v>
      </c>
      <c r="V4" s="1" t="s">
        <v>2573</v>
      </c>
      <c r="W4" s="1" t="s">
        <v>271</v>
      </c>
      <c r="X4" s="1" t="s">
        <v>167</v>
      </c>
      <c r="Y4" s="1" t="s">
        <v>2586</v>
      </c>
      <c r="Z4" s="1">
        <v>1</v>
      </c>
      <c r="AA4" s="1"/>
      <c r="AB4" s="1">
        <v>330</v>
      </c>
      <c r="AC4" s="1">
        <v>25</v>
      </c>
      <c r="AD4" s="1">
        <v>110</v>
      </c>
      <c r="AE4" s="1">
        <v>1</v>
      </c>
      <c r="AF4" s="1">
        <v>90</v>
      </c>
      <c r="AG4" s="1">
        <v>35</v>
      </c>
      <c r="AH4" s="1" t="s">
        <v>731</v>
      </c>
      <c r="AI4" s="1" t="s">
        <v>2575</v>
      </c>
      <c r="AJ4" s="1" t="s">
        <v>160</v>
      </c>
      <c r="AK4" s="1"/>
      <c r="AL4" s="1"/>
      <c r="AM4" s="13"/>
      <c r="AN4" s="1"/>
      <c r="AO4" s="1"/>
      <c r="AP4" s="1"/>
      <c r="AQ4" s="1"/>
      <c r="AR4" s="1"/>
      <c r="AS4" s="1"/>
      <c r="AT4" s="1"/>
      <c r="AU4" s="1"/>
      <c r="AV4" s="1"/>
      <c r="AW4" s="1"/>
      <c r="AX4" s="14"/>
      <c r="AY4" s="1"/>
      <c r="AZ4" s="1"/>
      <c r="BA4" s="1"/>
      <c r="BB4" s="1"/>
      <c r="BC4" s="17" t="s">
        <v>255</v>
      </c>
      <c r="BD4" s="17" t="s">
        <v>276</v>
      </c>
      <c r="BE4" t="s">
        <v>1262</v>
      </c>
      <c r="BF4" t="s">
        <v>2587</v>
      </c>
    </row>
    <row r="5" spans="1:58" ht="22" customHeight="1">
      <c r="A5" s="1" t="s">
        <v>298</v>
      </c>
      <c r="B5" s="1" t="s">
        <v>299</v>
      </c>
      <c r="C5" s="1" t="s">
        <v>2588</v>
      </c>
      <c r="D5" s="1" t="s">
        <v>2566</v>
      </c>
      <c r="E5" s="1" t="s">
        <v>2589</v>
      </c>
      <c r="F5" s="1" t="s">
        <v>2590</v>
      </c>
      <c r="G5" s="1" t="s">
        <v>2569</v>
      </c>
      <c r="H5" s="1">
        <v>7.1</v>
      </c>
      <c r="I5" s="1" t="s">
        <v>1003</v>
      </c>
      <c r="J5" s="1">
        <v>42.04</v>
      </c>
      <c r="K5" s="1">
        <v>19.21</v>
      </c>
      <c r="L5" s="1">
        <v>7</v>
      </c>
      <c r="M5" s="1" t="s">
        <v>734</v>
      </c>
      <c r="N5" s="1" t="s">
        <v>2571</v>
      </c>
      <c r="O5" s="1">
        <v>300</v>
      </c>
      <c r="P5" s="1">
        <v>14</v>
      </c>
      <c r="Q5" s="1">
        <v>88</v>
      </c>
      <c r="R5" s="1"/>
      <c r="S5" s="1"/>
      <c r="T5" s="1"/>
      <c r="U5" s="1" t="s">
        <v>2572</v>
      </c>
      <c r="V5" s="1" t="s">
        <v>2573</v>
      </c>
      <c r="W5" s="1" t="s">
        <v>300</v>
      </c>
      <c r="X5" s="1" t="s">
        <v>167</v>
      </c>
      <c r="Y5" s="1" t="s">
        <v>2591</v>
      </c>
      <c r="Z5" s="1">
        <v>1</v>
      </c>
      <c r="AA5" s="1"/>
      <c r="AB5" s="1">
        <v>300</v>
      </c>
      <c r="AC5" s="1">
        <v>14</v>
      </c>
      <c r="AD5" s="1">
        <v>88</v>
      </c>
      <c r="AE5" s="1">
        <v>3.61</v>
      </c>
      <c r="AF5" s="1">
        <v>54</v>
      </c>
      <c r="AG5" s="1">
        <v>34</v>
      </c>
      <c r="AH5" s="1" t="s">
        <v>731</v>
      </c>
      <c r="AI5" s="1" t="s">
        <v>2575</v>
      </c>
      <c r="AJ5" s="1" t="s">
        <v>160</v>
      </c>
      <c r="AK5" s="1"/>
      <c r="AL5" s="1"/>
      <c r="AM5" s="13"/>
      <c r="AN5" s="1"/>
      <c r="AO5" s="1"/>
      <c r="AP5" s="1"/>
      <c r="AQ5" s="1"/>
      <c r="AR5" s="1"/>
      <c r="AS5" s="1"/>
      <c r="AT5" s="1"/>
      <c r="AU5" s="1"/>
      <c r="AV5" s="1"/>
      <c r="AW5" s="1"/>
      <c r="AX5" s="14"/>
      <c r="AY5" s="1"/>
      <c r="AZ5" s="1"/>
      <c r="BA5" s="1"/>
      <c r="BB5" s="1"/>
      <c r="BC5" s="17" t="s">
        <v>255</v>
      </c>
      <c r="BD5" s="17" t="s">
        <v>304</v>
      </c>
      <c r="BE5" t="s">
        <v>1262</v>
      </c>
      <c r="BF5" t="s">
        <v>2592</v>
      </c>
    </row>
    <row r="6" spans="1:58" ht="22" customHeight="1">
      <c r="A6" s="1" t="s">
        <v>277</v>
      </c>
      <c r="B6" s="1" t="s">
        <v>278</v>
      </c>
      <c r="C6" s="1" t="s">
        <v>2593</v>
      </c>
      <c r="D6" s="1" t="s">
        <v>2566</v>
      </c>
      <c r="E6" s="1" t="s">
        <v>2594</v>
      </c>
      <c r="F6" s="1" t="s">
        <v>2595</v>
      </c>
      <c r="G6" s="1" t="s">
        <v>2569</v>
      </c>
      <c r="H6" s="1">
        <v>5.74</v>
      </c>
      <c r="I6" s="1" t="s">
        <v>1003</v>
      </c>
      <c r="J6" s="1">
        <v>37.064999999999998</v>
      </c>
      <c r="K6" s="1">
        <v>-121.49</v>
      </c>
      <c r="L6" s="1">
        <v>8</v>
      </c>
      <c r="M6" s="1" t="s">
        <v>730</v>
      </c>
      <c r="N6" s="1" t="s">
        <v>2571</v>
      </c>
      <c r="O6" s="1">
        <v>336</v>
      </c>
      <c r="P6" s="1">
        <v>80</v>
      </c>
      <c r="Q6" s="1">
        <v>176</v>
      </c>
      <c r="R6" s="1"/>
      <c r="S6" s="1"/>
      <c r="T6" s="1"/>
      <c r="U6" s="1" t="s">
        <v>2572</v>
      </c>
      <c r="V6" s="1" t="s">
        <v>2573</v>
      </c>
      <c r="W6" s="1" t="s">
        <v>279</v>
      </c>
      <c r="X6" s="1" t="s">
        <v>167</v>
      </c>
      <c r="Y6" s="1" t="s">
        <v>2596</v>
      </c>
      <c r="Z6" s="1">
        <v>1</v>
      </c>
      <c r="AA6" s="1" t="s">
        <v>2597</v>
      </c>
      <c r="AB6" s="1">
        <v>336</v>
      </c>
      <c r="AC6" s="1">
        <v>80</v>
      </c>
      <c r="AD6" s="1">
        <v>176</v>
      </c>
      <c r="AE6" s="1">
        <v>3.08</v>
      </c>
      <c r="AF6" s="1">
        <v>6.6</v>
      </c>
      <c r="AG6" s="1">
        <v>7</v>
      </c>
      <c r="AH6" s="1" t="s">
        <v>731</v>
      </c>
      <c r="AI6" s="1" t="s">
        <v>2575</v>
      </c>
      <c r="AJ6" s="1" t="s">
        <v>160</v>
      </c>
      <c r="AK6" s="1"/>
      <c r="AL6" s="1"/>
      <c r="AM6" s="13"/>
      <c r="AN6" s="1"/>
      <c r="AO6" s="1"/>
      <c r="AP6" s="1"/>
      <c r="AQ6" s="1"/>
      <c r="AR6" s="1"/>
      <c r="AS6" s="1"/>
      <c r="AT6" s="1"/>
      <c r="AU6" s="1"/>
      <c r="AV6" s="1"/>
      <c r="AW6" s="1"/>
      <c r="AX6" s="14"/>
      <c r="AY6" s="1"/>
      <c r="AZ6" s="1"/>
      <c r="BA6" s="1"/>
      <c r="BB6" s="1"/>
      <c r="BC6" s="17" t="s">
        <v>255</v>
      </c>
      <c r="BD6" s="17" t="s">
        <v>284</v>
      </c>
      <c r="BE6" t="s">
        <v>1262</v>
      </c>
      <c r="BF6" t="s">
        <v>2598</v>
      </c>
    </row>
    <row r="7" spans="1:58" ht="22" customHeight="1">
      <c r="A7" s="1" t="s">
        <v>285</v>
      </c>
      <c r="B7" s="1" t="s">
        <v>286</v>
      </c>
      <c r="C7" s="1" t="s">
        <v>2565</v>
      </c>
      <c r="D7" s="1" t="s">
        <v>2566</v>
      </c>
      <c r="E7" s="1" t="s">
        <v>2599</v>
      </c>
      <c r="F7" s="1" t="s">
        <v>2600</v>
      </c>
      <c r="G7" s="1" t="s">
        <v>2569</v>
      </c>
      <c r="H7" s="1">
        <v>6.53</v>
      </c>
      <c r="I7" s="1" t="s">
        <v>1003</v>
      </c>
      <c r="J7" s="1">
        <v>32.643999999999998</v>
      </c>
      <c r="K7" s="1">
        <v>-115.307</v>
      </c>
      <c r="L7" s="1">
        <v>9.9600000000000009</v>
      </c>
      <c r="M7" s="1" t="s">
        <v>730</v>
      </c>
      <c r="N7" s="1" t="s">
        <v>2571</v>
      </c>
      <c r="O7" s="1">
        <v>323</v>
      </c>
      <c r="P7" s="1">
        <v>80</v>
      </c>
      <c r="Q7" s="1">
        <v>180</v>
      </c>
      <c r="R7" s="1"/>
      <c r="S7" s="1"/>
      <c r="T7" s="1"/>
      <c r="U7" s="1" t="s">
        <v>2572</v>
      </c>
      <c r="V7" s="1" t="s">
        <v>2573</v>
      </c>
      <c r="W7" s="1" t="s">
        <v>287</v>
      </c>
      <c r="X7" s="1" t="s">
        <v>167</v>
      </c>
      <c r="Y7" s="1" t="s">
        <v>2601</v>
      </c>
      <c r="Z7" s="1">
        <v>1</v>
      </c>
      <c r="AA7" s="1" t="s">
        <v>2602</v>
      </c>
      <c r="AB7" s="1">
        <v>323</v>
      </c>
      <c r="AC7" s="1">
        <v>80</v>
      </c>
      <c r="AD7" s="1">
        <v>180</v>
      </c>
      <c r="AE7" s="1">
        <v>0</v>
      </c>
      <c r="AF7" s="1">
        <v>50</v>
      </c>
      <c r="AG7" s="1">
        <v>13</v>
      </c>
      <c r="AH7" s="1" t="s">
        <v>731</v>
      </c>
      <c r="AI7" s="1" t="s">
        <v>2575</v>
      </c>
      <c r="AJ7" s="1" t="s">
        <v>160</v>
      </c>
      <c r="AK7" s="1"/>
      <c r="AL7" s="1"/>
      <c r="AM7" s="13"/>
      <c r="AN7" s="1"/>
      <c r="AO7" s="1"/>
      <c r="AP7" s="1"/>
      <c r="AQ7" s="1"/>
      <c r="AR7" s="1"/>
      <c r="AS7" s="1"/>
      <c r="AT7" s="1"/>
      <c r="AU7" s="1"/>
      <c r="AV7" s="1"/>
      <c r="AW7" s="1"/>
      <c r="AX7" s="14"/>
      <c r="AY7" s="1"/>
      <c r="AZ7" s="1"/>
      <c r="BA7" s="1"/>
      <c r="BB7" s="1"/>
      <c r="BC7" s="17" t="s">
        <v>255</v>
      </c>
      <c r="BD7" s="17" t="s">
        <v>291</v>
      </c>
      <c r="BE7" t="s">
        <v>1262</v>
      </c>
      <c r="BF7" t="s">
        <v>2603</v>
      </c>
    </row>
    <row r="8" spans="1:58" ht="22" customHeight="1">
      <c r="A8" s="1" t="s">
        <v>292</v>
      </c>
      <c r="B8" s="1" t="s">
        <v>293</v>
      </c>
      <c r="C8" s="1" t="s">
        <v>2604</v>
      </c>
      <c r="D8" s="1" t="s">
        <v>2566</v>
      </c>
      <c r="E8" s="1" t="s">
        <v>2599</v>
      </c>
      <c r="F8" s="1" t="s">
        <v>2605</v>
      </c>
      <c r="G8" s="1" t="s">
        <v>2569</v>
      </c>
      <c r="H8" s="1">
        <v>5.01</v>
      </c>
      <c r="I8" s="1" t="s">
        <v>1003</v>
      </c>
      <c r="J8" s="1">
        <v>32.7667</v>
      </c>
      <c r="K8" s="1">
        <v>-115.4413</v>
      </c>
      <c r="L8" s="1">
        <v>9.5</v>
      </c>
      <c r="M8" s="1" t="s">
        <v>730</v>
      </c>
      <c r="N8" s="1" t="s">
        <v>2571</v>
      </c>
      <c r="O8" s="1">
        <v>319.89999999999998</v>
      </c>
      <c r="P8" s="1">
        <v>90</v>
      </c>
      <c r="Q8" s="1">
        <v>180</v>
      </c>
      <c r="R8" s="1"/>
      <c r="S8" s="1"/>
      <c r="T8" s="1"/>
      <c r="U8" s="1" t="s">
        <v>2572</v>
      </c>
      <c r="V8" s="1" t="s">
        <v>2573</v>
      </c>
      <c r="W8" s="1" t="s">
        <v>294</v>
      </c>
      <c r="X8" s="1" t="s">
        <v>167</v>
      </c>
      <c r="Y8" s="1" t="s">
        <v>2606</v>
      </c>
      <c r="Z8" s="1">
        <v>0</v>
      </c>
      <c r="AA8" s="1"/>
      <c r="AB8" s="1">
        <v>319.89999999999998</v>
      </c>
      <c r="AC8" s="1">
        <v>90</v>
      </c>
      <c r="AD8" s="1">
        <v>180</v>
      </c>
      <c r="AE8" s="1">
        <v>7.2610000000000001</v>
      </c>
      <c r="AF8" s="1">
        <v>3.6</v>
      </c>
      <c r="AG8" s="1">
        <v>4.2</v>
      </c>
      <c r="AH8" s="1" t="s">
        <v>731</v>
      </c>
      <c r="AI8" s="1" t="s">
        <v>2575</v>
      </c>
      <c r="AJ8" s="1" t="s">
        <v>160</v>
      </c>
      <c r="AK8" s="1"/>
      <c r="AL8" s="1"/>
      <c r="AM8" s="13"/>
      <c r="AN8" s="1"/>
      <c r="AO8" s="1"/>
      <c r="AP8" s="1"/>
      <c r="AQ8" s="1"/>
      <c r="AR8" s="1"/>
      <c r="AS8" s="1"/>
      <c r="AT8" s="1"/>
      <c r="AU8" s="1"/>
      <c r="AV8" s="1"/>
      <c r="AW8" s="1"/>
      <c r="AX8" s="14"/>
      <c r="AY8" s="1"/>
      <c r="AZ8" s="1"/>
      <c r="BA8" s="1"/>
      <c r="BB8" s="1"/>
      <c r="BC8" s="17" t="s">
        <v>255</v>
      </c>
      <c r="BD8" s="17" t="s">
        <v>297</v>
      </c>
      <c r="BE8" t="s">
        <v>1262</v>
      </c>
      <c r="BF8" t="s">
        <v>2607</v>
      </c>
    </row>
    <row r="9" spans="1:58" ht="22" customHeight="1">
      <c r="A9" s="1" t="s">
        <v>305</v>
      </c>
      <c r="B9" s="1" t="s">
        <v>306</v>
      </c>
      <c r="C9" s="1" t="s">
        <v>2608</v>
      </c>
      <c r="D9" s="1" t="s">
        <v>2566</v>
      </c>
      <c r="E9" s="1" t="s">
        <v>2609</v>
      </c>
      <c r="F9" s="1" t="s">
        <v>2610</v>
      </c>
      <c r="G9" s="1" t="s">
        <v>2569</v>
      </c>
      <c r="H9" s="1">
        <v>6.9</v>
      </c>
      <c r="I9" s="1" t="s">
        <v>1003</v>
      </c>
      <c r="J9" s="1">
        <v>40.805900000000001</v>
      </c>
      <c r="K9" s="1">
        <v>15.337199999999999</v>
      </c>
      <c r="L9" s="1">
        <v>9.5</v>
      </c>
      <c r="M9" s="1" t="s">
        <v>760</v>
      </c>
      <c r="N9" s="1" t="s">
        <v>2571</v>
      </c>
      <c r="O9" s="1">
        <v>312.8</v>
      </c>
      <c r="P9" s="1">
        <v>60</v>
      </c>
      <c r="Q9" s="1">
        <v>-90</v>
      </c>
      <c r="R9" s="1"/>
      <c r="S9" s="1"/>
      <c r="T9" s="1"/>
      <c r="U9" s="1" t="s">
        <v>2572</v>
      </c>
      <c r="V9" s="1" t="s">
        <v>2573</v>
      </c>
      <c r="W9" s="1" t="s">
        <v>307</v>
      </c>
      <c r="X9" s="1" t="s">
        <v>167</v>
      </c>
      <c r="Y9" s="1" t="s">
        <v>2611</v>
      </c>
      <c r="Z9" s="1">
        <v>1</v>
      </c>
      <c r="AA9" s="1"/>
      <c r="AB9" s="1">
        <v>312.8</v>
      </c>
      <c r="AC9" s="1">
        <v>60</v>
      </c>
      <c r="AD9" s="1">
        <v>-90</v>
      </c>
      <c r="AE9" s="1">
        <v>0</v>
      </c>
      <c r="AF9" s="1">
        <v>47</v>
      </c>
      <c r="AG9" s="1">
        <v>15</v>
      </c>
      <c r="AH9" s="1" t="s">
        <v>731</v>
      </c>
      <c r="AI9" s="1" t="s">
        <v>2575</v>
      </c>
      <c r="AJ9" s="1" t="s">
        <v>160</v>
      </c>
      <c r="AK9" s="1"/>
      <c r="AL9" s="1"/>
      <c r="AM9" s="13"/>
      <c r="AN9" s="1"/>
      <c r="AO9" s="1"/>
      <c r="AP9" s="1"/>
      <c r="AQ9" s="1"/>
      <c r="AR9" s="1"/>
      <c r="AS9" s="1"/>
      <c r="AT9" s="1"/>
      <c r="AU9" s="1"/>
      <c r="AV9" s="1"/>
      <c r="AW9" s="1"/>
      <c r="AX9" s="14"/>
      <c r="AY9" s="1"/>
      <c r="AZ9" s="1"/>
      <c r="BA9" s="1"/>
      <c r="BB9" s="1"/>
      <c r="BC9" s="17" t="s">
        <v>255</v>
      </c>
      <c r="BD9" s="17" t="s">
        <v>311</v>
      </c>
      <c r="BE9" t="s">
        <v>1262</v>
      </c>
      <c r="BF9" t="s">
        <v>2612</v>
      </c>
    </row>
    <row r="10" spans="1:58" ht="22" customHeight="1">
      <c r="A10" s="1" t="s">
        <v>312</v>
      </c>
      <c r="B10" s="1" t="s">
        <v>313</v>
      </c>
      <c r="C10" s="1" t="s">
        <v>2613</v>
      </c>
      <c r="D10" s="1" t="s">
        <v>2566</v>
      </c>
      <c r="E10" s="1" t="s">
        <v>2614</v>
      </c>
      <c r="F10" s="1" t="s">
        <v>2615</v>
      </c>
      <c r="G10" s="1" t="s">
        <v>2569</v>
      </c>
      <c r="H10" s="1">
        <v>5.94</v>
      </c>
      <c r="I10" s="1" t="s">
        <v>1003</v>
      </c>
      <c r="J10" s="1">
        <v>37.506</v>
      </c>
      <c r="K10" s="1">
        <v>-118.82599999999999</v>
      </c>
      <c r="L10" s="1">
        <v>14</v>
      </c>
      <c r="M10" s="1" t="s">
        <v>730</v>
      </c>
      <c r="N10" s="1" t="s">
        <v>2571</v>
      </c>
      <c r="O10" s="1">
        <v>22</v>
      </c>
      <c r="P10" s="1">
        <v>50</v>
      </c>
      <c r="Q10" s="1">
        <v>-28</v>
      </c>
      <c r="R10" s="1"/>
      <c r="S10" s="1"/>
      <c r="T10" s="1"/>
      <c r="U10" s="1" t="s">
        <v>2572</v>
      </c>
      <c r="V10" s="1" t="s">
        <v>2573</v>
      </c>
      <c r="W10" s="1" t="s">
        <v>314</v>
      </c>
      <c r="X10" s="1" t="s">
        <v>167</v>
      </c>
      <c r="Y10" s="1" t="s">
        <v>2616</v>
      </c>
      <c r="Z10" s="1">
        <v>0</v>
      </c>
      <c r="AA10" s="1"/>
      <c r="AB10" s="1">
        <v>22</v>
      </c>
      <c r="AC10" s="1">
        <v>50</v>
      </c>
      <c r="AD10" s="1">
        <v>-28</v>
      </c>
      <c r="AE10" s="1">
        <v>10.577999999999999</v>
      </c>
      <c r="AF10" s="1">
        <v>9.1999999999999993</v>
      </c>
      <c r="AG10" s="1">
        <v>5.3</v>
      </c>
      <c r="AH10" s="1" t="s">
        <v>731</v>
      </c>
      <c r="AI10" s="1" t="s">
        <v>2575</v>
      </c>
      <c r="AJ10" s="1" t="s">
        <v>160</v>
      </c>
      <c r="AK10" s="1"/>
      <c r="AL10" s="1"/>
      <c r="AM10" s="13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4"/>
      <c r="AY10" s="1"/>
      <c r="AZ10" s="1"/>
      <c r="BA10" s="1"/>
      <c r="BB10" s="1"/>
      <c r="BC10" s="17" t="s">
        <v>255</v>
      </c>
      <c r="BD10" s="17" t="s">
        <v>317</v>
      </c>
      <c r="BE10" t="s">
        <v>1262</v>
      </c>
      <c r="BF10" t="s">
        <v>2617</v>
      </c>
    </row>
    <row r="11" spans="1:58" ht="22" customHeight="1">
      <c r="A11" s="1" t="s">
        <v>318</v>
      </c>
      <c r="B11" s="1" t="s">
        <v>319</v>
      </c>
      <c r="C11" s="1" t="s">
        <v>2613</v>
      </c>
      <c r="D11" s="1" t="s">
        <v>2566</v>
      </c>
      <c r="E11" s="1" t="s">
        <v>2618</v>
      </c>
      <c r="F11" s="1" t="s">
        <v>2619</v>
      </c>
      <c r="G11" s="1" t="s">
        <v>2569</v>
      </c>
      <c r="H11" s="1">
        <v>5.9</v>
      </c>
      <c r="I11" s="1" t="s">
        <v>1003</v>
      </c>
      <c r="J11" s="1">
        <v>33.1</v>
      </c>
      <c r="K11" s="1">
        <v>-115.62</v>
      </c>
      <c r="L11" s="1">
        <v>2.2999999999999998</v>
      </c>
      <c r="M11" s="1" t="s">
        <v>730</v>
      </c>
      <c r="N11" s="1" t="s">
        <v>2571</v>
      </c>
      <c r="O11" s="1">
        <v>64</v>
      </c>
      <c r="P11" s="1">
        <v>90</v>
      </c>
      <c r="Q11" s="1">
        <v>0</v>
      </c>
      <c r="R11" s="1"/>
      <c r="S11" s="1"/>
      <c r="T11" s="1"/>
      <c r="U11" s="1" t="s">
        <v>2572</v>
      </c>
      <c r="V11" s="1" t="s">
        <v>2573</v>
      </c>
      <c r="W11" s="1" t="s">
        <v>320</v>
      </c>
      <c r="X11" s="1" t="s">
        <v>167</v>
      </c>
      <c r="Y11" s="1" t="s">
        <v>2620</v>
      </c>
      <c r="Z11" s="1">
        <v>1</v>
      </c>
      <c r="AA11" s="1"/>
      <c r="AB11" s="1">
        <v>64</v>
      </c>
      <c r="AC11" s="1">
        <v>90</v>
      </c>
      <c r="AD11" s="1">
        <v>0</v>
      </c>
      <c r="AE11" s="1">
        <v>2</v>
      </c>
      <c r="AF11" s="1">
        <v>10</v>
      </c>
      <c r="AG11" s="1">
        <v>7</v>
      </c>
      <c r="AH11" s="1" t="s">
        <v>731</v>
      </c>
      <c r="AI11" s="1" t="s">
        <v>2575</v>
      </c>
      <c r="AJ11" s="1" t="s">
        <v>160</v>
      </c>
      <c r="AK11" s="1"/>
      <c r="AL11" s="1"/>
      <c r="AM11" s="13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4"/>
      <c r="AY11" s="1"/>
      <c r="AZ11" s="1"/>
      <c r="BA11" s="1"/>
      <c r="BB11" s="1"/>
      <c r="BC11" s="17" t="s">
        <v>255</v>
      </c>
      <c r="BD11" s="17" t="s">
        <v>324</v>
      </c>
      <c r="BE11" t="s">
        <v>1262</v>
      </c>
      <c r="BF11" t="s">
        <v>2621</v>
      </c>
    </row>
    <row r="12" spans="1:58" ht="22" customHeight="1">
      <c r="A12" s="1" t="s">
        <v>325</v>
      </c>
      <c r="B12" s="1" t="s">
        <v>326</v>
      </c>
      <c r="C12" s="1" t="s">
        <v>2622</v>
      </c>
      <c r="D12" s="1" t="s">
        <v>2566</v>
      </c>
      <c r="E12" s="1" t="s">
        <v>2623</v>
      </c>
      <c r="F12" s="1" t="s">
        <v>2624</v>
      </c>
      <c r="G12" s="1" t="s">
        <v>2569</v>
      </c>
      <c r="H12" s="1">
        <v>5.09</v>
      </c>
      <c r="I12" s="1" t="s">
        <v>1003</v>
      </c>
      <c r="J12" s="1">
        <v>36.246000000000002</v>
      </c>
      <c r="K12" s="1">
        <v>-120.29900000000001</v>
      </c>
      <c r="L12" s="1">
        <v>12</v>
      </c>
      <c r="M12" s="1" t="s">
        <v>734</v>
      </c>
      <c r="N12" s="1" t="s">
        <v>2571</v>
      </c>
      <c r="O12" s="1">
        <v>136</v>
      </c>
      <c r="P12" s="1">
        <v>44</v>
      </c>
      <c r="Q12" s="1">
        <v>106</v>
      </c>
      <c r="R12" s="1"/>
      <c r="S12" s="1"/>
      <c r="T12" s="1"/>
      <c r="U12" s="1" t="s">
        <v>2572</v>
      </c>
      <c r="V12" s="1" t="s">
        <v>2573</v>
      </c>
      <c r="W12" s="1" t="s">
        <v>327</v>
      </c>
      <c r="X12" s="1" t="s">
        <v>167</v>
      </c>
      <c r="Y12" s="1" t="s">
        <v>2625</v>
      </c>
      <c r="Z12" s="1">
        <v>0</v>
      </c>
      <c r="AA12" s="1"/>
      <c r="AB12" s="1">
        <v>136</v>
      </c>
      <c r="AC12" s="1">
        <v>44</v>
      </c>
      <c r="AD12" s="1">
        <v>106</v>
      </c>
      <c r="AE12" s="1">
        <v>10.55</v>
      </c>
      <c r="AF12" s="1">
        <v>4.0999999999999996</v>
      </c>
      <c r="AG12" s="1">
        <v>4.5999999999999996</v>
      </c>
      <c r="AH12" s="1" t="s">
        <v>731</v>
      </c>
      <c r="AI12" s="1" t="s">
        <v>2575</v>
      </c>
      <c r="AJ12" s="1" t="s">
        <v>160</v>
      </c>
      <c r="AK12" s="1"/>
      <c r="AL12" s="1"/>
      <c r="AM12" s="13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4"/>
      <c r="AY12" s="1"/>
      <c r="AZ12" s="1"/>
      <c r="BA12" s="1"/>
      <c r="BB12" s="1"/>
      <c r="BC12" s="17" t="s">
        <v>255</v>
      </c>
      <c r="BD12" s="17" t="s">
        <v>330</v>
      </c>
      <c r="BE12" t="s">
        <v>1262</v>
      </c>
      <c r="BF12" t="s">
        <v>2626</v>
      </c>
    </row>
    <row r="13" spans="1:58" ht="22" customHeight="1">
      <c r="A13" s="1" t="s">
        <v>331</v>
      </c>
      <c r="B13" s="1" t="s">
        <v>332</v>
      </c>
      <c r="C13" s="1" t="s">
        <v>2627</v>
      </c>
      <c r="D13" s="1" t="s">
        <v>2566</v>
      </c>
      <c r="E13" s="1" t="s">
        <v>2628</v>
      </c>
      <c r="F13" s="1" t="s">
        <v>2629</v>
      </c>
      <c r="G13" s="1" t="s">
        <v>2569</v>
      </c>
      <c r="H13" s="1">
        <v>5.77</v>
      </c>
      <c r="I13" s="1" t="s">
        <v>1003</v>
      </c>
      <c r="J13" s="1">
        <v>36.241</v>
      </c>
      <c r="K13" s="1">
        <v>-120.40900000000001</v>
      </c>
      <c r="L13" s="1">
        <v>7.4</v>
      </c>
      <c r="M13" s="1" t="s">
        <v>734</v>
      </c>
      <c r="N13" s="1" t="s">
        <v>2571</v>
      </c>
      <c r="O13" s="1">
        <v>355</v>
      </c>
      <c r="P13" s="1">
        <v>38</v>
      </c>
      <c r="Q13" s="1">
        <v>102</v>
      </c>
      <c r="R13" s="1"/>
      <c r="S13" s="1"/>
      <c r="T13" s="1"/>
      <c r="U13" s="1" t="s">
        <v>2572</v>
      </c>
      <c r="V13" s="1" t="s">
        <v>2573</v>
      </c>
      <c r="W13" s="1" t="s">
        <v>333</v>
      </c>
      <c r="X13" s="1" t="s">
        <v>167</v>
      </c>
      <c r="Y13" s="1" t="s">
        <v>2630</v>
      </c>
      <c r="Z13" s="1">
        <v>0</v>
      </c>
      <c r="AA13" s="1"/>
      <c r="AB13" s="1">
        <v>355</v>
      </c>
      <c r="AC13" s="1">
        <v>38</v>
      </c>
      <c r="AD13" s="1">
        <v>102</v>
      </c>
      <c r="AE13" s="1">
        <v>5.4139999999999997</v>
      </c>
      <c r="AF13" s="1">
        <v>6.3</v>
      </c>
      <c r="AG13" s="1">
        <v>6.1</v>
      </c>
      <c r="AH13" s="1" t="s">
        <v>731</v>
      </c>
      <c r="AI13" s="1" t="s">
        <v>2575</v>
      </c>
      <c r="AJ13" s="1" t="s">
        <v>160</v>
      </c>
      <c r="AK13" s="1"/>
      <c r="AL13" s="1"/>
      <c r="AM13" s="13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4"/>
      <c r="AY13" s="1"/>
      <c r="AZ13" s="1"/>
      <c r="BA13" s="1"/>
      <c r="BB13" s="1"/>
      <c r="BC13" s="17" t="s">
        <v>255</v>
      </c>
      <c r="BD13" s="17" t="s">
        <v>337</v>
      </c>
      <c r="BE13" t="s">
        <v>1262</v>
      </c>
      <c r="BF13" t="s">
        <v>2631</v>
      </c>
    </row>
    <row r="14" spans="1:58" ht="22" customHeight="1">
      <c r="A14" s="1" t="s">
        <v>338</v>
      </c>
      <c r="B14" s="1" t="s">
        <v>339</v>
      </c>
      <c r="C14" s="1" t="s">
        <v>2632</v>
      </c>
      <c r="D14" s="1" t="s">
        <v>2566</v>
      </c>
      <c r="E14" s="1" t="s">
        <v>2633</v>
      </c>
      <c r="F14" s="1" t="s">
        <v>2634</v>
      </c>
      <c r="G14" s="1" t="s">
        <v>2569</v>
      </c>
      <c r="H14" s="1">
        <v>5.21</v>
      </c>
      <c r="I14" s="1" t="s">
        <v>1003</v>
      </c>
      <c r="J14" s="1">
        <v>36.228999999999999</v>
      </c>
      <c r="K14" s="1">
        <v>-120.398</v>
      </c>
      <c r="L14" s="1">
        <v>8.4</v>
      </c>
      <c r="M14" s="1" t="s">
        <v>734</v>
      </c>
      <c r="N14" s="1" t="s">
        <v>2571</v>
      </c>
      <c r="O14" s="1">
        <v>348.1</v>
      </c>
      <c r="P14" s="1">
        <v>38</v>
      </c>
      <c r="Q14" s="1">
        <v>90</v>
      </c>
      <c r="R14" s="1"/>
      <c r="S14" s="1"/>
      <c r="T14" s="1"/>
      <c r="U14" s="1" t="s">
        <v>2572</v>
      </c>
      <c r="V14" s="1" t="s">
        <v>2573</v>
      </c>
      <c r="W14" s="1" t="s">
        <v>340</v>
      </c>
      <c r="X14" s="1" t="s">
        <v>167</v>
      </c>
      <c r="Y14" s="1" t="s">
        <v>2635</v>
      </c>
      <c r="Z14" s="1">
        <v>0</v>
      </c>
      <c r="AA14" s="1"/>
      <c r="AB14" s="1">
        <v>348.1</v>
      </c>
      <c r="AC14" s="1">
        <v>38</v>
      </c>
      <c r="AD14" s="1">
        <v>90</v>
      </c>
      <c r="AE14" s="1">
        <v>7.1269999999999998</v>
      </c>
      <c r="AF14" s="1">
        <v>4.5</v>
      </c>
      <c r="AG14" s="1">
        <v>4.5999999999999996</v>
      </c>
      <c r="AH14" s="1" t="s">
        <v>731</v>
      </c>
      <c r="AI14" s="1" t="s">
        <v>2575</v>
      </c>
      <c r="AJ14" s="1" t="s">
        <v>160</v>
      </c>
      <c r="AK14" s="1"/>
      <c r="AL14" s="1"/>
      <c r="AM14" s="13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4"/>
      <c r="AY14" s="1"/>
      <c r="AZ14" s="1"/>
      <c r="BA14" s="1"/>
      <c r="BB14" s="1"/>
      <c r="BC14" s="17" t="s">
        <v>255</v>
      </c>
      <c r="BD14" s="17" t="s">
        <v>344</v>
      </c>
      <c r="BE14" t="s">
        <v>1262</v>
      </c>
      <c r="BF14" t="s">
        <v>2636</v>
      </c>
    </row>
    <row r="15" spans="1:58" ht="22" customHeight="1">
      <c r="A15" s="1" t="s">
        <v>345</v>
      </c>
      <c r="B15" s="1" t="s">
        <v>346</v>
      </c>
      <c r="C15" s="1" t="s">
        <v>2637</v>
      </c>
      <c r="D15" s="1" t="s">
        <v>2566</v>
      </c>
      <c r="E15" s="1" t="s">
        <v>2638</v>
      </c>
      <c r="F15" s="1" t="s">
        <v>2639</v>
      </c>
      <c r="G15" s="1" t="s">
        <v>2569</v>
      </c>
      <c r="H15" s="1">
        <v>6.19</v>
      </c>
      <c r="I15" s="1" t="s">
        <v>1003</v>
      </c>
      <c r="J15" s="1">
        <v>37.305999999999997</v>
      </c>
      <c r="K15" s="1">
        <v>-121.69499999999999</v>
      </c>
      <c r="L15" s="1">
        <v>8.5</v>
      </c>
      <c r="M15" s="1" t="s">
        <v>730</v>
      </c>
      <c r="N15" s="1" t="s">
        <v>2571</v>
      </c>
      <c r="O15" s="1">
        <v>148</v>
      </c>
      <c r="P15" s="1">
        <v>90</v>
      </c>
      <c r="Q15" s="1">
        <v>180</v>
      </c>
      <c r="R15" s="1"/>
      <c r="S15" s="1"/>
      <c r="T15" s="1"/>
      <c r="U15" s="1" t="s">
        <v>2572</v>
      </c>
      <c r="V15" s="1" t="s">
        <v>2573</v>
      </c>
      <c r="W15" s="1" t="s">
        <v>347</v>
      </c>
      <c r="X15" s="1" t="s">
        <v>167</v>
      </c>
      <c r="Y15" s="1" t="s">
        <v>2640</v>
      </c>
      <c r="Z15" s="1">
        <v>1</v>
      </c>
      <c r="AA15" s="1" t="s">
        <v>2597</v>
      </c>
      <c r="AB15" s="1">
        <v>148</v>
      </c>
      <c r="AC15" s="1">
        <v>90</v>
      </c>
      <c r="AD15" s="1">
        <v>180</v>
      </c>
      <c r="AE15" s="1">
        <v>0.5</v>
      </c>
      <c r="AF15" s="1">
        <v>27</v>
      </c>
      <c r="AG15" s="1">
        <v>11.5</v>
      </c>
      <c r="AH15" s="1" t="s">
        <v>731</v>
      </c>
      <c r="AI15" s="1" t="s">
        <v>2575</v>
      </c>
      <c r="AJ15" s="1" t="s">
        <v>160</v>
      </c>
      <c r="AK15" s="1"/>
      <c r="AL15" s="1"/>
      <c r="AM15" s="13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4"/>
      <c r="AY15" s="1"/>
      <c r="AZ15" s="1"/>
      <c r="BA15" s="1"/>
      <c r="BB15" s="1"/>
      <c r="BC15" s="17" t="s">
        <v>255</v>
      </c>
      <c r="BD15" s="17" t="s">
        <v>351</v>
      </c>
      <c r="BE15" t="s">
        <v>1262</v>
      </c>
      <c r="BF15" t="s">
        <v>2641</v>
      </c>
    </row>
    <row r="16" spans="1:58" ht="22" customHeight="1">
      <c r="A16" s="1" t="s">
        <v>352</v>
      </c>
      <c r="B16" s="1" t="s">
        <v>353</v>
      </c>
      <c r="C16" s="1" t="s">
        <v>2642</v>
      </c>
      <c r="D16" s="1" t="s">
        <v>2566</v>
      </c>
      <c r="E16" s="1" t="s">
        <v>2643</v>
      </c>
      <c r="F16" s="1" t="s">
        <v>2644</v>
      </c>
      <c r="G16" s="1" t="s">
        <v>2569</v>
      </c>
      <c r="H16" s="1">
        <v>5.4</v>
      </c>
      <c r="I16" s="1" t="s">
        <v>2645</v>
      </c>
      <c r="J16" s="1">
        <v>37.08</v>
      </c>
      <c r="K16" s="1">
        <v>22.07</v>
      </c>
      <c r="L16" s="1">
        <v>5</v>
      </c>
      <c r="M16" s="1" t="s">
        <v>760</v>
      </c>
      <c r="N16" s="1" t="s">
        <v>2571</v>
      </c>
      <c r="O16" s="1">
        <v>332.3</v>
      </c>
      <c r="P16" s="1">
        <v>55</v>
      </c>
      <c r="Q16" s="1">
        <v>-90</v>
      </c>
      <c r="R16" s="1"/>
      <c r="S16" s="1"/>
      <c r="T16" s="1"/>
      <c r="U16" s="1" t="s">
        <v>2572</v>
      </c>
      <c r="V16" s="1" t="s">
        <v>2573</v>
      </c>
      <c r="W16" s="1" t="s">
        <v>354</v>
      </c>
      <c r="X16" s="1" t="s">
        <v>167</v>
      </c>
      <c r="Y16" s="1" t="s">
        <v>2646</v>
      </c>
      <c r="Z16" s="1">
        <v>0</v>
      </c>
      <c r="AA16" s="1"/>
      <c r="AB16" s="1">
        <v>332.3</v>
      </c>
      <c r="AC16" s="1">
        <v>55</v>
      </c>
      <c r="AD16" s="1">
        <v>-90</v>
      </c>
      <c r="AE16" s="1">
        <v>2.6030000000000002</v>
      </c>
      <c r="AF16" s="1">
        <v>6.3</v>
      </c>
      <c r="AG16" s="1">
        <v>3.9</v>
      </c>
      <c r="AH16" s="1" t="s">
        <v>731</v>
      </c>
      <c r="AI16" s="1" t="s">
        <v>2575</v>
      </c>
      <c r="AJ16" s="1" t="s">
        <v>160</v>
      </c>
      <c r="AK16" s="1"/>
      <c r="AL16" s="1"/>
      <c r="AM16" s="13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4"/>
      <c r="AY16" s="1"/>
      <c r="AZ16" s="1"/>
      <c r="BA16" s="1"/>
      <c r="BB16" s="1"/>
      <c r="BC16" s="17" t="s">
        <v>255</v>
      </c>
      <c r="BD16" s="17" t="s">
        <v>359</v>
      </c>
      <c r="BE16" t="s">
        <v>1262</v>
      </c>
      <c r="BF16" t="s">
        <v>2647</v>
      </c>
    </row>
    <row r="17" spans="1:58" ht="22" customHeight="1">
      <c r="A17" s="1" t="s">
        <v>360</v>
      </c>
      <c r="B17" s="1" t="s">
        <v>361</v>
      </c>
      <c r="C17" s="1" t="s">
        <v>2648</v>
      </c>
      <c r="D17" s="1" t="s">
        <v>2566</v>
      </c>
      <c r="E17" s="1" t="s">
        <v>2649</v>
      </c>
      <c r="F17" s="1" t="s">
        <v>2650</v>
      </c>
      <c r="G17" s="1" t="s">
        <v>2569</v>
      </c>
      <c r="H17" s="1">
        <v>6.06</v>
      </c>
      <c r="I17" s="1" t="s">
        <v>1003</v>
      </c>
      <c r="J17" s="1">
        <v>34</v>
      </c>
      <c r="K17" s="1">
        <v>-116.6117</v>
      </c>
      <c r="L17" s="1">
        <v>11</v>
      </c>
      <c r="M17" s="1" t="s">
        <v>734</v>
      </c>
      <c r="N17" s="1" t="s">
        <v>2571</v>
      </c>
      <c r="O17" s="1">
        <v>287</v>
      </c>
      <c r="P17" s="1">
        <v>46</v>
      </c>
      <c r="Q17" s="1">
        <v>150</v>
      </c>
      <c r="R17" s="1"/>
      <c r="S17" s="1"/>
      <c r="T17" s="1"/>
      <c r="U17" s="1" t="s">
        <v>2572</v>
      </c>
      <c r="V17" s="1" t="s">
        <v>2573</v>
      </c>
      <c r="W17" s="1" t="s">
        <v>362</v>
      </c>
      <c r="X17" s="1" t="s">
        <v>167</v>
      </c>
      <c r="Y17" s="1" t="s">
        <v>2651</v>
      </c>
      <c r="Z17" s="1">
        <v>1</v>
      </c>
      <c r="AA17" s="1" t="s">
        <v>2652</v>
      </c>
      <c r="AB17" s="1">
        <v>287</v>
      </c>
      <c r="AC17" s="1">
        <v>46</v>
      </c>
      <c r="AD17" s="1">
        <v>150</v>
      </c>
      <c r="AE17" s="1">
        <v>4</v>
      </c>
      <c r="AF17" s="1">
        <v>20</v>
      </c>
      <c r="AG17" s="1">
        <v>13.3</v>
      </c>
      <c r="AH17" s="1" t="s">
        <v>731</v>
      </c>
      <c r="AI17" s="1" t="s">
        <v>2575</v>
      </c>
      <c r="AJ17" s="1" t="s">
        <v>160</v>
      </c>
      <c r="AK17" s="1"/>
      <c r="AL17" s="1"/>
      <c r="AM17" s="13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4"/>
      <c r="AY17" s="1"/>
      <c r="AZ17" s="1"/>
      <c r="BA17" s="1"/>
      <c r="BB17" s="1"/>
      <c r="BC17" s="17" t="s">
        <v>255</v>
      </c>
      <c r="BD17" s="17" t="s">
        <v>365</v>
      </c>
      <c r="BE17" t="s">
        <v>1262</v>
      </c>
      <c r="BF17" t="s">
        <v>2653</v>
      </c>
    </row>
    <row r="18" spans="1:58" ht="22" customHeight="1">
      <c r="A18" s="1" t="s">
        <v>373</v>
      </c>
      <c r="B18" s="1" t="s">
        <v>374</v>
      </c>
      <c r="C18" s="1" t="s">
        <v>2654</v>
      </c>
      <c r="D18" s="1" t="s">
        <v>2566</v>
      </c>
      <c r="E18" s="1" t="s">
        <v>2655</v>
      </c>
      <c r="F18" s="1" t="s">
        <v>2656</v>
      </c>
      <c r="G18" s="1" t="s">
        <v>2569</v>
      </c>
      <c r="H18" s="1">
        <v>6.32</v>
      </c>
      <c r="I18" s="1" t="s">
        <v>1003</v>
      </c>
      <c r="J18" s="1">
        <v>24.081700000000001</v>
      </c>
      <c r="K18" s="1">
        <v>121.5915</v>
      </c>
      <c r="L18" s="1">
        <v>15.8</v>
      </c>
      <c r="M18" s="1" t="s">
        <v>734</v>
      </c>
      <c r="N18" s="1" t="s">
        <v>2571</v>
      </c>
      <c r="O18" s="1">
        <v>43</v>
      </c>
      <c r="P18" s="1">
        <v>57</v>
      </c>
      <c r="Q18" s="1">
        <v>100</v>
      </c>
      <c r="R18" s="1"/>
      <c r="S18" s="1"/>
      <c r="T18" s="1"/>
      <c r="U18" s="1" t="s">
        <v>2572</v>
      </c>
      <c r="V18" s="1" t="s">
        <v>2573</v>
      </c>
      <c r="W18" s="1" t="s">
        <v>375</v>
      </c>
      <c r="X18" s="1" t="s">
        <v>167</v>
      </c>
      <c r="Y18" s="1" t="s">
        <v>2657</v>
      </c>
      <c r="Z18" s="1">
        <v>0</v>
      </c>
      <c r="AA18" s="1"/>
      <c r="AB18" s="1">
        <v>43</v>
      </c>
      <c r="AC18" s="1">
        <v>57</v>
      </c>
      <c r="AD18" s="1">
        <v>100</v>
      </c>
      <c r="AE18" s="1">
        <v>12.09</v>
      </c>
      <c r="AF18" s="1">
        <v>13.8</v>
      </c>
      <c r="AG18" s="1">
        <v>11.8</v>
      </c>
      <c r="AH18" s="1" t="s">
        <v>731</v>
      </c>
      <c r="AI18" s="1" t="s">
        <v>2575</v>
      </c>
      <c r="AJ18" s="1" t="s">
        <v>160</v>
      </c>
      <c r="AK18" s="1"/>
      <c r="AL18" s="1"/>
      <c r="AM18" s="13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4"/>
      <c r="AY18" s="1"/>
      <c r="AZ18" s="1"/>
      <c r="BA18" s="1"/>
      <c r="BB18" s="1"/>
      <c r="BC18" s="17" t="s">
        <v>255</v>
      </c>
      <c r="BD18" s="17" t="s">
        <v>378</v>
      </c>
      <c r="BE18" t="s">
        <v>1262</v>
      </c>
      <c r="BF18" t="s">
        <v>2658</v>
      </c>
    </row>
    <row r="19" spans="1:58" ht="22" customHeight="1">
      <c r="A19" s="1" t="s">
        <v>366</v>
      </c>
      <c r="B19" s="1" t="s">
        <v>367</v>
      </c>
      <c r="C19" s="1" t="s">
        <v>2627</v>
      </c>
      <c r="D19" s="1" t="s">
        <v>2566</v>
      </c>
      <c r="E19" s="1" t="s">
        <v>2659</v>
      </c>
      <c r="F19" s="1" t="s">
        <v>2660</v>
      </c>
      <c r="G19" s="1" t="s">
        <v>2569</v>
      </c>
      <c r="H19" s="1">
        <v>5.8</v>
      </c>
      <c r="I19" s="1" t="s">
        <v>1003</v>
      </c>
      <c r="J19" s="1">
        <v>13.632999999999999</v>
      </c>
      <c r="K19" s="1">
        <v>-89.2</v>
      </c>
      <c r="L19" s="1">
        <v>10.9</v>
      </c>
      <c r="M19" s="1" t="s">
        <v>730</v>
      </c>
      <c r="N19" s="1" t="s">
        <v>2571</v>
      </c>
      <c r="O19" s="1">
        <v>32</v>
      </c>
      <c r="P19" s="1">
        <v>85</v>
      </c>
      <c r="Q19" s="1">
        <v>0</v>
      </c>
      <c r="R19" s="1"/>
      <c r="S19" s="1"/>
      <c r="T19" s="1"/>
      <c r="U19" s="1" t="s">
        <v>2572</v>
      </c>
      <c r="V19" s="1" t="s">
        <v>2573</v>
      </c>
      <c r="W19" s="1" t="s">
        <v>368</v>
      </c>
      <c r="X19" s="1" t="s">
        <v>167</v>
      </c>
      <c r="Y19" s="1" t="s">
        <v>2661</v>
      </c>
      <c r="Z19" s="1">
        <v>1</v>
      </c>
      <c r="AA19" s="1"/>
      <c r="AB19" s="1">
        <v>32</v>
      </c>
      <c r="AC19" s="1">
        <v>85</v>
      </c>
      <c r="AD19" s="1">
        <v>0</v>
      </c>
      <c r="AE19" s="1">
        <v>5.92</v>
      </c>
      <c r="AF19" s="1">
        <v>8</v>
      </c>
      <c r="AG19" s="1">
        <v>7</v>
      </c>
      <c r="AH19" s="1" t="s">
        <v>731</v>
      </c>
      <c r="AI19" s="1" t="s">
        <v>2575</v>
      </c>
      <c r="AJ19" s="1" t="s">
        <v>160</v>
      </c>
      <c r="AK19" s="1"/>
      <c r="AL19" s="1"/>
      <c r="AM19" s="13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4"/>
      <c r="AY19" s="1"/>
      <c r="AZ19" s="1"/>
      <c r="BA19" s="1"/>
      <c r="BB19" s="1"/>
      <c r="BC19" s="17" t="s">
        <v>255</v>
      </c>
      <c r="BD19" s="17" t="s">
        <v>372</v>
      </c>
      <c r="BE19" t="s">
        <v>1262</v>
      </c>
      <c r="BF19" t="s">
        <v>2662</v>
      </c>
    </row>
    <row r="20" spans="1:58" ht="22" customHeight="1">
      <c r="A20" s="1" t="s">
        <v>386</v>
      </c>
      <c r="B20" s="1" t="s">
        <v>387</v>
      </c>
      <c r="C20" s="1" t="s">
        <v>2663</v>
      </c>
      <c r="D20" s="1" t="s">
        <v>2566</v>
      </c>
      <c r="E20" s="1" t="s">
        <v>2664</v>
      </c>
      <c r="F20" s="1" t="s">
        <v>2665</v>
      </c>
      <c r="G20" s="1" t="s">
        <v>2569</v>
      </c>
      <c r="H20" s="1">
        <v>5.99</v>
      </c>
      <c r="I20" s="1" t="s">
        <v>1003</v>
      </c>
      <c r="J20" s="1">
        <v>34.049300000000002</v>
      </c>
      <c r="K20" s="1">
        <v>-118.081</v>
      </c>
      <c r="L20" s="1">
        <v>14.6</v>
      </c>
      <c r="M20" s="1" t="s">
        <v>734</v>
      </c>
      <c r="N20" s="1" t="s">
        <v>2571</v>
      </c>
      <c r="O20" s="1">
        <v>280</v>
      </c>
      <c r="P20" s="1">
        <v>30</v>
      </c>
      <c r="Q20" s="1">
        <v>150</v>
      </c>
      <c r="R20" s="1"/>
      <c r="S20" s="1"/>
      <c r="T20" s="1"/>
      <c r="U20" s="1" t="s">
        <v>2572</v>
      </c>
      <c r="V20" s="1" t="s">
        <v>2573</v>
      </c>
      <c r="W20" s="1" t="s">
        <v>388</v>
      </c>
      <c r="X20" s="1" t="s">
        <v>167</v>
      </c>
      <c r="Y20" s="1" t="s">
        <v>2666</v>
      </c>
      <c r="Z20" s="1">
        <v>1</v>
      </c>
      <c r="AA20" s="1" t="s">
        <v>2667</v>
      </c>
      <c r="AB20" s="1">
        <v>280</v>
      </c>
      <c r="AC20" s="1">
        <v>30</v>
      </c>
      <c r="AD20" s="1">
        <v>150</v>
      </c>
      <c r="AE20" s="1">
        <v>14.5</v>
      </c>
      <c r="AF20" s="1">
        <v>10</v>
      </c>
      <c r="AG20" s="1">
        <v>6</v>
      </c>
      <c r="AH20" s="1" t="s">
        <v>731</v>
      </c>
      <c r="AI20" s="1" t="s">
        <v>2575</v>
      </c>
      <c r="AJ20" s="1" t="s">
        <v>160</v>
      </c>
      <c r="AK20" s="1"/>
      <c r="AL20" s="1"/>
      <c r="AM20" s="13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4"/>
      <c r="AY20" s="1"/>
      <c r="AZ20" s="1"/>
      <c r="BA20" s="1"/>
      <c r="BB20" s="1"/>
      <c r="BC20" s="17" t="s">
        <v>255</v>
      </c>
      <c r="BD20" s="17" t="s">
        <v>391</v>
      </c>
      <c r="BE20" t="s">
        <v>1262</v>
      </c>
      <c r="BF20" t="s">
        <v>2668</v>
      </c>
    </row>
    <row r="21" spans="1:58" ht="22" customHeight="1">
      <c r="A21" s="1" t="s">
        <v>379</v>
      </c>
      <c r="B21" s="1" t="s">
        <v>380</v>
      </c>
      <c r="C21" s="1" t="s">
        <v>2565</v>
      </c>
      <c r="D21" s="1" t="s">
        <v>2566</v>
      </c>
      <c r="E21" s="1" t="s">
        <v>2669</v>
      </c>
      <c r="F21" s="1" t="s">
        <v>2670</v>
      </c>
      <c r="G21" s="1" t="s">
        <v>2569</v>
      </c>
      <c r="H21" s="1">
        <v>6.54</v>
      </c>
      <c r="I21" s="1" t="s">
        <v>1003</v>
      </c>
      <c r="J21" s="1">
        <v>33.022199999999998</v>
      </c>
      <c r="K21" s="1">
        <v>-115.8314</v>
      </c>
      <c r="L21" s="1">
        <v>9</v>
      </c>
      <c r="M21" s="1" t="s">
        <v>730</v>
      </c>
      <c r="N21" s="1" t="s">
        <v>2571</v>
      </c>
      <c r="O21" s="1">
        <v>127</v>
      </c>
      <c r="P21" s="1">
        <v>90</v>
      </c>
      <c r="Q21" s="1">
        <v>180</v>
      </c>
      <c r="R21" s="1"/>
      <c r="S21" s="1"/>
      <c r="T21" s="1"/>
      <c r="U21" s="1" t="s">
        <v>2572</v>
      </c>
      <c r="V21" s="1" t="s">
        <v>2573</v>
      </c>
      <c r="W21" s="1" t="s">
        <v>381</v>
      </c>
      <c r="X21" s="1" t="s">
        <v>167</v>
      </c>
      <c r="Y21" s="1" t="s">
        <v>2671</v>
      </c>
      <c r="Z21" s="1">
        <v>1</v>
      </c>
      <c r="AA21" s="1" t="s">
        <v>2672</v>
      </c>
      <c r="AB21" s="1">
        <v>127</v>
      </c>
      <c r="AC21" s="1">
        <v>90</v>
      </c>
      <c r="AD21" s="1">
        <v>180</v>
      </c>
      <c r="AE21" s="1">
        <v>0</v>
      </c>
      <c r="AF21" s="1">
        <v>20</v>
      </c>
      <c r="AG21" s="1">
        <v>12</v>
      </c>
      <c r="AH21" s="1" t="s">
        <v>731</v>
      </c>
      <c r="AI21" s="1" t="s">
        <v>2575</v>
      </c>
      <c r="AJ21" s="1" t="s">
        <v>160</v>
      </c>
      <c r="AK21" s="1"/>
      <c r="AL21" s="1"/>
      <c r="AM21" s="13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4"/>
      <c r="AY21" s="1"/>
      <c r="AZ21" s="1"/>
      <c r="BA21" s="1"/>
      <c r="BB21" s="1"/>
      <c r="BC21" s="17" t="s">
        <v>255</v>
      </c>
      <c r="BD21" s="17" t="s">
        <v>385</v>
      </c>
      <c r="BE21" t="s">
        <v>1262</v>
      </c>
      <c r="BF21" t="s">
        <v>2673</v>
      </c>
    </row>
    <row r="22" spans="1:58" ht="22" customHeight="1">
      <c r="A22" s="1" t="s">
        <v>392</v>
      </c>
      <c r="B22" s="1" t="s">
        <v>393</v>
      </c>
      <c r="C22" s="1" t="s">
        <v>2608</v>
      </c>
      <c r="D22" s="1" t="s">
        <v>2566</v>
      </c>
      <c r="E22" s="1" t="s">
        <v>2674</v>
      </c>
      <c r="F22" s="1" t="s">
        <v>2675</v>
      </c>
      <c r="G22" s="1" t="s">
        <v>2569</v>
      </c>
      <c r="H22" s="1">
        <v>6.93</v>
      </c>
      <c r="I22" s="1" t="s">
        <v>1003</v>
      </c>
      <c r="J22" s="1">
        <v>37.040700000000001</v>
      </c>
      <c r="K22" s="1">
        <v>-121.88290000000001</v>
      </c>
      <c r="L22" s="1">
        <v>17.48</v>
      </c>
      <c r="M22" s="1" t="s">
        <v>734</v>
      </c>
      <c r="N22" s="1" t="s">
        <v>2571</v>
      </c>
      <c r="O22" s="1">
        <v>128</v>
      </c>
      <c r="P22" s="1">
        <v>70</v>
      </c>
      <c r="Q22" s="1">
        <v>140</v>
      </c>
      <c r="R22" s="1"/>
      <c r="S22" s="1"/>
      <c r="T22" s="1"/>
      <c r="U22" s="1" t="s">
        <v>2572</v>
      </c>
      <c r="V22" s="1" t="s">
        <v>2573</v>
      </c>
      <c r="W22" s="1" t="s">
        <v>394</v>
      </c>
      <c r="X22" s="1" t="s">
        <v>167</v>
      </c>
      <c r="Y22" s="1" t="s">
        <v>2676</v>
      </c>
      <c r="Z22" s="1">
        <v>1</v>
      </c>
      <c r="AA22" s="1" t="s">
        <v>2677</v>
      </c>
      <c r="AB22" s="1">
        <v>128</v>
      </c>
      <c r="AC22" s="1">
        <v>70</v>
      </c>
      <c r="AD22" s="1">
        <v>140</v>
      </c>
      <c r="AE22" s="1">
        <v>3.85</v>
      </c>
      <c r="AF22" s="1">
        <v>40</v>
      </c>
      <c r="AG22" s="1">
        <v>18</v>
      </c>
      <c r="AH22" s="1" t="s">
        <v>731</v>
      </c>
      <c r="AI22" s="1" t="s">
        <v>2575</v>
      </c>
      <c r="AJ22" s="1" t="s">
        <v>160</v>
      </c>
      <c r="AK22" s="1"/>
      <c r="AL22" s="1"/>
      <c r="AM22" s="13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4"/>
      <c r="AY22" s="1"/>
      <c r="AZ22" s="1"/>
      <c r="BA22" s="1"/>
      <c r="BB22" s="1"/>
      <c r="BC22" s="17" t="s">
        <v>255</v>
      </c>
      <c r="BD22" s="17" t="s">
        <v>398</v>
      </c>
      <c r="BE22" t="s">
        <v>1262</v>
      </c>
      <c r="BF22" t="s">
        <v>2678</v>
      </c>
    </row>
    <row r="23" spans="1:58" ht="22" customHeight="1">
      <c r="A23" s="1" t="s">
        <v>399</v>
      </c>
      <c r="B23" s="1" t="s">
        <v>400</v>
      </c>
      <c r="C23" s="1" t="s">
        <v>2679</v>
      </c>
      <c r="D23" s="1" t="s">
        <v>2566</v>
      </c>
      <c r="E23" s="1" t="s">
        <v>2680</v>
      </c>
      <c r="F23" s="1" t="s">
        <v>2681</v>
      </c>
      <c r="G23" s="1" t="s">
        <v>2569</v>
      </c>
      <c r="H23" s="1">
        <v>7.01</v>
      </c>
      <c r="I23" s="1" t="s">
        <v>1003</v>
      </c>
      <c r="J23" s="1">
        <v>40.326999999999998</v>
      </c>
      <c r="K23" s="1">
        <v>-124.233</v>
      </c>
      <c r="L23" s="1">
        <v>9.5</v>
      </c>
      <c r="M23" s="1" t="s">
        <v>734</v>
      </c>
      <c r="N23" s="1" t="s">
        <v>2571</v>
      </c>
      <c r="O23" s="1">
        <v>350</v>
      </c>
      <c r="P23" s="1">
        <v>14</v>
      </c>
      <c r="Q23" s="1">
        <v>105</v>
      </c>
      <c r="R23" s="1"/>
      <c r="S23" s="1"/>
      <c r="T23" s="1"/>
      <c r="U23" s="1" t="s">
        <v>2572</v>
      </c>
      <c r="V23" s="1" t="s">
        <v>2573</v>
      </c>
      <c r="W23" s="1" t="s">
        <v>401</v>
      </c>
      <c r="X23" s="1" t="s">
        <v>167</v>
      </c>
      <c r="Y23" s="1" t="s">
        <v>2682</v>
      </c>
      <c r="Z23" s="1">
        <v>1</v>
      </c>
      <c r="AA23" s="1" t="s">
        <v>2683</v>
      </c>
      <c r="AB23" s="1">
        <v>350</v>
      </c>
      <c r="AC23" s="1">
        <v>14</v>
      </c>
      <c r="AD23" s="1">
        <v>105</v>
      </c>
      <c r="AE23" s="1">
        <v>5.2</v>
      </c>
      <c r="AF23" s="1">
        <v>20</v>
      </c>
      <c r="AG23" s="1">
        <v>28</v>
      </c>
      <c r="AH23" s="1" t="s">
        <v>731</v>
      </c>
      <c r="AI23" s="1" t="s">
        <v>2575</v>
      </c>
      <c r="AJ23" s="1" t="s">
        <v>160</v>
      </c>
      <c r="AK23" s="1"/>
      <c r="AL23" s="1"/>
      <c r="AM23" s="13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4"/>
      <c r="AY23" s="1"/>
      <c r="AZ23" s="1"/>
      <c r="BA23" s="1"/>
      <c r="BB23" s="1"/>
      <c r="BC23" s="17" t="s">
        <v>255</v>
      </c>
      <c r="BD23" s="17" t="s">
        <v>405</v>
      </c>
      <c r="BE23" t="s">
        <v>1262</v>
      </c>
      <c r="BF23" t="s">
        <v>2684</v>
      </c>
    </row>
    <row r="24" spans="1:58" ht="22" customHeight="1">
      <c r="A24" s="1" t="s">
        <v>406</v>
      </c>
      <c r="B24" s="1" t="s">
        <v>407</v>
      </c>
      <c r="C24" s="1" t="s">
        <v>2648</v>
      </c>
      <c r="D24" s="1" t="s">
        <v>2566</v>
      </c>
      <c r="E24" s="1" t="s">
        <v>2685</v>
      </c>
      <c r="F24" s="1" t="s">
        <v>2686</v>
      </c>
      <c r="G24" s="1" t="s">
        <v>2569</v>
      </c>
      <c r="H24" s="1">
        <v>6.1</v>
      </c>
      <c r="I24" s="1" t="s">
        <v>1003</v>
      </c>
      <c r="J24" s="1">
        <v>33.96</v>
      </c>
      <c r="K24" s="1">
        <v>-116.3167</v>
      </c>
      <c r="L24" s="1">
        <v>12.4</v>
      </c>
      <c r="M24" s="1" t="s">
        <v>730</v>
      </c>
      <c r="N24" s="1" t="s">
        <v>2571</v>
      </c>
      <c r="O24" s="1">
        <v>340</v>
      </c>
      <c r="P24" s="1">
        <v>90</v>
      </c>
      <c r="Q24" s="1">
        <v>180</v>
      </c>
      <c r="R24" s="1"/>
      <c r="S24" s="1"/>
      <c r="T24" s="1"/>
      <c r="U24" s="1" t="s">
        <v>2572</v>
      </c>
      <c r="V24" s="1" t="s">
        <v>2573</v>
      </c>
      <c r="W24" s="1" t="s">
        <v>408</v>
      </c>
      <c r="X24" s="1" t="s">
        <v>167</v>
      </c>
      <c r="Y24" s="1" t="s">
        <v>2687</v>
      </c>
      <c r="Z24" s="1">
        <v>1</v>
      </c>
      <c r="AA24" s="1"/>
      <c r="AB24" s="1">
        <v>340</v>
      </c>
      <c r="AC24" s="1">
        <v>90</v>
      </c>
      <c r="AD24" s="1">
        <v>180</v>
      </c>
      <c r="AE24" s="1">
        <v>5</v>
      </c>
      <c r="AF24" s="1">
        <v>8</v>
      </c>
      <c r="AG24" s="1">
        <v>10.5</v>
      </c>
      <c r="AH24" s="1" t="s">
        <v>731</v>
      </c>
      <c r="AI24" s="1" t="s">
        <v>2575</v>
      </c>
      <c r="AJ24" s="1" t="s">
        <v>160</v>
      </c>
      <c r="AK24" s="1"/>
      <c r="AL24" s="1"/>
      <c r="AM24" s="13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4"/>
      <c r="AY24" s="1"/>
      <c r="AZ24" s="1"/>
      <c r="BA24" s="1"/>
      <c r="BB24" s="1"/>
      <c r="BC24" s="17" t="s">
        <v>255</v>
      </c>
      <c r="BD24" s="17" t="s">
        <v>411</v>
      </c>
      <c r="BE24" t="s">
        <v>1262</v>
      </c>
      <c r="BF24" t="s">
        <v>2688</v>
      </c>
    </row>
    <row r="25" spans="1:58" ht="22" customHeight="1">
      <c r="A25" s="1" t="s">
        <v>412</v>
      </c>
      <c r="B25" s="1" t="s">
        <v>413</v>
      </c>
      <c r="C25" s="1" t="s">
        <v>2689</v>
      </c>
      <c r="D25" s="1" t="s">
        <v>2566</v>
      </c>
      <c r="E25" s="1" t="s">
        <v>2690</v>
      </c>
      <c r="F25" s="1" t="s">
        <v>2691</v>
      </c>
      <c r="G25" s="1" t="s">
        <v>2569</v>
      </c>
      <c r="H25" s="1">
        <v>7.28</v>
      </c>
      <c r="I25" s="1" t="s">
        <v>1003</v>
      </c>
      <c r="J25" s="1">
        <v>34.200000000000003</v>
      </c>
      <c r="K25" s="1">
        <v>-116.43600000000001</v>
      </c>
      <c r="L25" s="1">
        <v>7</v>
      </c>
      <c r="M25" s="1" t="s">
        <v>730</v>
      </c>
      <c r="N25" s="1" t="s">
        <v>2571</v>
      </c>
      <c r="O25" s="1">
        <v>336</v>
      </c>
      <c r="P25" s="1">
        <v>90</v>
      </c>
      <c r="Q25" s="1">
        <v>180</v>
      </c>
      <c r="R25" s="1"/>
      <c r="S25" s="1"/>
      <c r="T25" s="1"/>
      <c r="U25" s="1" t="s">
        <v>2572</v>
      </c>
      <c r="V25" s="1" t="s">
        <v>2573</v>
      </c>
      <c r="W25" s="1" t="s">
        <v>414</v>
      </c>
      <c r="X25" s="1" t="s">
        <v>167</v>
      </c>
      <c r="Y25" s="1" t="s">
        <v>2692</v>
      </c>
      <c r="Z25" s="1">
        <v>1</v>
      </c>
      <c r="AA25" s="1" t="s">
        <v>2693</v>
      </c>
      <c r="AB25" s="1">
        <v>336</v>
      </c>
      <c r="AC25" s="1">
        <v>90</v>
      </c>
      <c r="AD25" s="1">
        <v>180</v>
      </c>
      <c r="AE25" s="1">
        <v>0</v>
      </c>
      <c r="AF25" s="1">
        <v>71.8</v>
      </c>
      <c r="AG25" s="1">
        <v>15</v>
      </c>
      <c r="AH25" s="1" t="s">
        <v>731</v>
      </c>
      <c r="AI25" s="1" t="s">
        <v>2575</v>
      </c>
      <c r="AJ25" s="1" t="s">
        <v>160</v>
      </c>
      <c r="AK25" s="1"/>
      <c r="AL25" s="1"/>
      <c r="AM25" s="13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4"/>
      <c r="AY25" s="1"/>
      <c r="AZ25" s="1"/>
      <c r="BA25" s="1"/>
      <c r="BB25" s="1"/>
      <c r="BC25" s="17" t="s">
        <v>255</v>
      </c>
      <c r="BD25" s="17" t="s">
        <v>418</v>
      </c>
      <c r="BE25" t="s">
        <v>1262</v>
      </c>
      <c r="BF25" t="s">
        <v>2694</v>
      </c>
    </row>
    <row r="26" spans="1:58" ht="22" customHeight="1">
      <c r="A26" s="1" t="s">
        <v>419</v>
      </c>
      <c r="B26" s="1" t="s">
        <v>420</v>
      </c>
      <c r="C26" s="1" t="s">
        <v>2695</v>
      </c>
      <c r="D26" s="1" t="s">
        <v>2566</v>
      </c>
      <c r="E26" s="1" t="s">
        <v>2696</v>
      </c>
      <c r="F26" s="1" t="s">
        <v>2697</v>
      </c>
      <c r="G26" s="1" t="s">
        <v>2569</v>
      </c>
      <c r="H26" s="1">
        <v>6.69</v>
      </c>
      <c r="I26" s="1" t="s">
        <v>1003</v>
      </c>
      <c r="J26" s="1">
        <v>34.2057</v>
      </c>
      <c r="K26" s="1">
        <v>-118.5539</v>
      </c>
      <c r="L26" s="1">
        <v>17.5</v>
      </c>
      <c r="M26" s="1" t="s">
        <v>734</v>
      </c>
      <c r="N26" s="1" t="s">
        <v>2571</v>
      </c>
      <c r="O26" s="1">
        <v>122</v>
      </c>
      <c r="P26" s="1">
        <v>40</v>
      </c>
      <c r="Q26" s="1">
        <v>103</v>
      </c>
      <c r="R26" s="1"/>
      <c r="S26" s="1"/>
      <c r="T26" s="1"/>
      <c r="U26" s="1" t="s">
        <v>2572</v>
      </c>
      <c r="V26" s="1" t="s">
        <v>2573</v>
      </c>
      <c r="W26" s="1" t="s">
        <v>421</v>
      </c>
      <c r="X26" s="1" t="s">
        <v>167</v>
      </c>
      <c r="Y26" s="1" t="s">
        <v>2698</v>
      </c>
      <c r="Z26" s="1">
        <v>1</v>
      </c>
      <c r="AA26" s="1" t="s">
        <v>2699</v>
      </c>
      <c r="AB26" s="1">
        <v>122</v>
      </c>
      <c r="AC26" s="1">
        <v>40</v>
      </c>
      <c r="AD26" s="1">
        <v>103</v>
      </c>
      <c r="AE26" s="1">
        <v>5</v>
      </c>
      <c r="AF26" s="1">
        <v>18</v>
      </c>
      <c r="AG26" s="1">
        <v>24</v>
      </c>
      <c r="AH26" s="1" t="s">
        <v>731</v>
      </c>
      <c r="AI26" s="1" t="s">
        <v>2575</v>
      </c>
      <c r="AJ26" s="1" t="s">
        <v>160</v>
      </c>
      <c r="AK26" s="1"/>
      <c r="AL26" s="1"/>
      <c r="AM26" s="13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4"/>
      <c r="AY26" s="1"/>
      <c r="AZ26" s="1"/>
      <c r="BA26" s="1"/>
      <c r="BB26" s="1"/>
      <c r="BC26" s="17" t="s">
        <v>255</v>
      </c>
      <c r="BD26" s="17" t="s">
        <v>425</v>
      </c>
      <c r="BE26" t="s">
        <v>1262</v>
      </c>
      <c r="BF26" t="s">
        <v>2700</v>
      </c>
    </row>
    <row r="27" spans="1:58" ht="22" customHeight="1">
      <c r="A27" s="1" t="s">
        <v>426</v>
      </c>
      <c r="B27" s="1" t="s">
        <v>427</v>
      </c>
      <c r="C27" s="1" t="s">
        <v>2608</v>
      </c>
      <c r="D27" s="1" t="s">
        <v>2566</v>
      </c>
      <c r="E27" s="1" t="s">
        <v>2701</v>
      </c>
      <c r="F27" s="1" t="s">
        <v>2702</v>
      </c>
      <c r="G27" s="1" t="s">
        <v>2569</v>
      </c>
      <c r="H27" s="1">
        <v>6.9</v>
      </c>
      <c r="I27" s="1" t="s">
        <v>1003</v>
      </c>
      <c r="J27" s="1">
        <v>34.595999999999997</v>
      </c>
      <c r="K27" s="1">
        <v>135.011</v>
      </c>
      <c r="L27" s="1">
        <v>17.899999999999999</v>
      </c>
      <c r="M27" s="1" t="s">
        <v>730</v>
      </c>
      <c r="N27" s="1" t="s">
        <v>2571</v>
      </c>
      <c r="O27" s="1">
        <v>230</v>
      </c>
      <c r="P27" s="1">
        <v>85</v>
      </c>
      <c r="Q27" s="1">
        <v>180</v>
      </c>
      <c r="R27" s="1"/>
      <c r="S27" s="1"/>
      <c r="T27" s="1"/>
      <c r="U27" s="1" t="s">
        <v>2572</v>
      </c>
      <c r="V27" s="1" t="s">
        <v>2573</v>
      </c>
      <c r="W27" s="1" t="s">
        <v>428</v>
      </c>
      <c r="X27" s="1" t="s">
        <v>167</v>
      </c>
      <c r="Y27" s="1" t="s">
        <v>2703</v>
      </c>
      <c r="Z27" s="1">
        <v>1</v>
      </c>
      <c r="AA27" s="1"/>
      <c r="AB27" s="1">
        <v>230</v>
      </c>
      <c r="AC27" s="1">
        <v>85</v>
      </c>
      <c r="AD27" s="1">
        <v>180</v>
      </c>
      <c r="AE27" s="1">
        <v>0.2</v>
      </c>
      <c r="AF27" s="1">
        <v>60</v>
      </c>
      <c r="AG27" s="1">
        <v>20</v>
      </c>
      <c r="AH27" s="1" t="s">
        <v>731</v>
      </c>
      <c r="AI27" s="1" t="s">
        <v>2575</v>
      </c>
      <c r="AJ27" s="1" t="s">
        <v>160</v>
      </c>
      <c r="AK27" s="1"/>
      <c r="AL27" s="1"/>
      <c r="AM27" s="13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4"/>
      <c r="AY27" s="1"/>
      <c r="AZ27" s="1"/>
      <c r="BA27" s="1"/>
      <c r="BB27" s="1"/>
      <c r="BC27" s="17" t="s">
        <v>255</v>
      </c>
      <c r="BD27" s="17" t="s">
        <v>432</v>
      </c>
      <c r="BE27" t="s">
        <v>1262</v>
      </c>
      <c r="BF27" t="s">
        <v>2704</v>
      </c>
    </row>
    <row r="28" spans="1:58" ht="22" customHeight="1">
      <c r="A28" s="1" t="s">
        <v>433</v>
      </c>
      <c r="B28" s="1" t="s">
        <v>434</v>
      </c>
      <c r="C28" s="1" t="s">
        <v>2648</v>
      </c>
      <c r="D28" s="1" t="s">
        <v>2566</v>
      </c>
      <c r="E28" s="1" t="s">
        <v>2705</v>
      </c>
      <c r="F28" s="1" t="s">
        <v>2706</v>
      </c>
      <c r="G28" s="1" t="s">
        <v>2569</v>
      </c>
      <c r="H28" s="1">
        <v>6.1</v>
      </c>
      <c r="I28" s="1" t="s">
        <v>1003</v>
      </c>
      <c r="J28" s="1">
        <v>39.555700000000002</v>
      </c>
      <c r="K28" s="1">
        <v>76.947699999999998</v>
      </c>
      <c r="L28" s="1">
        <v>20</v>
      </c>
      <c r="M28" s="1" t="s">
        <v>760</v>
      </c>
      <c r="N28" s="1" t="s">
        <v>2571</v>
      </c>
      <c r="O28" s="1">
        <v>21</v>
      </c>
      <c r="P28" s="1">
        <v>45</v>
      </c>
      <c r="Q28" s="1">
        <v>-89</v>
      </c>
      <c r="R28" s="1"/>
      <c r="S28" s="1"/>
      <c r="T28" s="1"/>
      <c r="U28" s="1" t="s">
        <v>2572</v>
      </c>
      <c r="V28" s="1" t="s">
        <v>2573</v>
      </c>
      <c r="W28" s="1" t="s">
        <v>435</v>
      </c>
      <c r="X28" s="1" t="s">
        <v>167</v>
      </c>
      <c r="Y28" s="1" t="s">
        <v>2707</v>
      </c>
      <c r="Z28" s="1">
        <v>0</v>
      </c>
      <c r="AA28" s="1"/>
      <c r="AB28" s="1">
        <v>21</v>
      </c>
      <c r="AC28" s="1">
        <v>45</v>
      </c>
      <c r="AD28" s="1">
        <v>-89</v>
      </c>
      <c r="AE28" s="1">
        <v>14.648</v>
      </c>
      <c r="AF28" s="1">
        <v>14.4</v>
      </c>
      <c r="AG28" s="1">
        <v>11.8</v>
      </c>
      <c r="AH28" s="1" t="s">
        <v>731</v>
      </c>
      <c r="AI28" s="1" t="s">
        <v>2575</v>
      </c>
      <c r="AJ28" s="1" t="s">
        <v>160</v>
      </c>
      <c r="AK28" s="1"/>
      <c r="AL28" s="1"/>
      <c r="AM28" s="13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4"/>
      <c r="AY28" s="1"/>
      <c r="AZ28" s="1"/>
      <c r="BA28" s="1"/>
      <c r="BB28" s="1"/>
      <c r="BC28" s="17" t="s">
        <v>255</v>
      </c>
      <c r="BD28" s="17" t="s">
        <v>439</v>
      </c>
      <c r="BE28" t="s">
        <v>1262</v>
      </c>
      <c r="BF28" t="s">
        <v>2708</v>
      </c>
    </row>
    <row r="29" spans="1:58" ht="22" customHeight="1">
      <c r="A29" s="1" t="s">
        <v>211</v>
      </c>
      <c r="B29" s="1" t="s">
        <v>458</v>
      </c>
      <c r="C29" s="1" t="s">
        <v>2709</v>
      </c>
      <c r="D29" s="1" t="s">
        <v>2566</v>
      </c>
      <c r="E29" s="1" t="s">
        <v>2710</v>
      </c>
      <c r="F29" s="1" t="s">
        <v>2711</v>
      </c>
      <c r="G29" s="1" t="s">
        <v>2569</v>
      </c>
      <c r="H29" s="1">
        <v>7.62</v>
      </c>
      <c r="I29" s="1" t="s">
        <v>1003</v>
      </c>
      <c r="J29" s="1">
        <v>23.85</v>
      </c>
      <c r="K29" s="1">
        <v>120.82</v>
      </c>
      <c r="L29" s="1">
        <v>8</v>
      </c>
      <c r="M29" s="1" t="s">
        <v>734</v>
      </c>
      <c r="N29" s="1" t="s">
        <v>2571</v>
      </c>
      <c r="O29" s="1">
        <v>20</v>
      </c>
      <c r="P29" s="1">
        <v>33</v>
      </c>
      <c r="Q29" s="1">
        <v>55</v>
      </c>
      <c r="R29" s="1"/>
      <c r="S29" s="1"/>
      <c r="T29" s="1"/>
      <c r="U29" s="1" t="s">
        <v>2572</v>
      </c>
      <c r="V29" s="1" t="s">
        <v>2573</v>
      </c>
      <c r="W29" s="1" t="s">
        <v>212</v>
      </c>
      <c r="X29" s="1" t="s">
        <v>167</v>
      </c>
      <c r="Y29" s="1" t="s">
        <v>2712</v>
      </c>
      <c r="Z29" s="1">
        <v>1</v>
      </c>
      <c r="AA29" s="1"/>
      <c r="AB29" s="1">
        <v>20</v>
      </c>
      <c r="AC29" s="1">
        <v>33</v>
      </c>
      <c r="AD29" s="1">
        <v>55</v>
      </c>
      <c r="AE29" s="1">
        <v>0</v>
      </c>
      <c r="AF29" s="1">
        <v>88</v>
      </c>
      <c r="AG29" s="1">
        <v>34.6</v>
      </c>
      <c r="AH29" s="1" t="s">
        <v>862</v>
      </c>
      <c r="AI29" s="1" t="s">
        <v>2575</v>
      </c>
      <c r="AJ29" s="1" t="s">
        <v>160</v>
      </c>
      <c r="AK29" s="1">
        <v>1</v>
      </c>
      <c r="AL29" s="1">
        <v>7.58</v>
      </c>
      <c r="AM29" s="13">
        <v>3.0437142000000002E+20</v>
      </c>
      <c r="AN29" s="1">
        <v>5.6364999999999998</v>
      </c>
      <c r="AO29" s="1">
        <v>7322.4000000000005</v>
      </c>
      <c r="AP29" s="1">
        <v>2.92</v>
      </c>
      <c r="AQ29" s="1">
        <v>1.32</v>
      </c>
      <c r="AR29" s="1">
        <v>23.834</v>
      </c>
      <c r="AS29" s="1">
        <v>120.813</v>
      </c>
      <c r="AT29" s="1">
        <v>10</v>
      </c>
      <c r="AU29" s="1" t="s">
        <v>2713</v>
      </c>
      <c r="AV29" s="1" t="s">
        <v>212</v>
      </c>
      <c r="AW29" s="1"/>
      <c r="AX29" s="14">
        <v>43390.382543969907</v>
      </c>
      <c r="AY29" s="1" t="s">
        <v>863</v>
      </c>
      <c r="AZ29" s="1" t="s">
        <v>213</v>
      </c>
      <c r="BA29" s="1" t="s">
        <v>2714</v>
      </c>
      <c r="BB29" s="1" t="s">
        <v>2715</v>
      </c>
      <c r="BC29" s="17" t="s">
        <v>255</v>
      </c>
      <c r="BD29" s="17" t="s">
        <v>462</v>
      </c>
      <c r="BE29" t="s">
        <v>1262</v>
      </c>
      <c r="BF29" t="s">
        <v>2716</v>
      </c>
    </row>
    <row r="30" spans="1:58" ht="22" customHeight="1">
      <c r="A30" s="1" t="s">
        <v>463</v>
      </c>
      <c r="B30" s="1" t="s">
        <v>464</v>
      </c>
      <c r="C30" s="1" t="s">
        <v>2717</v>
      </c>
      <c r="D30" s="1" t="s">
        <v>2566</v>
      </c>
      <c r="E30" s="1" t="s">
        <v>2710</v>
      </c>
      <c r="F30" s="1" t="s">
        <v>2718</v>
      </c>
      <c r="G30" s="1" t="s">
        <v>2569</v>
      </c>
      <c r="H30" s="1">
        <v>6.2</v>
      </c>
      <c r="I30" s="1" t="s">
        <v>1003</v>
      </c>
      <c r="J30" s="1">
        <v>23.81</v>
      </c>
      <c r="K30" s="1">
        <v>120.85</v>
      </c>
      <c r="L30" s="1">
        <v>7.8</v>
      </c>
      <c r="M30" s="1" t="s">
        <v>734</v>
      </c>
      <c r="N30" s="1" t="s">
        <v>2571</v>
      </c>
      <c r="O30" s="1">
        <v>360</v>
      </c>
      <c r="P30" s="1">
        <v>10</v>
      </c>
      <c r="Q30" s="1">
        <v>80</v>
      </c>
      <c r="R30" s="1"/>
      <c r="S30" s="1"/>
      <c r="T30" s="1"/>
      <c r="U30" s="1" t="s">
        <v>2572</v>
      </c>
      <c r="V30" s="1" t="s">
        <v>2573</v>
      </c>
      <c r="W30" s="1" t="s">
        <v>465</v>
      </c>
      <c r="X30" s="1" t="s">
        <v>167</v>
      </c>
      <c r="Y30" s="1" t="s">
        <v>2719</v>
      </c>
      <c r="Z30" s="1">
        <v>1</v>
      </c>
      <c r="AA30" s="1"/>
      <c r="AB30" s="1">
        <v>360</v>
      </c>
      <c r="AC30" s="1">
        <v>10</v>
      </c>
      <c r="AD30" s="1">
        <v>80</v>
      </c>
      <c r="AE30" s="1">
        <v>6.7</v>
      </c>
      <c r="AF30" s="1">
        <v>10</v>
      </c>
      <c r="AG30" s="1">
        <v>11</v>
      </c>
      <c r="AH30" s="1" t="s">
        <v>731</v>
      </c>
      <c r="AI30" s="1" t="s">
        <v>2575</v>
      </c>
      <c r="AJ30" s="1" t="s">
        <v>160</v>
      </c>
      <c r="AK30" s="1"/>
      <c r="AL30" s="1"/>
      <c r="AM30" s="13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4"/>
      <c r="AY30" s="1"/>
      <c r="AZ30" s="1"/>
      <c r="BA30" s="1"/>
      <c r="BB30" s="1"/>
      <c r="BC30" s="17" t="s">
        <v>255</v>
      </c>
      <c r="BD30" s="17" t="s">
        <v>468</v>
      </c>
      <c r="BE30" t="s">
        <v>1262</v>
      </c>
      <c r="BF30" t="s">
        <v>2720</v>
      </c>
    </row>
    <row r="31" spans="1:58" ht="22" customHeight="1">
      <c r="A31" s="1" t="s">
        <v>484</v>
      </c>
      <c r="B31" s="1" t="s">
        <v>485</v>
      </c>
      <c r="C31" s="1" t="s">
        <v>2721</v>
      </c>
      <c r="D31" s="1" t="s">
        <v>2566</v>
      </c>
      <c r="E31" s="1" t="s">
        <v>2722</v>
      </c>
      <c r="F31" s="1" t="s">
        <v>2723</v>
      </c>
      <c r="G31" s="1" t="s">
        <v>2569</v>
      </c>
      <c r="H31" s="1">
        <v>6.3</v>
      </c>
      <c r="I31" s="1" t="s">
        <v>1003</v>
      </c>
      <c r="J31" s="1">
        <v>23.87</v>
      </c>
      <c r="K31" s="1">
        <v>121.01</v>
      </c>
      <c r="L31" s="1">
        <v>16</v>
      </c>
      <c r="M31" s="1" t="s">
        <v>734</v>
      </c>
      <c r="N31" s="1" t="s">
        <v>2571</v>
      </c>
      <c r="O31" s="1">
        <v>5</v>
      </c>
      <c r="P31" s="1">
        <v>30</v>
      </c>
      <c r="Q31" s="1">
        <v>100</v>
      </c>
      <c r="R31" s="1"/>
      <c r="S31" s="1"/>
      <c r="T31" s="1"/>
      <c r="U31" s="1" t="s">
        <v>2572</v>
      </c>
      <c r="V31" s="1" t="s">
        <v>2573</v>
      </c>
      <c r="W31" s="1" t="s">
        <v>486</v>
      </c>
      <c r="X31" s="1" t="s">
        <v>167</v>
      </c>
      <c r="Y31" s="1" t="s">
        <v>2724</v>
      </c>
      <c r="Z31" s="1">
        <v>1</v>
      </c>
      <c r="AA31" s="1"/>
      <c r="AB31" s="1">
        <v>5</v>
      </c>
      <c r="AC31" s="1">
        <v>30</v>
      </c>
      <c r="AD31" s="1">
        <v>100</v>
      </c>
      <c r="AE31" s="1">
        <v>10</v>
      </c>
      <c r="AF31" s="1">
        <v>29</v>
      </c>
      <c r="AG31" s="1">
        <v>20</v>
      </c>
      <c r="AH31" s="1" t="s">
        <v>731</v>
      </c>
      <c r="AI31" s="1" t="s">
        <v>2575</v>
      </c>
      <c r="AJ31" s="1" t="s">
        <v>160</v>
      </c>
      <c r="AK31" s="1"/>
      <c r="AL31" s="1"/>
      <c r="AM31" s="13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4"/>
      <c r="AY31" s="1"/>
      <c r="AZ31" s="1"/>
      <c r="BA31" s="1"/>
      <c r="BB31" s="1"/>
      <c r="BC31" s="17" t="s">
        <v>472</v>
      </c>
      <c r="BD31" s="17" t="s">
        <v>490</v>
      </c>
      <c r="BE31" t="s">
        <v>1262</v>
      </c>
      <c r="BF31" t="s">
        <v>2725</v>
      </c>
    </row>
    <row r="32" spans="1:58" ht="22" customHeight="1">
      <c r="A32" s="1" t="s">
        <v>469</v>
      </c>
      <c r="B32" s="1" t="s">
        <v>470</v>
      </c>
      <c r="C32" s="1" t="s">
        <v>2726</v>
      </c>
      <c r="D32" s="1" t="s">
        <v>2566</v>
      </c>
      <c r="E32" s="1" t="s">
        <v>2710</v>
      </c>
      <c r="F32" s="1" t="s">
        <v>2727</v>
      </c>
      <c r="G32" s="1" t="s">
        <v>2569</v>
      </c>
      <c r="H32" s="1">
        <v>6.2</v>
      </c>
      <c r="I32" s="1" t="s">
        <v>1003</v>
      </c>
      <c r="J32" s="1">
        <v>23.6</v>
      </c>
      <c r="K32" s="1">
        <v>120.82</v>
      </c>
      <c r="L32" s="1">
        <v>18</v>
      </c>
      <c r="M32" s="1" t="s">
        <v>730</v>
      </c>
      <c r="N32" s="1" t="s">
        <v>2571</v>
      </c>
      <c r="O32" s="1">
        <v>330</v>
      </c>
      <c r="P32" s="1">
        <v>89</v>
      </c>
      <c r="Q32" s="1">
        <v>15</v>
      </c>
      <c r="R32" s="1"/>
      <c r="S32" s="1"/>
      <c r="T32" s="1"/>
      <c r="U32" s="1" t="s">
        <v>2572</v>
      </c>
      <c r="V32" s="1" t="s">
        <v>2573</v>
      </c>
      <c r="W32" s="1" t="s">
        <v>473</v>
      </c>
      <c r="X32" s="1" t="s">
        <v>167</v>
      </c>
      <c r="Y32" s="1" t="s">
        <v>2728</v>
      </c>
      <c r="Z32" s="1">
        <v>1</v>
      </c>
      <c r="AA32" s="1"/>
      <c r="AB32" s="1">
        <v>330</v>
      </c>
      <c r="AC32" s="1">
        <v>89</v>
      </c>
      <c r="AD32" s="1">
        <v>15</v>
      </c>
      <c r="AE32" s="1">
        <v>1.5</v>
      </c>
      <c r="AF32" s="1">
        <v>21.5</v>
      </c>
      <c r="AG32" s="1">
        <v>17.5</v>
      </c>
      <c r="AH32" s="1" t="s">
        <v>731</v>
      </c>
      <c r="AI32" s="1" t="s">
        <v>2575</v>
      </c>
      <c r="AJ32" s="1" t="s">
        <v>160</v>
      </c>
      <c r="AK32" s="1"/>
      <c r="AL32" s="1"/>
      <c r="AM32" s="13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4"/>
      <c r="AY32" s="1"/>
      <c r="AZ32" s="1"/>
      <c r="BA32" s="1"/>
      <c r="BB32" s="1"/>
      <c r="BC32" s="17" t="s">
        <v>472</v>
      </c>
      <c r="BD32" s="17" t="s">
        <v>476</v>
      </c>
      <c r="BE32" t="s">
        <v>1262</v>
      </c>
      <c r="BF32" t="s">
        <v>2729</v>
      </c>
    </row>
    <row r="33" spans="1:58" ht="22" customHeight="1">
      <c r="A33" s="1" t="s">
        <v>491</v>
      </c>
      <c r="B33" s="1" t="s">
        <v>492</v>
      </c>
      <c r="C33" s="1" t="s">
        <v>2588</v>
      </c>
      <c r="D33" s="1" t="s">
        <v>2566</v>
      </c>
      <c r="E33" s="1" t="s">
        <v>2730</v>
      </c>
      <c r="F33" s="1" t="s">
        <v>2731</v>
      </c>
      <c r="G33" s="1" t="s">
        <v>2569</v>
      </c>
      <c r="H33" s="1">
        <v>7.14</v>
      </c>
      <c r="I33" s="1" t="s">
        <v>1003</v>
      </c>
      <c r="J33" s="1">
        <v>40.834499999999998</v>
      </c>
      <c r="K33" s="1">
        <v>31.134599999999999</v>
      </c>
      <c r="L33" s="1">
        <v>14</v>
      </c>
      <c r="M33" s="1" t="s">
        <v>730</v>
      </c>
      <c r="N33" s="1" t="s">
        <v>2571</v>
      </c>
      <c r="O33" s="1">
        <v>270</v>
      </c>
      <c r="P33" s="1">
        <v>65</v>
      </c>
      <c r="Q33" s="1">
        <v>-178</v>
      </c>
      <c r="R33" s="1"/>
      <c r="S33" s="1"/>
      <c r="T33" s="1"/>
      <c r="U33" s="1" t="s">
        <v>2572</v>
      </c>
      <c r="V33" s="1" t="s">
        <v>2573</v>
      </c>
      <c r="W33" s="1" t="s">
        <v>493</v>
      </c>
      <c r="X33" s="1" t="s">
        <v>167</v>
      </c>
      <c r="Y33" s="1" t="s">
        <v>2732</v>
      </c>
      <c r="Z33" s="1">
        <v>1</v>
      </c>
      <c r="AA33" s="1"/>
      <c r="AB33" s="1">
        <v>270</v>
      </c>
      <c r="AC33" s="1">
        <v>65</v>
      </c>
      <c r="AD33" s="1">
        <v>-178</v>
      </c>
      <c r="AE33" s="1">
        <v>0</v>
      </c>
      <c r="AF33" s="1">
        <v>46.8</v>
      </c>
      <c r="AG33" s="1">
        <v>20</v>
      </c>
      <c r="AH33" s="1" t="s">
        <v>731</v>
      </c>
      <c r="AI33" s="1" t="s">
        <v>2575</v>
      </c>
      <c r="AJ33" s="1" t="s">
        <v>160</v>
      </c>
      <c r="AK33" s="1"/>
      <c r="AL33" s="1"/>
      <c r="AM33" s="13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4"/>
      <c r="AY33" s="1"/>
      <c r="AZ33" s="1"/>
      <c r="BA33" s="1"/>
      <c r="BB33" s="1"/>
      <c r="BC33" s="17" t="s">
        <v>255</v>
      </c>
      <c r="BD33" s="17" t="s">
        <v>496</v>
      </c>
      <c r="BE33" t="s">
        <v>1262</v>
      </c>
      <c r="BF33" t="s">
        <v>2733</v>
      </c>
    </row>
    <row r="34" spans="1:58" ht="22" customHeight="1">
      <c r="A34" s="1" t="s">
        <v>208</v>
      </c>
      <c r="B34" s="1" t="s">
        <v>502</v>
      </c>
      <c r="C34" s="1" t="s">
        <v>2734</v>
      </c>
      <c r="D34" s="1" t="s">
        <v>2566</v>
      </c>
      <c r="E34" s="1" t="s">
        <v>2735</v>
      </c>
      <c r="F34" s="1" t="s">
        <v>2736</v>
      </c>
      <c r="G34" s="1" t="s">
        <v>2569</v>
      </c>
      <c r="H34" s="1">
        <v>7.51</v>
      </c>
      <c r="I34" s="1" t="s">
        <v>1003</v>
      </c>
      <c r="J34" s="1">
        <v>40.747999999999998</v>
      </c>
      <c r="K34" s="1">
        <v>29.99</v>
      </c>
      <c r="L34" s="1">
        <v>16</v>
      </c>
      <c r="M34" s="1" t="s">
        <v>730</v>
      </c>
      <c r="N34" s="1" t="s">
        <v>2571</v>
      </c>
      <c r="O34" s="1">
        <v>271</v>
      </c>
      <c r="P34" s="1">
        <v>80</v>
      </c>
      <c r="Q34" s="1">
        <v>180</v>
      </c>
      <c r="R34" s="1"/>
      <c r="S34" s="1"/>
      <c r="T34" s="1"/>
      <c r="U34" s="1" t="s">
        <v>2572</v>
      </c>
      <c r="V34" s="1" t="s">
        <v>2573</v>
      </c>
      <c r="W34" s="1" t="s">
        <v>209</v>
      </c>
      <c r="X34" s="1" t="s">
        <v>167</v>
      </c>
      <c r="Y34" s="1" t="s">
        <v>2737</v>
      </c>
      <c r="Z34" s="1">
        <v>1</v>
      </c>
      <c r="AA34" s="1"/>
      <c r="AB34" s="1">
        <v>271</v>
      </c>
      <c r="AC34" s="1">
        <v>80</v>
      </c>
      <c r="AD34" s="1">
        <v>180</v>
      </c>
      <c r="AE34" s="1">
        <v>0</v>
      </c>
      <c r="AF34" s="1">
        <v>137.5</v>
      </c>
      <c r="AG34" s="1">
        <v>20.3</v>
      </c>
      <c r="AH34" s="1" t="s">
        <v>862</v>
      </c>
      <c r="AI34" s="1" t="s">
        <v>2575</v>
      </c>
      <c r="AJ34" s="1" t="s">
        <v>160</v>
      </c>
      <c r="AK34" s="1">
        <v>1</v>
      </c>
      <c r="AL34" s="1">
        <v>7.53</v>
      </c>
      <c r="AM34" s="13">
        <v>2.5945312999999999E+20</v>
      </c>
      <c r="AN34" s="1">
        <v>7.2274000000000003</v>
      </c>
      <c r="AO34" s="1">
        <v>5880</v>
      </c>
      <c r="AP34" s="1">
        <v>2.0299999999999998</v>
      </c>
      <c r="AQ34" s="1">
        <v>2.15</v>
      </c>
      <c r="AR34" s="1">
        <v>40.75</v>
      </c>
      <c r="AS34" s="1">
        <v>29.86</v>
      </c>
      <c r="AT34" s="1">
        <v>17</v>
      </c>
      <c r="AU34" s="1" t="s">
        <v>2713</v>
      </c>
      <c r="AV34" s="1" t="s">
        <v>209</v>
      </c>
      <c r="AW34" s="1"/>
      <c r="AX34" s="14">
        <v>43390.382443055554</v>
      </c>
      <c r="AY34" s="1" t="s">
        <v>926</v>
      </c>
      <c r="AZ34" s="1" t="s">
        <v>210</v>
      </c>
      <c r="BA34" s="1" t="s">
        <v>2738</v>
      </c>
      <c r="BB34" s="1" t="s">
        <v>2739</v>
      </c>
      <c r="BC34" s="17" t="s">
        <v>255</v>
      </c>
      <c r="BD34" s="17" t="s">
        <v>505</v>
      </c>
      <c r="BE34" t="s">
        <v>1262</v>
      </c>
      <c r="BF34" t="s">
        <v>2740</v>
      </c>
    </row>
    <row r="35" spans="1:58" ht="22" customHeight="1">
      <c r="A35" s="1" t="s">
        <v>506</v>
      </c>
      <c r="B35" s="1" t="s">
        <v>507</v>
      </c>
      <c r="C35" s="1" t="s">
        <v>2577</v>
      </c>
      <c r="D35" s="1" t="s">
        <v>2566</v>
      </c>
      <c r="E35" s="1" t="s">
        <v>2741</v>
      </c>
      <c r="F35" s="1" t="s">
        <v>2742</v>
      </c>
      <c r="G35" s="1" t="s">
        <v>2569</v>
      </c>
      <c r="H35" s="1">
        <v>6.61</v>
      </c>
      <c r="I35" s="1" t="s">
        <v>1003</v>
      </c>
      <c r="J35" s="1">
        <v>35.274999999999999</v>
      </c>
      <c r="K35" s="1">
        <v>133.35</v>
      </c>
      <c r="L35" s="1">
        <v>12.5</v>
      </c>
      <c r="M35" s="1" t="s">
        <v>730</v>
      </c>
      <c r="N35" s="1" t="s">
        <v>2571</v>
      </c>
      <c r="O35" s="1">
        <v>330</v>
      </c>
      <c r="P35" s="1">
        <v>90</v>
      </c>
      <c r="Q35" s="1">
        <v>0</v>
      </c>
      <c r="R35" s="1"/>
      <c r="S35" s="1"/>
      <c r="T35" s="1"/>
      <c r="U35" s="1" t="s">
        <v>2572</v>
      </c>
      <c r="V35" s="1" t="s">
        <v>2573</v>
      </c>
      <c r="W35" s="1" t="s">
        <v>508</v>
      </c>
      <c r="X35" s="1" t="s">
        <v>167</v>
      </c>
      <c r="Y35" s="1" t="s">
        <v>2743</v>
      </c>
      <c r="Z35" s="1">
        <v>1</v>
      </c>
      <c r="AA35" s="1"/>
      <c r="AB35" s="1">
        <v>330</v>
      </c>
      <c r="AC35" s="1">
        <v>90</v>
      </c>
      <c r="AD35" s="1">
        <v>0</v>
      </c>
      <c r="AE35" s="1">
        <v>0.5</v>
      </c>
      <c r="AF35" s="1">
        <v>38</v>
      </c>
      <c r="AG35" s="1">
        <v>20</v>
      </c>
      <c r="AH35" s="1" t="s">
        <v>731</v>
      </c>
      <c r="AI35" s="1" t="s">
        <v>2575</v>
      </c>
      <c r="AJ35" s="1" t="s">
        <v>160</v>
      </c>
      <c r="AK35" s="1"/>
      <c r="AL35" s="1"/>
      <c r="AM35" s="13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4"/>
      <c r="AY35" s="1"/>
      <c r="AZ35" s="1"/>
      <c r="BA35" s="1"/>
      <c r="BB35" s="1"/>
      <c r="BC35" s="17" t="s">
        <v>255</v>
      </c>
      <c r="BD35" s="17" t="s">
        <v>512</v>
      </c>
      <c r="BE35" t="s">
        <v>1262</v>
      </c>
      <c r="BF35" t="s">
        <v>2744</v>
      </c>
    </row>
    <row r="36" spans="1:58" ht="22" customHeight="1">
      <c r="A36" s="1" t="s">
        <v>513</v>
      </c>
      <c r="B36" s="1" t="s">
        <v>514</v>
      </c>
      <c r="C36" s="1" t="s">
        <v>2604</v>
      </c>
      <c r="D36" s="1" t="s">
        <v>2566</v>
      </c>
      <c r="E36" s="1" t="s">
        <v>2745</v>
      </c>
      <c r="F36" s="1" t="s">
        <v>2746</v>
      </c>
      <c r="G36" s="1" t="s">
        <v>2569</v>
      </c>
      <c r="H36" s="1">
        <v>5</v>
      </c>
      <c r="I36" s="1" t="s">
        <v>1003</v>
      </c>
      <c r="J36" s="1">
        <v>38.378799999999998</v>
      </c>
      <c r="K36" s="1">
        <v>-122.4127</v>
      </c>
      <c r="L36" s="1">
        <v>10.119999999999999</v>
      </c>
      <c r="M36" s="1" t="s">
        <v>730</v>
      </c>
      <c r="N36" s="1" t="s">
        <v>2571</v>
      </c>
      <c r="O36" s="1">
        <v>150</v>
      </c>
      <c r="P36" s="1">
        <v>90</v>
      </c>
      <c r="Q36" s="1">
        <v>170</v>
      </c>
      <c r="R36" s="1"/>
      <c r="S36" s="1"/>
      <c r="T36" s="1"/>
      <c r="U36" s="1" t="s">
        <v>2572</v>
      </c>
      <c r="V36" s="1" t="s">
        <v>2573</v>
      </c>
      <c r="W36" s="1" t="s">
        <v>515</v>
      </c>
      <c r="X36" s="1" t="s">
        <v>167</v>
      </c>
      <c r="Y36" s="1" t="s">
        <v>2747</v>
      </c>
      <c r="Z36" s="1">
        <v>0</v>
      </c>
      <c r="AA36" s="1"/>
      <c r="AB36" s="1">
        <v>150</v>
      </c>
      <c r="AC36" s="1">
        <v>90</v>
      </c>
      <c r="AD36" s="1">
        <v>170</v>
      </c>
      <c r="AE36" s="1">
        <v>7.7619999999999996</v>
      </c>
      <c r="AF36" s="1">
        <v>3.5</v>
      </c>
      <c r="AG36" s="1">
        <v>3.2</v>
      </c>
      <c r="AH36" s="1" t="s">
        <v>731</v>
      </c>
      <c r="AI36" s="1" t="s">
        <v>2575</v>
      </c>
      <c r="AJ36" s="1" t="s">
        <v>160</v>
      </c>
      <c r="AK36" s="1"/>
      <c r="AL36" s="1"/>
      <c r="AM36" s="13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4"/>
      <c r="AY36" s="1"/>
      <c r="AZ36" s="1"/>
      <c r="BA36" s="1"/>
      <c r="BB36" s="1"/>
      <c r="BC36" s="17" t="s">
        <v>255</v>
      </c>
      <c r="BD36" s="17" t="s">
        <v>517</v>
      </c>
      <c r="BE36" t="s">
        <v>1262</v>
      </c>
      <c r="BF36" t="s">
        <v>2748</v>
      </c>
    </row>
    <row r="37" spans="1:58" ht="22" customHeight="1">
      <c r="A37" s="1" t="s">
        <v>214</v>
      </c>
      <c r="B37" s="1" t="s">
        <v>524</v>
      </c>
      <c r="C37" s="1" t="s">
        <v>2749</v>
      </c>
      <c r="D37" s="1" t="s">
        <v>2566</v>
      </c>
      <c r="E37" s="1" t="s">
        <v>2750</v>
      </c>
      <c r="F37" s="1" t="s">
        <v>2751</v>
      </c>
      <c r="G37" s="1" t="s">
        <v>2569</v>
      </c>
      <c r="H37" s="1">
        <v>7.9</v>
      </c>
      <c r="I37" s="1" t="s">
        <v>1003</v>
      </c>
      <c r="J37" s="1">
        <v>63.542000000000002</v>
      </c>
      <c r="K37" s="1">
        <v>-147.4444</v>
      </c>
      <c r="L37" s="1">
        <v>8.9026999999999994</v>
      </c>
      <c r="M37" s="1" t="s">
        <v>730</v>
      </c>
      <c r="N37" s="1" t="s">
        <v>2571</v>
      </c>
      <c r="O37" s="1">
        <v>298</v>
      </c>
      <c r="P37" s="1">
        <v>82</v>
      </c>
      <c r="Q37" s="1">
        <v>171</v>
      </c>
      <c r="R37" s="1"/>
      <c r="S37" s="1"/>
      <c r="T37" s="1"/>
      <c r="U37" s="1" t="s">
        <v>2572</v>
      </c>
      <c r="V37" s="1" t="s">
        <v>2573</v>
      </c>
      <c r="W37" s="1" t="s">
        <v>215</v>
      </c>
      <c r="X37" s="1" t="s">
        <v>167</v>
      </c>
      <c r="Y37" s="1" t="s">
        <v>2752</v>
      </c>
      <c r="Z37" s="1">
        <v>1</v>
      </c>
      <c r="AA37" s="1"/>
      <c r="AB37" s="1">
        <v>298</v>
      </c>
      <c r="AC37" s="1">
        <v>82</v>
      </c>
      <c r="AD37" s="1">
        <v>171</v>
      </c>
      <c r="AE37" s="1">
        <v>0</v>
      </c>
      <c r="AF37" s="1">
        <v>305</v>
      </c>
      <c r="AG37" s="1">
        <v>16.2</v>
      </c>
      <c r="AH37" s="1" t="s">
        <v>862</v>
      </c>
      <c r="AI37" s="1" t="s">
        <v>2575</v>
      </c>
      <c r="AJ37" s="1" t="s">
        <v>160</v>
      </c>
      <c r="AK37" s="1">
        <v>5</v>
      </c>
      <c r="AL37" s="1">
        <v>7.97</v>
      </c>
      <c r="AM37" s="13">
        <v>1.1972318E+21</v>
      </c>
      <c r="AN37" s="1">
        <v>14.9975</v>
      </c>
      <c r="AO37" s="1">
        <v>11760</v>
      </c>
      <c r="AP37" s="1">
        <v>6.26</v>
      </c>
      <c r="AQ37" s="1">
        <v>2.31</v>
      </c>
      <c r="AR37" s="1">
        <v>63.517499999999998</v>
      </c>
      <c r="AS37" s="1">
        <v>-147.44399999999999</v>
      </c>
      <c r="AT37" s="1">
        <v>8</v>
      </c>
      <c r="AU37" s="1" t="s">
        <v>2713</v>
      </c>
      <c r="AV37" s="1" t="s">
        <v>2753</v>
      </c>
      <c r="AW37" s="1"/>
      <c r="AX37" s="14">
        <v>43390.489746377316</v>
      </c>
      <c r="AY37" s="1" t="s">
        <v>935</v>
      </c>
      <c r="AZ37" s="1" t="s">
        <v>216</v>
      </c>
      <c r="BA37" s="1" t="s">
        <v>2754</v>
      </c>
      <c r="BB37" s="1" t="s">
        <v>2755</v>
      </c>
      <c r="BC37" s="17" t="s">
        <v>255</v>
      </c>
      <c r="BD37" s="17" t="s">
        <v>527</v>
      </c>
      <c r="BE37" t="s">
        <v>1262</v>
      </c>
      <c r="BF37" t="s">
        <v>2756</v>
      </c>
    </row>
    <row r="38" spans="1:58" ht="22" customHeight="1">
      <c r="A38" s="1" t="s">
        <v>533</v>
      </c>
      <c r="B38" s="1" t="s">
        <v>534</v>
      </c>
      <c r="C38" s="1" t="s">
        <v>2577</v>
      </c>
      <c r="D38" s="1" t="s">
        <v>2566</v>
      </c>
      <c r="E38" s="1" t="s">
        <v>2757</v>
      </c>
      <c r="F38" s="1" t="s">
        <v>2758</v>
      </c>
      <c r="G38" s="1" t="s">
        <v>2569</v>
      </c>
      <c r="H38" s="1">
        <v>6.6</v>
      </c>
      <c r="I38" s="1" t="s">
        <v>1003</v>
      </c>
      <c r="J38" s="1">
        <v>28.984000000000002</v>
      </c>
      <c r="K38" s="1">
        <v>58.359000000000002</v>
      </c>
      <c r="L38" s="1">
        <v>6</v>
      </c>
      <c r="M38" s="1" t="s">
        <v>730</v>
      </c>
      <c r="N38" s="1" t="s">
        <v>2571</v>
      </c>
      <c r="O38" s="1">
        <v>354.6</v>
      </c>
      <c r="P38" s="1">
        <v>85.5</v>
      </c>
      <c r="Q38" s="1">
        <v>-177</v>
      </c>
      <c r="R38" s="1"/>
      <c r="S38" s="1"/>
      <c r="T38" s="1"/>
      <c r="U38" s="1" t="s">
        <v>2572</v>
      </c>
      <c r="V38" s="1" t="s">
        <v>2573</v>
      </c>
      <c r="W38" s="1" t="s">
        <v>535</v>
      </c>
      <c r="X38" s="1" t="s">
        <v>167</v>
      </c>
      <c r="Y38" s="1" t="s">
        <v>2759</v>
      </c>
      <c r="Z38" s="1">
        <v>1</v>
      </c>
      <c r="AA38" s="1" t="s">
        <v>2760</v>
      </c>
      <c r="AB38" s="1">
        <v>354.6</v>
      </c>
      <c r="AC38" s="1">
        <v>85.5</v>
      </c>
      <c r="AD38" s="1">
        <v>-177</v>
      </c>
      <c r="AE38" s="1">
        <v>1.4</v>
      </c>
      <c r="AF38" s="1">
        <v>15</v>
      </c>
      <c r="AG38" s="1">
        <v>11.6</v>
      </c>
      <c r="AH38" s="1" t="s">
        <v>731</v>
      </c>
      <c r="AI38" s="1" t="s">
        <v>2575</v>
      </c>
      <c r="AJ38" s="1" t="s">
        <v>160</v>
      </c>
      <c r="AK38" s="1"/>
      <c r="AL38" s="1"/>
      <c r="AM38" s="13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4"/>
      <c r="AY38" s="1"/>
      <c r="AZ38" s="1"/>
      <c r="BA38" s="1"/>
      <c r="BB38" s="1"/>
      <c r="BC38" s="17" t="s">
        <v>255</v>
      </c>
      <c r="BD38" s="17" t="s">
        <v>539</v>
      </c>
      <c r="BE38" t="s">
        <v>1262</v>
      </c>
      <c r="BF38" t="s">
        <v>2761</v>
      </c>
    </row>
    <row r="39" spans="1:58" ht="22" customHeight="1">
      <c r="A39" s="1" t="s">
        <v>540</v>
      </c>
      <c r="B39" s="1" t="s">
        <v>541</v>
      </c>
      <c r="C39" s="1" t="s">
        <v>2577</v>
      </c>
      <c r="D39" s="1" t="s">
        <v>2566</v>
      </c>
      <c r="E39" s="1" t="s">
        <v>2762</v>
      </c>
      <c r="F39" s="1" t="s">
        <v>2763</v>
      </c>
      <c r="G39" s="1" t="s">
        <v>2569</v>
      </c>
      <c r="H39" s="1">
        <v>6.63</v>
      </c>
      <c r="I39" s="1" t="s">
        <v>1003</v>
      </c>
      <c r="J39" s="1">
        <v>37.307000000000002</v>
      </c>
      <c r="K39" s="1">
        <v>138.839</v>
      </c>
      <c r="L39" s="1">
        <v>10.6</v>
      </c>
      <c r="M39" s="1" t="s">
        <v>734</v>
      </c>
      <c r="N39" s="1" t="s">
        <v>2571</v>
      </c>
      <c r="O39" s="1">
        <v>212</v>
      </c>
      <c r="P39" s="1">
        <v>47</v>
      </c>
      <c r="Q39" s="1">
        <v>93</v>
      </c>
      <c r="R39" s="1"/>
      <c r="S39" s="1"/>
      <c r="T39" s="1"/>
      <c r="U39" s="1" t="s">
        <v>2572</v>
      </c>
      <c r="V39" s="1" t="s">
        <v>2573</v>
      </c>
      <c r="W39" s="1" t="s">
        <v>542</v>
      </c>
      <c r="X39" s="1" t="s">
        <v>167</v>
      </c>
      <c r="Y39" s="1" t="s">
        <v>2764</v>
      </c>
      <c r="Z39" s="1">
        <v>1</v>
      </c>
      <c r="AA39" s="1" t="s">
        <v>2765</v>
      </c>
      <c r="AB39" s="1">
        <v>212</v>
      </c>
      <c r="AC39" s="1">
        <v>47</v>
      </c>
      <c r="AD39" s="1">
        <v>93</v>
      </c>
      <c r="AE39" s="1">
        <v>4.0199999999999996</v>
      </c>
      <c r="AF39" s="1">
        <v>24</v>
      </c>
      <c r="AG39" s="1">
        <v>14</v>
      </c>
      <c r="AH39" s="1" t="s">
        <v>731</v>
      </c>
      <c r="AI39" s="1" t="s">
        <v>2575</v>
      </c>
      <c r="AJ39" s="1" t="s">
        <v>160</v>
      </c>
      <c r="AK39" s="1"/>
      <c r="AL39" s="1"/>
      <c r="AM39" s="13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4"/>
      <c r="AY39" s="1"/>
      <c r="AZ39" s="1"/>
      <c r="BA39" s="1"/>
      <c r="BB39" s="1"/>
      <c r="BC39" s="17" t="s">
        <v>255</v>
      </c>
      <c r="BD39" s="17" t="s">
        <v>546</v>
      </c>
      <c r="BE39" t="s">
        <v>1262</v>
      </c>
      <c r="BF39" t="s">
        <v>2766</v>
      </c>
    </row>
    <row r="40" spans="1:58" ht="22" customHeight="1">
      <c r="A40" s="1" t="s">
        <v>547</v>
      </c>
      <c r="B40" s="1" t="s">
        <v>548</v>
      </c>
      <c r="C40" s="1" t="s">
        <v>2663</v>
      </c>
      <c r="D40" s="1" t="s">
        <v>2566</v>
      </c>
      <c r="E40" s="1" t="s">
        <v>2767</v>
      </c>
      <c r="F40" s="1" t="s">
        <v>2768</v>
      </c>
      <c r="G40" s="1" t="s">
        <v>2569</v>
      </c>
      <c r="H40" s="1">
        <v>6</v>
      </c>
      <c r="I40" s="1" t="s">
        <v>1003</v>
      </c>
      <c r="J40" s="1">
        <v>35.817</v>
      </c>
      <c r="K40" s="1">
        <v>-120.36499999999999</v>
      </c>
      <c r="L40" s="1">
        <v>8.1</v>
      </c>
      <c r="M40" s="1" t="s">
        <v>730</v>
      </c>
      <c r="N40" s="1" t="s">
        <v>2571</v>
      </c>
      <c r="O40" s="1">
        <v>141</v>
      </c>
      <c r="P40" s="1">
        <v>89</v>
      </c>
      <c r="Q40" s="1">
        <v>-175</v>
      </c>
      <c r="R40" s="1"/>
      <c r="S40" s="1"/>
      <c r="T40" s="1"/>
      <c r="U40" s="1" t="s">
        <v>2572</v>
      </c>
      <c r="V40" s="1" t="s">
        <v>2573</v>
      </c>
      <c r="W40" s="1" t="s">
        <v>549</v>
      </c>
      <c r="X40" s="1" t="s">
        <v>167</v>
      </c>
      <c r="Y40" s="1" t="s">
        <v>2769</v>
      </c>
      <c r="Z40" s="1">
        <v>1</v>
      </c>
      <c r="AA40" s="1" t="s">
        <v>2770</v>
      </c>
      <c r="AB40" s="1">
        <v>141</v>
      </c>
      <c r="AC40" s="1">
        <v>89</v>
      </c>
      <c r="AD40" s="1">
        <v>-175</v>
      </c>
      <c r="AE40" s="1">
        <v>2.5</v>
      </c>
      <c r="AF40" s="1">
        <v>40</v>
      </c>
      <c r="AG40" s="1">
        <v>8</v>
      </c>
      <c r="AH40" s="1" t="s">
        <v>731</v>
      </c>
      <c r="AI40" s="1" t="s">
        <v>2575</v>
      </c>
      <c r="AJ40" s="1" t="s">
        <v>160</v>
      </c>
      <c r="AK40" s="1"/>
      <c r="AL40" s="1"/>
      <c r="AM40" s="13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4"/>
      <c r="AY40" s="1"/>
      <c r="AZ40" s="1"/>
      <c r="BA40" s="1"/>
      <c r="BB40" s="1"/>
      <c r="BC40" s="17" t="s">
        <v>255</v>
      </c>
      <c r="BD40" s="17" t="s">
        <v>553</v>
      </c>
      <c r="BE40" t="s">
        <v>1262</v>
      </c>
      <c r="BF40" t="s">
        <v>2771</v>
      </c>
    </row>
    <row r="41" spans="1:58" ht="22" customHeight="1">
      <c r="A41" s="1" t="s">
        <v>581</v>
      </c>
      <c r="B41" s="1" t="s">
        <v>582</v>
      </c>
      <c r="C41" s="1" t="s">
        <v>2772</v>
      </c>
      <c r="D41" s="1" t="s">
        <v>2566</v>
      </c>
      <c r="E41" s="1" t="s">
        <v>2773</v>
      </c>
      <c r="F41" s="1" t="s">
        <v>2774</v>
      </c>
      <c r="G41" s="1" t="s">
        <v>2569</v>
      </c>
      <c r="H41" s="1">
        <v>6.8</v>
      </c>
      <c r="I41" s="1" t="s">
        <v>1003</v>
      </c>
      <c r="J41" s="1">
        <v>37.538200000000003</v>
      </c>
      <c r="K41" s="1">
        <v>138.6174</v>
      </c>
      <c r="L41" s="1">
        <v>9</v>
      </c>
      <c r="M41" s="1" t="s">
        <v>734</v>
      </c>
      <c r="N41" s="1" t="s">
        <v>2571</v>
      </c>
      <c r="O41" s="1">
        <v>34</v>
      </c>
      <c r="P41" s="1">
        <v>36</v>
      </c>
      <c r="Q41" s="1">
        <v>90</v>
      </c>
      <c r="R41" s="1"/>
      <c r="S41" s="1"/>
      <c r="T41" s="1"/>
      <c r="U41" s="1" t="s">
        <v>2572</v>
      </c>
      <c r="V41" s="1" t="s">
        <v>2573</v>
      </c>
      <c r="W41" s="1" t="s">
        <v>583</v>
      </c>
      <c r="X41" s="1" t="s">
        <v>167</v>
      </c>
      <c r="Y41" s="1" t="s">
        <v>2775</v>
      </c>
      <c r="Z41" s="1">
        <v>1</v>
      </c>
      <c r="AA41" s="1"/>
      <c r="AB41" s="1">
        <v>34</v>
      </c>
      <c r="AC41" s="1">
        <v>36</v>
      </c>
      <c r="AD41" s="1">
        <v>90</v>
      </c>
      <c r="AE41" s="1">
        <v>3.12</v>
      </c>
      <c r="AF41" s="1">
        <v>32</v>
      </c>
      <c r="AG41" s="1">
        <v>24</v>
      </c>
      <c r="AH41" s="1" t="s">
        <v>731</v>
      </c>
      <c r="AI41" s="1" t="s">
        <v>2575</v>
      </c>
      <c r="AJ41" s="1" t="s">
        <v>160</v>
      </c>
      <c r="AK41" s="1"/>
      <c r="AL41" s="1"/>
      <c r="AM41" s="13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4"/>
      <c r="AY41" s="1"/>
      <c r="AZ41" s="1"/>
      <c r="BA41" s="1"/>
      <c r="BB41" s="1"/>
      <c r="BC41" s="17" t="s">
        <v>255</v>
      </c>
      <c r="BD41" s="17" t="s">
        <v>587</v>
      </c>
      <c r="BE41" t="s">
        <v>1262</v>
      </c>
      <c r="BF41" t="s">
        <v>2776</v>
      </c>
    </row>
    <row r="42" spans="1:58" ht="22" customHeight="1">
      <c r="A42" s="1" t="s">
        <v>594</v>
      </c>
      <c r="B42" s="1" t="s">
        <v>595</v>
      </c>
      <c r="C42" s="1" t="s">
        <v>2608</v>
      </c>
      <c r="D42" s="1" t="s">
        <v>2566</v>
      </c>
      <c r="E42" s="1" t="s">
        <v>2777</v>
      </c>
      <c r="F42" s="1" t="s">
        <v>2778</v>
      </c>
      <c r="G42" s="1" t="s">
        <v>2569</v>
      </c>
      <c r="H42" s="1">
        <v>6.9</v>
      </c>
      <c r="I42" s="1" t="s">
        <v>1003</v>
      </c>
      <c r="J42" s="1">
        <v>39.027000000000001</v>
      </c>
      <c r="K42" s="1">
        <v>140.87799999999999</v>
      </c>
      <c r="L42" s="1">
        <v>6.5</v>
      </c>
      <c r="M42" s="1" t="s">
        <v>734</v>
      </c>
      <c r="N42" s="1" t="s">
        <v>2571</v>
      </c>
      <c r="O42" s="1">
        <v>209</v>
      </c>
      <c r="P42" s="1">
        <v>40</v>
      </c>
      <c r="Q42" s="1">
        <v>104</v>
      </c>
      <c r="R42" s="1"/>
      <c r="S42" s="1"/>
      <c r="T42" s="1"/>
      <c r="U42" s="1" t="s">
        <v>2572</v>
      </c>
      <c r="V42" s="1" t="s">
        <v>2573</v>
      </c>
      <c r="W42" s="1" t="s">
        <v>596</v>
      </c>
      <c r="X42" s="1" t="s">
        <v>167</v>
      </c>
      <c r="Y42" s="1" t="s">
        <v>2779</v>
      </c>
      <c r="Z42" s="1">
        <v>1</v>
      </c>
      <c r="AA42" s="1"/>
      <c r="AB42" s="1">
        <v>209</v>
      </c>
      <c r="AC42" s="1">
        <v>40</v>
      </c>
      <c r="AD42" s="1">
        <v>104</v>
      </c>
      <c r="AE42" s="1">
        <v>0.71</v>
      </c>
      <c r="AF42" s="1">
        <v>40</v>
      </c>
      <c r="AG42" s="1">
        <v>18</v>
      </c>
      <c r="AH42" s="1" t="s">
        <v>731</v>
      </c>
      <c r="AI42" s="1" t="s">
        <v>2575</v>
      </c>
      <c r="AJ42" s="1" t="s">
        <v>160</v>
      </c>
      <c r="AK42" s="1"/>
      <c r="AL42" s="1"/>
      <c r="AM42" s="13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4"/>
      <c r="AY42" s="1"/>
      <c r="AZ42" s="1"/>
      <c r="BA42" s="1"/>
      <c r="BB42" s="1"/>
      <c r="BC42" s="17" t="s">
        <v>255</v>
      </c>
      <c r="BD42" s="17" t="s">
        <v>599</v>
      </c>
      <c r="BE42" t="s">
        <v>1262</v>
      </c>
      <c r="BF42" t="s">
        <v>2780</v>
      </c>
    </row>
    <row r="43" spans="1:58" ht="22" customHeight="1">
      <c r="A43" s="1" t="s">
        <v>217</v>
      </c>
      <c r="B43" s="1" t="s">
        <v>600</v>
      </c>
      <c r="C43" s="1" t="s">
        <v>2749</v>
      </c>
      <c r="D43" s="1" t="s">
        <v>2566</v>
      </c>
      <c r="E43" s="1" t="s">
        <v>2781</v>
      </c>
      <c r="F43" s="1" t="s">
        <v>2782</v>
      </c>
      <c r="G43" s="1" t="s">
        <v>2569</v>
      </c>
      <c r="H43" s="1">
        <v>7.9</v>
      </c>
      <c r="I43" s="1" t="s">
        <v>1003</v>
      </c>
      <c r="J43" s="1">
        <v>30.986000000000001</v>
      </c>
      <c r="K43" s="1">
        <v>103.364</v>
      </c>
      <c r="L43" s="1">
        <v>10.039999999999999</v>
      </c>
      <c r="M43" s="1" t="s">
        <v>734</v>
      </c>
      <c r="N43" s="1" t="s">
        <v>2571</v>
      </c>
      <c r="O43" s="1">
        <v>230</v>
      </c>
      <c r="P43" s="1">
        <v>50</v>
      </c>
      <c r="Q43" s="1">
        <v>138</v>
      </c>
      <c r="R43" s="1"/>
      <c r="S43" s="1"/>
      <c r="T43" s="1"/>
      <c r="U43" s="1" t="s">
        <v>2572</v>
      </c>
      <c r="V43" s="1" t="s">
        <v>2573</v>
      </c>
      <c r="W43" s="1" t="s">
        <v>218</v>
      </c>
      <c r="X43" s="1" t="s">
        <v>167</v>
      </c>
      <c r="Y43" s="1" t="s">
        <v>2783</v>
      </c>
      <c r="Z43" s="1">
        <v>1</v>
      </c>
      <c r="AA43" s="1"/>
      <c r="AB43" s="1">
        <v>230</v>
      </c>
      <c r="AC43" s="1">
        <v>50</v>
      </c>
      <c r="AD43" s="1">
        <v>138</v>
      </c>
      <c r="AE43" s="1">
        <v>0</v>
      </c>
      <c r="AF43" s="1">
        <v>300</v>
      </c>
      <c r="AG43" s="1">
        <v>42.5</v>
      </c>
      <c r="AH43" s="1" t="s">
        <v>862</v>
      </c>
      <c r="AI43" s="1" t="s">
        <v>2575</v>
      </c>
      <c r="AJ43" s="1" t="s">
        <v>160</v>
      </c>
      <c r="AK43" s="1">
        <v>3</v>
      </c>
      <c r="AL43" s="1">
        <v>7.88</v>
      </c>
      <c r="AM43" s="13">
        <v>8.7998006000000002E+20</v>
      </c>
      <c r="AN43" s="1">
        <v>10.6006</v>
      </c>
      <c r="AO43" s="1">
        <v>15220.939999999997</v>
      </c>
      <c r="AP43" s="1">
        <v>7.03</v>
      </c>
      <c r="AQ43" s="1">
        <v>2.68</v>
      </c>
      <c r="AR43" s="1">
        <v>30.986000000000001</v>
      </c>
      <c r="AS43" s="1">
        <v>103.364</v>
      </c>
      <c r="AT43" s="1">
        <v>14</v>
      </c>
      <c r="AU43" s="1" t="s">
        <v>2713</v>
      </c>
      <c r="AV43" s="1" t="s">
        <v>218</v>
      </c>
      <c r="AW43" s="1"/>
      <c r="AX43" s="14">
        <v>43390.520577199073</v>
      </c>
      <c r="AY43" s="1" t="s">
        <v>969</v>
      </c>
      <c r="AZ43" s="1" t="s">
        <v>219</v>
      </c>
      <c r="BA43" s="1" t="s">
        <v>2784</v>
      </c>
      <c r="BB43" s="1" t="s">
        <v>2785</v>
      </c>
      <c r="BC43" s="17" t="s">
        <v>255</v>
      </c>
      <c r="BD43" s="17" t="s">
        <v>602</v>
      </c>
      <c r="BE43" t="s">
        <v>1262</v>
      </c>
      <c r="BF43" t="s">
        <v>2786</v>
      </c>
    </row>
    <row r="44" spans="1:58" ht="22" customHeight="1">
      <c r="A44" s="1" t="s">
        <v>608</v>
      </c>
      <c r="B44" s="1" t="s">
        <v>609</v>
      </c>
      <c r="C44" s="1" t="s">
        <v>2654</v>
      </c>
      <c r="D44" s="1" t="s">
        <v>2566</v>
      </c>
      <c r="E44" s="1" t="s">
        <v>2787</v>
      </c>
      <c r="F44" s="1" t="s">
        <v>2788</v>
      </c>
      <c r="G44" s="1" t="s">
        <v>2569</v>
      </c>
      <c r="H44" s="1">
        <v>6.3</v>
      </c>
      <c r="I44" s="1" t="s">
        <v>1003</v>
      </c>
      <c r="J44" s="1">
        <v>42.3476</v>
      </c>
      <c r="K44" s="1">
        <v>13.38</v>
      </c>
      <c r="L44" s="1">
        <v>9.27</v>
      </c>
      <c r="M44" s="1" t="s">
        <v>760</v>
      </c>
      <c r="N44" s="1" t="s">
        <v>2571</v>
      </c>
      <c r="O44" s="1">
        <v>139</v>
      </c>
      <c r="P44" s="1">
        <v>48</v>
      </c>
      <c r="Q44" s="1">
        <v>-98</v>
      </c>
      <c r="R44" s="1"/>
      <c r="S44" s="1"/>
      <c r="T44" s="1"/>
      <c r="U44" s="1" t="s">
        <v>2572</v>
      </c>
      <c r="V44" s="1" t="s">
        <v>2573</v>
      </c>
      <c r="W44" s="1" t="s">
        <v>610</v>
      </c>
      <c r="X44" s="1" t="s">
        <v>167</v>
      </c>
      <c r="Y44" s="1" t="s">
        <v>2789</v>
      </c>
      <c r="Z44" s="1">
        <v>1</v>
      </c>
      <c r="AA44" s="1"/>
      <c r="AB44" s="1">
        <v>139</v>
      </c>
      <c r="AC44" s="1">
        <v>48</v>
      </c>
      <c r="AD44" s="1">
        <v>-98</v>
      </c>
      <c r="AE44" s="1">
        <v>0.8</v>
      </c>
      <c r="AF44" s="1">
        <v>20</v>
      </c>
      <c r="AG44" s="1">
        <v>16</v>
      </c>
      <c r="AH44" s="1" t="s">
        <v>731</v>
      </c>
      <c r="AI44" s="1" t="s">
        <v>2575</v>
      </c>
      <c r="AJ44" s="1" t="s">
        <v>160</v>
      </c>
      <c r="AK44" s="1"/>
      <c r="AL44" s="1"/>
      <c r="AM44" s="13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4"/>
      <c r="AY44" s="1"/>
      <c r="AZ44" s="1"/>
      <c r="BA44" s="1"/>
      <c r="BB44" s="1"/>
      <c r="BC44" s="17" t="s">
        <v>255</v>
      </c>
      <c r="BD44" s="17" t="s">
        <v>614</v>
      </c>
      <c r="BE44" t="s">
        <v>1262</v>
      </c>
      <c r="BF44" t="s">
        <v>2790</v>
      </c>
    </row>
    <row r="45" spans="1:58" ht="22" customHeight="1">
      <c r="A45" s="1" t="s">
        <v>620</v>
      </c>
      <c r="B45" s="1" t="s">
        <v>621</v>
      </c>
      <c r="C45" s="1" t="s">
        <v>2791</v>
      </c>
      <c r="D45" s="1" t="s">
        <v>2566</v>
      </c>
      <c r="E45" s="1" t="s">
        <v>2792</v>
      </c>
      <c r="F45" s="1" t="s">
        <v>2793</v>
      </c>
      <c r="G45" s="1" t="s">
        <v>2794</v>
      </c>
      <c r="H45" s="1">
        <v>7</v>
      </c>
      <c r="I45" s="1" t="s">
        <v>1003</v>
      </c>
      <c r="J45" s="1">
        <v>-43.615000000000002</v>
      </c>
      <c r="K45" s="1">
        <v>172.04900000000001</v>
      </c>
      <c r="L45" s="1">
        <v>10.9</v>
      </c>
      <c r="M45" s="1" t="s">
        <v>730</v>
      </c>
      <c r="N45" s="1" t="s">
        <v>2571</v>
      </c>
      <c r="O45" s="1">
        <v>85.1</v>
      </c>
      <c r="P45" s="1">
        <v>82.2</v>
      </c>
      <c r="Q45" s="1">
        <v>180</v>
      </c>
      <c r="R45" s="1"/>
      <c r="S45" s="1"/>
      <c r="T45" s="1"/>
      <c r="U45" s="1" t="s">
        <v>2572</v>
      </c>
      <c r="V45" s="1" t="s">
        <v>2573</v>
      </c>
      <c r="W45" s="1" t="s">
        <v>622</v>
      </c>
      <c r="X45" s="1" t="s">
        <v>167</v>
      </c>
      <c r="Y45" s="1" t="s">
        <v>2795</v>
      </c>
      <c r="Z45" s="1">
        <v>1</v>
      </c>
      <c r="AA45" s="1"/>
      <c r="AB45" s="1">
        <v>85.1</v>
      </c>
      <c r="AC45" s="1">
        <v>82.2</v>
      </c>
      <c r="AD45" s="1">
        <v>180</v>
      </c>
      <c r="AE45" s="1">
        <v>0</v>
      </c>
      <c r="AF45" s="1">
        <v>52.5</v>
      </c>
      <c r="AG45" s="1">
        <v>24</v>
      </c>
      <c r="AH45" s="1" t="s">
        <v>731</v>
      </c>
      <c r="AI45" s="1" t="s">
        <v>2575</v>
      </c>
      <c r="AJ45" s="1" t="s">
        <v>160</v>
      </c>
      <c r="AK45" s="1"/>
      <c r="AL45" s="1"/>
      <c r="AM45" s="13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4"/>
      <c r="AY45" s="1"/>
      <c r="AZ45" s="1"/>
      <c r="BA45" s="1"/>
      <c r="BB45" s="1"/>
      <c r="BC45" s="17" t="s">
        <v>2796</v>
      </c>
      <c r="BD45" s="17" t="s">
        <v>1357</v>
      </c>
      <c r="BE45" t="s">
        <v>1262</v>
      </c>
      <c r="BF45" t="s">
        <v>2797</v>
      </c>
    </row>
    <row r="46" spans="1:58" ht="22" customHeight="1">
      <c r="A46" s="1" t="s">
        <v>626</v>
      </c>
      <c r="B46" s="1" t="s">
        <v>627</v>
      </c>
      <c r="C46" s="1" t="s">
        <v>2798</v>
      </c>
      <c r="D46" s="1" t="s">
        <v>2566</v>
      </c>
      <c r="E46" s="1" t="s">
        <v>2799</v>
      </c>
      <c r="F46" s="1" t="s">
        <v>2800</v>
      </c>
      <c r="G46" s="1" t="s">
        <v>2569</v>
      </c>
      <c r="H46" s="1">
        <v>7.2</v>
      </c>
      <c r="I46" s="1" t="s">
        <v>1003</v>
      </c>
      <c r="J46" s="1">
        <v>32.299999999999997</v>
      </c>
      <c r="K46" s="1">
        <v>-115.267</v>
      </c>
      <c r="L46" s="1">
        <v>5.45</v>
      </c>
      <c r="M46" s="1" t="s">
        <v>730</v>
      </c>
      <c r="N46" s="1" t="s">
        <v>2571</v>
      </c>
      <c r="O46" s="1">
        <v>236</v>
      </c>
      <c r="P46" s="1">
        <v>63</v>
      </c>
      <c r="Q46" s="1">
        <v>-164</v>
      </c>
      <c r="R46" s="1"/>
      <c r="S46" s="1"/>
      <c r="T46" s="1"/>
      <c r="U46" s="1" t="s">
        <v>2572</v>
      </c>
      <c r="V46" s="1" t="s">
        <v>2573</v>
      </c>
      <c r="W46" s="1" t="s">
        <v>628</v>
      </c>
      <c r="X46" s="1" t="s">
        <v>167</v>
      </c>
      <c r="Y46" s="1" t="s">
        <v>2801</v>
      </c>
      <c r="Z46" s="1">
        <v>1</v>
      </c>
      <c r="AA46" s="1"/>
      <c r="AB46" s="1">
        <v>236</v>
      </c>
      <c r="AC46" s="1">
        <v>63</v>
      </c>
      <c r="AD46" s="1">
        <v>-164</v>
      </c>
      <c r="AE46" s="1">
        <v>0.5</v>
      </c>
      <c r="AF46" s="1">
        <v>125</v>
      </c>
      <c r="AG46" s="1">
        <v>14.4</v>
      </c>
      <c r="AH46" s="1" t="s">
        <v>731</v>
      </c>
      <c r="AI46" s="1" t="s">
        <v>2575</v>
      </c>
      <c r="AJ46" s="1" t="s">
        <v>160</v>
      </c>
      <c r="AK46" s="1"/>
      <c r="AL46" s="1"/>
      <c r="AM46" s="13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4"/>
      <c r="AY46" s="1"/>
      <c r="AZ46" s="1"/>
      <c r="BA46" s="1"/>
      <c r="BB46" s="1"/>
      <c r="BC46" s="17" t="s">
        <v>255</v>
      </c>
      <c r="BD46" s="17" t="s">
        <v>632</v>
      </c>
      <c r="BE46" t="s">
        <v>1262</v>
      </c>
      <c r="BF46" t="s">
        <v>2802</v>
      </c>
    </row>
    <row r="47" spans="1:58" ht="22" customHeight="1">
      <c r="A47" s="1" t="s">
        <v>638</v>
      </c>
      <c r="B47" s="1" t="s">
        <v>639</v>
      </c>
      <c r="C47" s="1" t="s">
        <v>2803</v>
      </c>
      <c r="D47" s="1" t="s">
        <v>2566</v>
      </c>
      <c r="E47" s="1" t="s">
        <v>2804</v>
      </c>
      <c r="F47" s="1" t="s">
        <v>2805</v>
      </c>
      <c r="G47" s="1" t="s">
        <v>2569</v>
      </c>
      <c r="H47" s="1">
        <v>6.2</v>
      </c>
      <c r="I47" s="1" t="s">
        <v>1003</v>
      </c>
      <c r="J47" s="1">
        <v>-43.570999999999998</v>
      </c>
      <c r="K47" s="1">
        <v>172.703</v>
      </c>
      <c r="L47" s="1">
        <v>6</v>
      </c>
      <c r="M47" s="1" t="s">
        <v>734</v>
      </c>
      <c r="N47" s="1" t="s">
        <v>2571</v>
      </c>
      <c r="O47" s="1">
        <v>59</v>
      </c>
      <c r="P47" s="1">
        <v>67</v>
      </c>
      <c r="Q47" s="1">
        <v>135</v>
      </c>
      <c r="R47" s="1"/>
      <c r="S47" s="1"/>
      <c r="T47" s="1"/>
      <c r="U47" s="1" t="s">
        <v>2572</v>
      </c>
      <c r="V47" s="1" t="s">
        <v>2573</v>
      </c>
      <c r="W47" s="1" t="s">
        <v>640</v>
      </c>
      <c r="X47" s="1" t="s">
        <v>167</v>
      </c>
      <c r="Y47" s="1" t="s">
        <v>2806</v>
      </c>
      <c r="Z47" s="1">
        <v>1</v>
      </c>
      <c r="AA47" s="1"/>
      <c r="AB47" s="1">
        <v>59</v>
      </c>
      <c r="AC47" s="1">
        <v>67</v>
      </c>
      <c r="AD47" s="1">
        <v>135</v>
      </c>
      <c r="AE47" s="1">
        <v>0.5</v>
      </c>
      <c r="AF47" s="1">
        <v>7</v>
      </c>
      <c r="AG47" s="1">
        <v>10</v>
      </c>
      <c r="AH47" s="1" t="s">
        <v>731</v>
      </c>
      <c r="AI47" s="1" t="s">
        <v>2575</v>
      </c>
      <c r="AJ47" s="1" t="s">
        <v>160</v>
      </c>
      <c r="AK47" s="1"/>
      <c r="AL47" s="1"/>
      <c r="AM47" s="13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4"/>
      <c r="AY47" s="1"/>
      <c r="AZ47" s="1"/>
      <c r="BA47" s="1"/>
      <c r="BB47" s="1"/>
      <c r="BC47" s="17" t="s">
        <v>255</v>
      </c>
      <c r="BD47" s="17" t="s">
        <v>645</v>
      </c>
      <c r="BE47" t="s">
        <v>1262</v>
      </c>
      <c r="BF47" t="s">
        <v>2807</v>
      </c>
    </row>
    <row r="48" spans="1:58" ht="22" customHeight="1">
      <c r="A48" s="1" t="s">
        <v>262</v>
      </c>
      <c r="B48" s="1" t="s">
        <v>263</v>
      </c>
      <c r="C48" s="1" t="s">
        <v>2577</v>
      </c>
      <c r="D48" s="1" t="s">
        <v>2808</v>
      </c>
      <c r="E48" s="1" t="s">
        <v>2578</v>
      </c>
      <c r="F48" s="1" t="s">
        <v>2579</v>
      </c>
      <c r="G48" s="1" t="s">
        <v>2569</v>
      </c>
      <c r="H48" s="1">
        <v>6.6</v>
      </c>
      <c r="I48" s="1" t="s">
        <v>1003</v>
      </c>
      <c r="J48" s="1">
        <v>34.44</v>
      </c>
      <c r="K48" s="1">
        <v>-118.41</v>
      </c>
      <c r="L48" s="1">
        <v>13</v>
      </c>
      <c r="M48" s="1" t="s">
        <v>1028</v>
      </c>
      <c r="N48" s="1" t="s">
        <v>2809</v>
      </c>
      <c r="O48" s="1">
        <v>288</v>
      </c>
      <c r="P48" s="1">
        <v>50</v>
      </c>
      <c r="Q48" s="1">
        <v>83</v>
      </c>
      <c r="R48" s="1"/>
      <c r="S48" s="1"/>
      <c r="T48" s="1"/>
      <c r="U48" s="1" t="s">
        <v>2810</v>
      </c>
      <c r="V48" s="1" t="s">
        <v>2811</v>
      </c>
      <c r="W48" s="1" t="s">
        <v>264</v>
      </c>
      <c r="X48" s="1" t="s">
        <v>2812</v>
      </c>
      <c r="Y48" s="1" t="s">
        <v>2580</v>
      </c>
      <c r="Z48" s="1">
        <v>1</v>
      </c>
      <c r="AA48" s="1" t="s">
        <v>2581</v>
      </c>
      <c r="AB48" s="1">
        <v>288</v>
      </c>
      <c r="AC48" s="1">
        <v>50</v>
      </c>
      <c r="AD48" s="1">
        <v>83</v>
      </c>
      <c r="AE48" s="1">
        <v>0</v>
      </c>
      <c r="AF48" s="1">
        <v>20</v>
      </c>
      <c r="AG48" s="1">
        <v>27.4</v>
      </c>
      <c r="AH48" s="1" t="s">
        <v>731</v>
      </c>
      <c r="AI48" s="1" t="s">
        <v>2813</v>
      </c>
      <c r="AJ48" s="1" t="s">
        <v>160</v>
      </c>
      <c r="AK48" s="1"/>
      <c r="AL48" s="1"/>
      <c r="AM48" s="13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4"/>
      <c r="AY48" s="1"/>
      <c r="AZ48" s="1"/>
      <c r="BA48" s="1"/>
      <c r="BB48" s="1"/>
      <c r="BC48" s="17" t="s">
        <v>255</v>
      </c>
      <c r="BD48" s="17" t="s">
        <v>268</v>
      </c>
      <c r="BE48" t="s">
        <v>1263</v>
      </c>
      <c r="BF48" t="s">
        <v>2814</v>
      </c>
    </row>
    <row r="49" spans="1:58" ht="22" customHeight="1">
      <c r="A49" s="1" t="s">
        <v>269</v>
      </c>
      <c r="B49" s="1" t="s">
        <v>270</v>
      </c>
      <c r="C49" s="1" t="s">
        <v>2583</v>
      </c>
      <c r="D49" s="1" t="s">
        <v>2808</v>
      </c>
      <c r="E49" s="1" t="s">
        <v>2584</v>
      </c>
      <c r="F49" s="1" t="s">
        <v>2585</v>
      </c>
      <c r="G49" s="1" t="s">
        <v>2569</v>
      </c>
      <c r="H49" s="1">
        <v>7.4</v>
      </c>
      <c r="I49" s="1" t="s">
        <v>1003</v>
      </c>
      <c r="J49" s="1">
        <v>33.215000000000003</v>
      </c>
      <c r="K49" s="1">
        <v>57.323</v>
      </c>
      <c r="L49" s="1">
        <v>5.75</v>
      </c>
      <c r="M49" s="1" t="s">
        <v>1028</v>
      </c>
      <c r="N49" s="1" t="s">
        <v>2809</v>
      </c>
      <c r="O49" s="1">
        <v>330</v>
      </c>
      <c r="P49" s="1">
        <v>25</v>
      </c>
      <c r="Q49" s="1">
        <v>110</v>
      </c>
      <c r="R49" s="1"/>
      <c r="S49" s="1"/>
      <c r="T49" s="1"/>
      <c r="U49" s="1" t="s">
        <v>2810</v>
      </c>
      <c r="V49" s="1" t="s">
        <v>2811</v>
      </c>
      <c r="W49" s="1" t="s">
        <v>271</v>
      </c>
      <c r="X49" s="1" t="s">
        <v>2812</v>
      </c>
      <c r="Y49" s="1" t="s">
        <v>2586</v>
      </c>
      <c r="Z49" s="1">
        <v>1</v>
      </c>
      <c r="AA49" s="1"/>
      <c r="AB49" s="1">
        <v>330</v>
      </c>
      <c r="AC49" s="1">
        <v>25</v>
      </c>
      <c r="AD49" s="1">
        <v>110</v>
      </c>
      <c r="AE49" s="1">
        <v>1</v>
      </c>
      <c r="AF49" s="1">
        <v>90</v>
      </c>
      <c r="AG49" s="1">
        <v>35</v>
      </c>
      <c r="AH49" s="1" t="s">
        <v>731</v>
      </c>
      <c r="AI49" s="1" t="s">
        <v>2813</v>
      </c>
      <c r="AJ49" s="1" t="s">
        <v>160</v>
      </c>
      <c r="AK49" s="1"/>
      <c r="AL49" s="1"/>
      <c r="AM49" s="13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4"/>
      <c r="AY49" s="1"/>
      <c r="AZ49" s="1"/>
      <c r="BA49" s="1"/>
      <c r="BB49" s="1"/>
      <c r="BC49" s="17" t="s">
        <v>255</v>
      </c>
      <c r="BD49" s="17" t="s">
        <v>276</v>
      </c>
      <c r="BE49" t="s">
        <v>1263</v>
      </c>
      <c r="BF49" t="s">
        <v>2815</v>
      </c>
    </row>
    <row r="50" spans="1:58" ht="22" customHeight="1">
      <c r="A50" s="1" t="s">
        <v>277</v>
      </c>
      <c r="B50" s="1" t="s">
        <v>278</v>
      </c>
      <c r="C50" s="1" t="s">
        <v>2593</v>
      </c>
      <c r="D50" s="1" t="s">
        <v>2808</v>
      </c>
      <c r="E50" s="1" t="s">
        <v>2594</v>
      </c>
      <c r="F50" s="1" t="s">
        <v>2595</v>
      </c>
      <c r="G50" s="1" t="s">
        <v>2569</v>
      </c>
      <c r="H50" s="1">
        <v>5.7</v>
      </c>
      <c r="I50" s="1" t="s">
        <v>1003</v>
      </c>
      <c r="J50" s="1">
        <v>37.064999999999998</v>
      </c>
      <c r="K50" s="1">
        <v>-121.49</v>
      </c>
      <c r="L50" s="1">
        <v>8</v>
      </c>
      <c r="M50" s="1" t="s">
        <v>1032</v>
      </c>
      <c r="N50" s="1" t="s">
        <v>2809</v>
      </c>
      <c r="O50" s="1">
        <v>336</v>
      </c>
      <c r="P50" s="1">
        <v>80</v>
      </c>
      <c r="Q50" s="1">
        <v>176</v>
      </c>
      <c r="R50" s="1"/>
      <c r="S50" s="1"/>
      <c r="T50" s="1"/>
      <c r="U50" s="1" t="s">
        <v>2810</v>
      </c>
      <c r="V50" s="1" t="s">
        <v>2811</v>
      </c>
      <c r="W50" s="1" t="s">
        <v>279</v>
      </c>
      <c r="X50" s="1" t="s">
        <v>2812</v>
      </c>
      <c r="Y50" s="1" t="s">
        <v>2596</v>
      </c>
      <c r="Z50" s="1">
        <v>1</v>
      </c>
      <c r="AA50" s="1" t="s">
        <v>2597</v>
      </c>
      <c r="AB50" s="1">
        <v>336</v>
      </c>
      <c r="AC50" s="1">
        <v>80</v>
      </c>
      <c r="AD50" s="1">
        <v>176</v>
      </c>
      <c r="AE50" s="1">
        <v>3.08</v>
      </c>
      <c r="AF50" s="1">
        <v>6.6</v>
      </c>
      <c r="AG50" s="1">
        <v>7</v>
      </c>
      <c r="AH50" s="1" t="s">
        <v>731</v>
      </c>
      <c r="AI50" s="1" t="s">
        <v>2813</v>
      </c>
      <c r="AJ50" s="1" t="s">
        <v>160</v>
      </c>
      <c r="AK50" s="1"/>
      <c r="AL50" s="1"/>
      <c r="AM50" s="13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4"/>
      <c r="AY50" s="1"/>
      <c r="AZ50" s="1"/>
      <c r="BA50" s="1"/>
      <c r="BB50" s="1"/>
      <c r="BC50" s="17" t="s">
        <v>255</v>
      </c>
      <c r="BD50" s="17" t="s">
        <v>284</v>
      </c>
      <c r="BE50" t="s">
        <v>1263</v>
      </c>
      <c r="BF50" t="s">
        <v>2816</v>
      </c>
    </row>
    <row r="51" spans="1:58" ht="22" customHeight="1">
      <c r="A51" s="1" t="s">
        <v>285</v>
      </c>
      <c r="B51" s="1" t="s">
        <v>286</v>
      </c>
      <c r="C51" s="1" t="s">
        <v>2565</v>
      </c>
      <c r="D51" s="1" t="s">
        <v>2808</v>
      </c>
      <c r="E51" s="1" t="s">
        <v>2599</v>
      </c>
      <c r="F51" s="1" t="s">
        <v>2600</v>
      </c>
      <c r="G51" s="1" t="s">
        <v>2569</v>
      </c>
      <c r="H51" s="1">
        <v>6.5</v>
      </c>
      <c r="I51" s="1" t="s">
        <v>1003</v>
      </c>
      <c r="J51" s="1">
        <v>32.643999999999998</v>
      </c>
      <c r="K51" s="1">
        <v>-115.307</v>
      </c>
      <c r="L51" s="1">
        <v>9.9600000000000009</v>
      </c>
      <c r="M51" s="1" t="s">
        <v>1032</v>
      </c>
      <c r="N51" s="1" t="s">
        <v>2809</v>
      </c>
      <c r="O51" s="1">
        <v>323</v>
      </c>
      <c r="P51" s="1">
        <v>80</v>
      </c>
      <c r="Q51" s="1">
        <v>180</v>
      </c>
      <c r="R51" s="1"/>
      <c r="S51" s="1"/>
      <c r="T51" s="1"/>
      <c r="U51" s="1" t="s">
        <v>2810</v>
      </c>
      <c r="V51" s="1" t="s">
        <v>2811</v>
      </c>
      <c r="W51" s="1" t="s">
        <v>287</v>
      </c>
      <c r="X51" s="1" t="s">
        <v>2812</v>
      </c>
      <c r="Y51" s="1" t="s">
        <v>2601</v>
      </c>
      <c r="Z51" s="1">
        <v>1</v>
      </c>
      <c r="AA51" s="1" t="s">
        <v>2602</v>
      </c>
      <c r="AB51" s="1">
        <v>323</v>
      </c>
      <c r="AC51" s="1">
        <v>80</v>
      </c>
      <c r="AD51" s="1">
        <v>180</v>
      </c>
      <c r="AE51" s="1">
        <v>0</v>
      </c>
      <c r="AF51" s="1">
        <v>50</v>
      </c>
      <c r="AG51" s="1">
        <v>13</v>
      </c>
      <c r="AH51" s="1" t="s">
        <v>731</v>
      </c>
      <c r="AI51" s="1" t="s">
        <v>2813</v>
      </c>
      <c r="AJ51" s="1" t="s">
        <v>160</v>
      </c>
      <c r="AK51" s="1"/>
      <c r="AL51" s="1"/>
      <c r="AM51" s="13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4"/>
      <c r="AY51" s="1"/>
      <c r="AZ51" s="1"/>
      <c r="BA51" s="1"/>
      <c r="BB51" s="1"/>
      <c r="BC51" s="17" t="s">
        <v>255</v>
      </c>
      <c r="BD51" s="17" t="s">
        <v>291</v>
      </c>
      <c r="BE51" t="s">
        <v>1263</v>
      </c>
      <c r="BF51" t="s">
        <v>2817</v>
      </c>
    </row>
    <row r="52" spans="1:58" ht="22" customHeight="1">
      <c r="A52" s="1" t="s">
        <v>298</v>
      </c>
      <c r="B52" s="1" t="s">
        <v>299</v>
      </c>
      <c r="C52" s="1" t="s">
        <v>2588</v>
      </c>
      <c r="D52" s="1" t="s">
        <v>2808</v>
      </c>
      <c r="E52" s="1" t="s">
        <v>2589</v>
      </c>
      <c r="F52" s="1" t="s">
        <v>2590</v>
      </c>
      <c r="G52" s="1" t="s">
        <v>2569</v>
      </c>
      <c r="H52" s="1">
        <v>7.1</v>
      </c>
      <c r="I52" s="1" t="s">
        <v>1003</v>
      </c>
      <c r="J52" s="1">
        <v>42.04</v>
      </c>
      <c r="K52" s="1">
        <v>19.21</v>
      </c>
      <c r="L52" s="1">
        <v>7</v>
      </c>
      <c r="M52" s="1" t="s">
        <v>1028</v>
      </c>
      <c r="N52" s="1" t="s">
        <v>2809</v>
      </c>
      <c r="O52" s="1">
        <v>300</v>
      </c>
      <c r="P52" s="1">
        <v>14</v>
      </c>
      <c r="Q52" s="1">
        <v>88</v>
      </c>
      <c r="R52" s="1"/>
      <c r="S52" s="1"/>
      <c r="T52" s="1"/>
      <c r="U52" s="1" t="s">
        <v>2810</v>
      </c>
      <c r="V52" s="1" t="s">
        <v>2811</v>
      </c>
      <c r="W52" s="1" t="s">
        <v>300</v>
      </c>
      <c r="X52" s="1" t="s">
        <v>2812</v>
      </c>
      <c r="Y52" s="1" t="s">
        <v>2591</v>
      </c>
      <c r="Z52" s="1">
        <v>1</v>
      </c>
      <c r="AA52" s="1"/>
      <c r="AB52" s="1">
        <v>300</v>
      </c>
      <c r="AC52" s="1">
        <v>14</v>
      </c>
      <c r="AD52" s="1">
        <v>88</v>
      </c>
      <c r="AE52" s="1">
        <v>3.61</v>
      </c>
      <c r="AF52" s="1">
        <v>54</v>
      </c>
      <c r="AG52" s="1">
        <v>34</v>
      </c>
      <c r="AH52" s="1" t="s">
        <v>731</v>
      </c>
      <c r="AI52" s="1" t="s">
        <v>2813</v>
      </c>
      <c r="AJ52" s="1" t="s">
        <v>160</v>
      </c>
      <c r="AK52" s="1"/>
      <c r="AL52" s="1"/>
      <c r="AM52" s="13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4"/>
      <c r="AY52" s="1"/>
      <c r="AZ52" s="1"/>
      <c r="BA52" s="1"/>
      <c r="BB52" s="1"/>
      <c r="BC52" s="17" t="s">
        <v>255</v>
      </c>
      <c r="BD52" s="17" t="s">
        <v>304</v>
      </c>
      <c r="BE52" t="s">
        <v>1263</v>
      </c>
      <c r="BF52" t="s">
        <v>2818</v>
      </c>
    </row>
    <row r="53" spans="1:58" ht="22" customHeight="1">
      <c r="A53" s="1" t="s">
        <v>305</v>
      </c>
      <c r="B53" s="1" t="s">
        <v>306</v>
      </c>
      <c r="C53" s="1" t="s">
        <v>2608</v>
      </c>
      <c r="D53" s="1" t="s">
        <v>2808</v>
      </c>
      <c r="E53" s="1" t="s">
        <v>2609</v>
      </c>
      <c r="F53" s="1" t="s">
        <v>2610</v>
      </c>
      <c r="G53" s="1" t="s">
        <v>2569</v>
      </c>
      <c r="H53" s="1">
        <v>6.9</v>
      </c>
      <c r="I53" s="1" t="s">
        <v>1003</v>
      </c>
      <c r="J53" s="1">
        <v>40.805900000000001</v>
      </c>
      <c r="K53" s="1">
        <v>15.337199999999999</v>
      </c>
      <c r="L53" s="1">
        <v>9.5</v>
      </c>
      <c r="M53" s="1" t="s">
        <v>1047</v>
      </c>
      <c r="N53" s="1" t="s">
        <v>2809</v>
      </c>
      <c r="O53" s="1">
        <v>312.8</v>
      </c>
      <c r="P53" s="1">
        <v>60</v>
      </c>
      <c r="Q53" s="1">
        <v>-90</v>
      </c>
      <c r="R53" s="1"/>
      <c r="S53" s="1"/>
      <c r="T53" s="1"/>
      <c r="U53" s="1" t="s">
        <v>2810</v>
      </c>
      <c r="V53" s="1" t="s">
        <v>2811</v>
      </c>
      <c r="W53" s="1" t="s">
        <v>307</v>
      </c>
      <c r="X53" s="1" t="s">
        <v>2812</v>
      </c>
      <c r="Y53" s="1" t="s">
        <v>2611</v>
      </c>
      <c r="Z53" s="1">
        <v>1</v>
      </c>
      <c r="AA53" s="1"/>
      <c r="AB53" s="1">
        <v>312.8</v>
      </c>
      <c r="AC53" s="1">
        <v>60</v>
      </c>
      <c r="AD53" s="1">
        <v>-90</v>
      </c>
      <c r="AE53" s="1">
        <v>0</v>
      </c>
      <c r="AF53" s="1">
        <v>47</v>
      </c>
      <c r="AG53" s="1">
        <v>15</v>
      </c>
      <c r="AH53" s="1" t="s">
        <v>731</v>
      </c>
      <c r="AI53" s="1" t="s">
        <v>2813</v>
      </c>
      <c r="AJ53" s="1" t="s">
        <v>160</v>
      </c>
      <c r="AK53" s="1"/>
      <c r="AL53" s="1"/>
      <c r="AM53" s="13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4"/>
      <c r="AY53" s="1"/>
      <c r="AZ53" s="1"/>
      <c r="BA53" s="1"/>
      <c r="BB53" s="1"/>
      <c r="BC53" s="17" t="s">
        <v>255</v>
      </c>
      <c r="BD53" s="17" t="s">
        <v>311</v>
      </c>
      <c r="BE53" t="s">
        <v>1263</v>
      </c>
      <c r="BF53" t="s">
        <v>2819</v>
      </c>
    </row>
    <row r="54" spans="1:58" ht="22" customHeight="1">
      <c r="A54" s="1" t="s">
        <v>318</v>
      </c>
      <c r="B54" s="1" t="s">
        <v>319</v>
      </c>
      <c r="C54" s="1" t="s">
        <v>2613</v>
      </c>
      <c r="D54" s="1" t="s">
        <v>2808</v>
      </c>
      <c r="E54" s="1" t="s">
        <v>2618</v>
      </c>
      <c r="F54" s="1" t="s">
        <v>2619</v>
      </c>
      <c r="G54" s="1" t="s">
        <v>2569</v>
      </c>
      <c r="H54" s="1">
        <v>5.9</v>
      </c>
      <c r="I54" s="1" t="s">
        <v>1003</v>
      </c>
      <c r="J54" s="1">
        <v>33.1</v>
      </c>
      <c r="K54" s="1">
        <v>-115.62</v>
      </c>
      <c r="L54" s="1">
        <v>2.2999999999999998</v>
      </c>
      <c r="M54" s="1" t="s">
        <v>1032</v>
      </c>
      <c r="N54" s="1" t="s">
        <v>2809</v>
      </c>
      <c r="O54" s="1">
        <v>64</v>
      </c>
      <c r="P54" s="1">
        <v>90</v>
      </c>
      <c r="Q54" s="1">
        <v>0</v>
      </c>
      <c r="R54" s="1"/>
      <c r="S54" s="1"/>
      <c r="T54" s="1"/>
      <c r="U54" s="1" t="s">
        <v>2810</v>
      </c>
      <c r="V54" s="1" t="s">
        <v>2811</v>
      </c>
      <c r="W54" s="1" t="s">
        <v>320</v>
      </c>
      <c r="X54" s="1" t="s">
        <v>2812</v>
      </c>
      <c r="Y54" s="1" t="s">
        <v>2620</v>
      </c>
      <c r="Z54" s="1">
        <v>1</v>
      </c>
      <c r="AA54" s="1"/>
      <c r="AB54" s="1">
        <v>64</v>
      </c>
      <c r="AC54" s="1">
        <v>90</v>
      </c>
      <c r="AD54" s="1">
        <v>0</v>
      </c>
      <c r="AE54" s="1">
        <v>2</v>
      </c>
      <c r="AF54" s="1">
        <v>10</v>
      </c>
      <c r="AG54" s="1">
        <v>7</v>
      </c>
      <c r="AH54" s="1" t="s">
        <v>731</v>
      </c>
      <c r="AI54" s="1" t="s">
        <v>2813</v>
      </c>
      <c r="AJ54" s="1" t="s">
        <v>160</v>
      </c>
      <c r="AK54" s="1"/>
      <c r="AL54" s="1"/>
      <c r="AM54" s="13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4"/>
      <c r="AY54" s="1"/>
      <c r="AZ54" s="1"/>
      <c r="BA54" s="1"/>
      <c r="BB54" s="1"/>
      <c r="BC54" s="17" t="s">
        <v>255</v>
      </c>
      <c r="BD54" s="17" t="s">
        <v>324</v>
      </c>
      <c r="BE54" t="s">
        <v>1263</v>
      </c>
      <c r="BF54" t="s">
        <v>2820</v>
      </c>
    </row>
    <row r="55" spans="1:58" ht="22" customHeight="1">
      <c r="A55" s="1" t="s">
        <v>345</v>
      </c>
      <c r="B55" s="1" t="s">
        <v>346</v>
      </c>
      <c r="C55" s="1" t="s">
        <v>2637</v>
      </c>
      <c r="D55" s="1" t="s">
        <v>2808</v>
      </c>
      <c r="E55" s="1" t="s">
        <v>2638</v>
      </c>
      <c r="F55" s="1" t="s">
        <v>2639</v>
      </c>
      <c r="G55" s="1" t="s">
        <v>2569</v>
      </c>
      <c r="H55" s="1">
        <v>6.2</v>
      </c>
      <c r="I55" s="1" t="s">
        <v>1003</v>
      </c>
      <c r="J55" s="1">
        <v>37.305999999999997</v>
      </c>
      <c r="K55" s="1">
        <v>-121.69499999999999</v>
      </c>
      <c r="L55" s="1">
        <v>8.5</v>
      </c>
      <c r="M55" s="1" t="s">
        <v>1032</v>
      </c>
      <c r="N55" s="1" t="s">
        <v>2809</v>
      </c>
      <c r="O55" s="1">
        <v>148</v>
      </c>
      <c r="P55" s="1">
        <v>90</v>
      </c>
      <c r="Q55" s="1">
        <v>180</v>
      </c>
      <c r="R55" s="1"/>
      <c r="S55" s="1"/>
      <c r="T55" s="1"/>
      <c r="U55" s="1" t="s">
        <v>2810</v>
      </c>
      <c r="V55" s="1" t="s">
        <v>2811</v>
      </c>
      <c r="W55" s="1" t="s">
        <v>347</v>
      </c>
      <c r="X55" s="1" t="s">
        <v>2812</v>
      </c>
      <c r="Y55" s="1" t="s">
        <v>2640</v>
      </c>
      <c r="Z55" s="1">
        <v>1</v>
      </c>
      <c r="AA55" s="1" t="s">
        <v>2597</v>
      </c>
      <c r="AB55" s="1">
        <v>148</v>
      </c>
      <c r="AC55" s="1">
        <v>90</v>
      </c>
      <c r="AD55" s="1">
        <v>180</v>
      </c>
      <c r="AE55" s="1">
        <v>0.5</v>
      </c>
      <c r="AF55" s="1">
        <v>27</v>
      </c>
      <c r="AG55" s="1">
        <v>11.5</v>
      </c>
      <c r="AH55" s="1" t="s">
        <v>731</v>
      </c>
      <c r="AI55" s="1" t="s">
        <v>2813</v>
      </c>
      <c r="AJ55" s="1" t="s">
        <v>160</v>
      </c>
      <c r="AK55" s="1"/>
      <c r="AL55" s="1"/>
      <c r="AM55" s="13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4"/>
      <c r="AY55" s="1"/>
      <c r="AZ55" s="1"/>
      <c r="BA55" s="1"/>
      <c r="BB55" s="1"/>
      <c r="BC55" s="17" t="s">
        <v>255</v>
      </c>
      <c r="BD55" s="17" t="s">
        <v>351</v>
      </c>
      <c r="BE55" t="s">
        <v>1263</v>
      </c>
      <c r="BF55" t="s">
        <v>2821</v>
      </c>
    </row>
    <row r="56" spans="1:58" ht="22" customHeight="1">
      <c r="A56" s="1" t="s">
        <v>352</v>
      </c>
      <c r="B56" s="1" t="s">
        <v>353</v>
      </c>
      <c r="C56" s="1" t="s">
        <v>2642</v>
      </c>
      <c r="D56" s="1" t="s">
        <v>2808</v>
      </c>
      <c r="E56" s="1" t="s">
        <v>2643</v>
      </c>
      <c r="F56" s="1" t="s">
        <v>2644</v>
      </c>
      <c r="G56" s="1" t="s">
        <v>2569</v>
      </c>
      <c r="H56" s="1">
        <v>5.4</v>
      </c>
      <c r="I56" s="1" t="s">
        <v>1003</v>
      </c>
      <c r="J56" s="1">
        <v>37.1</v>
      </c>
      <c r="K56" s="1">
        <v>22.19</v>
      </c>
      <c r="L56" s="1">
        <v>5</v>
      </c>
      <c r="M56" s="1" t="s">
        <v>1047</v>
      </c>
      <c r="N56" s="1" t="s">
        <v>2809</v>
      </c>
      <c r="O56" s="1">
        <v>332.3</v>
      </c>
      <c r="P56" s="1">
        <v>55</v>
      </c>
      <c r="Q56" s="1">
        <v>-90</v>
      </c>
      <c r="R56" s="1"/>
      <c r="S56" s="1"/>
      <c r="T56" s="1"/>
      <c r="U56" s="1" t="s">
        <v>2810</v>
      </c>
      <c r="V56" s="1" t="s">
        <v>2811</v>
      </c>
      <c r="W56" s="1" t="s">
        <v>354</v>
      </c>
      <c r="X56" s="1" t="s">
        <v>2812</v>
      </c>
      <c r="Y56" s="1" t="s">
        <v>2646</v>
      </c>
      <c r="Z56" s="1">
        <v>0</v>
      </c>
      <c r="AA56" s="1"/>
      <c r="AB56" s="1">
        <v>332.3</v>
      </c>
      <c r="AC56" s="1">
        <v>55</v>
      </c>
      <c r="AD56" s="1">
        <v>-90</v>
      </c>
      <c r="AE56" s="1">
        <v>2.6030000000000002</v>
      </c>
      <c r="AF56" s="1">
        <v>6.3</v>
      </c>
      <c r="AG56" s="1">
        <v>3.9</v>
      </c>
      <c r="AH56" s="1" t="s">
        <v>731</v>
      </c>
      <c r="AI56" s="1" t="s">
        <v>2813</v>
      </c>
      <c r="AJ56" s="1" t="s">
        <v>160</v>
      </c>
      <c r="AK56" s="1"/>
      <c r="AL56" s="1"/>
      <c r="AM56" s="13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4"/>
      <c r="AY56" s="1"/>
      <c r="AZ56" s="1"/>
      <c r="BA56" s="1"/>
      <c r="BB56" s="1"/>
      <c r="BC56" s="17" t="s">
        <v>255</v>
      </c>
      <c r="BD56" s="17" t="s">
        <v>359</v>
      </c>
      <c r="BE56" t="s">
        <v>1263</v>
      </c>
      <c r="BF56" t="s">
        <v>2822</v>
      </c>
    </row>
    <row r="57" spans="1:58" ht="22" customHeight="1">
      <c r="A57" s="1" t="s">
        <v>366</v>
      </c>
      <c r="B57" s="1" t="s">
        <v>367</v>
      </c>
      <c r="C57" s="1" t="s">
        <v>2627</v>
      </c>
      <c r="D57" s="1" t="s">
        <v>2808</v>
      </c>
      <c r="E57" s="1" t="s">
        <v>2659</v>
      </c>
      <c r="F57" s="1" t="s">
        <v>2660</v>
      </c>
      <c r="G57" s="1" t="s">
        <v>2569</v>
      </c>
      <c r="H57" s="1">
        <v>5.8</v>
      </c>
      <c r="I57" s="1" t="s">
        <v>1003</v>
      </c>
      <c r="J57" s="1">
        <v>13.632999999999999</v>
      </c>
      <c r="K57" s="1">
        <v>-89.2</v>
      </c>
      <c r="L57" s="1">
        <v>10.9</v>
      </c>
      <c r="M57" s="1" t="s">
        <v>1032</v>
      </c>
      <c r="N57" s="1" t="s">
        <v>2809</v>
      </c>
      <c r="O57" s="1">
        <v>32</v>
      </c>
      <c r="P57" s="1">
        <v>85</v>
      </c>
      <c r="Q57" s="1">
        <v>0</v>
      </c>
      <c r="R57" s="1"/>
      <c r="S57" s="1"/>
      <c r="T57" s="1"/>
      <c r="U57" s="1" t="s">
        <v>2810</v>
      </c>
      <c r="V57" s="1" t="s">
        <v>2811</v>
      </c>
      <c r="W57" s="1" t="s">
        <v>368</v>
      </c>
      <c r="X57" s="1" t="s">
        <v>2812</v>
      </c>
      <c r="Y57" s="1" t="s">
        <v>2661</v>
      </c>
      <c r="Z57" s="1">
        <v>1</v>
      </c>
      <c r="AA57" s="1"/>
      <c r="AB57" s="1">
        <v>32</v>
      </c>
      <c r="AC57" s="1">
        <v>85</v>
      </c>
      <c r="AD57" s="1">
        <v>0</v>
      </c>
      <c r="AE57" s="1">
        <v>5.92</v>
      </c>
      <c r="AF57" s="1">
        <v>8</v>
      </c>
      <c r="AG57" s="1">
        <v>7</v>
      </c>
      <c r="AH57" s="1" t="s">
        <v>731</v>
      </c>
      <c r="AI57" s="1" t="s">
        <v>2813</v>
      </c>
      <c r="AJ57" s="1" t="s">
        <v>160</v>
      </c>
      <c r="AK57" s="1"/>
      <c r="AL57" s="1"/>
      <c r="AM57" s="13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4"/>
      <c r="AY57" s="1"/>
      <c r="AZ57" s="1"/>
      <c r="BA57" s="1"/>
      <c r="BB57" s="1"/>
      <c r="BC57" s="17" t="s">
        <v>255</v>
      </c>
      <c r="BD57" s="17" t="s">
        <v>372</v>
      </c>
      <c r="BE57" t="s">
        <v>1263</v>
      </c>
      <c r="BF57" t="s">
        <v>2823</v>
      </c>
    </row>
    <row r="58" spans="1:58" ht="22" customHeight="1">
      <c r="A58" s="1" t="s">
        <v>379</v>
      </c>
      <c r="B58" s="1" t="s">
        <v>380</v>
      </c>
      <c r="C58" s="1" t="s">
        <v>2565</v>
      </c>
      <c r="D58" s="1" t="s">
        <v>2808</v>
      </c>
      <c r="E58" s="1" t="s">
        <v>2669</v>
      </c>
      <c r="F58" s="1" t="s">
        <v>2670</v>
      </c>
      <c r="G58" s="1" t="s">
        <v>2569</v>
      </c>
      <c r="H58" s="1">
        <v>6.5</v>
      </c>
      <c r="I58" s="1" t="s">
        <v>1003</v>
      </c>
      <c r="J58" s="1">
        <v>33.022199999999998</v>
      </c>
      <c r="K58" s="1">
        <v>-115.8314</v>
      </c>
      <c r="L58" s="1">
        <v>9</v>
      </c>
      <c r="M58" s="1" t="s">
        <v>1032</v>
      </c>
      <c r="N58" s="1" t="s">
        <v>2809</v>
      </c>
      <c r="O58" s="1">
        <v>127</v>
      </c>
      <c r="P58" s="1">
        <v>90</v>
      </c>
      <c r="Q58" s="1">
        <v>180</v>
      </c>
      <c r="R58" s="1"/>
      <c r="S58" s="1"/>
      <c r="T58" s="1"/>
      <c r="U58" s="1" t="s">
        <v>2810</v>
      </c>
      <c r="V58" s="1" t="s">
        <v>2811</v>
      </c>
      <c r="W58" s="1" t="s">
        <v>381</v>
      </c>
      <c r="X58" s="1" t="s">
        <v>2812</v>
      </c>
      <c r="Y58" s="1" t="s">
        <v>2671</v>
      </c>
      <c r="Z58" s="1">
        <v>1</v>
      </c>
      <c r="AA58" s="1" t="s">
        <v>2672</v>
      </c>
      <c r="AB58" s="1">
        <v>127</v>
      </c>
      <c r="AC58" s="1">
        <v>90</v>
      </c>
      <c r="AD58" s="1">
        <v>180</v>
      </c>
      <c r="AE58" s="1">
        <v>0</v>
      </c>
      <c r="AF58" s="1">
        <v>20</v>
      </c>
      <c r="AG58" s="1">
        <v>12</v>
      </c>
      <c r="AH58" s="1" t="s">
        <v>731</v>
      </c>
      <c r="AI58" s="1" t="s">
        <v>2813</v>
      </c>
      <c r="AJ58" s="1" t="s">
        <v>160</v>
      </c>
      <c r="AK58" s="1"/>
      <c r="AL58" s="1"/>
      <c r="AM58" s="13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4"/>
      <c r="AY58" s="1"/>
      <c r="AZ58" s="1"/>
      <c r="BA58" s="1"/>
      <c r="BB58" s="1"/>
      <c r="BC58" s="17" t="s">
        <v>255</v>
      </c>
      <c r="BD58" s="17" t="s">
        <v>385</v>
      </c>
      <c r="BE58" t="s">
        <v>1263</v>
      </c>
      <c r="BF58" t="s">
        <v>2824</v>
      </c>
    </row>
    <row r="59" spans="1:58" ht="22" customHeight="1">
      <c r="A59" s="1" t="s">
        <v>392</v>
      </c>
      <c r="B59" s="1" t="s">
        <v>393</v>
      </c>
      <c r="C59" s="1" t="s">
        <v>2608</v>
      </c>
      <c r="D59" s="1" t="s">
        <v>2808</v>
      </c>
      <c r="E59" s="1" t="s">
        <v>2674</v>
      </c>
      <c r="F59" s="1" t="s">
        <v>2675</v>
      </c>
      <c r="G59" s="1" t="s">
        <v>2569</v>
      </c>
      <c r="H59" s="1">
        <v>6.9</v>
      </c>
      <c r="I59" s="1" t="s">
        <v>1003</v>
      </c>
      <c r="J59" s="1">
        <v>37.040700000000001</v>
      </c>
      <c r="K59" s="1">
        <v>-121.88290000000001</v>
      </c>
      <c r="L59" s="1">
        <v>17.48</v>
      </c>
      <c r="M59" s="1" t="s">
        <v>1055</v>
      </c>
      <c r="N59" s="1" t="s">
        <v>2809</v>
      </c>
      <c r="O59" s="1">
        <v>128</v>
      </c>
      <c r="P59" s="1">
        <v>70</v>
      </c>
      <c r="Q59" s="1">
        <v>140</v>
      </c>
      <c r="R59" s="1"/>
      <c r="S59" s="1"/>
      <c r="T59" s="1"/>
      <c r="U59" s="1" t="s">
        <v>2810</v>
      </c>
      <c r="V59" s="1" t="s">
        <v>2811</v>
      </c>
      <c r="W59" s="1" t="s">
        <v>394</v>
      </c>
      <c r="X59" s="1" t="s">
        <v>2812</v>
      </c>
      <c r="Y59" s="1" t="s">
        <v>2676</v>
      </c>
      <c r="Z59" s="1">
        <v>1</v>
      </c>
      <c r="AA59" s="1" t="s">
        <v>2677</v>
      </c>
      <c r="AB59" s="1">
        <v>128</v>
      </c>
      <c r="AC59" s="1">
        <v>70</v>
      </c>
      <c r="AD59" s="1">
        <v>140</v>
      </c>
      <c r="AE59" s="1">
        <v>3.85</v>
      </c>
      <c r="AF59" s="1">
        <v>40</v>
      </c>
      <c r="AG59" s="1">
        <v>18</v>
      </c>
      <c r="AH59" s="1" t="s">
        <v>731</v>
      </c>
      <c r="AI59" s="1" t="s">
        <v>2813</v>
      </c>
      <c r="AJ59" s="1" t="s">
        <v>160</v>
      </c>
      <c r="AK59" s="1"/>
      <c r="AL59" s="1"/>
      <c r="AM59" s="13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4"/>
      <c r="AY59" s="1"/>
      <c r="AZ59" s="1"/>
      <c r="BA59" s="1"/>
      <c r="BB59" s="1"/>
      <c r="BC59" s="17" t="s">
        <v>255</v>
      </c>
      <c r="BD59" s="17" t="s">
        <v>398</v>
      </c>
      <c r="BE59" t="s">
        <v>1263</v>
      </c>
      <c r="BF59" t="s">
        <v>2825</v>
      </c>
    </row>
    <row r="60" spans="1:58" ht="22" customHeight="1">
      <c r="A60" s="1" t="s">
        <v>399</v>
      </c>
      <c r="B60" s="1" t="s">
        <v>400</v>
      </c>
      <c r="C60" s="1" t="s">
        <v>2679</v>
      </c>
      <c r="D60" s="1" t="s">
        <v>2808</v>
      </c>
      <c r="E60" s="1" t="s">
        <v>2680</v>
      </c>
      <c r="F60" s="1" t="s">
        <v>2681</v>
      </c>
      <c r="G60" s="1" t="s">
        <v>2569</v>
      </c>
      <c r="H60" s="1">
        <v>7</v>
      </c>
      <c r="I60" s="1" t="s">
        <v>1003</v>
      </c>
      <c r="J60" s="1">
        <v>40.326999999999998</v>
      </c>
      <c r="K60" s="1">
        <v>-124.233</v>
      </c>
      <c r="L60" s="1">
        <v>9.5</v>
      </c>
      <c r="M60" s="1" t="s">
        <v>1028</v>
      </c>
      <c r="N60" s="1" t="s">
        <v>2809</v>
      </c>
      <c r="O60" s="1">
        <v>350</v>
      </c>
      <c r="P60" s="1">
        <v>14</v>
      </c>
      <c r="Q60" s="1">
        <v>105</v>
      </c>
      <c r="R60" s="1"/>
      <c r="S60" s="1"/>
      <c r="T60" s="1"/>
      <c r="U60" s="1" t="s">
        <v>2810</v>
      </c>
      <c r="V60" s="1" t="s">
        <v>2811</v>
      </c>
      <c r="W60" s="1" t="s">
        <v>401</v>
      </c>
      <c r="X60" s="1" t="s">
        <v>2812</v>
      </c>
      <c r="Y60" s="1" t="s">
        <v>2682</v>
      </c>
      <c r="Z60" s="1">
        <v>1</v>
      </c>
      <c r="AA60" s="1" t="s">
        <v>2683</v>
      </c>
      <c r="AB60" s="1">
        <v>350</v>
      </c>
      <c r="AC60" s="1">
        <v>14</v>
      </c>
      <c r="AD60" s="1">
        <v>105</v>
      </c>
      <c r="AE60" s="1">
        <v>5.2</v>
      </c>
      <c r="AF60" s="1">
        <v>20</v>
      </c>
      <c r="AG60" s="1">
        <v>28</v>
      </c>
      <c r="AH60" s="1" t="s">
        <v>731</v>
      </c>
      <c r="AI60" s="1" t="s">
        <v>2813</v>
      </c>
      <c r="AJ60" s="1" t="s">
        <v>160</v>
      </c>
      <c r="AK60" s="1"/>
      <c r="AL60" s="1"/>
      <c r="AM60" s="13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4"/>
      <c r="AY60" s="1"/>
      <c r="AZ60" s="1"/>
      <c r="BA60" s="1"/>
      <c r="BB60" s="1"/>
      <c r="BC60" s="17" t="s">
        <v>255</v>
      </c>
      <c r="BD60" s="17" t="s">
        <v>405</v>
      </c>
      <c r="BE60" t="s">
        <v>1263</v>
      </c>
      <c r="BF60" t="s">
        <v>2826</v>
      </c>
    </row>
    <row r="61" spans="1:58" ht="22" customHeight="1">
      <c r="A61" s="1" t="s">
        <v>412</v>
      </c>
      <c r="B61" s="1" t="s">
        <v>413</v>
      </c>
      <c r="C61" s="1" t="s">
        <v>2689</v>
      </c>
      <c r="D61" s="1" t="s">
        <v>2808</v>
      </c>
      <c r="E61" s="1" t="s">
        <v>2690</v>
      </c>
      <c r="F61" s="1" t="s">
        <v>2691</v>
      </c>
      <c r="G61" s="1" t="s">
        <v>2569</v>
      </c>
      <c r="H61" s="1">
        <v>7.3</v>
      </c>
      <c r="I61" s="1" t="s">
        <v>1003</v>
      </c>
      <c r="J61" s="1">
        <v>34.200000000000003</v>
      </c>
      <c r="K61" s="1">
        <v>-116.43600000000001</v>
      </c>
      <c r="L61" s="1">
        <v>7</v>
      </c>
      <c r="M61" s="1" t="s">
        <v>1032</v>
      </c>
      <c r="N61" s="1" t="s">
        <v>2809</v>
      </c>
      <c r="O61" s="1">
        <v>336</v>
      </c>
      <c r="P61" s="1">
        <v>90</v>
      </c>
      <c r="Q61" s="1">
        <v>180</v>
      </c>
      <c r="R61" s="1"/>
      <c r="S61" s="1"/>
      <c r="T61" s="1"/>
      <c r="U61" s="1" t="s">
        <v>2810</v>
      </c>
      <c r="V61" s="1" t="s">
        <v>2811</v>
      </c>
      <c r="W61" s="1" t="s">
        <v>414</v>
      </c>
      <c r="X61" s="1" t="s">
        <v>2812</v>
      </c>
      <c r="Y61" s="1" t="s">
        <v>2692</v>
      </c>
      <c r="Z61" s="1">
        <v>1</v>
      </c>
      <c r="AA61" s="1" t="s">
        <v>2693</v>
      </c>
      <c r="AB61" s="1">
        <v>336</v>
      </c>
      <c r="AC61" s="1">
        <v>90</v>
      </c>
      <c r="AD61" s="1">
        <v>180</v>
      </c>
      <c r="AE61" s="1">
        <v>0</v>
      </c>
      <c r="AF61" s="1">
        <v>71.8</v>
      </c>
      <c r="AG61" s="1">
        <v>15</v>
      </c>
      <c r="AH61" s="1" t="s">
        <v>731</v>
      </c>
      <c r="AI61" s="1" t="s">
        <v>2813</v>
      </c>
      <c r="AJ61" s="1" t="s">
        <v>160</v>
      </c>
      <c r="AK61" s="1"/>
      <c r="AL61" s="1"/>
      <c r="AM61" s="13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4"/>
      <c r="AY61" s="1"/>
      <c r="AZ61" s="1"/>
      <c r="BA61" s="1"/>
      <c r="BB61" s="1"/>
      <c r="BC61" s="17" t="s">
        <v>255</v>
      </c>
      <c r="BD61" s="17" t="s">
        <v>418</v>
      </c>
      <c r="BE61" t="s">
        <v>1263</v>
      </c>
      <c r="BF61" t="s">
        <v>2827</v>
      </c>
    </row>
    <row r="62" spans="1:58" ht="22" customHeight="1">
      <c r="A62" s="1" t="s">
        <v>419</v>
      </c>
      <c r="B62" s="1" t="s">
        <v>420</v>
      </c>
      <c r="C62" s="1" t="s">
        <v>2695</v>
      </c>
      <c r="D62" s="1" t="s">
        <v>2808</v>
      </c>
      <c r="E62" s="1" t="s">
        <v>2696</v>
      </c>
      <c r="F62" s="1" t="s">
        <v>2697</v>
      </c>
      <c r="G62" s="1" t="s">
        <v>2569</v>
      </c>
      <c r="H62" s="1">
        <v>6.7</v>
      </c>
      <c r="I62" s="1" t="s">
        <v>1003</v>
      </c>
      <c r="J62" s="1">
        <v>34.2057</v>
      </c>
      <c r="K62" s="1">
        <v>-118.5539</v>
      </c>
      <c r="L62" s="1">
        <v>17.5</v>
      </c>
      <c r="M62" s="1" t="s">
        <v>1028</v>
      </c>
      <c r="N62" s="1" t="s">
        <v>2809</v>
      </c>
      <c r="O62" s="1">
        <v>122</v>
      </c>
      <c r="P62" s="1">
        <v>40</v>
      </c>
      <c r="Q62" s="1">
        <v>103</v>
      </c>
      <c r="R62" s="1"/>
      <c r="S62" s="1"/>
      <c r="T62" s="1"/>
      <c r="U62" s="1" t="s">
        <v>2810</v>
      </c>
      <c r="V62" s="1" t="s">
        <v>2811</v>
      </c>
      <c r="W62" s="1" t="s">
        <v>421</v>
      </c>
      <c r="X62" s="1" t="s">
        <v>2812</v>
      </c>
      <c r="Y62" s="1" t="s">
        <v>2698</v>
      </c>
      <c r="Z62" s="1">
        <v>1</v>
      </c>
      <c r="AA62" s="1" t="s">
        <v>2699</v>
      </c>
      <c r="AB62" s="1">
        <v>122</v>
      </c>
      <c r="AC62" s="1">
        <v>40</v>
      </c>
      <c r="AD62" s="1">
        <v>103</v>
      </c>
      <c r="AE62" s="1">
        <v>5</v>
      </c>
      <c r="AF62" s="1">
        <v>18</v>
      </c>
      <c r="AG62" s="1">
        <v>24</v>
      </c>
      <c r="AH62" s="1" t="s">
        <v>731</v>
      </c>
      <c r="AI62" s="1" t="s">
        <v>2813</v>
      </c>
      <c r="AJ62" s="1" t="s">
        <v>160</v>
      </c>
      <c r="AK62" s="1"/>
      <c r="AL62" s="1"/>
      <c r="AM62" s="13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4"/>
      <c r="AY62" s="1"/>
      <c r="AZ62" s="1"/>
      <c r="BA62" s="1"/>
      <c r="BB62" s="1"/>
      <c r="BC62" s="17" t="s">
        <v>255</v>
      </c>
      <c r="BD62" s="17" t="s">
        <v>425</v>
      </c>
      <c r="BE62" t="s">
        <v>1263</v>
      </c>
      <c r="BF62" t="s">
        <v>2828</v>
      </c>
    </row>
    <row r="63" spans="1:58" ht="22" customHeight="1">
      <c r="A63" s="1" t="s">
        <v>426</v>
      </c>
      <c r="B63" s="1" t="s">
        <v>427</v>
      </c>
      <c r="C63" s="1" t="s">
        <v>2608</v>
      </c>
      <c r="D63" s="1" t="s">
        <v>2808</v>
      </c>
      <c r="E63" s="1" t="s">
        <v>2701</v>
      </c>
      <c r="F63" s="1" t="s">
        <v>2702</v>
      </c>
      <c r="G63" s="1" t="s">
        <v>2569</v>
      </c>
      <c r="H63" s="1">
        <v>6.9</v>
      </c>
      <c r="I63" s="1" t="s">
        <v>1003</v>
      </c>
      <c r="J63" s="1">
        <v>34.595999999999997</v>
      </c>
      <c r="K63" s="1">
        <v>135.011</v>
      </c>
      <c r="L63" s="1">
        <v>17.899999999999999</v>
      </c>
      <c r="M63" s="1" t="s">
        <v>1032</v>
      </c>
      <c r="N63" s="1" t="s">
        <v>2809</v>
      </c>
      <c r="O63" s="1">
        <v>230</v>
      </c>
      <c r="P63" s="1">
        <v>85</v>
      </c>
      <c r="Q63" s="1">
        <v>180</v>
      </c>
      <c r="R63" s="1"/>
      <c r="S63" s="1"/>
      <c r="T63" s="1"/>
      <c r="U63" s="1" t="s">
        <v>2810</v>
      </c>
      <c r="V63" s="1" t="s">
        <v>2811</v>
      </c>
      <c r="W63" s="1" t="s">
        <v>428</v>
      </c>
      <c r="X63" s="1" t="s">
        <v>2812</v>
      </c>
      <c r="Y63" s="1" t="s">
        <v>2703</v>
      </c>
      <c r="Z63" s="1">
        <v>1</v>
      </c>
      <c r="AA63" s="1"/>
      <c r="AB63" s="1">
        <v>230</v>
      </c>
      <c r="AC63" s="1">
        <v>85</v>
      </c>
      <c r="AD63" s="1">
        <v>180</v>
      </c>
      <c r="AE63" s="1">
        <v>0.2</v>
      </c>
      <c r="AF63" s="1">
        <v>60</v>
      </c>
      <c r="AG63" s="1">
        <v>20</v>
      </c>
      <c r="AH63" s="1" t="s">
        <v>731</v>
      </c>
      <c r="AI63" s="1" t="s">
        <v>2813</v>
      </c>
      <c r="AJ63" s="1" t="s">
        <v>160</v>
      </c>
      <c r="AK63" s="1"/>
      <c r="AL63" s="1"/>
      <c r="AM63" s="13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4"/>
      <c r="AY63" s="1"/>
      <c r="AZ63" s="1"/>
      <c r="BA63" s="1"/>
      <c r="BB63" s="1"/>
      <c r="BC63" s="17" t="s">
        <v>255</v>
      </c>
      <c r="BD63" s="17" t="s">
        <v>432</v>
      </c>
      <c r="BE63" t="s">
        <v>1263</v>
      </c>
      <c r="BF63" t="s">
        <v>2829</v>
      </c>
    </row>
    <row r="64" spans="1:58" ht="22" customHeight="1">
      <c r="A64" s="1" t="s">
        <v>440</v>
      </c>
      <c r="B64" s="1" t="s">
        <v>441</v>
      </c>
      <c r="C64" s="1" t="s">
        <v>2830</v>
      </c>
      <c r="D64" s="1" t="s">
        <v>2808</v>
      </c>
      <c r="E64" s="1" t="s">
        <v>2831</v>
      </c>
      <c r="F64" s="1" t="s">
        <v>2832</v>
      </c>
      <c r="G64" s="1" t="s">
        <v>2833</v>
      </c>
      <c r="H64" s="1">
        <v>5.72</v>
      </c>
      <c r="I64" s="1" t="s">
        <v>1003</v>
      </c>
      <c r="J64" s="1">
        <v>23.502300000000002</v>
      </c>
      <c r="K64" s="1">
        <v>120.66119999999999</v>
      </c>
      <c r="L64" s="1">
        <v>6.18</v>
      </c>
      <c r="M64" s="1" t="s">
        <v>1028</v>
      </c>
      <c r="N64" s="1" t="s">
        <v>2834</v>
      </c>
      <c r="O64" s="1">
        <v>37</v>
      </c>
      <c r="P64" s="1">
        <v>36</v>
      </c>
      <c r="Q64" s="1">
        <v>97</v>
      </c>
      <c r="R64" s="1">
        <v>208</v>
      </c>
      <c r="S64" s="1">
        <v>54</v>
      </c>
      <c r="T64" s="1">
        <v>85</v>
      </c>
      <c r="U64" s="1" t="s">
        <v>2810</v>
      </c>
      <c r="V64" s="1" t="s">
        <v>2835</v>
      </c>
      <c r="W64" s="1" t="s">
        <v>444</v>
      </c>
      <c r="X64" s="1" t="s">
        <v>2812</v>
      </c>
      <c r="Y64" s="1"/>
      <c r="Z64" s="1"/>
      <c r="AA64" s="1"/>
      <c r="AB64" s="1"/>
      <c r="AC64" s="1"/>
      <c r="AD64" s="1"/>
      <c r="AE64" s="1"/>
      <c r="AF64" s="1"/>
      <c r="AG64" s="1"/>
      <c r="AH64" s="1" t="s">
        <v>731</v>
      </c>
      <c r="AI64" s="1" t="s">
        <v>2813</v>
      </c>
      <c r="AJ64" s="1" t="s">
        <v>160</v>
      </c>
      <c r="AK64" s="1"/>
      <c r="AL64" s="1"/>
      <c r="AM64" s="13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4"/>
      <c r="AY64" s="1"/>
      <c r="AZ64" s="1"/>
      <c r="BA64" s="1"/>
      <c r="BB64" s="1"/>
      <c r="BC64" s="17" t="s">
        <v>443</v>
      </c>
      <c r="BD64" s="17" t="s">
        <v>446</v>
      </c>
      <c r="BE64" t="s">
        <v>1263</v>
      </c>
      <c r="BF64" t="s">
        <v>2836</v>
      </c>
    </row>
    <row r="65" spans="1:58" ht="22" customHeight="1">
      <c r="A65" s="1" t="s">
        <v>463</v>
      </c>
      <c r="B65" s="1" t="s">
        <v>464</v>
      </c>
      <c r="C65" s="1" t="s">
        <v>2717</v>
      </c>
      <c r="D65" s="1" t="s">
        <v>2808</v>
      </c>
      <c r="E65" s="1" t="s">
        <v>2710</v>
      </c>
      <c r="F65" s="1" t="s">
        <v>2718</v>
      </c>
      <c r="G65" s="1" t="s">
        <v>2569</v>
      </c>
      <c r="H65" s="1">
        <v>6.3</v>
      </c>
      <c r="I65" s="1" t="s">
        <v>1003</v>
      </c>
      <c r="J65" s="1">
        <v>23.81</v>
      </c>
      <c r="K65" s="1">
        <v>120.85</v>
      </c>
      <c r="L65" s="1">
        <v>7.8</v>
      </c>
      <c r="M65" s="1" t="s">
        <v>1028</v>
      </c>
      <c r="N65" s="1" t="s">
        <v>2809</v>
      </c>
      <c r="O65" s="1">
        <v>360</v>
      </c>
      <c r="P65" s="1">
        <v>10</v>
      </c>
      <c r="Q65" s="1">
        <v>80</v>
      </c>
      <c r="R65" s="1"/>
      <c r="S65" s="1"/>
      <c r="T65" s="1"/>
      <c r="U65" s="1" t="s">
        <v>2810</v>
      </c>
      <c r="V65" s="1" t="s">
        <v>2811</v>
      </c>
      <c r="W65" s="1" t="s">
        <v>465</v>
      </c>
      <c r="X65" s="1" t="s">
        <v>2812</v>
      </c>
      <c r="Y65" s="1" t="s">
        <v>2719</v>
      </c>
      <c r="Z65" s="1">
        <v>1</v>
      </c>
      <c r="AA65" s="1"/>
      <c r="AB65" s="1">
        <v>360</v>
      </c>
      <c r="AC65" s="1">
        <v>10</v>
      </c>
      <c r="AD65" s="1">
        <v>80</v>
      </c>
      <c r="AE65" s="1">
        <v>6.7</v>
      </c>
      <c r="AF65" s="1">
        <v>10</v>
      </c>
      <c r="AG65" s="1">
        <v>11</v>
      </c>
      <c r="AH65" s="1" t="s">
        <v>731</v>
      </c>
      <c r="AI65" s="1" t="s">
        <v>2813</v>
      </c>
      <c r="AJ65" s="1" t="s">
        <v>160</v>
      </c>
      <c r="AK65" s="1"/>
      <c r="AL65" s="1"/>
      <c r="AM65" s="13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4"/>
      <c r="AY65" s="1"/>
      <c r="AZ65" s="1"/>
      <c r="BA65" s="1"/>
      <c r="BB65" s="1"/>
      <c r="BC65" s="17" t="s">
        <v>255</v>
      </c>
      <c r="BD65" s="17" t="s">
        <v>468</v>
      </c>
      <c r="BE65" t="s">
        <v>1263</v>
      </c>
      <c r="BF65" t="s">
        <v>2837</v>
      </c>
    </row>
    <row r="66" spans="1:58" ht="22" customHeight="1">
      <c r="A66" s="1" t="s">
        <v>477</v>
      </c>
      <c r="B66" s="1" t="s">
        <v>478</v>
      </c>
      <c r="C66" s="1" t="s">
        <v>2838</v>
      </c>
      <c r="D66" s="1" t="s">
        <v>2808</v>
      </c>
      <c r="E66" s="1" t="s">
        <v>2839</v>
      </c>
      <c r="F66" s="1" t="s">
        <v>2840</v>
      </c>
      <c r="G66" s="1" t="s">
        <v>2569</v>
      </c>
      <c r="H66" s="1">
        <v>6.19</v>
      </c>
      <c r="I66" s="1" t="s">
        <v>1003</v>
      </c>
      <c r="J66" s="1">
        <v>23.864999999999998</v>
      </c>
      <c r="K66" s="1">
        <v>121.0395</v>
      </c>
      <c r="L66" s="1">
        <v>19.079999999999998</v>
      </c>
      <c r="M66" s="1" t="s">
        <v>1028</v>
      </c>
      <c r="N66" s="1" t="s">
        <v>2809</v>
      </c>
      <c r="O66" s="1">
        <v>165</v>
      </c>
      <c r="P66" s="1">
        <v>70</v>
      </c>
      <c r="Q66" s="1">
        <v>100</v>
      </c>
      <c r="R66" s="1"/>
      <c r="S66" s="1"/>
      <c r="T66" s="1"/>
      <c r="U66" s="1" t="s">
        <v>2810</v>
      </c>
      <c r="V66" s="1" t="s">
        <v>2811</v>
      </c>
      <c r="W66" s="1" t="s">
        <v>479</v>
      </c>
      <c r="X66" s="1" t="s">
        <v>2812</v>
      </c>
      <c r="Y66" s="1" t="s">
        <v>2841</v>
      </c>
      <c r="Z66" s="1">
        <v>1</v>
      </c>
      <c r="AA66" s="1"/>
      <c r="AB66" s="1">
        <v>165</v>
      </c>
      <c r="AC66" s="1">
        <v>70</v>
      </c>
      <c r="AD66" s="1">
        <v>100</v>
      </c>
      <c r="AE66" s="1">
        <v>7.74</v>
      </c>
      <c r="AF66" s="1">
        <v>17.5</v>
      </c>
      <c r="AG66" s="1">
        <v>19</v>
      </c>
      <c r="AH66" s="1" t="s">
        <v>731</v>
      </c>
      <c r="AI66" s="1" t="s">
        <v>2813</v>
      </c>
      <c r="AJ66" s="1" t="s">
        <v>160</v>
      </c>
      <c r="AK66" s="1"/>
      <c r="AL66" s="1"/>
      <c r="AM66" s="13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4"/>
      <c r="AY66" s="1"/>
      <c r="AZ66" s="1"/>
      <c r="BA66" s="1"/>
      <c r="BB66" s="1"/>
      <c r="BC66" s="17" t="s">
        <v>255</v>
      </c>
      <c r="BD66" s="17" t="s">
        <v>483</v>
      </c>
      <c r="BE66" t="s">
        <v>1263</v>
      </c>
      <c r="BF66" t="s">
        <v>2842</v>
      </c>
    </row>
    <row r="67" spans="1:58" ht="22" customHeight="1">
      <c r="A67" s="1" t="s">
        <v>484</v>
      </c>
      <c r="B67" s="1" t="s">
        <v>485</v>
      </c>
      <c r="C67" s="1" t="s">
        <v>2721</v>
      </c>
      <c r="D67" s="1" t="s">
        <v>2808</v>
      </c>
      <c r="E67" s="1" t="s">
        <v>2722</v>
      </c>
      <c r="F67" s="1" t="s">
        <v>2723</v>
      </c>
      <c r="G67" s="1" t="s">
        <v>2569</v>
      </c>
      <c r="H67" s="1">
        <v>6.49</v>
      </c>
      <c r="I67" s="1" t="s">
        <v>1003</v>
      </c>
      <c r="J67" s="1">
        <v>23.87</v>
      </c>
      <c r="K67" s="1">
        <v>121.01</v>
      </c>
      <c r="L67" s="1">
        <v>16</v>
      </c>
      <c r="M67" s="1" t="s">
        <v>1028</v>
      </c>
      <c r="N67" s="1" t="s">
        <v>2809</v>
      </c>
      <c r="O67" s="1">
        <v>5</v>
      </c>
      <c r="P67" s="1">
        <v>30</v>
      </c>
      <c r="Q67" s="1">
        <v>100</v>
      </c>
      <c r="R67" s="1"/>
      <c r="S67" s="1"/>
      <c r="T67" s="1"/>
      <c r="U67" s="1" t="s">
        <v>2810</v>
      </c>
      <c r="V67" s="1" t="s">
        <v>2811</v>
      </c>
      <c r="W67" s="1" t="s">
        <v>486</v>
      </c>
      <c r="X67" s="1" t="s">
        <v>2812</v>
      </c>
      <c r="Y67" s="1" t="s">
        <v>2724</v>
      </c>
      <c r="Z67" s="1">
        <v>1</v>
      </c>
      <c r="AA67" s="1"/>
      <c r="AB67" s="1">
        <v>5</v>
      </c>
      <c r="AC67" s="1">
        <v>30</v>
      </c>
      <c r="AD67" s="1">
        <v>100</v>
      </c>
      <c r="AE67" s="1">
        <v>10</v>
      </c>
      <c r="AF67" s="1">
        <v>29</v>
      </c>
      <c r="AG67" s="1">
        <v>20</v>
      </c>
      <c r="AH67" s="1" t="s">
        <v>731</v>
      </c>
      <c r="AI67" s="1" t="s">
        <v>2813</v>
      </c>
      <c r="AJ67" s="1" t="s">
        <v>160</v>
      </c>
      <c r="AK67" s="1"/>
      <c r="AL67" s="1"/>
      <c r="AM67" s="13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4"/>
      <c r="AY67" s="1"/>
      <c r="AZ67" s="1"/>
      <c r="BA67" s="1"/>
      <c r="BB67" s="1"/>
      <c r="BC67" s="17" t="s">
        <v>472</v>
      </c>
      <c r="BD67" s="17" t="s">
        <v>490</v>
      </c>
      <c r="BE67" t="s">
        <v>1263</v>
      </c>
      <c r="BF67" t="s">
        <v>2843</v>
      </c>
    </row>
    <row r="68" spans="1:58" ht="22" customHeight="1">
      <c r="A68" s="1" t="s">
        <v>211</v>
      </c>
      <c r="B68" s="1" t="s">
        <v>458</v>
      </c>
      <c r="C68" s="1" t="s">
        <v>2709</v>
      </c>
      <c r="D68" s="1" t="s">
        <v>2808</v>
      </c>
      <c r="E68" s="1" t="s">
        <v>2710</v>
      </c>
      <c r="F68" s="1" t="s">
        <v>2711</v>
      </c>
      <c r="G68" s="1" t="s">
        <v>2569</v>
      </c>
      <c r="H68" s="1">
        <v>7.65</v>
      </c>
      <c r="I68" s="1" t="s">
        <v>1003</v>
      </c>
      <c r="J68" s="1">
        <v>23.85</v>
      </c>
      <c r="K68" s="1">
        <v>120.82</v>
      </c>
      <c r="L68" s="1">
        <v>8</v>
      </c>
      <c r="M68" s="1" t="s">
        <v>1055</v>
      </c>
      <c r="N68" s="1" t="s">
        <v>2834</v>
      </c>
      <c r="O68" s="1">
        <v>209</v>
      </c>
      <c r="P68" s="1">
        <v>68</v>
      </c>
      <c r="Q68" s="1">
        <v>89</v>
      </c>
      <c r="R68" s="1">
        <v>31</v>
      </c>
      <c r="S68" s="1">
        <v>21</v>
      </c>
      <c r="T68" s="1">
        <v>92</v>
      </c>
      <c r="U68" s="1" t="s">
        <v>2810</v>
      </c>
      <c r="V68" s="1" t="s">
        <v>2844</v>
      </c>
      <c r="W68" s="1" t="s">
        <v>212</v>
      </c>
      <c r="X68" s="1" t="s">
        <v>2812</v>
      </c>
      <c r="Y68" s="1" t="s">
        <v>2712</v>
      </c>
      <c r="Z68" s="1">
        <v>1</v>
      </c>
      <c r="AA68" s="1"/>
      <c r="AB68" s="1">
        <v>20</v>
      </c>
      <c r="AC68" s="1">
        <v>33</v>
      </c>
      <c r="AD68" s="1">
        <v>55</v>
      </c>
      <c r="AE68" s="1">
        <v>0</v>
      </c>
      <c r="AF68" s="1">
        <v>88</v>
      </c>
      <c r="AG68" s="1">
        <v>34.6</v>
      </c>
      <c r="AH68" s="1" t="s">
        <v>862</v>
      </c>
      <c r="AI68" s="1" t="s">
        <v>2813</v>
      </c>
      <c r="AJ68" s="1" t="s">
        <v>160</v>
      </c>
      <c r="AK68" s="1">
        <v>1</v>
      </c>
      <c r="AL68" s="1">
        <v>7.58</v>
      </c>
      <c r="AM68" s="13">
        <v>3.0437142000000002E+20</v>
      </c>
      <c r="AN68" s="1">
        <v>5.6364999999999998</v>
      </c>
      <c r="AO68" s="1">
        <v>7322.4000000000005</v>
      </c>
      <c r="AP68" s="1">
        <v>2.92</v>
      </c>
      <c r="AQ68" s="1">
        <v>1.32</v>
      </c>
      <c r="AR68" s="1">
        <v>23.834</v>
      </c>
      <c r="AS68" s="1">
        <v>120.813</v>
      </c>
      <c r="AT68" s="1">
        <v>10</v>
      </c>
      <c r="AU68" s="1" t="s">
        <v>2713</v>
      </c>
      <c r="AV68" s="1" t="s">
        <v>212</v>
      </c>
      <c r="AW68" s="1"/>
      <c r="AX68" s="14">
        <v>43390.382543969907</v>
      </c>
      <c r="AY68" s="1" t="s">
        <v>863</v>
      </c>
      <c r="AZ68" s="1" t="s">
        <v>213</v>
      </c>
      <c r="BA68" s="1" t="s">
        <v>2714</v>
      </c>
      <c r="BB68" s="1" t="s">
        <v>2715</v>
      </c>
      <c r="BC68" s="17" t="s">
        <v>255</v>
      </c>
      <c r="BD68" s="17" t="s">
        <v>462</v>
      </c>
      <c r="BE68" t="s">
        <v>1263</v>
      </c>
      <c r="BF68" t="s">
        <v>2845</v>
      </c>
    </row>
    <row r="69" spans="1:58" ht="22" customHeight="1">
      <c r="A69" s="1" t="s">
        <v>447</v>
      </c>
      <c r="B69" s="1" t="s">
        <v>448</v>
      </c>
      <c r="C69" s="1" t="s">
        <v>2846</v>
      </c>
      <c r="D69" s="1" t="s">
        <v>2808</v>
      </c>
      <c r="E69" s="1" t="s">
        <v>2847</v>
      </c>
      <c r="F69" s="1" t="s">
        <v>2848</v>
      </c>
      <c r="G69" s="1" t="s">
        <v>2833</v>
      </c>
      <c r="H69" s="1">
        <v>5.86</v>
      </c>
      <c r="I69" s="1" t="s">
        <v>1003</v>
      </c>
      <c r="J69" s="1">
        <v>23.529199999999999</v>
      </c>
      <c r="K69" s="1">
        <v>120.45059999999999</v>
      </c>
      <c r="L69" s="1">
        <v>16</v>
      </c>
      <c r="M69" s="1" t="s">
        <v>1028</v>
      </c>
      <c r="N69" s="1" t="s">
        <v>2834</v>
      </c>
      <c r="O69" s="1">
        <v>178</v>
      </c>
      <c r="P69" s="1">
        <v>49</v>
      </c>
      <c r="Q69" s="1">
        <v>54</v>
      </c>
      <c r="R69" s="1">
        <v>46</v>
      </c>
      <c r="S69" s="1">
        <v>52</v>
      </c>
      <c r="T69" s="1">
        <v>125</v>
      </c>
      <c r="U69" s="1" t="s">
        <v>2810</v>
      </c>
      <c r="V69" s="1" t="s">
        <v>2849</v>
      </c>
      <c r="W69" s="1" t="s">
        <v>449</v>
      </c>
      <c r="X69" s="1" t="s">
        <v>2812</v>
      </c>
      <c r="Y69" s="1"/>
      <c r="Z69" s="1"/>
      <c r="AA69" s="1"/>
      <c r="AB69" s="1"/>
      <c r="AC69" s="1"/>
      <c r="AD69" s="1"/>
      <c r="AE69" s="1"/>
      <c r="AF69" s="1"/>
      <c r="AG69" s="1"/>
      <c r="AH69" s="1" t="s">
        <v>731</v>
      </c>
      <c r="AI69" s="1" t="s">
        <v>2813</v>
      </c>
      <c r="AJ69" s="1" t="s">
        <v>160</v>
      </c>
      <c r="AK69" s="1"/>
      <c r="AL69" s="1"/>
      <c r="AM69" s="13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4"/>
      <c r="AY69" s="1"/>
      <c r="AZ69" s="1"/>
      <c r="BA69" s="1"/>
      <c r="BB69" s="1"/>
      <c r="BC69" s="17" t="s">
        <v>443</v>
      </c>
      <c r="BD69" s="17" t="s">
        <v>452</v>
      </c>
      <c r="BE69" t="s">
        <v>1263</v>
      </c>
      <c r="BF69" t="s">
        <v>2850</v>
      </c>
    </row>
    <row r="70" spans="1:58" ht="22" customHeight="1">
      <c r="A70" s="1" t="s">
        <v>453</v>
      </c>
      <c r="B70" s="1" t="s">
        <v>454</v>
      </c>
      <c r="C70" s="1" t="s">
        <v>2851</v>
      </c>
      <c r="D70" s="1" t="s">
        <v>2808</v>
      </c>
      <c r="E70" s="1" t="s">
        <v>2847</v>
      </c>
      <c r="F70" s="1" t="s">
        <v>2852</v>
      </c>
      <c r="G70" s="1" t="s">
        <v>2833</v>
      </c>
      <c r="H70" s="1">
        <v>5.57</v>
      </c>
      <c r="I70" s="1" t="s">
        <v>1003</v>
      </c>
      <c r="J70" s="1">
        <v>23.533100000000001</v>
      </c>
      <c r="K70" s="1">
        <v>120.4308</v>
      </c>
      <c r="L70" s="1">
        <v>16.739999999999998</v>
      </c>
      <c r="M70" s="1" t="s">
        <v>1032</v>
      </c>
      <c r="N70" s="1" t="s">
        <v>2834</v>
      </c>
      <c r="O70" s="1">
        <v>327</v>
      </c>
      <c r="P70" s="1">
        <v>78</v>
      </c>
      <c r="Q70" s="1">
        <v>0</v>
      </c>
      <c r="R70" s="1">
        <v>237</v>
      </c>
      <c r="S70" s="1">
        <v>90</v>
      </c>
      <c r="T70" s="1">
        <v>168</v>
      </c>
      <c r="U70" s="1" t="s">
        <v>2810</v>
      </c>
      <c r="V70" s="1" t="s">
        <v>2853</v>
      </c>
      <c r="W70" s="1" t="s">
        <v>455</v>
      </c>
      <c r="X70" s="1" t="s">
        <v>2812</v>
      </c>
      <c r="Y70" s="1"/>
      <c r="Z70" s="1"/>
      <c r="AA70" s="1"/>
      <c r="AB70" s="1"/>
      <c r="AC70" s="1"/>
      <c r="AD70" s="1"/>
      <c r="AE70" s="1"/>
      <c r="AF70" s="1"/>
      <c r="AG70" s="1"/>
      <c r="AH70" s="1" t="s">
        <v>731</v>
      </c>
      <c r="AI70" s="1" t="s">
        <v>2813</v>
      </c>
      <c r="AJ70" s="1" t="s">
        <v>160</v>
      </c>
      <c r="AK70" s="1"/>
      <c r="AL70" s="1"/>
      <c r="AM70" s="13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4"/>
      <c r="AY70" s="1"/>
      <c r="AZ70" s="1"/>
      <c r="BA70" s="1"/>
      <c r="BB70" s="1"/>
      <c r="BC70" s="17" t="s">
        <v>443</v>
      </c>
      <c r="BD70" s="17" t="s">
        <v>457</v>
      </c>
      <c r="BE70" t="s">
        <v>1263</v>
      </c>
      <c r="BF70" t="s">
        <v>2854</v>
      </c>
    </row>
    <row r="71" spans="1:58" ht="22" customHeight="1">
      <c r="A71" s="1" t="s">
        <v>469</v>
      </c>
      <c r="B71" s="1" t="s">
        <v>470</v>
      </c>
      <c r="C71" s="1" t="s">
        <v>2726</v>
      </c>
      <c r="D71" s="1" t="s">
        <v>2808</v>
      </c>
      <c r="E71" s="1" t="s">
        <v>2710</v>
      </c>
      <c r="F71" s="1" t="s">
        <v>2727</v>
      </c>
      <c r="G71" s="1" t="s">
        <v>2569</v>
      </c>
      <c r="H71" s="1">
        <v>6.42</v>
      </c>
      <c r="I71" s="1" t="s">
        <v>1003</v>
      </c>
      <c r="J71" s="1">
        <v>23.6</v>
      </c>
      <c r="K71" s="1">
        <v>120.82</v>
      </c>
      <c r="L71" s="1">
        <v>18</v>
      </c>
      <c r="M71" s="1" t="s">
        <v>1032</v>
      </c>
      <c r="N71" s="1" t="s">
        <v>2809</v>
      </c>
      <c r="O71" s="1">
        <v>330</v>
      </c>
      <c r="P71" s="1">
        <v>89</v>
      </c>
      <c r="Q71" s="1">
        <v>15</v>
      </c>
      <c r="R71" s="1"/>
      <c r="S71" s="1"/>
      <c r="T71" s="1"/>
      <c r="U71" s="1" t="s">
        <v>2810</v>
      </c>
      <c r="V71" s="1" t="s">
        <v>2811</v>
      </c>
      <c r="W71" s="1" t="s">
        <v>473</v>
      </c>
      <c r="X71" s="1" t="s">
        <v>2812</v>
      </c>
      <c r="Y71" s="1" t="s">
        <v>2728</v>
      </c>
      <c r="Z71" s="1">
        <v>1</v>
      </c>
      <c r="AA71" s="1"/>
      <c r="AB71" s="1">
        <v>330</v>
      </c>
      <c r="AC71" s="1">
        <v>89</v>
      </c>
      <c r="AD71" s="1">
        <v>15</v>
      </c>
      <c r="AE71" s="1">
        <v>1.5</v>
      </c>
      <c r="AF71" s="1">
        <v>21.5</v>
      </c>
      <c r="AG71" s="1">
        <v>17.5</v>
      </c>
      <c r="AH71" s="1" t="s">
        <v>731</v>
      </c>
      <c r="AI71" s="1" t="s">
        <v>2813</v>
      </c>
      <c r="AJ71" s="1" t="s">
        <v>160</v>
      </c>
      <c r="AK71" s="1"/>
      <c r="AL71" s="1"/>
      <c r="AM71" s="13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4"/>
      <c r="AY71" s="1"/>
      <c r="AZ71" s="1"/>
      <c r="BA71" s="1"/>
      <c r="BB71" s="1"/>
      <c r="BC71" s="17" t="s">
        <v>472</v>
      </c>
      <c r="BD71" s="17" t="s">
        <v>476</v>
      </c>
      <c r="BE71" t="s">
        <v>1263</v>
      </c>
      <c r="BF71" t="s">
        <v>2855</v>
      </c>
    </row>
    <row r="72" spans="1:58" ht="22" customHeight="1">
      <c r="A72" s="1" t="s">
        <v>491</v>
      </c>
      <c r="B72" s="1" t="s">
        <v>492</v>
      </c>
      <c r="C72" s="1" t="s">
        <v>2588</v>
      </c>
      <c r="D72" s="1" t="s">
        <v>2808</v>
      </c>
      <c r="E72" s="1" t="s">
        <v>2730</v>
      </c>
      <c r="F72" s="1" t="s">
        <v>2731</v>
      </c>
      <c r="G72" s="1" t="s">
        <v>2569</v>
      </c>
      <c r="H72" s="1">
        <v>7.1</v>
      </c>
      <c r="I72" s="1" t="s">
        <v>1003</v>
      </c>
      <c r="J72" s="1">
        <v>40.834499999999998</v>
      </c>
      <c r="K72" s="1">
        <v>31.134599999999999</v>
      </c>
      <c r="L72" s="1">
        <v>14</v>
      </c>
      <c r="M72" s="1" t="s">
        <v>1032</v>
      </c>
      <c r="N72" s="1" t="s">
        <v>2809</v>
      </c>
      <c r="O72" s="1">
        <v>270</v>
      </c>
      <c r="P72" s="1">
        <v>65</v>
      </c>
      <c r="Q72" s="1">
        <v>-178</v>
      </c>
      <c r="R72" s="1"/>
      <c r="S72" s="1"/>
      <c r="T72" s="1"/>
      <c r="U72" s="1" t="s">
        <v>2810</v>
      </c>
      <c r="V72" s="1" t="s">
        <v>2811</v>
      </c>
      <c r="W72" s="1" t="s">
        <v>493</v>
      </c>
      <c r="X72" s="1" t="s">
        <v>2812</v>
      </c>
      <c r="Y72" s="1" t="s">
        <v>2732</v>
      </c>
      <c r="Z72" s="1">
        <v>1</v>
      </c>
      <c r="AA72" s="1"/>
      <c r="AB72" s="1">
        <v>270</v>
      </c>
      <c r="AC72" s="1">
        <v>65</v>
      </c>
      <c r="AD72" s="1">
        <v>-178</v>
      </c>
      <c r="AE72" s="1">
        <v>0</v>
      </c>
      <c r="AF72" s="1">
        <v>46.8</v>
      </c>
      <c r="AG72" s="1">
        <v>20</v>
      </c>
      <c r="AH72" s="1" t="s">
        <v>731</v>
      </c>
      <c r="AI72" s="1" t="s">
        <v>2813</v>
      </c>
      <c r="AJ72" s="1" t="s">
        <v>160</v>
      </c>
      <c r="AK72" s="1"/>
      <c r="AL72" s="1"/>
      <c r="AM72" s="13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4"/>
      <c r="AY72" s="1"/>
      <c r="AZ72" s="1"/>
      <c r="BA72" s="1"/>
      <c r="BB72" s="1"/>
      <c r="BC72" s="17" t="s">
        <v>255</v>
      </c>
      <c r="BD72" s="17" t="s">
        <v>496</v>
      </c>
      <c r="BE72" t="s">
        <v>1263</v>
      </c>
      <c r="BF72" t="s">
        <v>2856</v>
      </c>
    </row>
    <row r="73" spans="1:58" ht="22" customHeight="1">
      <c r="A73" s="1" t="s">
        <v>497</v>
      </c>
      <c r="B73" s="1" t="s">
        <v>498</v>
      </c>
      <c r="C73" s="1" t="s">
        <v>2857</v>
      </c>
      <c r="D73" s="1" t="s">
        <v>2808</v>
      </c>
      <c r="E73" s="1" t="s">
        <v>2858</v>
      </c>
      <c r="F73" s="1" t="s">
        <v>2859</v>
      </c>
      <c r="G73" s="1" t="s">
        <v>2833</v>
      </c>
      <c r="H73" s="1">
        <v>6.31</v>
      </c>
      <c r="I73" s="1" t="s">
        <v>1003</v>
      </c>
      <c r="J73" s="1">
        <v>23.3688</v>
      </c>
      <c r="K73" s="1">
        <v>121.693</v>
      </c>
      <c r="L73" s="1">
        <v>33.369999999999997</v>
      </c>
      <c r="M73" s="1" t="s">
        <v>1028</v>
      </c>
      <c r="N73" s="1" t="s">
        <v>2834</v>
      </c>
      <c r="O73" s="1">
        <v>218</v>
      </c>
      <c r="P73" s="1">
        <v>38</v>
      </c>
      <c r="Q73" s="1">
        <v>108</v>
      </c>
      <c r="R73" s="1">
        <v>15</v>
      </c>
      <c r="S73" s="1">
        <v>54</v>
      </c>
      <c r="T73" s="1">
        <v>76</v>
      </c>
      <c r="U73" s="1" t="s">
        <v>2810</v>
      </c>
      <c r="V73" s="1" t="s">
        <v>2860</v>
      </c>
      <c r="W73" s="1" t="s">
        <v>499</v>
      </c>
      <c r="X73" s="1" t="s">
        <v>2812</v>
      </c>
      <c r="Y73" s="1"/>
      <c r="Z73" s="1"/>
      <c r="AA73" s="1"/>
      <c r="AB73" s="1"/>
      <c r="AC73" s="1"/>
      <c r="AD73" s="1"/>
      <c r="AE73" s="1"/>
      <c r="AF73" s="1"/>
      <c r="AG73" s="1"/>
      <c r="AH73" s="1" t="s">
        <v>731</v>
      </c>
      <c r="AI73" s="1" t="s">
        <v>2813</v>
      </c>
      <c r="AJ73" s="1" t="s">
        <v>160</v>
      </c>
      <c r="AK73" s="1"/>
      <c r="AL73" s="1"/>
      <c r="AM73" s="13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4"/>
      <c r="AY73" s="1"/>
      <c r="AZ73" s="1"/>
      <c r="BA73" s="1"/>
      <c r="BB73" s="1"/>
      <c r="BC73" s="17" t="s">
        <v>443</v>
      </c>
      <c r="BD73" s="17" t="s">
        <v>501</v>
      </c>
      <c r="BE73" t="s">
        <v>1263</v>
      </c>
      <c r="BF73" t="s">
        <v>2861</v>
      </c>
    </row>
    <row r="74" spans="1:58" ht="22" customHeight="1">
      <c r="A74" s="1" t="s">
        <v>208</v>
      </c>
      <c r="B74" s="1" t="s">
        <v>502</v>
      </c>
      <c r="C74" s="1" t="s">
        <v>2734</v>
      </c>
      <c r="D74" s="1" t="s">
        <v>2808</v>
      </c>
      <c r="E74" s="1" t="s">
        <v>2735</v>
      </c>
      <c r="F74" s="1" t="s">
        <v>2736</v>
      </c>
      <c r="G74" s="1" t="s">
        <v>2569</v>
      </c>
      <c r="H74" s="1">
        <v>7.5</v>
      </c>
      <c r="I74" s="1" t="s">
        <v>1003</v>
      </c>
      <c r="J74" s="1">
        <v>40.747999999999998</v>
      </c>
      <c r="K74" s="1">
        <v>29.99</v>
      </c>
      <c r="L74" s="1">
        <v>16</v>
      </c>
      <c r="M74" s="1" t="s">
        <v>1032</v>
      </c>
      <c r="N74" s="1" t="s">
        <v>2834</v>
      </c>
      <c r="O74" s="1">
        <v>178</v>
      </c>
      <c r="P74" s="1">
        <v>74</v>
      </c>
      <c r="Q74" s="1">
        <v>9</v>
      </c>
      <c r="R74" s="1">
        <v>85</v>
      </c>
      <c r="S74" s="1">
        <v>81</v>
      </c>
      <c r="T74" s="1">
        <v>163</v>
      </c>
      <c r="U74" s="1" t="s">
        <v>2810</v>
      </c>
      <c r="V74" s="1" t="s">
        <v>2862</v>
      </c>
      <c r="W74" s="1" t="s">
        <v>209</v>
      </c>
      <c r="X74" s="1" t="s">
        <v>2812</v>
      </c>
      <c r="Y74" s="1" t="s">
        <v>2737</v>
      </c>
      <c r="Z74" s="1">
        <v>1</v>
      </c>
      <c r="AA74" s="1"/>
      <c r="AB74" s="1">
        <v>271</v>
      </c>
      <c r="AC74" s="1">
        <v>80</v>
      </c>
      <c r="AD74" s="1">
        <v>180</v>
      </c>
      <c r="AE74" s="1">
        <v>0</v>
      </c>
      <c r="AF74" s="1">
        <v>137.5</v>
      </c>
      <c r="AG74" s="1">
        <v>20.3</v>
      </c>
      <c r="AH74" s="1" t="s">
        <v>862</v>
      </c>
      <c r="AI74" s="1" t="s">
        <v>2813</v>
      </c>
      <c r="AJ74" s="1" t="s">
        <v>160</v>
      </c>
      <c r="AK74" s="1">
        <v>1</v>
      </c>
      <c r="AL74" s="1">
        <v>7.53</v>
      </c>
      <c r="AM74" s="13">
        <v>2.5945312999999999E+20</v>
      </c>
      <c r="AN74" s="1">
        <v>7.2274000000000003</v>
      </c>
      <c r="AO74" s="1">
        <v>5880</v>
      </c>
      <c r="AP74" s="1">
        <v>2.0299999999999998</v>
      </c>
      <c r="AQ74" s="1">
        <v>2.15</v>
      </c>
      <c r="AR74" s="1">
        <v>40.75</v>
      </c>
      <c r="AS74" s="1">
        <v>29.86</v>
      </c>
      <c r="AT74" s="1">
        <v>17</v>
      </c>
      <c r="AU74" s="1" t="s">
        <v>2713</v>
      </c>
      <c r="AV74" s="1" t="s">
        <v>209</v>
      </c>
      <c r="AW74" s="1"/>
      <c r="AX74" s="14">
        <v>43390.382443055554</v>
      </c>
      <c r="AY74" s="1" t="s">
        <v>926</v>
      </c>
      <c r="AZ74" s="1" t="s">
        <v>210</v>
      </c>
      <c r="BA74" s="1" t="s">
        <v>2738</v>
      </c>
      <c r="BB74" s="1" t="s">
        <v>2739</v>
      </c>
      <c r="BC74" s="17" t="s">
        <v>255</v>
      </c>
      <c r="BD74" s="17" t="s">
        <v>505</v>
      </c>
      <c r="BE74" t="s">
        <v>1263</v>
      </c>
      <c r="BF74" t="s">
        <v>2863</v>
      </c>
    </row>
    <row r="75" spans="1:58" ht="22" customHeight="1">
      <c r="A75" s="1" t="s">
        <v>506</v>
      </c>
      <c r="B75" s="1" t="s">
        <v>507</v>
      </c>
      <c r="C75" s="1" t="s">
        <v>2577</v>
      </c>
      <c r="D75" s="1" t="s">
        <v>2808</v>
      </c>
      <c r="E75" s="1" t="s">
        <v>2741</v>
      </c>
      <c r="F75" s="1" t="s">
        <v>2742</v>
      </c>
      <c r="G75" s="1" t="s">
        <v>2569</v>
      </c>
      <c r="H75" s="1">
        <v>6.6</v>
      </c>
      <c r="I75" s="1" t="s">
        <v>1003</v>
      </c>
      <c r="J75" s="1">
        <v>35.274999999999999</v>
      </c>
      <c r="K75" s="1">
        <v>133.35</v>
      </c>
      <c r="L75" s="1">
        <v>12.5</v>
      </c>
      <c r="M75" s="1" t="s">
        <v>1032</v>
      </c>
      <c r="N75" s="1" t="s">
        <v>2809</v>
      </c>
      <c r="O75" s="1">
        <v>330</v>
      </c>
      <c r="P75" s="1">
        <v>90</v>
      </c>
      <c r="Q75" s="1">
        <v>0</v>
      </c>
      <c r="R75" s="1"/>
      <c r="S75" s="1"/>
      <c r="T75" s="1"/>
      <c r="U75" s="1" t="s">
        <v>2810</v>
      </c>
      <c r="V75" s="1" t="s">
        <v>2811</v>
      </c>
      <c r="W75" s="1" t="s">
        <v>508</v>
      </c>
      <c r="X75" s="1" t="s">
        <v>2812</v>
      </c>
      <c r="Y75" s="1" t="s">
        <v>2743</v>
      </c>
      <c r="Z75" s="1">
        <v>1</v>
      </c>
      <c r="AA75" s="1"/>
      <c r="AB75" s="1">
        <v>330</v>
      </c>
      <c r="AC75" s="1">
        <v>90</v>
      </c>
      <c r="AD75" s="1">
        <v>0</v>
      </c>
      <c r="AE75" s="1">
        <v>0.5</v>
      </c>
      <c r="AF75" s="1">
        <v>38</v>
      </c>
      <c r="AG75" s="1">
        <v>20</v>
      </c>
      <c r="AH75" s="1" t="s">
        <v>731</v>
      </c>
      <c r="AI75" s="1" t="s">
        <v>2813</v>
      </c>
      <c r="AJ75" s="1" t="s">
        <v>160</v>
      </c>
      <c r="AK75" s="1"/>
      <c r="AL75" s="1"/>
      <c r="AM75" s="13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4"/>
      <c r="AY75" s="1"/>
      <c r="AZ75" s="1"/>
      <c r="BA75" s="1"/>
      <c r="BB75" s="1"/>
      <c r="BC75" s="17" t="s">
        <v>255</v>
      </c>
      <c r="BD75" s="17" t="s">
        <v>512</v>
      </c>
      <c r="BE75" t="s">
        <v>1263</v>
      </c>
      <c r="BF75" t="s">
        <v>2864</v>
      </c>
    </row>
    <row r="76" spans="1:58" ht="22" customHeight="1">
      <c r="A76" s="1" t="s">
        <v>518</v>
      </c>
      <c r="B76" s="1" t="s">
        <v>519</v>
      </c>
      <c r="C76" s="1" t="s">
        <v>2865</v>
      </c>
      <c r="D76" s="1" t="s">
        <v>2808</v>
      </c>
      <c r="E76" s="1" t="s">
        <v>2866</v>
      </c>
      <c r="F76" s="1" t="s">
        <v>2867</v>
      </c>
      <c r="G76" s="1" t="s">
        <v>2833</v>
      </c>
      <c r="H76" s="1">
        <v>4.99</v>
      </c>
      <c r="I76" s="1" t="s">
        <v>1003</v>
      </c>
      <c r="J76" s="1">
        <v>23.2803</v>
      </c>
      <c r="K76" s="1">
        <v>120.6587</v>
      </c>
      <c r="L76" s="1">
        <v>5.83</v>
      </c>
      <c r="M76" s="1" t="s">
        <v>1028</v>
      </c>
      <c r="N76" s="1"/>
      <c r="O76" s="1"/>
      <c r="P76" s="1"/>
      <c r="Q76" s="1"/>
      <c r="R76" s="1"/>
      <c r="S76" s="1"/>
      <c r="T76" s="1"/>
      <c r="U76" s="1" t="s">
        <v>2810</v>
      </c>
      <c r="V76" s="1" t="s">
        <v>2868</v>
      </c>
      <c r="W76" s="1" t="s">
        <v>521</v>
      </c>
      <c r="X76" s="1" t="s">
        <v>2812</v>
      </c>
      <c r="Y76" s="1"/>
      <c r="Z76" s="1"/>
      <c r="AA76" s="1"/>
      <c r="AB76" s="1"/>
      <c r="AC76" s="1"/>
      <c r="AD76" s="1"/>
      <c r="AE76" s="1"/>
      <c r="AF76" s="1"/>
      <c r="AG76" s="1"/>
      <c r="AH76" s="1" t="s">
        <v>731</v>
      </c>
      <c r="AI76" s="1" t="s">
        <v>2813</v>
      </c>
      <c r="AJ76" s="1" t="s">
        <v>160</v>
      </c>
      <c r="AK76" s="1"/>
      <c r="AL76" s="1"/>
      <c r="AM76" s="13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4"/>
      <c r="AY76" s="1"/>
      <c r="AZ76" s="1"/>
      <c r="BA76" s="1"/>
      <c r="BB76" s="1"/>
      <c r="BC76" s="17" t="s">
        <v>520</v>
      </c>
      <c r="BD76" s="17" t="s">
        <v>2869</v>
      </c>
      <c r="BE76" t="s">
        <v>1263</v>
      </c>
      <c r="BF76" t="s">
        <v>2870</v>
      </c>
    </row>
    <row r="77" spans="1:58">
      <c r="A77" t="s">
        <v>214</v>
      </c>
      <c r="B77" t="s">
        <v>524</v>
      </c>
      <c r="C77" t="s">
        <v>2749</v>
      </c>
      <c r="D77" t="s">
        <v>2808</v>
      </c>
      <c r="E77" t="s">
        <v>2750</v>
      </c>
      <c r="F77" t="s">
        <v>2751</v>
      </c>
      <c r="G77" t="s">
        <v>2569</v>
      </c>
      <c r="H77">
        <v>7.9</v>
      </c>
      <c r="I77" t="s">
        <v>1003</v>
      </c>
      <c r="J77">
        <v>63.542000000000002</v>
      </c>
      <c r="K77">
        <v>-147.4444</v>
      </c>
      <c r="L77">
        <v>8.9</v>
      </c>
      <c r="M77" t="s">
        <v>1032</v>
      </c>
      <c r="N77" t="s">
        <v>2834</v>
      </c>
      <c r="O77">
        <v>209</v>
      </c>
      <c r="P77">
        <v>73</v>
      </c>
      <c r="Q77">
        <v>24</v>
      </c>
      <c r="R77">
        <v>112</v>
      </c>
      <c r="S77">
        <v>66</v>
      </c>
      <c r="T77">
        <v>162</v>
      </c>
      <c r="U77" t="s">
        <v>2810</v>
      </c>
      <c r="V77" t="s">
        <v>2871</v>
      </c>
      <c r="W77" t="s">
        <v>215</v>
      </c>
      <c r="X77" t="s">
        <v>2812</v>
      </c>
      <c r="Y77" t="s">
        <v>2752</v>
      </c>
      <c r="Z77">
        <v>1</v>
      </c>
      <c r="AB77">
        <v>298</v>
      </c>
      <c r="AC77">
        <v>82</v>
      </c>
      <c r="AD77">
        <v>171</v>
      </c>
      <c r="AE77">
        <v>0</v>
      </c>
      <c r="AF77">
        <v>305</v>
      </c>
      <c r="AG77">
        <v>16.2</v>
      </c>
      <c r="AH77" t="s">
        <v>862</v>
      </c>
      <c r="AI77" t="s">
        <v>2813</v>
      </c>
      <c r="AJ77" t="s">
        <v>160</v>
      </c>
      <c r="AK77">
        <v>5</v>
      </c>
      <c r="AL77">
        <v>7.97</v>
      </c>
      <c r="AM77">
        <v>1.1972318E+21</v>
      </c>
      <c r="AN77">
        <v>14.9975</v>
      </c>
      <c r="AO77">
        <v>11760</v>
      </c>
      <c r="AP77">
        <v>6.26</v>
      </c>
      <c r="AQ77">
        <v>2.31</v>
      </c>
      <c r="AR77">
        <v>63.517499999999998</v>
      </c>
      <c r="AS77">
        <v>-147.44399999999999</v>
      </c>
      <c r="AT77">
        <v>8</v>
      </c>
      <c r="AU77" t="s">
        <v>2713</v>
      </c>
      <c r="AV77" t="s">
        <v>2753</v>
      </c>
      <c r="AX77" s="35">
        <v>43390.489746377316</v>
      </c>
      <c r="AY77" t="s">
        <v>935</v>
      </c>
      <c r="AZ77" t="s">
        <v>216</v>
      </c>
      <c r="BA77" t="s">
        <v>2754</v>
      </c>
      <c r="BB77" t="s">
        <v>2755</v>
      </c>
      <c r="BC77" t="s">
        <v>255</v>
      </c>
      <c r="BD77" t="s">
        <v>527</v>
      </c>
      <c r="BE77" t="s">
        <v>1263</v>
      </c>
      <c r="BF77" t="s">
        <v>2872</v>
      </c>
    </row>
    <row r="78" spans="1:58">
      <c r="A78" t="s">
        <v>528</v>
      </c>
      <c r="B78" t="s">
        <v>529</v>
      </c>
      <c r="C78" t="s">
        <v>2873</v>
      </c>
      <c r="D78" t="s">
        <v>2808</v>
      </c>
      <c r="E78" t="s">
        <v>2874</v>
      </c>
      <c r="F78" t="s">
        <v>2875</v>
      </c>
      <c r="G78" t="s">
        <v>2833</v>
      </c>
      <c r="H78">
        <v>7.12</v>
      </c>
      <c r="I78" t="s">
        <v>1003</v>
      </c>
      <c r="J78">
        <v>24.1602</v>
      </c>
      <c r="K78">
        <v>122.172</v>
      </c>
      <c r="L78">
        <v>33</v>
      </c>
      <c r="M78" t="s">
        <v>1055</v>
      </c>
      <c r="N78" t="s">
        <v>2834</v>
      </c>
      <c r="O78">
        <v>286</v>
      </c>
      <c r="P78">
        <v>34</v>
      </c>
      <c r="Q78">
        <v>111</v>
      </c>
      <c r="R78">
        <v>81</v>
      </c>
      <c r="S78">
        <v>57</v>
      </c>
      <c r="T78">
        <v>75</v>
      </c>
      <c r="U78" t="s">
        <v>2810</v>
      </c>
      <c r="V78" t="s">
        <v>2876</v>
      </c>
      <c r="W78" t="s">
        <v>530</v>
      </c>
      <c r="X78" t="s">
        <v>2812</v>
      </c>
      <c r="AH78" t="s">
        <v>731</v>
      </c>
      <c r="AI78" t="s">
        <v>2813</v>
      </c>
      <c r="AJ78" t="s">
        <v>160</v>
      </c>
      <c r="AX78" s="35"/>
      <c r="BC78" t="s">
        <v>443</v>
      </c>
      <c r="BD78" t="s">
        <v>532</v>
      </c>
      <c r="BE78" t="s">
        <v>1263</v>
      </c>
      <c r="BF78" t="s">
        <v>2877</v>
      </c>
    </row>
    <row r="79" spans="1:58">
      <c r="A79" t="s">
        <v>533</v>
      </c>
      <c r="B79" t="s">
        <v>534</v>
      </c>
      <c r="C79" t="s">
        <v>2577</v>
      </c>
      <c r="D79" t="s">
        <v>2808</v>
      </c>
      <c r="E79" t="s">
        <v>2757</v>
      </c>
      <c r="F79" t="s">
        <v>2758</v>
      </c>
      <c r="G79" t="s">
        <v>2569</v>
      </c>
      <c r="H79">
        <v>6.6</v>
      </c>
      <c r="I79" t="s">
        <v>1003</v>
      </c>
      <c r="J79">
        <v>28.984000000000002</v>
      </c>
      <c r="K79">
        <v>58.359000000000002</v>
      </c>
      <c r="L79">
        <v>6</v>
      </c>
      <c r="M79" t="s">
        <v>1032</v>
      </c>
      <c r="N79" t="s">
        <v>2809</v>
      </c>
      <c r="O79">
        <v>354.6</v>
      </c>
      <c r="P79">
        <v>85.5</v>
      </c>
      <c r="Q79">
        <v>-177</v>
      </c>
      <c r="U79" t="s">
        <v>2810</v>
      </c>
      <c r="V79" t="s">
        <v>2811</v>
      </c>
      <c r="W79" t="s">
        <v>535</v>
      </c>
      <c r="X79" t="s">
        <v>2812</v>
      </c>
      <c r="Y79" t="s">
        <v>2759</v>
      </c>
      <c r="Z79">
        <v>1</v>
      </c>
      <c r="AA79" t="s">
        <v>2760</v>
      </c>
      <c r="AB79">
        <v>354.6</v>
      </c>
      <c r="AC79">
        <v>85.5</v>
      </c>
      <c r="AD79">
        <v>-177</v>
      </c>
      <c r="AE79">
        <v>1.4</v>
      </c>
      <c r="AF79">
        <v>15</v>
      </c>
      <c r="AG79">
        <v>11.6</v>
      </c>
      <c r="AH79" t="s">
        <v>731</v>
      </c>
      <c r="AI79" t="s">
        <v>2813</v>
      </c>
      <c r="AJ79" t="s">
        <v>160</v>
      </c>
      <c r="AX79" s="35"/>
      <c r="BC79" t="s">
        <v>255</v>
      </c>
      <c r="BD79" t="s">
        <v>539</v>
      </c>
      <c r="BE79" t="s">
        <v>1263</v>
      </c>
      <c r="BF79" t="s">
        <v>2878</v>
      </c>
    </row>
    <row r="80" spans="1:58">
      <c r="A80" t="s">
        <v>540</v>
      </c>
      <c r="B80" t="s">
        <v>541</v>
      </c>
      <c r="C80" t="s">
        <v>2577</v>
      </c>
      <c r="D80" t="s">
        <v>2808</v>
      </c>
      <c r="E80" t="s">
        <v>2762</v>
      </c>
      <c r="F80" t="s">
        <v>2763</v>
      </c>
      <c r="G80" t="s">
        <v>2569</v>
      </c>
      <c r="H80">
        <v>6.6</v>
      </c>
      <c r="I80" t="s">
        <v>1003</v>
      </c>
      <c r="J80">
        <v>37.307000000000002</v>
      </c>
      <c r="K80">
        <v>138.839</v>
      </c>
      <c r="L80">
        <v>10.6</v>
      </c>
      <c r="M80" t="s">
        <v>1028</v>
      </c>
      <c r="N80" t="s">
        <v>2809</v>
      </c>
      <c r="O80">
        <v>212</v>
      </c>
      <c r="P80">
        <v>47</v>
      </c>
      <c r="Q80">
        <v>93</v>
      </c>
      <c r="U80" t="s">
        <v>2810</v>
      </c>
      <c r="V80" t="s">
        <v>2811</v>
      </c>
      <c r="W80" t="s">
        <v>542</v>
      </c>
      <c r="X80" t="s">
        <v>2812</v>
      </c>
      <c r="Y80" t="s">
        <v>2764</v>
      </c>
      <c r="Z80">
        <v>1</v>
      </c>
      <c r="AA80" t="s">
        <v>2765</v>
      </c>
      <c r="AB80">
        <v>212</v>
      </c>
      <c r="AC80">
        <v>47</v>
      </c>
      <c r="AD80">
        <v>93</v>
      </c>
      <c r="AE80">
        <v>4.0199999999999996</v>
      </c>
      <c r="AF80">
        <v>24</v>
      </c>
      <c r="AG80">
        <v>14</v>
      </c>
      <c r="AH80" t="s">
        <v>731</v>
      </c>
      <c r="AI80" t="s">
        <v>2813</v>
      </c>
      <c r="AJ80" t="s">
        <v>160</v>
      </c>
      <c r="AX80" s="35"/>
      <c r="BC80" t="s">
        <v>255</v>
      </c>
      <c r="BD80" t="s">
        <v>546</v>
      </c>
      <c r="BE80" t="s">
        <v>1263</v>
      </c>
      <c r="BF80" t="s">
        <v>2879</v>
      </c>
    </row>
    <row r="81" spans="1:58">
      <c r="A81" t="s">
        <v>547</v>
      </c>
      <c r="B81" t="s">
        <v>548</v>
      </c>
      <c r="C81" t="s">
        <v>2663</v>
      </c>
      <c r="D81" t="s">
        <v>2808</v>
      </c>
      <c r="E81" t="s">
        <v>2767</v>
      </c>
      <c r="F81" t="s">
        <v>2768</v>
      </c>
      <c r="G81" t="s">
        <v>2569</v>
      </c>
      <c r="H81">
        <v>6</v>
      </c>
      <c r="I81" t="s">
        <v>1003</v>
      </c>
      <c r="J81">
        <v>35.817</v>
      </c>
      <c r="K81">
        <v>-120.36499999999999</v>
      </c>
      <c r="L81">
        <v>8.1</v>
      </c>
      <c r="M81" t="s">
        <v>1032</v>
      </c>
      <c r="N81" t="s">
        <v>2809</v>
      </c>
      <c r="O81">
        <v>141</v>
      </c>
      <c r="P81">
        <v>89</v>
      </c>
      <c r="Q81">
        <v>-175</v>
      </c>
      <c r="U81" t="s">
        <v>2810</v>
      </c>
      <c r="V81" t="s">
        <v>2811</v>
      </c>
      <c r="W81" t="s">
        <v>549</v>
      </c>
      <c r="X81" t="s">
        <v>2812</v>
      </c>
      <c r="Y81" t="s">
        <v>2769</v>
      </c>
      <c r="Z81">
        <v>1</v>
      </c>
      <c r="AA81" t="s">
        <v>2770</v>
      </c>
      <c r="AB81">
        <v>141</v>
      </c>
      <c r="AC81">
        <v>89</v>
      </c>
      <c r="AD81">
        <v>-175</v>
      </c>
      <c r="AE81">
        <v>2.5</v>
      </c>
      <c r="AF81">
        <v>40</v>
      </c>
      <c r="AG81">
        <v>8</v>
      </c>
      <c r="AH81" t="s">
        <v>731</v>
      </c>
      <c r="AI81" t="s">
        <v>2813</v>
      </c>
      <c r="AJ81" t="s">
        <v>160</v>
      </c>
      <c r="AX81" s="35"/>
      <c r="BC81" t="s">
        <v>255</v>
      </c>
      <c r="BD81" t="s">
        <v>553</v>
      </c>
      <c r="BE81" t="s">
        <v>1263</v>
      </c>
      <c r="BF81" t="s">
        <v>2880</v>
      </c>
    </row>
    <row r="82" spans="1:58">
      <c r="A82" t="s">
        <v>554</v>
      </c>
      <c r="B82" t="s">
        <v>555</v>
      </c>
      <c r="C82" t="s">
        <v>2881</v>
      </c>
      <c r="D82" t="s">
        <v>2808</v>
      </c>
      <c r="E82" t="s">
        <v>2882</v>
      </c>
      <c r="F82" t="s">
        <v>2883</v>
      </c>
      <c r="G82" t="s">
        <v>2833</v>
      </c>
      <c r="H82">
        <v>6.24</v>
      </c>
      <c r="I82" t="s">
        <v>1003</v>
      </c>
      <c r="J82">
        <v>22.726199999999999</v>
      </c>
      <c r="K82">
        <v>121.3695</v>
      </c>
      <c r="L82">
        <v>24.03</v>
      </c>
      <c r="M82" t="s">
        <v>1055</v>
      </c>
      <c r="N82" t="s">
        <v>2834</v>
      </c>
      <c r="O82">
        <v>358</v>
      </c>
      <c r="P82">
        <v>45</v>
      </c>
      <c r="Q82">
        <v>49</v>
      </c>
      <c r="R82">
        <v>229</v>
      </c>
      <c r="S82">
        <v>58</v>
      </c>
      <c r="T82">
        <v>124</v>
      </c>
      <c r="U82" t="s">
        <v>2810</v>
      </c>
      <c r="V82" t="s">
        <v>2884</v>
      </c>
      <c r="W82" t="s">
        <v>556</v>
      </c>
      <c r="X82" t="s">
        <v>2812</v>
      </c>
      <c r="AH82" t="s">
        <v>731</v>
      </c>
      <c r="AI82" t="s">
        <v>2813</v>
      </c>
      <c r="AJ82" t="s">
        <v>160</v>
      </c>
      <c r="AX82" s="35"/>
      <c r="BC82" t="s">
        <v>443</v>
      </c>
      <c r="BD82" t="s">
        <v>558</v>
      </c>
      <c r="BE82" t="s">
        <v>1263</v>
      </c>
      <c r="BF82" t="s">
        <v>2885</v>
      </c>
    </row>
    <row r="83" spans="1:58">
      <c r="A83" t="s">
        <v>559</v>
      </c>
      <c r="B83" t="s">
        <v>560</v>
      </c>
      <c r="C83" t="s">
        <v>2886</v>
      </c>
      <c r="D83" t="s">
        <v>2808</v>
      </c>
      <c r="E83" t="s">
        <v>2887</v>
      </c>
      <c r="F83" t="s">
        <v>2888</v>
      </c>
      <c r="G83" t="s">
        <v>2833</v>
      </c>
      <c r="H83">
        <v>5.77</v>
      </c>
      <c r="I83" t="s">
        <v>1003</v>
      </c>
      <c r="J83">
        <v>24.657299999999999</v>
      </c>
      <c r="K83">
        <v>121.8135</v>
      </c>
      <c r="L83">
        <v>10.17</v>
      </c>
      <c r="M83" t="s">
        <v>1032</v>
      </c>
      <c r="N83" t="s">
        <v>2834</v>
      </c>
      <c r="O83">
        <v>358</v>
      </c>
      <c r="P83">
        <v>62</v>
      </c>
      <c r="Q83">
        <v>-165</v>
      </c>
      <c r="R83">
        <v>261</v>
      </c>
      <c r="S83">
        <v>77</v>
      </c>
      <c r="T83">
        <v>-29</v>
      </c>
      <c r="U83" t="s">
        <v>2810</v>
      </c>
      <c r="V83" t="s">
        <v>2889</v>
      </c>
      <c r="W83" t="s">
        <v>563</v>
      </c>
      <c r="X83" t="s">
        <v>2812</v>
      </c>
      <c r="AH83" t="s">
        <v>731</v>
      </c>
      <c r="AI83" t="s">
        <v>2813</v>
      </c>
      <c r="AJ83" t="s">
        <v>160</v>
      </c>
      <c r="AX83" s="35"/>
      <c r="BC83" t="s">
        <v>562</v>
      </c>
      <c r="BD83" t="s">
        <v>565</v>
      </c>
      <c r="BE83" t="s">
        <v>1263</v>
      </c>
      <c r="BF83" t="s">
        <v>2890</v>
      </c>
    </row>
    <row r="84" spans="1:58">
      <c r="A84" t="s">
        <v>571</v>
      </c>
      <c r="B84" t="s">
        <v>572</v>
      </c>
      <c r="C84" t="s">
        <v>2891</v>
      </c>
      <c r="D84" t="s">
        <v>2808</v>
      </c>
      <c r="E84" t="s">
        <v>2892</v>
      </c>
      <c r="F84" t="s">
        <v>2893</v>
      </c>
      <c r="G84" t="s">
        <v>2833</v>
      </c>
      <c r="H84">
        <v>7.02</v>
      </c>
      <c r="I84" t="s">
        <v>1003</v>
      </c>
      <c r="J84">
        <v>21.887</v>
      </c>
      <c r="K84">
        <v>120.5684</v>
      </c>
      <c r="L84">
        <v>44.1</v>
      </c>
      <c r="M84" t="s">
        <v>1127</v>
      </c>
      <c r="N84" t="s">
        <v>2834</v>
      </c>
      <c r="O84">
        <v>319</v>
      </c>
      <c r="P84">
        <v>69</v>
      </c>
      <c r="Q84">
        <v>257</v>
      </c>
      <c r="R84">
        <v>170</v>
      </c>
      <c r="S84">
        <v>23</v>
      </c>
      <c r="T84">
        <v>-60</v>
      </c>
      <c r="U84" t="s">
        <v>2810</v>
      </c>
      <c r="V84" t="s">
        <v>2894</v>
      </c>
      <c r="W84" t="s">
        <v>573</v>
      </c>
      <c r="X84" t="s">
        <v>2812</v>
      </c>
      <c r="AH84" t="s">
        <v>731</v>
      </c>
      <c r="AI84" t="s">
        <v>2813</v>
      </c>
      <c r="AJ84" t="s">
        <v>160</v>
      </c>
      <c r="AX84" s="35"/>
      <c r="BC84" t="s">
        <v>443</v>
      </c>
      <c r="BD84" t="s">
        <v>575</v>
      </c>
      <c r="BE84" t="s">
        <v>1263</v>
      </c>
      <c r="BF84" t="s">
        <v>2895</v>
      </c>
    </row>
    <row r="85" spans="1:58">
      <c r="A85" t="s">
        <v>566</v>
      </c>
      <c r="B85" t="s">
        <v>567</v>
      </c>
      <c r="C85" t="s">
        <v>2896</v>
      </c>
      <c r="D85" t="s">
        <v>2808</v>
      </c>
      <c r="E85" t="s">
        <v>2892</v>
      </c>
      <c r="F85" t="s">
        <v>2897</v>
      </c>
      <c r="G85" t="s">
        <v>2833</v>
      </c>
      <c r="H85">
        <v>6.94</v>
      </c>
      <c r="I85" t="s">
        <v>1003</v>
      </c>
      <c r="J85">
        <v>22.029699999999998</v>
      </c>
      <c r="K85">
        <v>120.4051</v>
      </c>
      <c r="L85">
        <v>33.799999999999997</v>
      </c>
      <c r="M85" t="s">
        <v>1032</v>
      </c>
      <c r="N85" t="s">
        <v>2834</v>
      </c>
      <c r="O85">
        <v>151</v>
      </c>
      <c r="P85">
        <v>48</v>
      </c>
      <c r="Q85">
        <v>0</v>
      </c>
      <c r="R85">
        <v>61</v>
      </c>
      <c r="S85">
        <v>90</v>
      </c>
      <c r="T85">
        <v>138</v>
      </c>
      <c r="U85" t="s">
        <v>2810</v>
      </c>
      <c r="V85" t="s">
        <v>2898</v>
      </c>
      <c r="W85" t="s">
        <v>568</v>
      </c>
      <c r="X85" t="s">
        <v>2812</v>
      </c>
      <c r="AH85" t="s">
        <v>731</v>
      </c>
      <c r="AI85" t="s">
        <v>2813</v>
      </c>
      <c r="AJ85" t="s">
        <v>160</v>
      </c>
      <c r="AX85" s="35"/>
      <c r="BC85" t="s">
        <v>443</v>
      </c>
      <c r="BD85" t="s">
        <v>570</v>
      </c>
      <c r="BE85" t="s">
        <v>1263</v>
      </c>
      <c r="BF85" t="s">
        <v>2899</v>
      </c>
    </row>
    <row r="86" spans="1:58">
      <c r="A86" t="s">
        <v>576</v>
      </c>
      <c r="B86" t="s">
        <v>577</v>
      </c>
      <c r="C86" t="s">
        <v>2900</v>
      </c>
      <c r="D86" t="s">
        <v>2808</v>
      </c>
      <c r="E86" t="s">
        <v>2901</v>
      </c>
      <c r="F86" t="s">
        <v>2902</v>
      </c>
      <c r="G86" t="s">
        <v>2833</v>
      </c>
      <c r="H86">
        <v>6.17</v>
      </c>
      <c r="I86" t="s">
        <v>1003</v>
      </c>
      <c r="J86">
        <v>22.881</v>
      </c>
      <c r="K86">
        <v>121.06480000000001</v>
      </c>
      <c r="L86">
        <v>9.7100000000000009</v>
      </c>
      <c r="M86" t="s">
        <v>1032</v>
      </c>
      <c r="N86" t="s">
        <v>2834</v>
      </c>
      <c r="O86">
        <v>199</v>
      </c>
      <c r="P86">
        <v>63</v>
      </c>
      <c r="Q86">
        <v>11</v>
      </c>
      <c r="R86">
        <v>104</v>
      </c>
      <c r="S86">
        <v>80</v>
      </c>
      <c r="T86">
        <v>153</v>
      </c>
      <c r="U86" t="s">
        <v>2810</v>
      </c>
      <c r="V86" t="s">
        <v>2903</v>
      </c>
      <c r="W86" t="s">
        <v>578</v>
      </c>
      <c r="X86" t="s">
        <v>2812</v>
      </c>
      <c r="AH86" t="s">
        <v>731</v>
      </c>
      <c r="AI86" t="s">
        <v>2813</v>
      </c>
      <c r="AJ86" t="s">
        <v>160</v>
      </c>
      <c r="AX86" s="35"/>
      <c r="BC86" t="s">
        <v>443</v>
      </c>
      <c r="BD86" t="s">
        <v>580</v>
      </c>
      <c r="BE86" t="s">
        <v>1263</v>
      </c>
      <c r="BF86" t="s">
        <v>2904</v>
      </c>
    </row>
    <row r="87" spans="1:58">
      <c r="A87" t="s">
        <v>581</v>
      </c>
      <c r="B87" t="s">
        <v>582</v>
      </c>
      <c r="C87" t="s">
        <v>2772</v>
      </c>
      <c r="D87" t="s">
        <v>2808</v>
      </c>
      <c r="E87" t="s">
        <v>2773</v>
      </c>
      <c r="F87" t="s">
        <v>2774</v>
      </c>
      <c r="G87" t="s">
        <v>2569</v>
      </c>
      <c r="H87">
        <v>6.8</v>
      </c>
      <c r="I87" t="s">
        <v>1003</v>
      </c>
      <c r="J87">
        <v>37.538200000000003</v>
      </c>
      <c r="K87">
        <v>138.6174</v>
      </c>
      <c r="L87">
        <v>9</v>
      </c>
      <c r="M87" t="s">
        <v>1028</v>
      </c>
      <c r="N87" t="s">
        <v>2809</v>
      </c>
      <c r="O87">
        <v>34</v>
      </c>
      <c r="P87">
        <v>36</v>
      </c>
      <c r="Q87">
        <v>90</v>
      </c>
      <c r="U87" t="s">
        <v>2810</v>
      </c>
      <c r="V87" t="s">
        <v>2811</v>
      </c>
      <c r="W87" t="s">
        <v>583</v>
      </c>
      <c r="X87" t="s">
        <v>2812</v>
      </c>
      <c r="Y87" t="s">
        <v>2775</v>
      </c>
      <c r="Z87">
        <v>1</v>
      </c>
      <c r="AB87">
        <v>34</v>
      </c>
      <c r="AC87">
        <v>36</v>
      </c>
      <c r="AD87">
        <v>90</v>
      </c>
      <c r="AE87">
        <v>3.12</v>
      </c>
      <c r="AF87">
        <v>32</v>
      </c>
      <c r="AG87">
        <v>24</v>
      </c>
      <c r="AH87" t="s">
        <v>731</v>
      </c>
      <c r="AI87" t="s">
        <v>2813</v>
      </c>
      <c r="AJ87" t="s">
        <v>160</v>
      </c>
      <c r="AX87" s="35"/>
      <c r="BC87" t="s">
        <v>255</v>
      </c>
      <c r="BD87" t="s">
        <v>587</v>
      </c>
      <c r="BE87" t="s">
        <v>1263</v>
      </c>
      <c r="BF87" t="s">
        <v>2905</v>
      </c>
    </row>
    <row r="88" spans="1:58">
      <c r="A88" t="s">
        <v>588</v>
      </c>
      <c r="B88" t="s">
        <v>589</v>
      </c>
      <c r="C88" t="s">
        <v>2906</v>
      </c>
      <c r="D88" t="s">
        <v>2808</v>
      </c>
      <c r="E88" t="s">
        <v>2907</v>
      </c>
      <c r="F88" t="s">
        <v>2908</v>
      </c>
      <c r="G88" t="s">
        <v>2833</v>
      </c>
      <c r="H88">
        <v>5.24</v>
      </c>
      <c r="I88" t="s">
        <v>1003</v>
      </c>
      <c r="J88">
        <v>22.645800000000001</v>
      </c>
      <c r="K88">
        <v>121.0633</v>
      </c>
      <c r="L88">
        <v>5.62</v>
      </c>
      <c r="M88" t="s">
        <v>1032</v>
      </c>
      <c r="U88" t="s">
        <v>2810</v>
      </c>
      <c r="V88" t="s">
        <v>2868</v>
      </c>
      <c r="W88" t="s">
        <v>591</v>
      </c>
      <c r="X88" t="s">
        <v>2812</v>
      </c>
      <c r="AH88" t="s">
        <v>731</v>
      </c>
      <c r="AI88" t="s">
        <v>2813</v>
      </c>
      <c r="AJ88" t="s">
        <v>160</v>
      </c>
      <c r="AX88" s="35"/>
      <c r="BC88" t="s">
        <v>590</v>
      </c>
      <c r="BD88" t="s">
        <v>2909</v>
      </c>
      <c r="BE88" t="s">
        <v>1263</v>
      </c>
      <c r="BF88" t="s">
        <v>2910</v>
      </c>
    </row>
    <row r="89" spans="1:58">
      <c r="A89" t="s">
        <v>603</v>
      </c>
      <c r="B89" t="s">
        <v>604</v>
      </c>
      <c r="C89" t="s">
        <v>2911</v>
      </c>
      <c r="D89" t="s">
        <v>2808</v>
      </c>
      <c r="E89" t="s">
        <v>2912</v>
      </c>
      <c r="F89" t="s">
        <v>2913</v>
      </c>
      <c r="G89" t="s">
        <v>2833</v>
      </c>
      <c r="H89">
        <v>6.47</v>
      </c>
      <c r="I89" t="s">
        <v>1003</v>
      </c>
      <c r="J89">
        <v>23.7988</v>
      </c>
      <c r="K89">
        <v>121.657</v>
      </c>
      <c r="L89">
        <v>43.05</v>
      </c>
      <c r="M89" t="s">
        <v>1028</v>
      </c>
      <c r="N89" t="s">
        <v>2834</v>
      </c>
      <c r="O89">
        <v>249</v>
      </c>
      <c r="P89">
        <v>31</v>
      </c>
      <c r="Q89">
        <v>144</v>
      </c>
      <c r="R89">
        <v>11</v>
      </c>
      <c r="S89">
        <v>73</v>
      </c>
      <c r="T89">
        <v>64</v>
      </c>
      <c r="U89" t="s">
        <v>2810</v>
      </c>
      <c r="V89" t="s">
        <v>2914</v>
      </c>
      <c r="W89" t="s">
        <v>605</v>
      </c>
      <c r="X89" t="s">
        <v>2812</v>
      </c>
      <c r="AH89" t="s">
        <v>731</v>
      </c>
      <c r="AI89" t="s">
        <v>2813</v>
      </c>
      <c r="AJ89" t="s">
        <v>160</v>
      </c>
      <c r="AX89" s="35"/>
      <c r="BC89" t="s">
        <v>443</v>
      </c>
      <c r="BD89" t="s">
        <v>607</v>
      </c>
      <c r="BE89" t="s">
        <v>1263</v>
      </c>
      <c r="BF89" t="s">
        <v>2915</v>
      </c>
    </row>
    <row r="90" spans="1:58">
      <c r="A90" t="s">
        <v>608</v>
      </c>
      <c r="B90" t="s">
        <v>609</v>
      </c>
      <c r="C90" t="s">
        <v>2654</v>
      </c>
      <c r="D90" t="s">
        <v>2808</v>
      </c>
      <c r="E90" t="s">
        <v>2787</v>
      </c>
      <c r="F90" t="s">
        <v>2788</v>
      </c>
      <c r="G90" t="s">
        <v>2569</v>
      </c>
      <c r="H90">
        <v>6.3</v>
      </c>
      <c r="I90" t="s">
        <v>1003</v>
      </c>
      <c r="J90">
        <v>42.3476</v>
      </c>
      <c r="K90">
        <v>13.38</v>
      </c>
      <c r="L90">
        <v>9.27</v>
      </c>
      <c r="M90" t="s">
        <v>1047</v>
      </c>
      <c r="N90" t="s">
        <v>2809</v>
      </c>
      <c r="O90">
        <v>139</v>
      </c>
      <c r="P90">
        <v>48</v>
      </c>
      <c r="Q90">
        <v>-98</v>
      </c>
      <c r="U90" t="s">
        <v>2810</v>
      </c>
      <c r="V90" t="s">
        <v>2811</v>
      </c>
      <c r="W90" t="s">
        <v>610</v>
      </c>
      <c r="X90" t="s">
        <v>2812</v>
      </c>
      <c r="Y90" t="s">
        <v>2789</v>
      </c>
      <c r="Z90">
        <v>1</v>
      </c>
      <c r="AB90">
        <v>139</v>
      </c>
      <c r="AC90">
        <v>48</v>
      </c>
      <c r="AD90">
        <v>-98</v>
      </c>
      <c r="AE90">
        <v>0.8</v>
      </c>
      <c r="AF90">
        <v>20</v>
      </c>
      <c r="AG90">
        <v>16</v>
      </c>
      <c r="AH90" t="s">
        <v>731</v>
      </c>
      <c r="AI90" t="s">
        <v>2813</v>
      </c>
      <c r="AJ90" t="s">
        <v>160</v>
      </c>
      <c r="AX90" s="35"/>
      <c r="BC90" t="s">
        <v>255</v>
      </c>
      <c r="BD90" t="s">
        <v>614</v>
      </c>
      <c r="BE90" t="s">
        <v>1263</v>
      </c>
      <c r="BF90" t="s">
        <v>2916</v>
      </c>
    </row>
    <row r="91" spans="1:58">
      <c r="A91" t="s">
        <v>615</v>
      </c>
      <c r="B91" t="s">
        <v>616</v>
      </c>
      <c r="C91" t="s">
        <v>2917</v>
      </c>
      <c r="D91" t="s">
        <v>2808</v>
      </c>
      <c r="E91" t="s">
        <v>2918</v>
      </c>
      <c r="F91" t="s">
        <v>2919</v>
      </c>
      <c r="G91" t="s">
        <v>2833</v>
      </c>
      <c r="H91">
        <v>5.6</v>
      </c>
      <c r="I91" t="s">
        <v>1003</v>
      </c>
      <c r="J91">
        <v>23.787800000000001</v>
      </c>
      <c r="K91">
        <v>120.7282</v>
      </c>
      <c r="L91">
        <v>23.55</v>
      </c>
      <c r="M91" t="s">
        <v>1055</v>
      </c>
      <c r="N91" t="s">
        <v>2834</v>
      </c>
      <c r="O91">
        <v>344</v>
      </c>
      <c r="P91">
        <v>56</v>
      </c>
      <c r="Q91">
        <v>39</v>
      </c>
      <c r="R91">
        <v>230</v>
      </c>
      <c r="S91">
        <v>59</v>
      </c>
      <c r="T91">
        <v>139</v>
      </c>
      <c r="U91" t="s">
        <v>2810</v>
      </c>
      <c r="V91" t="s">
        <v>2920</v>
      </c>
      <c r="W91" t="s">
        <v>617</v>
      </c>
      <c r="X91" t="s">
        <v>2812</v>
      </c>
      <c r="AH91" t="s">
        <v>731</v>
      </c>
      <c r="AI91" t="s">
        <v>2813</v>
      </c>
      <c r="AJ91" t="s">
        <v>160</v>
      </c>
      <c r="AX91" s="35"/>
      <c r="BC91" t="s">
        <v>443</v>
      </c>
      <c r="BD91" t="s">
        <v>619</v>
      </c>
      <c r="BE91" t="s">
        <v>1263</v>
      </c>
      <c r="BF91" t="s">
        <v>2921</v>
      </c>
    </row>
    <row r="92" spans="1:58">
      <c r="A92" t="s">
        <v>620</v>
      </c>
      <c r="B92" t="s">
        <v>621</v>
      </c>
      <c r="C92" t="s">
        <v>2791</v>
      </c>
      <c r="D92" t="s">
        <v>2808</v>
      </c>
      <c r="E92" t="s">
        <v>2792</v>
      </c>
      <c r="F92" t="s">
        <v>2793</v>
      </c>
      <c r="G92" t="s">
        <v>2794</v>
      </c>
      <c r="H92">
        <v>7</v>
      </c>
      <c r="I92" t="s">
        <v>1003</v>
      </c>
      <c r="J92">
        <v>-43.615000000000002</v>
      </c>
      <c r="K92">
        <v>172.04900000000001</v>
      </c>
      <c r="L92">
        <v>10.9</v>
      </c>
      <c r="M92" t="s">
        <v>1032</v>
      </c>
      <c r="N92" t="s">
        <v>2922</v>
      </c>
      <c r="O92">
        <v>85</v>
      </c>
      <c r="P92">
        <v>82</v>
      </c>
      <c r="Q92">
        <v>154</v>
      </c>
      <c r="U92" t="s">
        <v>2810</v>
      </c>
      <c r="V92" t="s">
        <v>2923</v>
      </c>
      <c r="W92" t="s">
        <v>622</v>
      </c>
      <c r="X92" t="s">
        <v>2812</v>
      </c>
      <c r="Y92" t="s">
        <v>2795</v>
      </c>
      <c r="Z92">
        <v>1</v>
      </c>
      <c r="AB92">
        <v>85.1</v>
      </c>
      <c r="AC92">
        <v>82.2</v>
      </c>
      <c r="AD92">
        <v>180</v>
      </c>
      <c r="AE92">
        <v>0</v>
      </c>
      <c r="AF92">
        <v>52.5</v>
      </c>
      <c r="AG92">
        <v>24</v>
      </c>
      <c r="AH92" t="s">
        <v>731</v>
      </c>
      <c r="AI92" t="s">
        <v>2813</v>
      </c>
      <c r="AJ92" t="s">
        <v>160</v>
      </c>
      <c r="AX92" s="35"/>
      <c r="BC92" t="s">
        <v>2796</v>
      </c>
      <c r="BD92" t="s">
        <v>1357</v>
      </c>
      <c r="BE92" t="s">
        <v>1263</v>
      </c>
      <c r="BF92" t="s">
        <v>2924</v>
      </c>
    </row>
    <row r="93" spans="1:58">
      <c r="A93" t="s">
        <v>626</v>
      </c>
      <c r="B93" t="s">
        <v>627</v>
      </c>
      <c r="C93" t="s">
        <v>2798</v>
      </c>
      <c r="D93" t="s">
        <v>2808</v>
      </c>
      <c r="E93" t="s">
        <v>2799</v>
      </c>
      <c r="F93" t="s">
        <v>2800</v>
      </c>
      <c r="G93" t="s">
        <v>2569</v>
      </c>
      <c r="H93">
        <v>7.2</v>
      </c>
      <c r="I93" t="s">
        <v>1003</v>
      </c>
      <c r="J93">
        <v>32.299999999999997</v>
      </c>
      <c r="K93">
        <v>-115.267</v>
      </c>
      <c r="L93">
        <v>5.45</v>
      </c>
      <c r="M93" t="s">
        <v>1032</v>
      </c>
      <c r="N93" t="s">
        <v>2809</v>
      </c>
      <c r="O93">
        <v>236</v>
      </c>
      <c r="P93">
        <v>63</v>
      </c>
      <c r="Q93">
        <v>-164</v>
      </c>
      <c r="U93" t="s">
        <v>2810</v>
      </c>
      <c r="V93" t="s">
        <v>2811</v>
      </c>
      <c r="W93" t="s">
        <v>628</v>
      </c>
      <c r="X93" t="s">
        <v>2812</v>
      </c>
      <c r="Y93" t="s">
        <v>2801</v>
      </c>
      <c r="Z93">
        <v>1</v>
      </c>
      <c r="AB93">
        <v>236</v>
      </c>
      <c r="AC93">
        <v>63</v>
      </c>
      <c r="AD93">
        <v>-164</v>
      </c>
      <c r="AE93">
        <v>0.5</v>
      </c>
      <c r="AF93">
        <v>125</v>
      </c>
      <c r="AG93">
        <v>14.4</v>
      </c>
      <c r="AH93" t="s">
        <v>731</v>
      </c>
      <c r="AI93" t="s">
        <v>2813</v>
      </c>
      <c r="AJ93" t="s">
        <v>160</v>
      </c>
      <c r="AX93" s="35"/>
      <c r="BC93" t="s">
        <v>255</v>
      </c>
      <c r="BD93" t="s">
        <v>632</v>
      </c>
      <c r="BE93" t="s">
        <v>1263</v>
      </c>
      <c r="BF93" t="s">
        <v>2925</v>
      </c>
    </row>
    <row r="94" spans="1:58">
      <c r="A94" t="s">
        <v>633</v>
      </c>
      <c r="B94" t="s">
        <v>634</v>
      </c>
      <c r="C94" t="s">
        <v>2926</v>
      </c>
      <c r="D94" t="s">
        <v>2808</v>
      </c>
      <c r="E94" t="s">
        <v>2927</v>
      </c>
      <c r="F94" t="s">
        <v>2928</v>
      </c>
      <c r="G94" t="s">
        <v>2833</v>
      </c>
      <c r="H94">
        <v>6.29</v>
      </c>
      <c r="I94" t="s">
        <v>1003</v>
      </c>
      <c r="J94">
        <v>22.978999999999999</v>
      </c>
      <c r="K94">
        <v>120.7316</v>
      </c>
      <c r="L94">
        <v>22.6</v>
      </c>
      <c r="M94" t="s">
        <v>1028</v>
      </c>
      <c r="N94" t="s">
        <v>2834</v>
      </c>
      <c r="O94">
        <v>310</v>
      </c>
      <c r="P94">
        <v>26</v>
      </c>
      <c r="Q94">
        <v>42</v>
      </c>
      <c r="R94">
        <v>181</v>
      </c>
      <c r="S94">
        <v>72</v>
      </c>
      <c r="T94">
        <v>110</v>
      </c>
      <c r="U94" t="s">
        <v>2810</v>
      </c>
      <c r="V94" t="s">
        <v>2929</v>
      </c>
      <c r="W94" t="s">
        <v>635</v>
      </c>
      <c r="X94" t="s">
        <v>2812</v>
      </c>
      <c r="AH94" t="s">
        <v>731</v>
      </c>
      <c r="AI94" t="s">
        <v>2813</v>
      </c>
      <c r="AJ94" t="s">
        <v>160</v>
      </c>
      <c r="AX94" s="35"/>
      <c r="BC94" t="s">
        <v>443</v>
      </c>
      <c r="BD94" t="s">
        <v>637</v>
      </c>
      <c r="BE94" t="s">
        <v>1263</v>
      </c>
      <c r="BF94" t="s">
        <v>2930</v>
      </c>
    </row>
    <row r="95" spans="1:58">
      <c r="A95" t="s">
        <v>638</v>
      </c>
      <c r="B95" t="s">
        <v>639</v>
      </c>
      <c r="C95" t="s">
        <v>2803</v>
      </c>
      <c r="D95" t="s">
        <v>2808</v>
      </c>
      <c r="E95" t="s">
        <v>2804</v>
      </c>
      <c r="F95" t="s">
        <v>2805</v>
      </c>
      <c r="G95" t="s">
        <v>2569</v>
      </c>
      <c r="H95">
        <v>6.2</v>
      </c>
      <c r="I95" t="s">
        <v>1003</v>
      </c>
      <c r="J95">
        <v>-43.570999999999998</v>
      </c>
      <c r="K95">
        <v>172.703</v>
      </c>
      <c r="L95">
        <v>6</v>
      </c>
      <c r="M95" t="s">
        <v>1055</v>
      </c>
      <c r="N95" t="s">
        <v>2809</v>
      </c>
      <c r="O95">
        <v>59</v>
      </c>
      <c r="P95">
        <v>67</v>
      </c>
      <c r="Q95">
        <v>135</v>
      </c>
      <c r="U95" t="s">
        <v>2810</v>
      </c>
      <c r="V95" t="s">
        <v>2811</v>
      </c>
      <c r="W95" t="s">
        <v>640</v>
      </c>
      <c r="X95" t="s">
        <v>2812</v>
      </c>
      <c r="Y95" t="s">
        <v>2806</v>
      </c>
      <c r="Z95">
        <v>1</v>
      </c>
      <c r="AB95">
        <v>59</v>
      </c>
      <c r="AC95">
        <v>67</v>
      </c>
      <c r="AD95">
        <v>135</v>
      </c>
      <c r="AE95">
        <v>0.5</v>
      </c>
      <c r="AF95">
        <v>7</v>
      </c>
      <c r="AG95">
        <v>10</v>
      </c>
      <c r="AH95" t="s">
        <v>731</v>
      </c>
      <c r="AI95" t="s">
        <v>2813</v>
      </c>
      <c r="AJ95" t="s">
        <v>160</v>
      </c>
      <c r="AX95" s="35"/>
      <c r="BC95" t="s">
        <v>255</v>
      </c>
      <c r="BD95" t="s">
        <v>645</v>
      </c>
      <c r="BE95" t="s">
        <v>1263</v>
      </c>
      <c r="BF95" t="s">
        <v>2931</v>
      </c>
    </row>
    <row r="96" spans="1:58">
      <c r="A96" t="s">
        <v>646</v>
      </c>
      <c r="B96" t="s">
        <v>647</v>
      </c>
      <c r="C96" t="s">
        <v>2932</v>
      </c>
      <c r="D96" t="s">
        <v>2808</v>
      </c>
      <c r="E96" t="s">
        <v>2933</v>
      </c>
      <c r="F96" t="s">
        <v>2934</v>
      </c>
      <c r="G96" t="s">
        <v>2833</v>
      </c>
      <c r="H96">
        <v>6.01</v>
      </c>
      <c r="I96" t="s">
        <v>1003</v>
      </c>
      <c r="J96">
        <v>23.900400000000001</v>
      </c>
      <c r="K96">
        <v>121.05370000000001</v>
      </c>
      <c r="L96">
        <v>19.399999999999999</v>
      </c>
      <c r="M96" t="s">
        <v>1028</v>
      </c>
      <c r="N96" t="s">
        <v>2834</v>
      </c>
      <c r="O96">
        <v>8</v>
      </c>
      <c r="P96">
        <v>23</v>
      </c>
      <c r="Q96">
        <v>73</v>
      </c>
      <c r="R96">
        <v>207</v>
      </c>
      <c r="S96">
        <v>68</v>
      </c>
      <c r="T96">
        <v>97</v>
      </c>
      <c r="U96" t="s">
        <v>2810</v>
      </c>
      <c r="V96" t="s">
        <v>2935</v>
      </c>
      <c r="W96" t="s">
        <v>648</v>
      </c>
      <c r="X96" t="s">
        <v>2812</v>
      </c>
      <c r="AH96" t="s">
        <v>731</v>
      </c>
      <c r="AI96" t="s">
        <v>2813</v>
      </c>
      <c r="AJ96" t="s">
        <v>160</v>
      </c>
      <c r="AX96" s="35"/>
      <c r="BC96" t="s">
        <v>443</v>
      </c>
      <c r="BD96" t="s">
        <v>650</v>
      </c>
      <c r="BE96" t="s">
        <v>1263</v>
      </c>
      <c r="BF96" t="s">
        <v>2936</v>
      </c>
    </row>
    <row r="97" spans="1:58">
      <c r="A97" t="s">
        <v>651</v>
      </c>
      <c r="B97" t="s">
        <v>652</v>
      </c>
      <c r="C97" t="s">
        <v>2654</v>
      </c>
      <c r="D97" t="s">
        <v>2808</v>
      </c>
      <c r="E97" t="s">
        <v>2937</v>
      </c>
      <c r="F97" t="s">
        <v>2938</v>
      </c>
      <c r="G97" t="s">
        <v>2833</v>
      </c>
      <c r="H97">
        <v>6.3</v>
      </c>
      <c r="I97" t="s">
        <v>1003</v>
      </c>
      <c r="J97">
        <v>23.8583</v>
      </c>
      <c r="K97">
        <v>120.97620000000001</v>
      </c>
      <c r="L97">
        <v>14.5</v>
      </c>
      <c r="M97" t="s">
        <v>1028</v>
      </c>
      <c r="N97" t="s">
        <v>2834</v>
      </c>
      <c r="O97">
        <v>14</v>
      </c>
      <c r="P97">
        <v>29</v>
      </c>
      <c r="Q97">
        <v>87</v>
      </c>
      <c r="R97">
        <v>198</v>
      </c>
      <c r="S97">
        <v>61</v>
      </c>
      <c r="T97">
        <v>92</v>
      </c>
      <c r="U97" t="s">
        <v>2810</v>
      </c>
      <c r="V97" t="s">
        <v>2939</v>
      </c>
      <c r="W97" t="s">
        <v>653</v>
      </c>
      <c r="X97" t="s">
        <v>2812</v>
      </c>
      <c r="AH97" t="s">
        <v>731</v>
      </c>
      <c r="AI97" t="s">
        <v>2813</v>
      </c>
      <c r="AJ97" t="s">
        <v>160</v>
      </c>
      <c r="AX97" s="35"/>
      <c r="BC97" t="s">
        <v>443</v>
      </c>
      <c r="BD97" t="s">
        <v>655</v>
      </c>
      <c r="BE97" t="s">
        <v>1263</v>
      </c>
      <c r="BF97" t="s">
        <v>2940</v>
      </c>
    </row>
    <row r="98" spans="1:58">
      <c r="A98" t="s">
        <v>656</v>
      </c>
      <c r="B98" t="s">
        <v>657</v>
      </c>
      <c r="C98" t="s">
        <v>2941</v>
      </c>
      <c r="D98" t="s">
        <v>2808</v>
      </c>
      <c r="E98" t="s">
        <v>2942</v>
      </c>
      <c r="F98" t="s">
        <v>2943</v>
      </c>
      <c r="G98" t="s">
        <v>2833</v>
      </c>
      <c r="H98">
        <v>6.32</v>
      </c>
      <c r="I98" t="s">
        <v>1003</v>
      </c>
      <c r="J98">
        <v>23.567900000000002</v>
      </c>
      <c r="K98">
        <v>121.3463</v>
      </c>
      <c r="L98">
        <v>14.98</v>
      </c>
      <c r="M98" t="s">
        <v>1055</v>
      </c>
      <c r="N98" t="s">
        <v>2834</v>
      </c>
      <c r="O98">
        <v>201</v>
      </c>
      <c r="P98">
        <v>45</v>
      </c>
      <c r="Q98">
        <v>39</v>
      </c>
      <c r="R98">
        <v>81</v>
      </c>
      <c r="S98">
        <v>63</v>
      </c>
      <c r="T98">
        <v>128</v>
      </c>
      <c r="U98" t="s">
        <v>2810</v>
      </c>
      <c r="V98" t="s">
        <v>2944</v>
      </c>
      <c r="W98" t="s">
        <v>658</v>
      </c>
      <c r="X98" t="s">
        <v>2812</v>
      </c>
      <c r="AH98" t="s">
        <v>731</v>
      </c>
      <c r="AI98" t="s">
        <v>2813</v>
      </c>
      <c r="AJ98" t="s">
        <v>160</v>
      </c>
      <c r="AX98" s="35"/>
      <c r="BC98" t="s">
        <v>443</v>
      </c>
      <c r="BD98" t="s">
        <v>660</v>
      </c>
      <c r="BE98" t="s">
        <v>1263</v>
      </c>
      <c r="BF98" t="s">
        <v>2945</v>
      </c>
    </row>
    <row r="99" spans="1:58">
      <c r="A99" t="s">
        <v>220</v>
      </c>
      <c r="B99" t="s">
        <v>661</v>
      </c>
      <c r="C99" t="s">
        <v>2946</v>
      </c>
      <c r="D99" t="s">
        <v>2808</v>
      </c>
      <c r="E99" t="s">
        <v>2947</v>
      </c>
      <c r="F99" t="s">
        <v>2948</v>
      </c>
      <c r="G99" t="s">
        <v>2833</v>
      </c>
      <c r="H99">
        <v>7.8</v>
      </c>
      <c r="I99" t="s">
        <v>1003</v>
      </c>
      <c r="J99">
        <v>28.231000000000002</v>
      </c>
      <c r="K99">
        <v>84.730999999999995</v>
      </c>
      <c r="L99">
        <v>8.1999999999999993</v>
      </c>
      <c r="M99" t="s">
        <v>1028</v>
      </c>
      <c r="N99" t="s">
        <v>2834</v>
      </c>
      <c r="O99">
        <v>99</v>
      </c>
      <c r="P99">
        <v>83</v>
      </c>
      <c r="Q99">
        <v>89</v>
      </c>
      <c r="R99">
        <v>290</v>
      </c>
      <c r="S99">
        <v>7</v>
      </c>
      <c r="T99">
        <v>101</v>
      </c>
      <c r="U99" t="s">
        <v>2810</v>
      </c>
      <c r="V99" t="s">
        <v>2949</v>
      </c>
      <c r="W99" t="s">
        <v>221</v>
      </c>
      <c r="X99" t="s">
        <v>2812</v>
      </c>
      <c r="AH99" t="s">
        <v>862</v>
      </c>
      <c r="AI99" t="s">
        <v>2813</v>
      </c>
      <c r="AJ99" t="s">
        <v>160</v>
      </c>
      <c r="AK99">
        <v>1</v>
      </c>
      <c r="AL99">
        <v>7.82</v>
      </c>
      <c r="AM99">
        <v>7.1023654000000002E+20</v>
      </c>
      <c r="AN99">
        <v>4.4804000000000004</v>
      </c>
      <c r="AO99">
        <v>32457.599999999999</v>
      </c>
      <c r="AP99">
        <v>3.08</v>
      </c>
      <c r="AQ99">
        <v>2.4</v>
      </c>
      <c r="AR99">
        <v>28.13</v>
      </c>
      <c r="AS99">
        <v>84.65</v>
      </c>
      <c r="AT99">
        <v>15</v>
      </c>
      <c r="AU99" t="s">
        <v>2713</v>
      </c>
      <c r="AV99" t="s">
        <v>221</v>
      </c>
      <c r="AX99" s="35">
        <v>43390.540583043985</v>
      </c>
      <c r="AY99" t="s">
        <v>1190</v>
      </c>
      <c r="AZ99" t="s">
        <v>222</v>
      </c>
      <c r="BA99" t="s">
        <v>2950</v>
      </c>
      <c r="BB99" t="s">
        <v>2951</v>
      </c>
      <c r="BC99" t="s">
        <v>443</v>
      </c>
      <c r="BD99" t="s">
        <v>663</v>
      </c>
      <c r="BE99" t="s">
        <v>1263</v>
      </c>
      <c r="BF99" t="s">
        <v>2952</v>
      </c>
    </row>
    <row r="100" spans="1:58">
      <c r="A100" t="s">
        <v>223</v>
      </c>
      <c r="B100" t="s">
        <v>664</v>
      </c>
      <c r="C100" t="s">
        <v>2946</v>
      </c>
      <c r="D100" t="s">
        <v>2808</v>
      </c>
      <c r="E100" t="s">
        <v>2953</v>
      </c>
      <c r="F100" t="s">
        <v>2954</v>
      </c>
      <c r="G100" t="s">
        <v>2833</v>
      </c>
      <c r="H100">
        <v>7.8</v>
      </c>
      <c r="I100" t="s">
        <v>1003</v>
      </c>
      <c r="J100">
        <v>-42.737000000000002</v>
      </c>
      <c r="K100">
        <v>173.054</v>
      </c>
      <c r="L100">
        <v>15.1</v>
      </c>
      <c r="M100" t="s">
        <v>1055</v>
      </c>
      <c r="N100" t="s">
        <v>2834</v>
      </c>
      <c r="O100">
        <v>354</v>
      </c>
      <c r="P100">
        <v>61</v>
      </c>
      <c r="Q100">
        <v>64</v>
      </c>
      <c r="R100">
        <v>219</v>
      </c>
      <c r="S100">
        <v>38</v>
      </c>
      <c r="T100">
        <v>128</v>
      </c>
      <c r="U100" t="s">
        <v>2810</v>
      </c>
      <c r="V100" t="s">
        <v>2955</v>
      </c>
      <c r="W100" t="s">
        <v>224</v>
      </c>
      <c r="X100" t="s">
        <v>2812</v>
      </c>
      <c r="AH100" t="s">
        <v>862</v>
      </c>
      <c r="AI100" t="s">
        <v>2813</v>
      </c>
      <c r="AJ100" t="s">
        <v>160</v>
      </c>
      <c r="AK100">
        <v>5</v>
      </c>
      <c r="AL100">
        <v>7.89</v>
      </c>
      <c r="AM100">
        <v>8.9669340000000003E+20</v>
      </c>
      <c r="AN100">
        <v>5.2484999999999999</v>
      </c>
      <c r="AO100">
        <v>38805</v>
      </c>
      <c r="AP100">
        <v>7.38</v>
      </c>
      <c r="AQ100">
        <v>1.85</v>
      </c>
      <c r="AR100">
        <v>-42.756999999999998</v>
      </c>
      <c r="AS100">
        <v>173.077</v>
      </c>
      <c r="AT100">
        <v>16</v>
      </c>
      <c r="AU100" t="s">
        <v>2713</v>
      </c>
      <c r="AV100" t="s">
        <v>224</v>
      </c>
      <c r="AX100" s="35">
        <v>43390.576783993056</v>
      </c>
      <c r="AY100" t="s">
        <v>1192</v>
      </c>
      <c r="AZ100" t="s">
        <v>225</v>
      </c>
      <c r="BA100" t="s">
        <v>2956</v>
      </c>
      <c r="BB100" t="s">
        <v>2957</v>
      </c>
      <c r="BC100" t="s">
        <v>443</v>
      </c>
      <c r="BD100" t="s">
        <v>666</v>
      </c>
      <c r="BE100" t="s">
        <v>1263</v>
      </c>
      <c r="BF100" t="s">
        <v>2958</v>
      </c>
    </row>
    <row r="101" spans="1:58">
      <c r="A101" t="s">
        <v>226</v>
      </c>
      <c r="B101" t="s">
        <v>667</v>
      </c>
      <c r="C101" t="s">
        <v>2679</v>
      </c>
      <c r="D101" t="s">
        <v>2808</v>
      </c>
      <c r="E101" t="s">
        <v>2959</v>
      </c>
      <c r="F101" t="s">
        <v>2960</v>
      </c>
      <c r="G101" t="s">
        <v>2794</v>
      </c>
      <c r="H101">
        <v>7</v>
      </c>
      <c r="I101" t="s">
        <v>1003</v>
      </c>
      <c r="J101">
        <v>32.790999999999997</v>
      </c>
      <c r="K101">
        <v>130.75399999999999</v>
      </c>
      <c r="L101">
        <v>15.1</v>
      </c>
      <c r="M101" t="s">
        <v>1032</v>
      </c>
      <c r="N101" t="s">
        <v>2961</v>
      </c>
      <c r="O101">
        <v>205</v>
      </c>
      <c r="P101">
        <v>72</v>
      </c>
      <c r="Q101">
        <v>-142</v>
      </c>
      <c r="R101">
        <v>235</v>
      </c>
      <c r="S101">
        <v>65</v>
      </c>
      <c r="T101">
        <v>-142</v>
      </c>
      <c r="U101" t="s">
        <v>2810</v>
      </c>
      <c r="V101" t="s">
        <v>2923</v>
      </c>
      <c r="W101" t="s">
        <v>227</v>
      </c>
      <c r="X101" t="s">
        <v>2812</v>
      </c>
      <c r="AH101" t="s">
        <v>862</v>
      </c>
      <c r="AI101" t="s">
        <v>2813</v>
      </c>
      <c r="AJ101" t="s">
        <v>160</v>
      </c>
      <c r="AK101">
        <v>1</v>
      </c>
      <c r="AL101">
        <v>7.04</v>
      </c>
      <c r="AM101">
        <v>4.742828E+19</v>
      </c>
      <c r="AN101">
        <v>3.4371</v>
      </c>
      <c r="AO101">
        <v>2349</v>
      </c>
      <c r="AP101">
        <v>1.95</v>
      </c>
      <c r="AQ101">
        <v>2.2599999999999998</v>
      </c>
      <c r="AR101">
        <v>32.781999999999996</v>
      </c>
      <c r="AS101">
        <v>130.726</v>
      </c>
      <c r="AT101">
        <v>12</v>
      </c>
      <c r="AU101" t="s">
        <v>2713</v>
      </c>
      <c r="AV101" t="s">
        <v>227</v>
      </c>
      <c r="AX101" s="35">
        <v>43390.575861111109</v>
      </c>
      <c r="AY101" t="s">
        <v>1196</v>
      </c>
      <c r="AZ101" t="s">
        <v>228</v>
      </c>
      <c r="BA101" t="s">
        <v>2962</v>
      </c>
      <c r="BB101" t="s">
        <v>2963</v>
      </c>
      <c r="BC101" t="s">
        <v>2796</v>
      </c>
      <c r="BD101" t="s">
        <v>1357</v>
      </c>
      <c r="BE101" t="s">
        <v>1263</v>
      </c>
      <c r="BF101" t="s">
        <v>2964</v>
      </c>
    </row>
    <row r="102" spans="1:58">
      <c r="A102" t="s">
        <v>672</v>
      </c>
      <c r="B102" t="s">
        <v>673</v>
      </c>
      <c r="C102" t="s">
        <v>2965</v>
      </c>
      <c r="D102" t="s">
        <v>2808</v>
      </c>
      <c r="E102" t="s">
        <v>2966</v>
      </c>
      <c r="F102" t="s">
        <v>2967</v>
      </c>
      <c r="G102" t="s">
        <v>2794</v>
      </c>
      <c r="H102">
        <v>6.4</v>
      </c>
      <c r="I102" t="s">
        <v>1003</v>
      </c>
      <c r="J102">
        <v>22.922000000000001</v>
      </c>
      <c r="K102">
        <v>120.544</v>
      </c>
      <c r="L102">
        <v>14.6</v>
      </c>
      <c r="M102" t="s">
        <v>1032</v>
      </c>
      <c r="N102" t="s">
        <v>2922</v>
      </c>
      <c r="O102">
        <v>295</v>
      </c>
      <c r="P102">
        <v>22</v>
      </c>
      <c r="Q102">
        <v>20</v>
      </c>
      <c r="U102" t="s">
        <v>2810</v>
      </c>
      <c r="V102" t="s">
        <v>2923</v>
      </c>
      <c r="W102" t="s">
        <v>674</v>
      </c>
      <c r="X102" t="s">
        <v>2812</v>
      </c>
      <c r="AH102" t="s">
        <v>731</v>
      </c>
      <c r="AI102" t="s">
        <v>2813</v>
      </c>
      <c r="AJ102" t="s">
        <v>160</v>
      </c>
      <c r="AX102" s="35"/>
      <c r="BC102" t="s">
        <v>2796</v>
      </c>
      <c r="BD102" t="s">
        <v>1357</v>
      </c>
      <c r="BE102" t="s">
        <v>1263</v>
      </c>
      <c r="BF102" t="s">
        <v>2968</v>
      </c>
    </row>
    <row r="103" spans="1:58">
      <c r="A103" t="s">
        <v>676</v>
      </c>
      <c r="B103" t="s">
        <v>677</v>
      </c>
      <c r="C103" t="s">
        <v>2969</v>
      </c>
      <c r="D103" t="s">
        <v>2808</v>
      </c>
      <c r="E103" t="s">
        <v>2970</v>
      </c>
      <c r="F103" t="s">
        <v>2971</v>
      </c>
      <c r="G103" t="s">
        <v>2794</v>
      </c>
      <c r="H103">
        <v>6.42</v>
      </c>
      <c r="I103" t="s">
        <v>1003</v>
      </c>
      <c r="J103">
        <v>24.116199999999999</v>
      </c>
      <c r="K103">
        <v>121.7225</v>
      </c>
      <c r="L103">
        <v>4.8899999999999997</v>
      </c>
      <c r="M103" t="s">
        <v>1032</v>
      </c>
      <c r="N103" t="s">
        <v>2922</v>
      </c>
      <c r="O103">
        <v>216</v>
      </c>
      <c r="P103">
        <v>56</v>
      </c>
      <c r="Q103">
        <v>26</v>
      </c>
      <c r="U103" t="s">
        <v>2810</v>
      </c>
      <c r="V103" t="s">
        <v>2923</v>
      </c>
      <c r="W103" t="s">
        <v>678</v>
      </c>
      <c r="X103" t="s">
        <v>2812</v>
      </c>
      <c r="AH103" t="s">
        <v>731</v>
      </c>
      <c r="AI103" t="s">
        <v>2813</v>
      </c>
      <c r="AJ103" t="s">
        <v>160</v>
      </c>
      <c r="AX103" s="35"/>
      <c r="BC103" t="s">
        <v>2796</v>
      </c>
      <c r="BD103" t="s">
        <v>1357</v>
      </c>
      <c r="BE103" t="s">
        <v>1263</v>
      </c>
      <c r="BF103" t="s">
        <v>2972</v>
      </c>
    </row>
    <row r="104" spans="1:58">
      <c r="A104" t="s">
        <v>226</v>
      </c>
      <c r="B104" t="s">
        <v>667</v>
      </c>
      <c r="C104" t="s">
        <v>2679</v>
      </c>
      <c r="D104" t="s">
        <v>2973</v>
      </c>
      <c r="E104" t="s">
        <v>2959</v>
      </c>
      <c r="F104" t="s">
        <v>2960</v>
      </c>
      <c r="G104" t="s">
        <v>2794</v>
      </c>
      <c r="H104">
        <v>7.04</v>
      </c>
      <c r="I104" t="s">
        <v>1003</v>
      </c>
      <c r="J104">
        <v>32.7545</v>
      </c>
      <c r="K104">
        <v>130.76300000000001</v>
      </c>
      <c r="L104">
        <v>12.45</v>
      </c>
      <c r="M104" t="s">
        <v>730</v>
      </c>
      <c r="N104" t="s">
        <v>2961</v>
      </c>
      <c r="O104">
        <v>205</v>
      </c>
      <c r="P104">
        <v>72</v>
      </c>
      <c r="Q104">
        <v>-142</v>
      </c>
      <c r="R104">
        <v>235</v>
      </c>
      <c r="S104">
        <v>65</v>
      </c>
      <c r="T104">
        <v>-142</v>
      </c>
      <c r="U104" t="s">
        <v>2974</v>
      </c>
      <c r="V104" t="s">
        <v>2975</v>
      </c>
      <c r="W104" t="s">
        <v>227</v>
      </c>
      <c r="X104" t="s">
        <v>1357</v>
      </c>
      <c r="AH104" t="s">
        <v>862</v>
      </c>
      <c r="AI104" t="s">
        <v>2976</v>
      </c>
      <c r="AJ104" t="s">
        <v>160</v>
      </c>
      <c r="AK104">
        <v>1</v>
      </c>
      <c r="AL104">
        <v>7.04</v>
      </c>
      <c r="AM104">
        <v>4.742828E+19</v>
      </c>
      <c r="AN104">
        <v>3.4371</v>
      </c>
      <c r="AO104">
        <v>2349</v>
      </c>
      <c r="AP104">
        <v>1.95</v>
      </c>
      <c r="AQ104">
        <v>2.2599999999999998</v>
      </c>
      <c r="AR104">
        <v>32.781999999999996</v>
      </c>
      <c r="AS104">
        <v>130.726</v>
      </c>
      <c r="AT104">
        <v>12</v>
      </c>
      <c r="AU104" t="s">
        <v>2713</v>
      </c>
      <c r="AV104" t="s">
        <v>227</v>
      </c>
      <c r="AX104" s="35">
        <v>43390.575861111109</v>
      </c>
      <c r="AY104" t="s">
        <v>1196</v>
      </c>
      <c r="AZ104" t="s">
        <v>228</v>
      </c>
      <c r="BA104" t="s">
        <v>2962</v>
      </c>
      <c r="BB104" t="s">
        <v>2963</v>
      </c>
      <c r="BC104" t="s">
        <v>2796</v>
      </c>
      <c r="BD104" t="s">
        <v>1357</v>
      </c>
      <c r="BE104" t="s">
        <v>1264</v>
      </c>
      <c r="BF104" t="s">
        <v>2977</v>
      </c>
    </row>
    <row r="105" spans="1:58">
      <c r="A105" t="s">
        <v>672</v>
      </c>
      <c r="B105" t="s">
        <v>673</v>
      </c>
      <c r="C105" t="s">
        <v>2965</v>
      </c>
      <c r="D105" t="s">
        <v>2973</v>
      </c>
      <c r="E105" t="s">
        <v>2966</v>
      </c>
      <c r="F105" t="s">
        <v>2967</v>
      </c>
      <c r="G105" t="s">
        <v>2794</v>
      </c>
      <c r="H105">
        <v>6.4</v>
      </c>
      <c r="I105" t="s">
        <v>1003</v>
      </c>
      <c r="J105">
        <v>22.92</v>
      </c>
      <c r="K105">
        <v>120.54</v>
      </c>
      <c r="L105">
        <v>14.6</v>
      </c>
      <c r="M105" t="s">
        <v>2978</v>
      </c>
      <c r="N105" t="s">
        <v>2922</v>
      </c>
      <c r="O105">
        <v>295</v>
      </c>
      <c r="P105">
        <v>22</v>
      </c>
      <c r="Q105">
        <v>20</v>
      </c>
      <c r="U105" t="s">
        <v>2974</v>
      </c>
      <c r="V105" t="s">
        <v>2975</v>
      </c>
      <c r="W105" t="s">
        <v>674</v>
      </c>
      <c r="X105" t="s">
        <v>1357</v>
      </c>
      <c r="AH105" t="s">
        <v>731</v>
      </c>
      <c r="AI105" t="s">
        <v>2979</v>
      </c>
      <c r="AJ105" t="s">
        <v>160</v>
      </c>
      <c r="AX105" s="35"/>
      <c r="BC105" t="s">
        <v>2796</v>
      </c>
      <c r="BD105" t="s">
        <v>1357</v>
      </c>
      <c r="BE105" t="s">
        <v>1264</v>
      </c>
      <c r="BF105" t="s">
        <v>2980</v>
      </c>
    </row>
    <row r="106" spans="1:58">
      <c r="A106" t="s">
        <v>676</v>
      </c>
      <c r="B106" t="s">
        <v>677</v>
      </c>
      <c r="C106" t="s">
        <v>2969</v>
      </c>
      <c r="D106" t="s">
        <v>2973</v>
      </c>
      <c r="E106" t="s">
        <v>2970</v>
      </c>
      <c r="F106" t="s">
        <v>2971</v>
      </c>
      <c r="G106" t="s">
        <v>2794</v>
      </c>
      <c r="H106">
        <v>6.4</v>
      </c>
      <c r="I106" t="s">
        <v>1003</v>
      </c>
      <c r="J106">
        <v>24.132000000000001</v>
      </c>
      <c r="K106">
        <v>121.65900000000001</v>
      </c>
      <c r="L106">
        <v>10.6</v>
      </c>
      <c r="M106" t="s">
        <v>2981</v>
      </c>
      <c r="N106" t="s">
        <v>2922</v>
      </c>
      <c r="O106">
        <v>216</v>
      </c>
      <c r="P106">
        <v>56</v>
      </c>
      <c r="Q106">
        <v>26</v>
      </c>
      <c r="U106" t="s">
        <v>2974</v>
      </c>
      <c r="V106" t="s">
        <v>2975</v>
      </c>
      <c r="W106" t="s">
        <v>678</v>
      </c>
      <c r="X106" t="s">
        <v>1357</v>
      </c>
      <c r="AH106" t="s">
        <v>731</v>
      </c>
      <c r="AI106" t="s">
        <v>2982</v>
      </c>
      <c r="AJ106" t="s">
        <v>160</v>
      </c>
      <c r="AX106" s="35"/>
      <c r="BC106" t="s">
        <v>2796</v>
      </c>
      <c r="BD106" t="s">
        <v>1357</v>
      </c>
      <c r="BE106" t="s">
        <v>1264</v>
      </c>
      <c r="BF106" t="s">
        <v>2983</v>
      </c>
    </row>
    <row r="107" spans="1:58">
      <c r="A107" t="s">
        <v>620</v>
      </c>
      <c r="B107" t="s">
        <v>621</v>
      </c>
      <c r="C107" t="s">
        <v>2791</v>
      </c>
      <c r="D107" t="s">
        <v>2973</v>
      </c>
      <c r="E107" t="s">
        <v>2792</v>
      </c>
      <c r="F107" t="s">
        <v>2793</v>
      </c>
      <c r="G107" t="s">
        <v>2794</v>
      </c>
      <c r="H107">
        <v>7.02</v>
      </c>
      <c r="I107" t="s">
        <v>1003</v>
      </c>
      <c r="J107">
        <v>-43.614800000000002</v>
      </c>
      <c r="K107">
        <v>172.0386</v>
      </c>
      <c r="L107">
        <v>10.84</v>
      </c>
      <c r="M107" t="s">
        <v>730</v>
      </c>
      <c r="N107" t="s">
        <v>2922</v>
      </c>
      <c r="O107">
        <v>85</v>
      </c>
      <c r="P107">
        <v>82</v>
      </c>
      <c r="Q107">
        <v>154</v>
      </c>
      <c r="U107" t="s">
        <v>2974</v>
      </c>
      <c r="V107" t="s">
        <v>2975</v>
      </c>
      <c r="W107" t="s">
        <v>622</v>
      </c>
      <c r="X107" t="s">
        <v>1357</v>
      </c>
      <c r="Y107" t="s">
        <v>2795</v>
      </c>
      <c r="Z107">
        <v>1</v>
      </c>
      <c r="AB107">
        <v>85.1</v>
      </c>
      <c r="AC107">
        <v>82.2</v>
      </c>
      <c r="AD107">
        <v>180</v>
      </c>
      <c r="AE107">
        <v>0</v>
      </c>
      <c r="AF107">
        <v>52.5</v>
      </c>
      <c r="AG107">
        <v>24</v>
      </c>
      <c r="AH107" t="s">
        <v>731</v>
      </c>
      <c r="AI107" t="s">
        <v>2984</v>
      </c>
      <c r="AJ107" t="s">
        <v>160</v>
      </c>
      <c r="AX107" s="35"/>
      <c r="BC107" t="s">
        <v>2796</v>
      </c>
      <c r="BD107" t="s">
        <v>1357</v>
      </c>
      <c r="BE107" t="s">
        <v>1264</v>
      </c>
      <c r="BF107" t="s">
        <v>2985</v>
      </c>
    </row>
    <row r="108" spans="1:58">
      <c r="A108" t="s">
        <v>669</v>
      </c>
      <c r="B108" t="s">
        <v>670</v>
      </c>
      <c r="C108" t="s">
        <v>2648</v>
      </c>
      <c r="D108" t="s">
        <v>2973</v>
      </c>
      <c r="E108" t="s">
        <v>2986</v>
      </c>
      <c r="F108" t="s">
        <v>2987</v>
      </c>
      <c r="G108" t="s">
        <v>2794</v>
      </c>
      <c r="H108">
        <v>6.1</v>
      </c>
      <c r="I108" t="s">
        <v>1003</v>
      </c>
      <c r="J108">
        <v>32.741700000000002</v>
      </c>
      <c r="K108">
        <v>130.80869999999999</v>
      </c>
      <c r="L108">
        <v>11.39</v>
      </c>
      <c r="M108" t="s">
        <v>730</v>
      </c>
      <c r="N108" t="s">
        <v>2922</v>
      </c>
      <c r="O108">
        <v>205</v>
      </c>
      <c r="P108">
        <v>74</v>
      </c>
      <c r="Q108">
        <v>180</v>
      </c>
      <c r="U108" t="s">
        <v>2974</v>
      </c>
      <c r="V108" t="s">
        <v>2975</v>
      </c>
      <c r="W108" t="s">
        <v>671</v>
      </c>
      <c r="X108" t="s">
        <v>1357</v>
      </c>
      <c r="AH108" t="s">
        <v>731</v>
      </c>
      <c r="AI108" t="s">
        <v>2988</v>
      </c>
      <c r="AJ108" t="s">
        <v>160</v>
      </c>
      <c r="AX108" s="35"/>
      <c r="BC108" t="s">
        <v>2989</v>
      </c>
      <c r="BD108" t="s">
        <v>1357</v>
      </c>
      <c r="BE108" t="s">
        <v>1264</v>
      </c>
      <c r="BF108" t="s">
        <v>2990</v>
      </c>
    </row>
    <row r="109" spans="1:58">
      <c r="A109" t="s">
        <v>680</v>
      </c>
      <c r="B109" t="s">
        <v>681</v>
      </c>
      <c r="C109" t="s">
        <v>2695</v>
      </c>
      <c r="D109" t="s">
        <v>2991</v>
      </c>
      <c r="E109" t="s">
        <v>2992</v>
      </c>
      <c r="F109" t="s">
        <v>2993</v>
      </c>
      <c r="G109" t="s">
        <v>2833</v>
      </c>
      <c r="H109">
        <v>6.8</v>
      </c>
      <c r="I109" t="s">
        <v>2994</v>
      </c>
      <c r="J109">
        <v>42.690800000000003</v>
      </c>
      <c r="K109">
        <v>142.0067</v>
      </c>
      <c r="L109">
        <v>37.04</v>
      </c>
      <c r="M109" t="s">
        <v>2995</v>
      </c>
      <c r="N109" t="s">
        <v>2996</v>
      </c>
      <c r="O109">
        <v>355</v>
      </c>
      <c r="P109">
        <v>70</v>
      </c>
      <c r="Q109">
        <v>102.76675200839219</v>
      </c>
      <c r="U109" t="s">
        <v>2997</v>
      </c>
      <c r="V109" t="s">
        <v>2998</v>
      </c>
      <c r="W109" t="s">
        <v>682</v>
      </c>
      <c r="X109" t="s">
        <v>1374</v>
      </c>
      <c r="AH109" t="s">
        <v>2999</v>
      </c>
      <c r="AI109" t="s">
        <v>3000</v>
      </c>
      <c r="AJ109" t="s">
        <v>160</v>
      </c>
      <c r="AK109">
        <v>3</v>
      </c>
      <c r="AL109">
        <v>6.8</v>
      </c>
      <c r="AM109">
        <v>1.99E+19</v>
      </c>
      <c r="AN109">
        <v>1.7014</v>
      </c>
      <c r="AO109">
        <v>720</v>
      </c>
      <c r="AP109">
        <v>5</v>
      </c>
      <c r="AQ109">
        <v>1.8</v>
      </c>
      <c r="AR109">
        <v>42.690800000000003</v>
      </c>
      <c r="AS109">
        <v>142.0067</v>
      </c>
      <c r="AT109">
        <v>37.04</v>
      </c>
      <c r="AU109" t="s">
        <v>3001</v>
      </c>
      <c r="AV109" t="s">
        <v>3002</v>
      </c>
      <c r="AW109" t="s">
        <v>3003</v>
      </c>
      <c r="AX109" s="35"/>
      <c r="AY109" t="s">
        <v>1374</v>
      </c>
      <c r="AZ109" t="s">
        <v>1378</v>
      </c>
      <c r="BC109" t="s">
        <v>3004</v>
      </c>
      <c r="BD109" t="s">
        <v>683</v>
      </c>
      <c r="BE109" t="s">
        <v>1264</v>
      </c>
      <c r="BF109" t="s">
        <v>3005</v>
      </c>
    </row>
    <row r="110" spans="1:58">
      <c r="A110" t="s">
        <v>684</v>
      </c>
      <c r="B110" t="s">
        <v>685</v>
      </c>
      <c r="C110" t="s">
        <v>2648</v>
      </c>
      <c r="D110" t="s">
        <v>3006</v>
      </c>
      <c r="E110" t="s">
        <v>3007</v>
      </c>
      <c r="F110" t="s">
        <v>3008</v>
      </c>
      <c r="G110" t="s">
        <v>2833</v>
      </c>
      <c r="H110">
        <v>6.1</v>
      </c>
      <c r="I110" t="s">
        <v>1003</v>
      </c>
      <c r="J110">
        <v>40.835599999999999</v>
      </c>
      <c r="K110">
        <v>30.9831</v>
      </c>
      <c r="L110">
        <v>10</v>
      </c>
      <c r="M110" t="s">
        <v>3009</v>
      </c>
      <c r="N110" t="s">
        <v>2834</v>
      </c>
      <c r="O110">
        <v>160.21</v>
      </c>
      <c r="P110">
        <v>63.36</v>
      </c>
      <c r="Q110">
        <v>-18.91</v>
      </c>
      <c r="R110">
        <v>258.94</v>
      </c>
      <c r="S110">
        <v>73.16</v>
      </c>
      <c r="T110">
        <v>-152.06</v>
      </c>
      <c r="U110" t="s">
        <v>3010</v>
      </c>
      <c r="V110" t="s">
        <v>3011</v>
      </c>
      <c r="W110" t="s">
        <v>686</v>
      </c>
      <c r="X110" t="s">
        <v>687</v>
      </c>
      <c r="AH110" t="s">
        <v>731</v>
      </c>
      <c r="AI110" t="s">
        <v>3012</v>
      </c>
      <c r="AJ110" t="s">
        <v>160</v>
      </c>
      <c r="AX110" s="35"/>
      <c r="BC110" t="s">
        <v>443</v>
      </c>
      <c r="BD110" t="s">
        <v>687</v>
      </c>
      <c r="BE110" t="s">
        <v>1264</v>
      </c>
      <c r="BF110" t="s">
        <v>3013</v>
      </c>
    </row>
    <row r="111" spans="1:58">
      <c r="A111" t="s">
        <v>232</v>
      </c>
      <c r="B111" t="s">
        <v>690</v>
      </c>
      <c r="C111" t="s">
        <v>2946</v>
      </c>
      <c r="D111" t="s">
        <v>3006</v>
      </c>
      <c r="E111" t="s">
        <v>3014</v>
      </c>
      <c r="F111" t="s">
        <v>3015</v>
      </c>
      <c r="G111" t="s">
        <v>2833</v>
      </c>
      <c r="H111">
        <v>7.8</v>
      </c>
      <c r="I111" t="s">
        <v>1003</v>
      </c>
      <c r="J111">
        <v>37.2256</v>
      </c>
      <c r="K111">
        <v>37.014299999999999</v>
      </c>
      <c r="L111">
        <v>10</v>
      </c>
      <c r="M111" t="s">
        <v>3009</v>
      </c>
      <c r="N111" t="s">
        <v>2834</v>
      </c>
      <c r="O111">
        <v>317.63</v>
      </c>
      <c r="P111">
        <v>88.71</v>
      </c>
      <c r="Q111">
        <v>-179.18</v>
      </c>
      <c r="R111">
        <v>227.61</v>
      </c>
      <c r="S111">
        <v>89.18</v>
      </c>
      <c r="T111">
        <v>-1.29</v>
      </c>
      <c r="U111" t="s">
        <v>3010</v>
      </c>
      <c r="V111" t="s">
        <v>3016</v>
      </c>
      <c r="W111" t="s">
        <v>233</v>
      </c>
      <c r="X111" t="s">
        <v>691</v>
      </c>
      <c r="AH111" t="s">
        <v>862</v>
      </c>
      <c r="AI111" t="s">
        <v>3012</v>
      </c>
      <c r="AJ111" t="s">
        <v>160</v>
      </c>
      <c r="AK111">
        <v>3</v>
      </c>
      <c r="AL111">
        <v>7.8990001775435843</v>
      </c>
      <c r="AM111">
        <v>7.9158994003800005E+20</v>
      </c>
      <c r="AN111">
        <v>11.212199999999999</v>
      </c>
      <c r="AO111">
        <v>16200</v>
      </c>
      <c r="AP111">
        <v>17.46</v>
      </c>
      <c r="AQ111">
        <v>1.51</v>
      </c>
      <c r="AR111">
        <v>37.258400000000002</v>
      </c>
      <c r="AS111">
        <v>37.048499999999997</v>
      </c>
      <c r="AT111">
        <v>14</v>
      </c>
      <c r="AU111" t="s">
        <v>2713</v>
      </c>
      <c r="AV111" t="s">
        <v>3017</v>
      </c>
      <c r="AW111" t="s">
        <v>3018</v>
      </c>
      <c r="AX111" s="35">
        <v>44977.82467490741</v>
      </c>
      <c r="AY111" t="s">
        <v>1256</v>
      </c>
      <c r="AZ111" t="s">
        <v>234</v>
      </c>
      <c r="BA111" t="s">
        <v>3019</v>
      </c>
      <c r="BB111" t="s">
        <v>3020</v>
      </c>
      <c r="BC111" t="s">
        <v>443</v>
      </c>
      <c r="BD111" t="s">
        <v>691</v>
      </c>
      <c r="BE111" t="s">
        <v>1264</v>
      </c>
      <c r="BF111" t="s">
        <v>3021</v>
      </c>
    </row>
    <row r="112" spans="1:58">
      <c r="A112" t="s">
        <v>229</v>
      </c>
      <c r="B112" t="s">
        <v>688</v>
      </c>
      <c r="C112" t="s">
        <v>2734</v>
      </c>
      <c r="D112" t="s">
        <v>3006</v>
      </c>
      <c r="E112" t="s">
        <v>3014</v>
      </c>
      <c r="F112" t="s">
        <v>3022</v>
      </c>
      <c r="G112" t="s">
        <v>2833</v>
      </c>
      <c r="H112">
        <v>7.5</v>
      </c>
      <c r="I112" t="s">
        <v>1003</v>
      </c>
      <c r="J112">
        <v>38.010599999999997</v>
      </c>
      <c r="K112">
        <v>37.196199999999997</v>
      </c>
      <c r="L112">
        <v>7.4320000000000004</v>
      </c>
      <c r="M112" t="s">
        <v>3009</v>
      </c>
      <c r="N112" t="s">
        <v>2834</v>
      </c>
      <c r="O112">
        <v>277.2</v>
      </c>
      <c r="P112">
        <v>77.87</v>
      </c>
      <c r="Q112">
        <v>3.5</v>
      </c>
      <c r="R112">
        <v>186.46</v>
      </c>
      <c r="S112">
        <v>86.57</v>
      </c>
      <c r="T112">
        <v>167.85</v>
      </c>
      <c r="U112" t="s">
        <v>3010</v>
      </c>
      <c r="V112" t="s">
        <v>3023</v>
      </c>
      <c r="W112" t="s">
        <v>230</v>
      </c>
      <c r="X112" t="s">
        <v>689</v>
      </c>
      <c r="AH112" t="s">
        <v>862</v>
      </c>
      <c r="AI112" t="s">
        <v>3012</v>
      </c>
      <c r="AJ112" t="s">
        <v>160</v>
      </c>
      <c r="AK112">
        <v>3</v>
      </c>
      <c r="AL112">
        <v>7.7687711563559034</v>
      </c>
      <c r="AM112">
        <v>5.0484345996999996E+20</v>
      </c>
      <c r="AN112">
        <v>11.510400000000001</v>
      </c>
      <c r="AO112">
        <v>5850</v>
      </c>
      <c r="AP112">
        <v>17.63</v>
      </c>
      <c r="AQ112">
        <v>3.81</v>
      </c>
      <c r="AR112">
        <v>38.024000000000001</v>
      </c>
      <c r="AS112">
        <v>37.203000000000003</v>
      </c>
      <c r="AT112">
        <v>10.5</v>
      </c>
      <c r="AU112" t="s">
        <v>2713</v>
      </c>
      <c r="AV112" t="s">
        <v>3024</v>
      </c>
      <c r="AW112" t="s">
        <v>3025</v>
      </c>
      <c r="AX112" s="35">
        <v>44974.647813564814</v>
      </c>
      <c r="AY112" t="s">
        <v>1260</v>
      </c>
      <c r="AZ112" t="s">
        <v>231</v>
      </c>
      <c r="BA112" t="s">
        <v>3026</v>
      </c>
      <c r="BB112" t="s">
        <v>3027</v>
      </c>
      <c r="BC112" t="s">
        <v>443</v>
      </c>
      <c r="BD112" t="s">
        <v>689</v>
      </c>
      <c r="BE112" t="s">
        <v>1264</v>
      </c>
      <c r="BF112" t="s">
        <v>3028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6B91"/>
  </sheetPr>
  <dimension ref="A1:N2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3" width="20" customWidth="1"/>
    <col min="14" max="14" width="55" customWidth="1"/>
  </cols>
  <sheetData>
    <row r="1" spans="1:14" ht="58" customHeight="1">
      <c r="A1" s="12" t="s">
        <v>194</v>
      </c>
      <c r="B1" s="12" t="s">
        <v>195</v>
      </c>
      <c r="C1" s="12" t="s">
        <v>196</v>
      </c>
      <c r="D1" s="12" t="s">
        <v>197</v>
      </c>
      <c r="E1" s="12" t="s">
        <v>198</v>
      </c>
      <c r="F1" s="12" t="s">
        <v>199</v>
      </c>
      <c r="G1" s="12" t="s">
        <v>200</v>
      </c>
      <c r="H1" s="12" t="s">
        <v>201</v>
      </c>
      <c r="I1" s="12" t="s">
        <v>202</v>
      </c>
      <c r="J1" s="12" t="s">
        <v>203</v>
      </c>
      <c r="K1" s="12" t="s">
        <v>204</v>
      </c>
      <c r="L1" s="12" t="s">
        <v>205</v>
      </c>
      <c r="M1" s="12" t="s">
        <v>206</v>
      </c>
      <c r="N1" s="12" t="s">
        <v>207</v>
      </c>
    </row>
    <row r="2" spans="1:14" ht="22" customHeight="1">
      <c r="A2" s="1" t="s">
        <v>208</v>
      </c>
      <c r="B2" s="1" t="s">
        <v>209</v>
      </c>
      <c r="C2" s="1">
        <v>1</v>
      </c>
      <c r="D2" s="1">
        <v>91</v>
      </c>
      <c r="E2" s="1">
        <v>87</v>
      </c>
      <c r="F2" s="1">
        <v>175</v>
      </c>
      <c r="G2" s="1">
        <v>33.6</v>
      </c>
      <c r="H2" s="1">
        <v>5880</v>
      </c>
      <c r="I2" s="1">
        <v>0.22</v>
      </c>
      <c r="J2" s="1">
        <v>175</v>
      </c>
      <c r="K2" s="1">
        <v>7.2274000000000003</v>
      </c>
      <c r="L2" s="1">
        <v>160.02529999999999</v>
      </c>
      <c r="M2" s="1">
        <v>199.94890000000001</v>
      </c>
      <c r="N2" s="1" t="s">
        <v>210</v>
      </c>
    </row>
    <row r="3" spans="1:14" ht="22" customHeight="1">
      <c r="A3" s="1" t="s">
        <v>211</v>
      </c>
      <c r="B3" s="1" t="s">
        <v>212</v>
      </c>
      <c r="C3" s="1">
        <v>1</v>
      </c>
      <c r="D3" s="1">
        <v>3</v>
      </c>
      <c r="E3" s="1">
        <v>30</v>
      </c>
      <c r="F3" s="1">
        <v>144</v>
      </c>
      <c r="G3" s="1">
        <v>50.85</v>
      </c>
      <c r="H3" s="1">
        <v>7322.4000000000005</v>
      </c>
      <c r="I3" s="1">
        <v>0.11</v>
      </c>
      <c r="J3" s="1">
        <v>162</v>
      </c>
      <c r="K3" s="1">
        <v>5.6364999999999998</v>
      </c>
      <c r="L3" s="1">
        <v>40.023200000000003</v>
      </c>
      <c r="M3" s="1">
        <v>89.74</v>
      </c>
      <c r="N3" s="1" t="s">
        <v>213</v>
      </c>
    </row>
    <row r="4" spans="1:14" ht="22" customHeight="1">
      <c r="A4" s="1" t="s">
        <v>214</v>
      </c>
      <c r="B4" s="1" t="s">
        <v>215</v>
      </c>
      <c r="C4" s="1">
        <v>1</v>
      </c>
      <c r="D4" s="1">
        <v>250</v>
      </c>
      <c r="E4" s="1">
        <v>40</v>
      </c>
      <c r="F4" s="1">
        <v>40</v>
      </c>
      <c r="G4" s="1">
        <v>28</v>
      </c>
      <c r="H4" s="1">
        <v>1120</v>
      </c>
      <c r="I4" s="1">
        <v>0.12</v>
      </c>
      <c r="J4" s="1">
        <v>64</v>
      </c>
      <c r="K4" s="1">
        <v>7.5393999999999997</v>
      </c>
      <c r="L4" s="1">
        <v>70.036900000000003</v>
      </c>
      <c r="M4" s="1">
        <v>118.82089999999999</v>
      </c>
      <c r="N4" s="1" t="s">
        <v>216</v>
      </c>
    </row>
    <row r="5" spans="1:14" ht="22" customHeight="1">
      <c r="A5" s="1" t="s">
        <v>214</v>
      </c>
      <c r="B5" s="1" t="s">
        <v>215</v>
      </c>
      <c r="C5" s="1">
        <v>2</v>
      </c>
      <c r="D5" s="1">
        <v>271</v>
      </c>
      <c r="E5" s="1">
        <v>80</v>
      </c>
      <c r="F5" s="1">
        <v>60</v>
      </c>
      <c r="G5" s="1">
        <v>28</v>
      </c>
      <c r="H5" s="1">
        <v>1680</v>
      </c>
      <c r="I5" s="1">
        <v>0.12</v>
      </c>
      <c r="J5" s="1">
        <v>96</v>
      </c>
      <c r="K5" s="1">
        <v>3.4544999999999999</v>
      </c>
      <c r="L5" s="1">
        <v>140.2046</v>
      </c>
      <c r="M5" s="1">
        <v>229.38929999999999</v>
      </c>
      <c r="N5" s="1" t="s">
        <v>216</v>
      </c>
    </row>
    <row r="6" spans="1:14" ht="22" customHeight="1">
      <c r="A6" s="1" t="s">
        <v>214</v>
      </c>
      <c r="B6" s="1" t="s">
        <v>215</v>
      </c>
      <c r="C6" s="1">
        <v>3</v>
      </c>
      <c r="D6" s="1">
        <v>281</v>
      </c>
      <c r="E6" s="1">
        <v>80</v>
      </c>
      <c r="F6" s="1">
        <v>50</v>
      </c>
      <c r="G6" s="1">
        <v>28</v>
      </c>
      <c r="H6" s="1">
        <v>1400</v>
      </c>
      <c r="I6" s="1">
        <v>0.12</v>
      </c>
      <c r="J6" s="1">
        <v>80</v>
      </c>
      <c r="K6" s="1">
        <v>10.516400000000001</v>
      </c>
      <c r="L6" s="1">
        <v>140.16909999999999</v>
      </c>
      <c r="M6" s="1">
        <v>214.78370000000001</v>
      </c>
      <c r="N6" s="1" t="s">
        <v>216</v>
      </c>
    </row>
    <row r="7" spans="1:14" ht="22" customHeight="1">
      <c r="A7" s="1" t="s">
        <v>214</v>
      </c>
      <c r="B7" s="1" t="s">
        <v>215</v>
      </c>
      <c r="C7" s="1">
        <v>4</v>
      </c>
      <c r="D7" s="1">
        <v>296</v>
      </c>
      <c r="E7" s="1">
        <v>80</v>
      </c>
      <c r="F7" s="1">
        <v>135</v>
      </c>
      <c r="G7" s="1">
        <v>28</v>
      </c>
      <c r="H7" s="1">
        <v>3780</v>
      </c>
      <c r="I7" s="1">
        <v>1.84</v>
      </c>
      <c r="J7" s="1">
        <v>216</v>
      </c>
      <c r="K7" s="1">
        <v>14.9975</v>
      </c>
      <c r="L7" s="1">
        <v>140.0241</v>
      </c>
      <c r="M7" s="1">
        <v>229.28620000000001</v>
      </c>
      <c r="N7" s="1" t="s">
        <v>216</v>
      </c>
    </row>
    <row r="8" spans="1:14" ht="22" customHeight="1">
      <c r="A8" s="1" t="s">
        <v>214</v>
      </c>
      <c r="B8" s="1" t="s">
        <v>215</v>
      </c>
      <c r="C8" s="1">
        <v>5</v>
      </c>
      <c r="D8" s="1">
        <v>323</v>
      </c>
      <c r="E8" s="1">
        <v>90</v>
      </c>
      <c r="F8" s="1">
        <v>135</v>
      </c>
      <c r="G8" s="1">
        <v>28</v>
      </c>
      <c r="H8" s="1">
        <v>3780</v>
      </c>
      <c r="I8" s="1">
        <v>3.57</v>
      </c>
      <c r="J8" s="1">
        <v>216</v>
      </c>
      <c r="K8" s="1">
        <v>5.4680999999999997</v>
      </c>
      <c r="L8" s="1">
        <v>140.23439999999999</v>
      </c>
      <c r="M8" s="1">
        <v>229.93289999999999</v>
      </c>
      <c r="N8" s="1" t="s">
        <v>216</v>
      </c>
    </row>
    <row r="9" spans="1:14" ht="22" customHeight="1">
      <c r="A9" s="1" t="s">
        <v>217</v>
      </c>
      <c r="B9" s="1" t="s">
        <v>218</v>
      </c>
      <c r="C9" s="1">
        <v>1</v>
      </c>
      <c r="D9" s="1">
        <v>222.6</v>
      </c>
      <c r="E9" s="1">
        <v>28</v>
      </c>
      <c r="F9" s="1">
        <v>131.94999999999999</v>
      </c>
      <c r="G9" s="1">
        <v>27.6</v>
      </c>
      <c r="H9" s="1">
        <v>3641.8199999999997</v>
      </c>
      <c r="I9" s="1">
        <v>2.12</v>
      </c>
      <c r="J9" s="1">
        <v>78</v>
      </c>
      <c r="K9" s="1">
        <v>10.6006</v>
      </c>
      <c r="L9" s="1">
        <v>91.384399999999999</v>
      </c>
      <c r="M9" s="1">
        <v>149.8827</v>
      </c>
      <c r="N9" s="1" t="s">
        <v>219</v>
      </c>
    </row>
    <row r="10" spans="1:14" ht="22" customHeight="1">
      <c r="A10" s="1" t="s">
        <v>217</v>
      </c>
      <c r="B10" s="1" t="s">
        <v>218</v>
      </c>
      <c r="C10" s="1">
        <v>2</v>
      </c>
      <c r="D10" s="1">
        <v>222.6</v>
      </c>
      <c r="E10" s="1">
        <v>46</v>
      </c>
      <c r="F10" s="1">
        <v>131.94999999999999</v>
      </c>
      <c r="G10" s="1">
        <v>36.799999999999997</v>
      </c>
      <c r="H10" s="1">
        <v>4855.7599999999993</v>
      </c>
      <c r="I10" s="1">
        <v>-0.31</v>
      </c>
      <c r="J10" s="1">
        <v>104</v>
      </c>
      <c r="K10" s="1">
        <v>7.3936999999999999</v>
      </c>
      <c r="L10" s="1">
        <v>90.341800000000006</v>
      </c>
      <c r="M10" s="1">
        <v>159.84039999999999</v>
      </c>
      <c r="N10" s="1" t="s">
        <v>219</v>
      </c>
    </row>
    <row r="11" spans="1:14" ht="22" customHeight="1">
      <c r="A11" s="1" t="s">
        <v>217</v>
      </c>
      <c r="B11" s="1" t="s">
        <v>218</v>
      </c>
      <c r="C11" s="1">
        <v>3</v>
      </c>
      <c r="D11" s="1">
        <v>222.6</v>
      </c>
      <c r="E11" s="1">
        <v>50</v>
      </c>
      <c r="F11" s="1">
        <v>182.7</v>
      </c>
      <c r="G11" s="1">
        <v>36.799999999999997</v>
      </c>
      <c r="H11" s="1">
        <v>6723.3599999999988</v>
      </c>
      <c r="I11" s="1">
        <v>3.71</v>
      </c>
      <c r="J11" s="1">
        <v>144</v>
      </c>
      <c r="K11" s="1">
        <v>5.5891999999999999</v>
      </c>
      <c r="L11" s="1">
        <v>140.1045</v>
      </c>
      <c r="M11" s="1">
        <v>199.99719999999999</v>
      </c>
      <c r="N11" s="1" t="s">
        <v>219</v>
      </c>
    </row>
    <row r="12" spans="1:14" ht="22" customHeight="1">
      <c r="A12" s="1" t="s">
        <v>220</v>
      </c>
      <c r="B12" s="1" t="s">
        <v>221</v>
      </c>
      <c r="C12" s="1">
        <v>1</v>
      </c>
      <c r="D12" s="1">
        <v>293</v>
      </c>
      <c r="E12" s="1">
        <v>7</v>
      </c>
      <c r="F12" s="1">
        <v>193.2</v>
      </c>
      <c r="G12" s="1">
        <v>168</v>
      </c>
      <c r="H12" s="1">
        <v>32457.599999999999</v>
      </c>
      <c r="I12" s="1">
        <v>4.33</v>
      </c>
      <c r="J12" s="1">
        <v>552</v>
      </c>
      <c r="K12" s="1">
        <v>4.4804000000000004</v>
      </c>
      <c r="L12" s="1">
        <v>85.004199999999997</v>
      </c>
      <c r="M12" s="1">
        <v>124.9965</v>
      </c>
      <c r="N12" s="1" t="s">
        <v>222</v>
      </c>
    </row>
    <row r="13" spans="1:14" ht="22" customHeight="1">
      <c r="A13" s="1" t="s">
        <v>223</v>
      </c>
      <c r="B13" s="1" t="s">
        <v>224</v>
      </c>
      <c r="C13" s="1">
        <v>1</v>
      </c>
      <c r="D13" s="1">
        <v>255</v>
      </c>
      <c r="E13" s="1">
        <v>80</v>
      </c>
      <c r="F13" s="1">
        <v>97.5</v>
      </c>
      <c r="G13" s="1">
        <v>26</v>
      </c>
      <c r="H13" s="1">
        <v>2535</v>
      </c>
      <c r="I13" s="1">
        <v>0</v>
      </c>
      <c r="J13" s="1">
        <v>52</v>
      </c>
      <c r="K13" s="1">
        <v>0.89580000000000004</v>
      </c>
      <c r="L13" s="1">
        <v>160.25219999999999</v>
      </c>
      <c r="M13" s="1">
        <v>199.72200000000001</v>
      </c>
      <c r="N13" s="1" t="s">
        <v>225</v>
      </c>
    </row>
    <row r="14" spans="1:14" ht="22" customHeight="1">
      <c r="A14" s="1" t="s">
        <v>223</v>
      </c>
      <c r="B14" s="1" t="s">
        <v>224</v>
      </c>
      <c r="C14" s="1">
        <v>2</v>
      </c>
      <c r="D14" s="1">
        <v>225</v>
      </c>
      <c r="E14" s="1">
        <v>36</v>
      </c>
      <c r="F14" s="1">
        <v>202.5</v>
      </c>
      <c r="G14" s="1">
        <v>117</v>
      </c>
      <c r="H14" s="1">
        <v>23692.5</v>
      </c>
      <c r="I14" s="1">
        <v>0</v>
      </c>
      <c r="J14" s="1">
        <v>486</v>
      </c>
      <c r="K14" s="1">
        <v>5.2484999999999999</v>
      </c>
      <c r="L14" s="1">
        <v>90.086299999999994</v>
      </c>
      <c r="M14" s="1">
        <v>179.57579999999999</v>
      </c>
      <c r="N14" s="1" t="s">
        <v>225</v>
      </c>
    </row>
    <row r="15" spans="1:14" ht="22" customHeight="1">
      <c r="A15" s="1" t="s">
        <v>223</v>
      </c>
      <c r="B15" s="1" t="s">
        <v>224</v>
      </c>
      <c r="C15" s="1">
        <v>3</v>
      </c>
      <c r="D15" s="1">
        <v>225</v>
      </c>
      <c r="E15" s="1">
        <v>36</v>
      </c>
      <c r="F15" s="1">
        <v>37.5</v>
      </c>
      <c r="G15" s="1">
        <v>117</v>
      </c>
      <c r="H15" s="1">
        <v>4387.5</v>
      </c>
      <c r="I15" s="1">
        <v>0</v>
      </c>
      <c r="J15" s="1">
        <v>90</v>
      </c>
      <c r="K15" s="1">
        <v>1.2688999999999999</v>
      </c>
      <c r="L15" s="1">
        <v>90.342600000000004</v>
      </c>
      <c r="M15" s="1">
        <v>178.6995</v>
      </c>
      <c r="N15" s="1" t="s">
        <v>225</v>
      </c>
    </row>
    <row r="16" spans="1:14" ht="22" customHeight="1">
      <c r="A16" s="1" t="s">
        <v>223</v>
      </c>
      <c r="B16" s="1" t="s">
        <v>224</v>
      </c>
      <c r="C16" s="1">
        <v>4</v>
      </c>
      <c r="D16" s="1">
        <v>225</v>
      </c>
      <c r="E16" s="1">
        <v>70</v>
      </c>
      <c r="F16" s="1">
        <v>157.5</v>
      </c>
      <c r="G16" s="1">
        <v>19.5</v>
      </c>
      <c r="H16" s="1">
        <v>3071.25</v>
      </c>
      <c r="I16" s="1">
        <v>1.41</v>
      </c>
      <c r="J16" s="1">
        <v>63</v>
      </c>
      <c r="K16" s="1">
        <v>3.7696999999999998</v>
      </c>
      <c r="L16" s="1">
        <v>160.46780000000001</v>
      </c>
      <c r="M16" s="1">
        <v>199.8278</v>
      </c>
      <c r="N16" s="1" t="s">
        <v>225</v>
      </c>
    </row>
    <row r="17" spans="1:14" ht="22" customHeight="1">
      <c r="A17" s="1" t="s">
        <v>223</v>
      </c>
      <c r="B17" s="1" t="s">
        <v>224</v>
      </c>
      <c r="C17" s="1">
        <v>5</v>
      </c>
      <c r="D17" s="1">
        <v>245</v>
      </c>
      <c r="E17" s="1">
        <v>70</v>
      </c>
      <c r="F17" s="1">
        <v>157.5</v>
      </c>
      <c r="G17" s="1">
        <v>32.5</v>
      </c>
      <c r="H17" s="1">
        <v>5118.75</v>
      </c>
      <c r="I17" s="1">
        <v>20.37</v>
      </c>
      <c r="J17" s="1">
        <v>105</v>
      </c>
      <c r="K17" s="1">
        <v>1.6924999999999999</v>
      </c>
      <c r="L17" s="1">
        <v>90.509600000000006</v>
      </c>
      <c r="M17" s="1">
        <v>177.21960000000001</v>
      </c>
      <c r="N17" s="1" t="s">
        <v>225</v>
      </c>
    </row>
    <row r="18" spans="1:14" ht="22" customHeight="1">
      <c r="A18" s="1" t="s">
        <v>226</v>
      </c>
      <c r="B18" s="1" t="s">
        <v>227</v>
      </c>
      <c r="C18" s="1">
        <v>1</v>
      </c>
      <c r="D18" s="1">
        <v>224</v>
      </c>
      <c r="E18" s="1">
        <v>66</v>
      </c>
      <c r="F18" s="1">
        <v>90</v>
      </c>
      <c r="G18" s="1">
        <v>26.1</v>
      </c>
      <c r="H18" s="1">
        <v>2349</v>
      </c>
      <c r="I18" s="1">
        <v>7.0000000000000007E-2</v>
      </c>
      <c r="J18" s="1">
        <v>162</v>
      </c>
      <c r="K18" s="1">
        <v>3.4371</v>
      </c>
      <c r="L18" s="1">
        <v>180.00890000000001</v>
      </c>
      <c r="M18" s="1">
        <v>269.9461</v>
      </c>
      <c r="N18" s="1" t="s">
        <v>228</v>
      </c>
    </row>
    <row r="19" spans="1:14" ht="22" customHeight="1">
      <c r="A19" s="1" t="s">
        <v>229</v>
      </c>
      <c r="B19" s="1" t="s">
        <v>230</v>
      </c>
      <c r="C19" s="1">
        <v>1</v>
      </c>
      <c r="D19" s="1">
        <v>276</v>
      </c>
      <c r="E19" s="1">
        <v>80</v>
      </c>
      <c r="F19" s="1">
        <v>80</v>
      </c>
      <c r="G19" s="1">
        <v>30</v>
      </c>
      <c r="H19" s="1">
        <v>2400</v>
      </c>
      <c r="I19" s="1">
        <v>0.65</v>
      </c>
      <c r="J19" s="1">
        <v>96</v>
      </c>
      <c r="K19" s="1">
        <v>11.510400000000001</v>
      </c>
      <c r="L19" s="1">
        <v>285.23719999999997</v>
      </c>
      <c r="M19" s="1">
        <v>434.72469999999998</v>
      </c>
      <c r="N19" s="1" t="s">
        <v>231</v>
      </c>
    </row>
    <row r="20" spans="1:14" ht="22" customHeight="1">
      <c r="A20" s="1" t="s">
        <v>229</v>
      </c>
      <c r="B20" s="1" t="s">
        <v>230</v>
      </c>
      <c r="C20" s="1">
        <v>2</v>
      </c>
      <c r="D20" s="1">
        <v>250</v>
      </c>
      <c r="E20" s="1">
        <v>80</v>
      </c>
      <c r="F20" s="1">
        <v>35</v>
      </c>
      <c r="G20" s="1">
        <v>30</v>
      </c>
      <c r="H20" s="1">
        <v>1050</v>
      </c>
      <c r="I20" s="1">
        <v>0.65</v>
      </c>
      <c r="J20" s="1">
        <v>42</v>
      </c>
      <c r="K20" s="1">
        <v>7.2211999999999996</v>
      </c>
      <c r="L20" s="1">
        <v>289.58080000000001</v>
      </c>
      <c r="M20" s="1">
        <v>434.38470000000001</v>
      </c>
      <c r="N20" s="1" t="s">
        <v>231</v>
      </c>
    </row>
    <row r="21" spans="1:14" ht="22" customHeight="1">
      <c r="A21" s="1" t="s">
        <v>229</v>
      </c>
      <c r="B21" s="1" t="s">
        <v>230</v>
      </c>
      <c r="C21" s="1">
        <v>3</v>
      </c>
      <c r="D21" s="1">
        <v>60</v>
      </c>
      <c r="E21" s="1">
        <v>80</v>
      </c>
      <c r="F21" s="1">
        <v>80</v>
      </c>
      <c r="G21" s="1">
        <v>30</v>
      </c>
      <c r="H21" s="1">
        <v>2400</v>
      </c>
      <c r="I21" s="1">
        <v>0.65</v>
      </c>
      <c r="J21" s="1">
        <v>96</v>
      </c>
      <c r="K21" s="1">
        <v>4.8708</v>
      </c>
      <c r="L21" s="1">
        <v>288.21080000000001</v>
      </c>
      <c r="M21" s="1">
        <v>434.9128</v>
      </c>
      <c r="N21" s="1" t="s">
        <v>231</v>
      </c>
    </row>
    <row r="22" spans="1:14" ht="22" customHeight="1">
      <c r="A22" s="1" t="s">
        <v>232</v>
      </c>
      <c r="B22" s="1" t="s">
        <v>233</v>
      </c>
      <c r="C22" s="1">
        <v>1</v>
      </c>
      <c r="D22" s="1">
        <v>28</v>
      </c>
      <c r="E22" s="1">
        <v>85</v>
      </c>
      <c r="F22" s="1">
        <v>55</v>
      </c>
      <c r="G22" s="1">
        <v>40</v>
      </c>
      <c r="H22" s="1">
        <v>2200</v>
      </c>
      <c r="I22" s="1">
        <v>4.04</v>
      </c>
      <c r="J22" s="1">
        <v>88</v>
      </c>
      <c r="K22" s="1">
        <v>1.8831</v>
      </c>
      <c r="L22" s="1">
        <v>9.3799999999999994E-2</v>
      </c>
      <c r="M22" s="1">
        <v>359.40699999999998</v>
      </c>
      <c r="N22" s="1" t="s">
        <v>234</v>
      </c>
    </row>
    <row r="23" spans="1:14" ht="22" customHeight="1">
      <c r="A23" s="1" t="s">
        <v>232</v>
      </c>
      <c r="B23" s="1" t="s">
        <v>233</v>
      </c>
      <c r="C23" s="1">
        <v>2</v>
      </c>
      <c r="D23" s="1">
        <v>60</v>
      </c>
      <c r="E23" s="1">
        <v>85</v>
      </c>
      <c r="F23" s="1">
        <v>190</v>
      </c>
      <c r="G23" s="1">
        <v>40</v>
      </c>
      <c r="H23" s="1">
        <v>7600</v>
      </c>
      <c r="I23" s="1">
        <v>2.04</v>
      </c>
      <c r="J23" s="1">
        <v>304</v>
      </c>
      <c r="K23" s="1">
        <v>11.212199999999999</v>
      </c>
      <c r="L23" s="1">
        <v>9.1200000000000003E-2</v>
      </c>
      <c r="M23" s="1">
        <v>359.84500000000003</v>
      </c>
      <c r="N23" s="1" t="s">
        <v>234</v>
      </c>
    </row>
    <row r="24" spans="1:14" ht="22" customHeight="1">
      <c r="A24" s="1" t="s">
        <v>232</v>
      </c>
      <c r="B24" s="1" t="s">
        <v>233</v>
      </c>
      <c r="C24" s="1">
        <v>3</v>
      </c>
      <c r="D24" s="1">
        <v>25</v>
      </c>
      <c r="E24" s="1">
        <v>75</v>
      </c>
      <c r="F24" s="1">
        <v>160</v>
      </c>
      <c r="G24" s="1">
        <v>40</v>
      </c>
      <c r="H24" s="1">
        <v>6400</v>
      </c>
      <c r="I24" s="1">
        <v>1.89</v>
      </c>
      <c r="J24" s="1">
        <v>256</v>
      </c>
      <c r="K24" s="1">
        <v>8.1818000000000008</v>
      </c>
      <c r="L24" s="1">
        <v>8.2900000000000001E-2</v>
      </c>
      <c r="M24" s="1">
        <v>359.9991</v>
      </c>
      <c r="N24" s="1" t="s">
        <v>234</v>
      </c>
    </row>
    <row r="25" spans="1:14">
      <c r="A25" t="s">
        <v>680</v>
      </c>
      <c r="B25" t="s">
        <v>682</v>
      </c>
      <c r="C25">
        <v>1</v>
      </c>
      <c r="D25" s="36">
        <v>10</v>
      </c>
      <c r="E25" s="36">
        <v>70</v>
      </c>
      <c r="F25" s="36">
        <v>12</v>
      </c>
      <c r="G25" s="36">
        <v>24</v>
      </c>
      <c r="H25" s="36">
        <v>288</v>
      </c>
      <c r="I25" s="36">
        <v>18.72</v>
      </c>
      <c r="J25" s="36">
        <v>32</v>
      </c>
      <c r="K25" s="36">
        <v>1.5427</v>
      </c>
      <c r="N25" t="s">
        <v>1378</v>
      </c>
    </row>
    <row r="26" spans="1:14">
      <c r="A26" t="s">
        <v>680</v>
      </c>
      <c r="B26" t="s">
        <v>682</v>
      </c>
      <c r="C26">
        <v>2</v>
      </c>
      <c r="D26" s="36">
        <v>355</v>
      </c>
      <c r="E26" s="36">
        <v>70</v>
      </c>
      <c r="F26" s="36">
        <v>9</v>
      </c>
      <c r="G26" s="36">
        <v>24</v>
      </c>
      <c r="H26" s="36">
        <v>216</v>
      </c>
      <c r="I26" s="36">
        <v>18.72</v>
      </c>
      <c r="J26" s="36">
        <v>24</v>
      </c>
      <c r="K26" s="36">
        <v>1.7014</v>
      </c>
      <c r="N26" t="s">
        <v>1378</v>
      </c>
    </row>
    <row r="27" spans="1:14">
      <c r="A27" t="s">
        <v>680</v>
      </c>
      <c r="B27" t="s">
        <v>682</v>
      </c>
      <c r="C27">
        <v>3</v>
      </c>
      <c r="D27" s="36">
        <v>5</v>
      </c>
      <c r="E27" s="36">
        <v>70</v>
      </c>
      <c r="F27" s="36">
        <v>9</v>
      </c>
      <c r="G27" s="36">
        <v>24</v>
      </c>
      <c r="H27" s="36">
        <v>216</v>
      </c>
      <c r="I27" s="36">
        <v>18.72</v>
      </c>
      <c r="J27" s="36">
        <v>24</v>
      </c>
      <c r="K27" s="36">
        <v>1.0849</v>
      </c>
      <c r="N27" t="s">
        <v>1378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3" width="42" customWidth="1"/>
    <col min="4" max="4" width="85" customWidth="1"/>
    <col min="5" max="5" width="22" customWidth="1"/>
    <col min="6" max="6" width="30" customWidth="1"/>
    <col min="7" max="11" width="22" customWidth="1"/>
    <col min="12" max="12" width="46" customWidth="1"/>
    <col min="13" max="17" width="22" customWidth="1"/>
    <col min="18" max="19" width="65" customWidth="1"/>
  </cols>
  <sheetData>
    <row r="1" spans="1:19" ht="58" customHeight="1">
      <c r="A1" s="18" t="s">
        <v>194</v>
      </c>
      <c r="B1" s="18" t="s">
        <v>235</v>
      </c>
      <c r="C1" s="18" t="s">
        <v>236</v>
      </c>
      <c r="D1" s="18" t="s">
        <v>237</v>
      </c>
      <c r="E1" s="18" t="s">
        <v>195</v>
      </c>
      <c r="F1" s="18" t="s">
        <v>238</v>
      </c>
      <c r="G1" s="18" t="s">
        <v>239</v>
      </c>
      <c r="H1" s="18" t="s">
        <v>240</v>
      </c>
      <c r="I1" s="18" t="s">
        <v>241</v>
      </c>
      <c r="J1" s="18" t="s">
        <v>242</v>
      </c>
      <c r="K1" s="18" t="s">
        <v>243</v>
      </c>
      <c r="L1" s="18" t="s">
        <v>244</v>
      </c>
      <c r="M1" s="18" t="s">
        <v>245</v>
      </c>
      <c r="N1" s="18" t="s">
        <v>246</v>
      </c>
      <c r="O1" s="18" t="s">
        <v>247</v>
      </c>
      <c r="P1" s="18" t="s">
        <v>248</v>
      </c>
      <c r="Q1" s="18" t="s">
        <v>249</v>
      </c>
      <c r="R1" s="18" t="s">
        <v>250</v>
      </c>
      <c r="S1" s="18" t="s">
        <v>251</v>
      </c>
    </row>
    <row r="2" spans="1:19" ht="95" customHeight="1">
      <c r="A2" s="17" t="s">
        <v>252</v>
      </c>
      <c r="B2" s="19" t="s">
        <v>253</v>
      </c>
      <c r="C2" s="19" t="s">
        <v>254</v>
      </c>
      <c r="D2" s="19" t="s">
        <v>255</v>
      </c>
      <c r="E2" s="17" t="s">
        <v>256</v>
      </c>
      <c r="F2" s="20">
        <v>20079.830898495369</v>
      </c>
      <c r="G2" s="17">
        <v>6.4</v>
      </c>
      <c r="H2" s="17" t="s">
        <v>257</v>
      </c>
      <c r="I2" s="17">
        <v>40.845999999999997</v>
      </c>
      <c r="J2" s="17">
        <v>-123.893</v>
      </c>
      <c r="K2" s="17">
        <v>15</v>
      </c>
      <c r="L2" s="19"/>
      <c r="M2" s="21"/>
      <c r="N2" s="19" t="s">
        <v>258</v>
      </c>
      <c r="O2" s="19" t="s">
        <v>259</v>
      </c>
      <c r="P2" s="19">
        <v>29.63</v>
      </c>
      <c r="Q2" s="19">
        <v>1</v>
      </c>
      <c r="R2" s="19" t="s">
        <v>260</v>
      </c>
      <c r="S2" s="19" t="s">
        <v>261</v>
      </c>
    </row>
    <row r="3" spans="1:19" ht="95" customHeight="1">
      <c r="A3" s="17" t="s">
        <v>262</v>
      </c>
      <c r="B3" s="19" t="s">
        <v>263</v>
      </c>
      <c r="C3" s="19" t="s">
        <v>254</v>
      </c>
      <c r="D3" s="19" t="s">
        <v>255</v>
      </c>
      <c r="E3" s="17" t="s">
        <v>264</v>
      </c>
      <c r="F3" s="20">
        <v>25973.58381851852</v>
      </c>
      <c r="G3" s="17">
        <v>6.6</v>
      </c>
      <c r="H3" s="17" t="s">
        <v>257</v>
      </c>
      <c r="I3" s="17">
        <v>34.415999999999997</v>
      </c>
      <c r="J3" s="17">
        <v>-118.37</v>
      </c>
      <c r="K3" s="17">
        <v>8.9499999999999993</v>
      </c>
      <c r="L3" s="19" t="s">
        <v>265</v>
      </c>
      <c r="M3" s="21">
        <v>4.54</v>
      </c>
      <c r="N3" s="19" t="s">
        <v>266</v>
      </c>
      <c r="O3" s="19" t="s">
        <v>267</v>
      </c>
      <c r="P3" s="19">
        <v>41.92</v>
      </c>
      <c r="Q3" s="19">
        <v>1</v>
      </c>
      <c r="R3" s="19" t="s">
        <v>260</v>
      </c>
      <c r="S3" s="19" t="s">
        <v>268</v>
      </c>
    </row>
    <row r="4" spans="1:19" ht="95" customHeight="1">
      <c r="A4" s="17" t="s">
        <v>269</v>
      </c>
      <c r="B4" s="19" t="s">
        <v>270</v>
      </c>
      <c r="C4" s="19" t="s">
        <v>254</v>
      </c>
      <c r="D4" s="19" t="s">
        <v>255</v>
      </c>
      <c r="E4" s="17" t="s">
        <v>271</v>
      </c>
      <c r="F4" s="20">
        <v>28749.649960648148</v>
      </c>
      <c r="G4" s="17">
        <v>7.4</v>
      </c>
      <c r="H4" s="17" t="s">
        <v>272</v>
      </c>
      <c r="I4" s="17">
        <v>33.386000000000003</v>
      </c>
      <c r="J4" s="17">
        <v>57.433999999999997</v>
      </c>
      <c r="K4" s="17">
        <v>33</v>
      </c>
      <c r="L4" s="19" t="s">
        <v>273</v>
      </c>
      <c r="M4" s="21">
        <v>21.63</v>
      </c>
      <c r="N4" s="19" t="s">
        <v>274</v>
      </c>
      <c r="O4" s="19" t="s">
        <v>275</v>
      </c>
      <c r="P4" s="19"/>
      <c r="Q4" s="19">
        <v>1</v>
      </c>
      <c r="R4" s="19" t="s">
        <v>260</v>
      </c>
      <c r="S4" s="19" t="s">
        <v>276</v>
      </c>
    </row>
    <row r="5" spans="1:19" ht="95" customHeight="1">
      <c r="A5" s="17" t="s">
        <v>277</v>
      </c>
      <c r="B5" s="19" t="s">
        <v>278</v>
      </c>
      <c r="C5" s="19" t="s">
        <v>254</v>
      </c>
      <c r="D5" s="19" t="s">
        <v>255</v>
      </c>
      <c r="E5" s="17" t="s">
        <v>279</v>
      </c>
      <c r="F5" s="20">
        <v>29073.712070949074</v>
      </c>
      <c r="G5" s="17">
        <v>5.8</v>
      </c>
      <c r="H5" s="17" t="s">
        <v>280</v>
      </c>
      <c r="I5" s="17">
        <v>37.103833299999998</v>
      </c>
      <c r="J5" s="17">
        <v>-121.51233329999999</v>
      </c>
      <c r="K5" s="17">
        <v>8.3149999999999995</v>
      </c>
      <c r="L5" s="19" t="s">
        <v>281</v>
      </c>
      <c r="M5" s="21">
        <v>4.75</v>
      </c>
      <c r="N5" s="19" t="s">
        <v>282</v>
      </c>
      <c r="O5" s="19" t="s">
        <v>283</v>
      </c>
      <c r="P5" s="19">
        <v>22.93</v>
      </c>
      <c r="Q5" s="19">
        <v>1</v>
      </c>
      <c r="R5" s="19" t="s">
        <v>260</v>
      </c>
      <c r="S5" s="19" t="s">
        <v>284</v>
      </c>
    </row>
    <row r="6" spans="1:19" ht="95" customHeight="1">
      <c r="A6" s="17" t="s">
        <v>285</v>
      </c>
      <c r="B6" s="19" t="s">
        <v>286</v>
      </c>
      <c r="C6" s="19" t="s">
        <v>254</v>
      </c>
      <c r="D6" s="19" t="s">
        <v>255</v>
      </c>
      <c r="E6" s="17" t="s">
        <v>287</v>
      </c>
      <c r="F6" s="20">
        <v>29143.970068402778</v>
      </c>
      <c r="G6" s="17">
        <v>6.4</v>
      </c>
      <c r="H6" s="17" t="s">
        <v>257</v>
      </c>
      <c r="I6" s="17">
        <v>32.667333300000003</v>
      </c>
      <c r="J6" s="17">
        <v>-115.3591667</v>
      </c>
      <c r="K6" s="17">
        <v>15</v>
      </c>
      <c r="L6" s="19" t="s">
        <v>288</v>
      </c>
      <c r="M6" s="21">
        <v>5.53</v>
      </c>
      <c r="N6" s="19" t="s">
        <v>289</v>
      </c>
      <c r="O6" s="19" t="s">
        <v>290</v>
      </c>
      <c r="P6" s="19">
        <v>53.91</v>
      </c>
      <c r="Q6" s="19">
        <v>1</v>
      </c>
      <c r="R6" s="19" t="s">
        <v>260</v>
      </c>
      <c r="S6" s="19" t="s">
        <v>291</v>
      </c>
    </row>
    <row r="7" spans="1:19" ht="95" customHeight="1">
      <c r="A7" s="17" t="s">
        <v>292</v>
      </c>
      <c r="B7" s="19" t="s">
        <v>293</v>
      </c>
      <c r="C7" s="19" t="s">
        <v>254</v>
      </c>
      <c r="D7" s="19" t="s">
        <v>255</v>
      </c>
      <c r="E7" s="17" t="s">
        <v>294</v>
      </c>
      <c r="F7" s="20">
        <v>29143.971874768518</v>
      </c>
      <c r="G7" s="17">
        <v>5.2</v>
      </c>
      <c r="H7" s="17" t="s">
        <v>295</v>
      </c>
      <c r="I7" s="17">
        <v>32.765999999999998</v>
      </c>
      <c r="J7" s="17">
        <v>-115.441</v>
      </c>
      <c r="K7" s="17">
        <v>9.25</v>
      </c>
      <c r="L7" s="19"/>
      <c r="M7" s="21"/>
      <c r="N7" s="19" t="s">
        <v>289</v>
      </c>
      <c r="O7" s="19" t="s">
        <v>296</v>
      </c>
      <c r="P7" s="19">
        <v>29.98</v>
      </c>
      <c r="Q7" s="19">
        <v>9</v>
      </c>
      <c r="R7" s="19" t="s">
        <v>260</v>
      </c>
      <c r="S7" s="19" t="s">
        <v>297</v>
      </c>
    </row>
    <row r="8" spans="1:19" ht="95" customHeight="1">
      <c r="A8" s="17" t="s">
        <v>298</v>
      </c>
      <c r="B8" s="19" t="s">
        <v>299</v>
      </c>
      <c r="C8" s="19" t="s">
        <v>254</v>
      </c>
      <c r="D8" s="19" t="s">
        <v>255</v>
      </c>
      <c r="E8" s="17" t="s">
        <v>300</v>
      </c>
      <c r="F8" s="20">
        <v>28960.26370486111</v>
      </c>
      <c r="G8" s="17">
        <v>6.9</v>
      </c>
      <c r="H8" s="17" t="s">
        <v>272</v>
      </c>
      <c r="I8" s="17">
        <v>42.095999999999997</v>
      </c>
      <c r="J8" s="17">
        <v>19.209</v>
      </c>
      <c r="K8" s="17">
        <v>10</v>
      </c>
      <c r="L8" s="19" t="s">
        <v>301</v>
      </c>
      <c r="M8" s="21">
        <v>6.23</v>
      </c>
      <c r="N8" s="19" t="s">
        <v>302</v>
      </c>
      <c r="O8" s="19" t="s">
        <v>303</v>
      </c>
      <c r="P8" s="19">
        <v>44.1</v>
      </c>
      <c r="Q8" s="19">
        <v>1</v>
      </c>
      <c r="R8" s="19" t="s">
        <v>260</v>
      </c>
      <c r="S8" s="19" t="s">
        <v>304</v>
      </c>
    </row>
    <row r="9" spans="1:19" ht="95" customHeight="1">
      <c r="A9" s="17" t="s">
        <v>305</v>
      </c>
      <c r="B9" s="19" t="s">
        <v>306</v>
      </c>
      <c r="C9" s="19" t="s">
        <v>254</v>
      </c>
      <c r="D9" s="19" t="s">
        <v>255</v>
      </c>
      <c r="E9" s="17" t="s">
        <v>307</v>
      </c>
      <c r="F9" s="20">
        <v>29548.774233796295</v>
      </c>
      <c r="G9" s="17">
        <v>6.9</v>
      </c>
      <c r="H9" s="17" t="s">
        <v>272</v>
      </c>
      <c r="I9" s="17">
        <v>40.914000000000001</v>
      </c>
      <c r="J9" s="17">
        <v>15.366</v>
      </c>
      <c r="K9" s="17">
        <v>10</v>
      </c>
      <c r="L9" s="19" t="s">
        <v>308</v>
      </c>
      <c r="M9" s="21">
        <v>12.26</v>
      </c>
      <c r="N9" s="19" t="s">
        <v>309</v>
      </c>
      <c r="O9" s="19" t="s">
        <v>310</v>
      </c>
      <c r="P9" s="19">
        <v>-3546.2</v>
      </c>
      <c r="Q9" s="19">
        <v>1</v>
      </c>
      <c r="R9" s="19" t="s">
        <v>260</v>
      </c>
      <c r="S9" s="19" t="s">
        <v>311</v>
      </c>
    </row>
    <row r="10" spans="1:19" ht="95" customHeight="1">
      <c r="A10" s="17" t="s">
        <v>312</v>
      </c>
      <c r="B10" s="19" t="s">
        <v>313</v>
      </c>
      <c r="C10" s="19" t="s">
        <v>254</v>
      </c>
      <c r="D10" s="19" t="s">
        <v>255</v>
      </c>
      <c r="E10" s="17" t="s">
        <v>314</v>
      </c>
      <c r="F10" s="20">
        <v>29368.618713078704</v>
      </c>
      <c r="G10" s="17">
        <v>6.2</v>
      </c>
      <c r="H10" s="17" t="s">
        <v>280</v>
      </c>
      <c r="I10" s="17">
        <v>37.503333300000001</v>
      </c>
      <c r="J10" s="17">
        <v>-118.80549999999999</v>
      </c>
      <c r="K10" s="17">
        <v>13.795</v>
      </c>
      <c r="L10" s="19"/>
      <c r="M10" s="21"/>
      <c r="N10" s="19" t="s">
        <v>315</v>
      </c>
      <c r="O10" s="19" t="s">
        <v>316</v>
      </c>
      <c r="P10" s="19">
        <v>-3.19</v>
      </c>
      <c r="Q10" s="19">
        <v>2</v>
      </c>
      <c r="R10" s="19" t="s">
        <v>260</v>
      </c>
      <c r="S10" s="19" t="s">
        <v>317</v>
      </c>
    </row>
    <row r="11" spans="1:19" ht="95" customHeight="1">
      <c r="A11" s="17" t="s">
        <v>318</v>
      </c>
      <c r="B11" s="19" t="s">
        <v>319</v>
      </c>
      <c r="C11" s="19" t="s">
        <v>254</v>
      </c>
      <c r="D11" s="19" t="s">
        <v>255</v>
      </c>
      <c r="E11" s="17" t="s">
        <v>320</v>
      </c>
      <c r="F11" s="20">
        <v>29702.506577430555</v>
      </c>
      <c r="G11" s="17">
        <v>5.75</v>
      </c>
      <c r="H11" s="17" t="s">
        <v>280</v>
      </c>
      <c r="I11" s="17">
        <v>33.095500000000001</v>
      </c>
      <c r="J11" s="17">
        <v>-115.6245</v>
      </c>
      <c r="K11" s="17">
        <v>18.904</v>
      </c>
      <c r="L11" s="19" t="s">
        <v>321</v>
      </c>
      <c r="M11" s="21">
        <v>0.65</v>
      </c>
      <c r="N11" s="19" t="s">
        <v>322</v>
      </c>
      <c r="O11" s="19" t="s">
        <v>323</v>
      </c>
      <c r="P11" s="19">
        <v>28.29</v>
      </c>
      <c r="Q11" s="19">
        <v>1</v>
      </c>
      <c r="R11" s="19" t="s">
        <v>260</v>
      </c>
      <c r="S11" s="19" t="s">
        <v>324</v>
      </c>
    </row>
    <row r="12" spans="1:19" ht="95" customHeight="1">
      <c r="A12" s="17" t="s">
        <v>325</v>
      </c>
      <c r="B12" s="19" t="s">
        <v>326</v>
      </c>
      <c r="C12" s="19" t="s">
        <v>254</v>
      </c>
      <c r="D12" s="19" t="s">
        <v>255</v>
      </c>
      <c r="E12" s="17" t="s">
        <v>327</v>
      </c>
      <c r="F12" s="20">
        <v>30445.117494675927</v>
      </c>
      <c r="G12" s="17">
        <v>5.2</v>
      </c>
      <c r="H12" s="17" t="s">
        <v>280</v>
      </c>
      <c r="I12" s="17">
        <v>36.246333300000003</v>
      </c>
      <c r="J12" s="17">
        <v>-120.30083329999999</v>
      </c>
      <c r="K12" s="17">
        <v>12.916</v>
      </c>
      <c r="L12" s="19"/>
      <c r="M12" s="21"/>
      <c r="N12" s="19" t="s">
        <v>328</v>
      </c>
      <c r="O12" s="19" t="s">
        <v>329</v>
      </c>
      <c r="P12" s="19">
        <v>11.54</v>
      </c>
      <c r="Q12" s="19">
        <v>1</v>
      </c>
      <c r="R12" s="19" t="s">
        <v>260</v>
      </c>
      <c r="S12" s="19" t="s">
        <v>330</v>
      </c>
    </row>
    <row r="13" spans="1:19" ht="95" customHeight="1">
      <c r="A13" s="17" t="s">
        <v>331</v>
      </c>
      <c r="B13" s="19" t="s">
        <v>332</v>
      </c>
      <c r="C13" s="19" t="s">
        <v>254</v>
      </c>
      <c r="D13" s="19" t="s">
        <v>255</v>
      </c>
      <c r="E13" s="17" t="s">
        <v>333</v>
      </c>
      <c r="F13" s="20">
        <v>30519.111041203705</v>
      </c>
      <c r="G13" s="17">
        <v>5.37</v>
      </c>
      <c r="H13" s="17" t="s">
        <v>334</v>
      </c>
      <c r="I13" s="17">
        <v>36.235666700000003</v>
      </c>
      <c r="J13" s="17">
        <v>-120.41383329999999</v>
      </c>
      <c r="K13" s="17">
        <v>7.2649999999999997</v>
      </c>
      <c r="L13" s="19"/>
      <c r="M13" s="21"/>
      <c r="N13" s="19" t="s">
        <v>335</v>
      </c>
      <c r="O13" s="19" t="s">
        <v>336</v>
      </c>
      <c r="P13" s="19">
        <v>53.96</v>
      </c>
      <c r="Q13" s="19">
        <v>1</v>
      </c>
      <c r="R13" s="19" t="s">
        <v>260</v>
      </c>
      <c r="S13" s="19" t="s">
        <v>337</v>
      </c>
    </row>
    <row r="14" spans="1:19" ht="95" customHeight="1">
      <c r="A14" s="17" t="s">
        <v>338</v>
      </c>
      <c r="B14" s="19" t="s">
        <v>339</v>
      </c>
      <c r="C14" s="19" t="s">
        <v>254</v>
      </c>
      <c r="D14" s="19" t="s">
        <v>255</v>
      </c>
      <c r="E14" s="17" t="s">
        <v>340</v>
      </c>
      <c r="F14" s="20">
        <v>30522.938651388889</v>
      </c>
      <c r="G14" s="17">
        <v>5.04</v>
      </c>
      <c r="H14" s="17" t="s">
        <v>341</v>
      </c>
      <c r="I14" s="17">
        <v>36.224499999999999</v>
      </c>
      <c r="J14" s="17">
        <v>-120.4023333</v>
      </c>
      <c r="K14" s="17">
        <v>8.2149999999999999</v>
      </c>
      <c r="L14" s="19"/>
      <c r="M14" s="21"/>
      <c r="N14" s="19" t="s">
        <v>342</v>
      </c>
      <c r="O14" s="19" t="s">
        <v>343</v>
      </c>
      <c r="P14" s="19">
        <v>39.479999999999997</v>
      </c>
      <c r="Q14" s="19">
        <v>1</v>
      </c>
      <c r="R14" s="19" t="s">
        <v>260</v>
      </c>
      <c r="S14" s="19" t="s">
        <v>344</v>
      </c>
    </row>
    <row r="15" spans="1:19" ht="95" customHeight="1">
      <c r="A15" s="17" t="s">
        <v>345</v>
      </c>
      <c r="B15" s="19" t="s">
        <v>346</v>
      </c>
      <c r="C15" s="19" t="s">
        <v>254</v>
      </c>
      <c r="D15" s="19" t="s">
        <v>255</v>
      </c>
      <c r="E15" s="17" t="s">
        <v>347</v>
      </c>
      <c r="F15" s="20">
        <v>30796.885633796297</v>
      </c>
      <c r="G15" s="17">
        <v>6.2</v>
      </c>
      <c r="H15" s="17" t="s">
        <v>280</v>
      </c>
      <c r="I15" s="17">
        <v>37.309666700000001</v>
      </c>
      <c r="J15" s="17">
        <v>-121.67883329999999</v>
      </c>
      <c r="K15" s="17">
        <v>8.1929999999999996</v>
      </c>
      <c r="L15" s="19" t="s">
        <v>348</v>
      </c>
      <c r="M15" s="21">
        <v>1.49</v>
      </c>
      <c r="N15" s="19" t="s">
        <v>349</v>
      </c>
      <c r="O15" s="19" t="s">
        <v>350</v>
      </c>
      <c r="P15" s="19">
        <v>18.760000000000002</v>
      </c>
      <c r="Q15" s="19">
        <v>1</v>
      </c>
      <c r="R15" s="19" t="s">
        <v>260</v>
      </c>
      <c r="S15" s="19" t="s">
        <v>351</v>
      </c>
    </row>
    <row r="16" spans="1:19" ht="95" customHeight="1">
      <c r="A16" s="17" t="s">
        <v>352</v>
      </c>
      <c r="B16" s="19" t="s">
        <v>353</v>
      </c>
      <c r="C16" s="19" t="s">
        <v>254</v>
      </c>
      <c r="D16" s="19" t="s">
        <v>255</v>
      </c>
      <c r="E16" s="17" t="s">
        <v>354</v>
      </c>
      <c r="F16" s="20">
        <v>31670.487128009259</v>
      </c>
      <c r="G16" s="17">
        <v>4.9000000000000004</v>
      </c>
      <c r="H16" s="17" t="s">
        <v>355</v>
      </c>
      <c r="I16" s="17">
        <v>36.93</v>
      </c>
      <c r="J16" s="17">
        <v>22.175000000000001</v>
      </c>
      <c r="K16" s="17">
        <v>10</v>
      </c>
      <c r="L16" s="19" t="s">
        <v>356</v>
      </c>
      <c r="M16" s="21">
        <v>18.95</v>
      </c>
      <c r="N16" s="19" t="s">
        <v>357</v>
      </c>
      <c r="O16" s="19" t="s">
        <v>358</v>
      </c>
      <c r="P16" s="19">
        <v>27.86</v>
      </c>
      <c r="Q16" s="19">
        <v>1</v>
      </c>
      <c r="R16" s="19" t="s">
        <v>260</v>
      </c>
      <c r="S16" s="19" t="s">
        <v>359</v>
      </c>
    </row>
    <row r="17" spans="1:19" ht="95" customHeight="1">
      <c r="A17" s="17" t="s">
        <v>360</v>
      </c>
      <c r="B17" s="19" t="s">
        <v>361</v>
      </c>
      <c r="C17" s="19" t="s">
        <v>254</v>
      </c>
      <c r="D17" s="19" t="s">
        <v>255</v>
      </c>
      <c r="E17" s="17" t="s">
        <v>362</v>
      </c>
      <c r="F17" s="20">
        <v>31601.38940462963</v>
      </c>
      <c r="G17" s="17">
        <v>6</v>
      </c>
      <c r="H17" s="17" t="s">
        <v>257</v>
      </c>
      <c r="I17" s="17">
        <v>33.999000000000002</v>
      </c>
      <c r="J17" s="17">
        <v>-116.608</v>
      </c>
      <c r="K17" s="17">
        <v>9.468</v>
      </c>
      <c r="L17" s="19"/>
      <c r="M17" s="21"/>
      <c r="N17" s="19" t="s">
        <v>363</v>
      </c>
      <c r="O17" s="19" t="s">
        <v>364</v>
      </c>
      <c r="P17" s="19">
        <v>44.56</v>
      </c>
      <c r="Q17" s="19">
        <v>1</v>
      </c>
      <c r="R17" s="19" t="s">
        <v>260</v>
      </c>
      <c r="S17" s="19" t="s">
        <v>365</v>
      </c>
    </row>
    <row r="18" spans="1:19" ht="95" customHeight="1">
      <c r="A18" s="17" t="s">
        <v>366</v>
      </c>
      <c r="B18" s="19" t="s">
        <v>367</v>
      </c>
      <c r="C18" s="19" t="s">
        <v>254</v>
      </c>
      <c r="D18" s="19" t="s">
        <v>255</v>
      </c>
      <c r="E18" s="17" t="s">
        <v>368</v>
      </c>
      <c r="F18" s="20">
        <v>31695.742640046297</v>
      </c>
      <c r="G18" s="17">
        <v>5.7</v>
      </c>
      <c r="H18" s="17" t="s">
        <v>257</v>
      </c>
      <c r="I18" s="17">
        <v>13.827</v>
      </c>
      <c r="J18" s="17">
        <v>-89.117999999999995</v>
      </c>
      <c r="K18" s="17">
        <v>7</v>
      </c>
      <c r="L18" s="19" t="s">
        <v>369</v>
      </c>
      <c r="M18" s="21">
        <v>23.32</v>
      </c>
      <c r="N18" s="19" t="s">
        <v>370</v>
      </c>
      <c r="O18" s="19" t="s">
        <v>371</v>
      </c>
      <c r="P18" s="19">
        <v>24.1</v>
      </c>
      <c r="Q18" s="19">
        <v>1</v>
      </c>
      <c r="R18" s="19" t="s">
        <v>260</v>
      </c>
      <c r="S18" s="19" t="s">
        <v>372</v>
      </c>
    </row>
    <row r="19" spans="1:19" ht="95" customHeight="1">
      <c r="A19" s="17" t="s">
        <v>373</v>
      </c>
      <c r="B19" s="19" t="s">
        <v>374</v>
      </c>
      <c r="C19" s="19" t="s">
        <v>254</v>
      </c>
      <c r="D19" s="19" t="s">
        <v>255</v>
      </c>
      <c r="E19" s="17" t="s">
        <v>375</v>
      </c>
      <c r="F19" s="20">
        <v>31552.226237962965</v>
      </c>
      <c r="G19" s="17">
        <v>6.2</v>
      </c>
      <c r="H19" s="17" t="s">
        <v>257</v>
      </c>
      <c r="I19" s="17">
        <v>24.125</v>
      </c>
      <c r="J19" s="17">
        <v>121.619</v>
      </c>
      <c r="K19" s="17">
        <v>19.3</v>
      </c>
      <c r="L19" s="19"/>
      <c r="M19" s="21"/>
      <c r="N19" s="19" t="s">
        <v>376</v>
      </c>
      <c r="O19" s="19" t="s">
        <v>377</v>
      </c>
      <c r="P19" s="19">
        <v>46.96</v>
      </c>
      <c r="Q19" s="19">
        <v>1</v>
      </c>
      <c r="R19" s="19" t="s">
        <v>260</v>
      </c>
      <c r="S19" s="19" t="s">
        <v>378</v>
      </c>
    </row>
    <row r="20" spans="1:19" ht="95" customHeight="1">
      <c r="A20" s="17" t="s">
        <v>379</v>
      </c>
      <c r="B20" s="19" t="s">
        <v>380</v>
      </c>
      <c r="C20" s="19" t="s">
        <v>254</v>
      </c>
      <c r="D20" s="19" t="s">
        <v>255</v>
      </c>
      <c r="E20" s="17" t="s">
        <v>381</v>
      </c>
      <c r="F20" s="20">
        <v>32105.552739699073</v>
      </c>
      <c r="G20" s="17">
        <v>6.6</v>
      </c>
      <c r="H20" s="17" t="s">
        <v>257</v>
      </c>
      <c r="I20" s="17">
        <v>33.015000000000001</v>
      </c>
      <c r="J20" s="17">
        <v>-115.852</v>
      </c>
      <c r="K20" s="17">
        <v>11.180999999999999</v>
      </c>
      <c r="L20" s="19" t="s">
        <v>382</v>
      </c>
      <c r="M20" s="21">
        <v>2.08</v>
      </c>
      <c r="N20" s="19" t="s">
        <v>383</v>
      </c>
      <c r="O20" s="19" t="s">
        <v>384</v>
      </c>
      <c r="P20" s="19">
        <v>-3.29</v>
      </c>
      <c r="Q20" s="19">
        <v>2</v>
      </c>
      <c r="R20" s="19" t="s">
        <v>260</v>
      </c>
      <c r="S20" s="19" t="s">
        <v>385</v>
      </c>
    </row>
    <row r="21" spans="1:19" ht="95" customHeight="1">
      <c r="A21" s="17" t="s">
        <v>386</v>
      </c>
      <c r="B21" s="19" t="s">
        <v>387</v>
      </c>
      <c r="C21" s="19" t="s">
        <v>254</v>
      </c>
      <c r="D21" s="19" t="s">
        <v>255</v>
      </c>
      <c r="E21" s="17" t="s">
        <v>388</v>
      </c>
      <c r="F21" s="20">
        <v>32051.612731712961</v>
      </c>
      <c r="G21" s="17">
        <v>5.9</v>
      </c>
      <c r="H21" s="17" t="s">
        <v>257</v>
      </c>
      <c r="I21" s="17">
        <v>34.061</v>
      </c>
      <c r="J21" s="17">
        <v>-118.07899999999999</v>
      </c>
      <c r="K21" s="17">
        <v>14.6</v>
      </c>
      <c r="L21" s="19"/>
      <c r="M21" s="21"/>
      <c r="N21" s="19" t="s">
        <v>389</v>
      </c>
      <c r="O21" s="19" t="s">
        <v>390</v>
      </c>
      <c r="P21" s="19">
        <v>20.02</v>
      </c>
      <c r="Q21" s="19">
        <v>1</v>
      </c>
      <c r="R21" s="19" t="s">
        <v>260</v>
      </c>
      <c r="S21" s="19" t="s">
        <v>391</v>
      </c>
    </row>
    <row r="22" spans="1:19" ht="95" customHeight="1">
      <c r="A22" s="17" t="s">
        <v>392</v>
      </c>
      <c r="B22" s="19" t="s">
        <v>393</v>
      </c>
      <c r="C22" s="19" t="s">
        <v>254</v>
      </c>
      <c r="D22" s="19" t="s">
        <v>255</v>
      </c>
      <c r="E22" s="17" t="s">
        <v>394</v>
      </c>
      <c r="F22" s="20">
        <v>32799.002953587966</v>
      </c>
      <c r="G22" s="17">
        <v>6.9</v>
      </c>
      <c r="H22" s="17" t="s">
        <v>257</v>
      </c>
      <c r="I22" s="17">
        <v>37.036166700000003</v>
      </c>
      <c r="J22" s="17">
        <v>-121.8798333</v>
      </c>
      <c r="K22" s="17">
        <v>17.213999999999999</v>
      </c>
      <c r="L22" s="19" t="s">
        <v>395</v>
      </c>
      <c r="M22" s="21">
        <v>0.56999999999999995</v>
      </c>
      <c r="N22" s="19" t="s">
        <v>396</v>
      </c>
      <c r="O22" s="19" t="s">
        <v>397</v>
      </c>
      <c r="P22" s="19">
        <v>-44.81</v>
      </c>
      <c r="Q22" s="19">
        <v>1</v>
      </c>
      <c r="R22" s="19" t="s">
        <v>260</v>
      </c>
      <c r="S22" s="19" t="s">
        <v>398</v>
      </c>
    </row>
    <row r="23" spans="1:19" ht="95" customHeight="1">
      <c r="A23" s="17" t="s">
        <v>399</v>
      </c>
      <c r="B23" s="19" t="s">
        <v>400</v>
      </c>
      <c r="C23" s="19" t="s">
        <v>254</v>
      </c>
      <c r="D23" s="19" t="s">
        <v>255</v>
      </c>
      <c r="E23" s="17" t="s">
        <v>401</v>
      </c>
      <c r="F23" s="20">
        <v>33719.754226620367</v>
      </c>
      <c r="G23" s="17">
        <v>7.2</v>
      </c>
      <c r="H23" s="17" t="s">
        <v>257</v>
      </c>
      <c r="I23" s="17">
        <v>40.335333300000002</v>
      </c>
      <c r="J23" s="17">
        <v>-124.22866670000001</v>
      </c>
      <c r="K23" s="17">
        <v>9.8559999999999999</v>
      </c>
      <c r="L23" s="19" t="s">
        <v>402</v>
      </c>
      <c r="M23" s="21">
        <v>1</v>
      </c>
      <c r="N23" s="19" t="s">
        <v>403</v>
      </c>
      <c r="O23" s="19" t="s">
        <v>404</v>
      </c>
      <c r="P23" s="19">
        <v>5.18</v>
      </c>
      <c r="Q23" s="19">
        <v>3</v>
      </c>
      <c r="R23" s="19" t="s">
        <v>260</v>
      </c>
      <c r="S23" s="19" t="s">
        <v>405</v>
      </c>
    </row>
    <row r="24" spans="1:19" ht="95" customHeight="1">
      <c r="A24" s="17" t="s">
        <v>406</v>
      </c>
      <c r="B24" s="19" t="s">
        <v>407</v>
      </c>
      <c r="C24" s="19" t="s">
        <v>254</v>
      </c>
      <c r="D24" s="19" t="s">
        <v>255</v>
      </c>
      <c r="E24" s="17" t="s">
        <v>408</v>
      </c>
      <c r="F24" s="20">
        <v>33717.201657754631</v>
      </c>
      <c r="G24" s="17">
        <v>6.1</v>
      </c>
      <c r="H24" s="17" t="s">
        <v>257</v>
      </c>
      <c r="I24" s="17">
        <v>33.96</v>
      </c>
      <c r="J24" s="17">
        <v>-116.31699999999999</v>
      </c>
      <c r="K24" s="17">
        <v>11.629</v>
      </c>
      <c r="L24" s="19"/>
      <c r="M24" s="21"/>
      <c r="N24" s="19" t="s">
        <v>409</v>
      </c>
      <c r="O24" s="19" t="s">
        <v>410</v>
      </c>
      <c r="P24" s="19">
        <v>23.23</v>
      </c>
      <c r="Q24" s="19">
        <v>1</v>
      </c>
      <c r="R24" s="19" t="s">
        <v>260</v>
      </c>
      <c r="S24" s="19" t="s">
        <v>411</v>
      </c>
    </row>
    <row r="25" spans="1:19" ht="95" customHeight="1">
      <c r="A25" s="17" t="s">
        <v>412</v>
      </c>
      <c r="B25" s="19" t="s">
        <v>413</v>
      </c>
      <c r="C25" s="19" t="s">
        <v>254</v>
      </c>
      <c r="D25" s="19" t="s">
        <v>255</v>
      </c>
      <c r="E25" s="17" t="s">
        <v>414</v>
      </c>
      <c r="F25" s="20">
        <v>33783.498311689815</v>
      </c>
      <c r="G25" s="17">
        <v>7.3</v>
      </c>
      <c r="H25" s="17" t="s">
        <v>257</v>
      </c>
      <c r="I25" s="17">
        <v>34.200000000000003</v>
      </c>
      <c r="J25" s="17">
        <v>-116.437</v>
      </c>
      <c r="K25" s="17">
        <v>-9.7000000000000003E-2</v>
      </c>
      <c r="L25" s="19" t="s">
        <v>415</v>
      </c>
      <c r="M25" s="21">
        <v>0.09</v>
      </c>
      <c r="N25" s="19" t="s">
        <v>416</v>
      </c>
      <c r="O25" s="19" t="s">
        <v>417</v>
      </c>
      <c r="P25" s="19">
        <v>-25.87</v>
      </c>
      <c r="Q25" s="19">
        <v>1</v>
      </c>
      <c r="R25" s="19" t="s">
        <v>260</v>
      </c>
      <c r="S25" s="19" t="s">
        <v>418</v>
      </c>
    </row>
    <row r="26" spans="1:19" ht="95" customHeight="1">
      <c r="A26" s="17" t="s">
        <v>419</v>
      </c>
      <c r="B26" s="19" t="s">
        <v>420</v>
      </c>
      <c r="C26" s="19" t="s">
        <v>254</v>
      </c>
      <c r="D26" s="19" t="s">
        <v>255</v>
      </c>
      <c r="E26" s="17" t="s">
        <v>421</v>
      </c>
      <c r="F26" s="20">
        <v>34351.521474421294</v>
      </c>
      <c r="G26" s="17">
        <v>6.7</v>
      </c>
      <c r="H26" s="17" t="s">
        <v>257</v>
      </c>
      <c r="I26" s="17">
        <v>34.213000000000001</v>
      </c>
      <c r="J26" s="17">
        <v>-118.53700000000001</v>
      </c>
      <c r="K26" s="17">
        <v>18.202000000000002</v>
      </c>
      <c r="L26" s="19" t="s">
        <v>422</v>
      </c>
      <c r="M26" s="21">
        <v>1.75</v>
      </c>
      <c r="N26" s="19" t="s">
        <v>423</v>
      </c>
      <c r="O26" s="19" t="s">
        <v>424</v>
      </c>
      <c r="P26" s="19">
        <v>-4.6100000000000003</v>
      </c>
      <c r="Q26" s="19">
        <v>1</v>
      </c>
      <c r="R26" s="19" t="s">
        <v>260</v>
      </c>
      <c r="S26" s="19" t="s">
        <v>425</v>
      </c>
    </row>
    <row r="27" spans="1:19" ht="95" customHeight="1">
      <c r="A27" s="17" t="s">
        <v>426</v>
      </c>
      <c r="B27" s="19" t="s">
        <v>427</v>
      </c>
      <c r="C27" s="19" t="s">
        <v>254</v>
      </c>
      <c r="D27" s="19" t="s">
        <v>255</v>
      </c>
      <c r="E27" s="17" t="s">
        <v>428</v>
      </c>
      <c r="F27" s="20">
        <v>34715.865881018515</v>
      </c>
      <c r="G27" s="17">
        <v>6.9</v>
      </c>
      <c r="H27" s="17" t="s">
        <v>257</v>
      </c>
      <c r="I27" s="17">
        <v>34.582999999999998</v>
      </c>
      <c r="J27" s="17">
        <v>135.018</v>
      </c>
      <c r="K27" s="17">
        <v>21.9</v>
      </c>
      <c r="L27" s="19" t="s">
        <v>429</v>
      </c>
      <c r="M27" s="21">
        <v>1.58</v>
      </c>
      <c r="N27" s="19" t="s">
        <v>430</v>
      </c>
      <c r="O27" s="19" t="s">
        <v>431</v>
      </c>
      <c r="P27" s="19">
        <v>52.12</v>
      </c>
      <c r="Q27" s="19">
        <v>1</v>
      </c>
      <c r="R27" s="19" t="s">
        <v>260</v>
      </c>
      <c r="S27" s="19" t="s">
        <v>432</v>
      </c>
    </row>
    <row r="28" spans="1:19" ht="95" customHeight="1">
      <c r="A28" s="17" t="s">
        <v>433</v>
      </c>
      <c r="B28" s="19" t="s">
        <v>434</v>
      </c>
      <c r="C28" s="19" t="s">
        <v>254</v>
      </c>
      <c r="D28" s="19" t="s">
        <v>255</v>
      </c>
      <c r="E28" s="17" t="s">
        <v>435</v>
      </c>
      <c r="F28" s="20">
        <v>35531.232439583335</v>
      </c>
      <c r="G28" s="17">
        <v>6.2</v>
      </c>
      <c r="H28" s="17" t="s">
        <v>436</v>
      </c>
      <c r="I28" s="17">
        <v>39.527000000000001</v>
      </c>
      <c r="J28" s="17">
        <v>76.941000000000003</v>
      </c>
      <c r="K28" s="17">
        <v>15</v>
      </c>
      <c r="L28" s="19"/>
      <c r="M28" s="21"/>
      <c r="N28" s="19" t="s">
        <v>437</v>
      </c>
      <c r="O28" s="19" t="s">
        <v>438</v>
      </c>
      <c r="P28" s="19">
        <v>42.78</v>
      </c>
      <c r="Q28" s="19">
        <v>1</v>
      </c>
      <c r="R28" s="19" t="s">
        <v>260</v>
      </c>
      <c r="S28" s="19" t="s">
        <v>439</v>
      </c>
    </row>
    <row r="29" spans="1:19" ht="95" customHeight="1">
      <c r="A29" s="17" t="s">
        <v>440</v>
      </c>
      <c r="B29" s="19" t="s">
        <v>441</v>
      </c>
      <c r="C29" s="19" t="s">
        <v>442</v>
      </c>
      <c r="D29" s="19" t="s">
        <v>443</v>
      </c>
      <c r="E29" s="17" t="s">
        <v>444</v>
      </c>
      <c r="F29" s="20">
        <v>35993.202254166667</v>
      </c>
      <c r="G29" s="17">
        <v>5.7</v>
      </c>
      <c r="H29" s="17" t="s">
        <v>436</v>
      </c>
      <c r="I29" s="17">
        <v>23.407</v>
      </c>
      <c r="J29" s="17">
        <v>120.736</v>
      </c>
      <c r="K29" s="17">
        <v>12.6</v>
      </c>
      <c r="L29" s="19" t="s">
        <v>445</v>
      </c>
      <c r="M29" s="21">
        <v>13.06</v>
      </c>
      <c r="N29" s="19"/>
      <c r="O29" s="19"/>
      <c r="P29" s="19"/>
      <c r="Q29" s="19"/>
      <c r="R29" s="19" t="s">
        <v>260</v>
      </c>
      <c r="S29" s="19" t="s">
        <v>446</v>
      </c>
    </row>
    <row r="30" spans="1:19" ht="95" customHeight="1">
      <c r="A30" s="17" t="s">
        <v>447</v>
      </c>
      <c r="B30" s="19" t="s">
        <v>448</v>
      </c>
      <c r="C30" s="19" t="s">
        <v>442</v>
      </c>
      <c r="D30" s="19" t="s">
        <v>443</v>
      </c>
      <c r="E30" s="17" t="s">
        <v>449</v>
      </c>
      <c r="F30" s="20">
        <v>36455.096511111115</v>
      </c>
      <c r="G30" s="17">
        <v>5.9</v>
      </c>
      <c r="H30" s="17" t="s">
        <v>450</v>
      </c>
      <c r="I30" s="17">
        <v>23.445</v>
      </c>
      <c r="J30" s="17">
        <v>120.506</v>
      </c>
      <c r="K30" s="17">
        <v>33</v>
      </c>
      <c r="L30" s="19" t="s">
        <v>451</v>
      </c>
      <c r="M30" s="21">
        <v>10.94</v>
      </c>
      <c r="N30" s="19"/>
      <c r="O30" s="19"/>
      <c r="P30" s="19"/>
      <c r="Q30" s="19"/>
      <c r="R30" s="19" t="s">
        <v>260</v>
      </c>
      <c r="S30" s="19" t="s">
        <v>452</v>
      </c>
    </row>
    <row r="31" spans="1:19" ht="95" customHeight="1">
      <c r="A31" s="17" t="s">
        <v>453</v>
      </c>
      <c r="B31" s="19" t="s">
        <v>454</v>
      </c>
      <c r="C31" s="19" t="s">
        <v>442</v>
      </c>
      <c r="D31" s="19" t="s">
        <v>443</v>
      </c>
      <c r="E31" s="17" t="s">
        <v>455</v>
      </c>
      <c r="F31" s="20">
        <v>36455.132164930554</v>
      </c>
      <c r="G31" s="17">
        <v>5.6</v>
      </c>
      <c r="H31" s="17" t="s">
        <v>436</v>
      </c>
      <c r="I31" s="17">
        <v>23.433</v>
      </c>
      <c r="J31" s="17">
        <v>120.508</v>
      </c>
      <c r="K31" s="17">
        <v>33</v>
      </c>
      <c r="L31" s="19" t="s">
        <v>456</v>
      </c>
      <c r="M31" s="21">
        <v>13.63</v>
      </c>
      <c r="N31" s="19"/>
      <c r="O31" s="19"/>
      <c r="P31" s="19"/>
      <c r="Q31" s="19"/>
      <c r="R31" s="19" t="s">
        <v>260</v>
      </c>
      <c r="S31" s="19" t="s">
        <v>457</v>
      </c>
    </row>
    <row r="32" spans="1:19" ht="95" customHeight="1">
      <c r="A32" s="17" t="s">
        <v>211</v>
      </c>
      <c r="B32" s="19" t="s">
        <v>458</v>
      </c>
      <c r="C32" s="19" t="s">
        <v>254</v>
      </c>
      <c r="D32" s="19" t="s">
        <v>255</v>
      </c>
      <c r="E32" s="17" t="s">
        <v>212</v>
      </c>
      <c r="F32" s="20">
        <v>36423.741186226849</v>
      </c>
      <c r="G32" s="17">
        <v>7.7</v>
      </c>
      <c r="H32" s="17" t="s">
        <v>436</v>
      </c>
      <c r="I32" s="17">
        <v>23.771999999999998</v>
      </c>
      <c r="J32" s="17">
        <v>120.982</v>
      </c>
      <c r="K32" s="17">
        <v>33</v>
      </c>
      <c r="L32" s="19" t="s">
        <v>459</v>
      </c>
      <c r="M32" s="21">
        <v>18.62</v>
      </c>
      <c r="N32" s="19" t="s">
        <v>460</v>
      </c>
      <c r="O32" s="19" t="s">
        <v>275</v>
      </c>
      <c r="P32" s="19"/>
      <c r="Q32" s="19">
        <v>1</v>
      </c>
      <c r="R32" s="19" t="s">
        <v>461</v>
      </c>
      <c r="S32" s="19" t="s">
        <v>462</v>
      </c>
    </row>
    <row r="33" spans="1:19" ht="95" customHeight="1">
      <c r="A33" s="17" t="s">
        <v>463</v>
      </c>
      <c r="B33" s="19" t="s">
        <v>464</v>
      </c>
      <c r="C33" s="19" t="s">
        <v>254</v>
      </c>
      <c r="D33" s="19" t="s">
        <v>255</v>
      </c>
      <c r="E33" s="17" t="s">
        <v>465</v>
      </c>
      <c r="F33" s="20">
        <v>36423.752595949074</v>
      </c>
      <c r="G33" s="17">
        <v>6.3</v>
      </c>
      <c r="H33" s="17" t="s">
        <v>355</v>
      </c>
      <c r="I33" s="17">
        <v>23.57</v>
      </c>
      <c r="J33" s="17">
        <v>121.29900000000001</v>
      </c>
      <c r="K33" s="17">
        <v>33</v>
      </c>
      <c r="L33" s="19" t="s">
        <v>466</v>
      </c>
      <c r="M33" s="21">
        <v>52.94</v>
      </c>
      <c r="N33" s="19" t="s">
        <v>460</v>
      </c>
      <c r="O33" s="19" t="s">
        <v>467</v>
      </c>
      <c r="P33" s="19">
        <v>44.29</v>
      </c>
      <c r="Q33" s="19">
        <v>5</v>
      </c>
      <c r="R33" s="19" t="s">
        <v>260</v>
      </c>
      <c r="S33" s="19" t="s">
        <v>468</v>
      </c>
    </row>
    <row r="34" spans="1:19" ht="95" customHeight="1">
      <c r="A34" s="17" t="s">
        <v>469</v>
      </c>
      <c r="B34" s="19" t="s">
        <v>470</v>
      </c>
      <c r="C34" s="19" t="s">
        <v>471</v>
      </c>
      <c r="D34" s="19" t="s">
        <v>472</v>
      </c>
      <c r="E34" s="17" t="s">
        <v>473</v>
      </c>
      <c r="F34" s="20">
        <v>36423.907440625</v>
      </c>
      <c r="G34" s="17">
        <v>6.4</v>
      </c>
      <c r="H34" s="17" t="s">
        <v>436</v>
      </c>
      <c r="I34" s="17">
        <v>23.39</v>
      </c>
      <c r="J34" s="17">
        <v>120.964</v>
      </c>
      <c r="K34" s="17">
        <v>33</v>
      </c>
      <c r="L34" s="19" t="s">
        <v>474</v>
      </c>
      <c r="M34" s="21">
        <v>27.58</v>
      </c>
      <c r="N34" s="19" t="s">
        <v>460</v>
      </c>
      <c r="O34" s="19" t="s">
        <v>475</v>
      </c>
      <c r="P34" s="19">
        <v>42.87</v>
      </c>
      <c r="Q34" s="19">
        <v>5</v>
      </c>
      <c r="R34" s="19" t="s">
        <v>260</v>
      </c>
      <c r="S34" s="19" t="s">
        <v>476</v>
      </c>
    </row>
    <row r="35" spans="1:19" ht="95" customHeight="1">
      <c r="A35" s="17" t="s">
        <v>477</v>
      </c>
      <c r="B35" s="19" t="s">
        <v>478</v>
      </c>
      <c r="C35" s="19" t="s">
        <v>254</v>
      </c>
      <c r="D35" s="19" t="s">
        <v>255</v>
      </c>
      <c r="E35" s="17" t="s">
        <v>479</v>
      </c>
      <c r="F35" s="20">
        <v>36425.010175347219</v>
      </c>
      <c r="G35" s="17">
        <v>6.4</v>
      </c>
      <c r="H35" s="17" t="s">
        <v>436</v>
      </c>
      <c r="I35" s="17">
        <v>23.728999999999999</v>
      </c>
      <c r="J35" s="17">
        <v>121.167</v>
      </c>
      <c r="K35" s="17">
        <v>26</v>
      </c>
      <c r="L35" s="19" t="s">
        <v>480</v>
      </c>
      <c r="M35" s="21">
        <v>19.920000000000002</v>
      </c>
      <c r="N35" s="19" t="s">
        <v>481</v>
      </c>
      <c r="O35" s="19" t="s">
        <v>482</v>
      </c>
      <c r="P35" s="19">
        <v>39.15</v>
      </c>
      <c r="Q35" s="19">
        <v>2</v>
      </c>
      <c r="R35" s="19" t="s">
        <v>260</v>
      </c>
      <c r="S35" s="19" t="s">
        <v>483</v>
      </c>
    </row>
    <row r="36" spans="1:19" ht="95" customHeight="1">
      <c r="A36" s="17" t="s">
        <v>484</v>
      </c>
      <c r="B36" s="19" t="s">
        <v>485</v>
      </c>
      <c r="C36" s="19" t="s">
        <v>471</v>
      </c>
      <c r="D36" s="19" t="s">
        <v>472</v>
      </c>
      <c r="E36" s="17" t="s">
        <v>486</v>
      </c>
      <c r="F36" s="20">
        <v>36428.995007638892</v>
      </c>
      <c r="G36" s="17">
        <v>6.5</v>
      </c>
      <c r="H36" s="17" t="s">
        <v>436</v>
      </c>
      <c r="I36" s="17">
        <v>23.738</v>
      </c>
      <c r="J36" s="17">
        <v>121.158</v>
      </c>
      <c r="K36" s="17">
        <v>17</v>
      </c>
      <c r="L36" s="19" t="s">
        <v>487</v>
      </c>
      <c r="M36" s="21">
        <v>21.03</v>
      </c>
      <c r="N36" s="19" t="s">
        <v>488</v>
      </c>
      <c r="O36" s="19" t="s">
        <v>489</v>
      </c>
      <c r="P36" s="19">
        <v>48.66</v>
      </c>
      <c r="Q36" s="19">
        <v>1</v>
      </c>
      <c r="R36" s="19" t="s">
        <v>260</v>
      </c>
      <c r="S36" s="19" t="s">
        <v>490</v>
      </c>
    </row>
    <row r="37" spans="1:19" ht="95" customHeight="1">
      <c r="A37" s="17" t="s">
        <v>491</v>
      </c>
      <c r="B37" s="19" t="s">
        <v>492</v>
      </c>
      <c r="C37" s="19" t="s">
        <v>254</v>
      </c>
      <c r="D37" s="19" t="s">
        <v>255</v>
      </c>
      <c r="E37" s="17" t="s">
        <v>493</v>
      </c>
      <c r="F37" s="20">
        <v>36476.706476273146</v>
      </c>
      <c r="G37" s="17">
        <v>7.2</v>
      </c>
      <c r="H37" s="17" t="s">
        <v>436</v>
      </c>
      <c r="I37" s="17">
        <v>40.758000000000003</v>
      </c>
      <c r="J37" s="17">
        <v>31.161000000000001</v>
      </c>
      <c r="K37" s="17">
        <v>10</v>
      </c>
      <c r="L37" s="19" t="s">
        <v>494</v>
      </c>
      <c r="M37" s="21">
        <v>8.7899999999999991</v>
      </c>
      <c r="N37" s="19" t="s">
        <v>495</v>
      </c>
      <c r="O37" s="19" t="s">
        <v>275</v>
      </c>
      <c r="P37" s="19"/>
      <c r="Q37" s="19">
        <v>1</v>
      </c>
      <c r="R37" s="19" t="s">
        <v>260</v>
      </c>
      <c r="S37" s="19" t="s">
        <v>496</v>
      </c>
    </row>
    <row r="38" spans="1:19" ht="95" customHeight="1">
      <c r="A38" s="17" t="s">
        <v>497</v>
      </c>
      <c r="B38" s="19" t="s">
        <v>498</v>
      </c>
      <c r="C38" s="19" t="s">
        <v>442</v>
      </c>
      <c r="D38" s="19" t="s">
        <v>443</v>
      </c>
      <c r="E38" s="17" t="s">
        <v>499</v>
      </c>
      <c r="F38" s="20">
        <v>36465.745140277781</v>
      </c>
      <c r="G38" s="17">
        <v>6.3</v>
      </c>
      <c r="H38" s="17" t="s">
        <v>436</v>
      </c>
      <c r="I38" s="17">
        <v>23.378</v>
      </c>
      <c r="J38" s="17">
        <v>121.52</v>
      </c>
      <c r="K38" s="17">
        <v>33</v>
      </c>
      <c r="L38" s="19" t="s">
        <v>500</v>
      </c>
      <c r="M38" s="21">
        <v>17.690000000000001</v>
      </c>
      <c r="N38" s="19"/>
      <c r="O38" s="19"/>
      <c r="P38" s="19"/>
      <c r="Q38" s="19"/>
      <c r="R38" s="19" t="s">
        <v>260</v>
      </c>
      <c r="S38" s="19" t="s">
        <v>501</v>
      </c>
    </row>
    <row r="39" spans="1:19" ht="95" customHeight="1">
      <c r="A39" s="17" t="s">
        <v>208</v>
      </c>
      <c r="B39" s="19" t="s">
        <v>502</v>
      </c>
      <c r="C39" s="19" t="s">
        <v>254</v>
      </c>
      <c r="D39" s="19" t="s">
        <v>255</v>
      </c>
      <c r="E39" s="17" t="s">
        <v>209</v>
      </c>
      <c r="F39" s="20">
        <v>36389.001147337964</v>
      </c>
      <c r="G39" s="17">
        <v>7.6</v>
      </c>
      <c r="H39" s="17" t="s">
        <v>436</v>
      </c>
      <c r="I39" s="17">
        <v>40.747999999999998</v>
      </c>
      <c r="J39" s="17">
        <v>29.864000000000001</v>
      </c>
      <c r="K39" s="17">
        <v>17</v>
      </c>
      <c r="L39" s="19" t="s">
        <v>503</v>
      </c>
      <c r="M39" s="21">
        <v>10.61</v>
      </c>
      <c r="N39" s="19" t="s">
        <v>504</v>
      </c>
      <c r="O39" s="19" t="s">
        <v>275</v>
      </c>
      <c r="P39" s="19"/>
      <c r="Q39" s="19">
        <v>1</v>
      </c>
      <c r="R39" s="19" t="s">
        <v>461</v>
      </c>
      <c r="S39" s="19" t="s">
        <v>505</v>
      </c>
    </row>
    <row r="40" spans="1:19" ht="95" customHeight="1">
      <c r="A40" s="17" t="s">
        <v>506</v>
      </c>
      <c r="B40" s="19" t="s">
        <v>507</v>
      </c>
      <c r="C40" s="19" t="s">
        <v>254</v>
      </c>
      <c r="D40" s="19" t="s">
        <v>255</v>
      </c>
      <c r="E40" s="17" t="s">
        <v>508</v>
      </c>
      <c r="F40" s="20">
        <v>36805.187721643517</v>
      </c>
      <c r="G40" s="17">
        <v>6.7</v>
      </c>
      <c r="H40" s="17" t="s">
        <v>436</v>
      </c>
      <c r="I40" s="17">
        <v>35.456000000000003</v>
      </c>
      <c r="J40" s="17">
        <v>133.13399999999999</v>
      </c>
      <c r="K40" s="17">
        <v>10</v>
      </c>
      <c r="L40" s="19" t="s">
        <v>509</v>
      </c>
      <c r="M40" s="21">
        <v>28.08</v>
      </c>
      <c r="N40" s="19" t="s">
        <v>510</v>
      </c>
      <c r="O40" s="19" t="s">
        <v>511</v>
      </c>
      <c r="P40" s="19">
        <v>19.149999999999999</v>
      </c>
      <c r="Q40" s="19">
        <v>1</v>
      </c>
      <c r="R40" s="19" t="s">
        <v>260</v>
      </c>
      <c r="S40" s="19" t="s">
        <v>512</v>
      </c>
    </row>
    <row r="41" spans="1:19" ht="95" customHeight="1">
      <c r="A41" s="17" t="s">
        <v>513</v>
      </c>
      <c r="B41" s="19" t="s">
        <v>514</v>
      </c>
      <c r="C41" s="19" t="s">
        <v>254</v>
      </c>
      <c r="D41" s="19" t="s">
        <v>255</v>
      </c>
      <c r="E41" s="17" t="s">
        <v>515</v>
      </c>
      <c r="F41" s="20">
        <v>36772.3586818287</v>
      </c>
      <c r="G41" s="17">
        <v>4.9000000000000004</v>
      </c>
      <c r="H41" s="17" t="s">
        <v>257</v>
      </c>
      <c r="I41" s="17">
        <v>38.378833299999997</v>
      </c>
      <c r="J41" s="17">
        <v>-122.41333330000001</v>
      </c>
      <c r="K41" s="17">
        <v>9.3670000000000009</v>
      </c>
      <c r="L41" s="19"/>
      <c r="M41" s="21"/>
      <c r="N41" s="19" t="s">
        <v>516</v>
      </c>
      <c r="O41" s="19" t="s">
        <v>275</v>
      </c>
      <c r="P41" s="19"/>
      <c r="Q41" s="19">
        <v>1</v>
      </c>
      <c r="R41" s="19" t="s">
        <v>260</v>
      </c>
      <c r="S41" s="19" t="s">
        <v>517</v>
      </c>
    </row>
    <row r="42" spans="1:19" ht="95" customHeight="1">
      <c r="A42" s="17" t="s">
        <v>518</v>
      </c>
      <c r="B42" s="19" t="s">
        <v>519</v>
      </c>
      <c r="C42" s="19" t="s">
        <v>442</v>
      </c>
      <c r="D42" s="19" t="s">
        <v>520</v>
      </c>
      <c r="E42" s="17" t="s">
        <v>521</v>
      </c>
      <c r="F42" s="20">
        <v>37151.947710879627</v>
      </c>
      <c r="G42" s="17">
        <v>5</v>
      </c>
      <c r="H42" s="17" t="s">
        <v>355</v>
      </c>
      <c r="I42" s="17">
        <v>23.202000000000002</v>
      </c>
      <c r="J42" s="17">
        <v>120.76</v>
      </c>
      <c r="K42" s="17">
        <v>5</v>
      </c>
      <c r="L42" s="19" t="s">
        <v>522</v>
      </c>
      <c r="M42" s="21">
        <v>13.53</v>
      </c>
      <c r="N42" s="19"/>
      <c r="O42" s="19"/>
      <c r="P42" s="19"/>
      <c r="Q42" s="19"/>
      <c r="R42" s="19" t="s">
        <v>260</v>
      </c>
      <c r="S42" s="19" t="s">
        <v>523</v>
      </c>
    </row>
    <row r="43" spans="1:19" ht="95" customHeight="1">
      <c r="A43" s="17" t="s">
        <v>214</v>
      </c>
      <c r="B43" s="19" t="s">
        <v>524</v>
      </c>
      <c r="C43" s="19" t="s">
        <v>254</v>
      </c>
      <c r="D43" s="19" t="s">
        <v>255</v>
      </c>
      <c r="E43" s="17" t="s">
        <v>215</v>
      </c>
      <c r="F43" s="20">
        <v>37563.925480532409</v>
      </c>
      <c r="G43" s="17">
        <v>7.9</v>
      </c>
      <c r="H43" s="17" t="s">
        <v>257</v>
      </c>
      <c r="I43" s="17">
        <v>63.514099999999999</v>
      </c>
      <c r="J43" s="17">
        <v>-147.4529</v>
      </c>
      <c r="K43" s="17">
        <v>4.2</v>
      </c>
      <c r="L43" s="19" t="s">
        <v>525</v>
      </c>
      <c r="M43" s="21">
        <v>3.13</v>
      </c>
      <c r="N43" s="19" t="s">
        <v>526</v>
      </c>
      <c r="O43" s="19" t="s">
        <v>275</v>
      </c>
      <c r="P43" s="19"/>
      <c r="Q43" s="19">
        <v>1</v>
      </c>
      <c r="R43" s="19" t="s">
        <v>461</v>
      </c>
      <c r="S43" s="19" t="s">
        <v>527</v>
      </c>
    </row>
    <row r="44" spans="1:19" ht="95" customHeight="1">
      <c r="A44" s="17" t="s">
        <v>528</v>
      </c>
      <c r="B44" s="19" t="s">
        <v>529</v>
      </c>
      <c r="C44" s="19" t="s">
        <v>442</v>
      </c>
      <c r="D44" s="19" t="s">
        <v>443</v>
      </c>
      <c r="E44" s="17" t="s">
        <v>530</v>
      </c>
      <c r="F44" s="20">
        <v>37346.286695486109</v>
      </c>
      <c r="G44" s="17">
        <v>7.1</v>
      </c>
      <c r="H44" s="17" t="s">
        <v>436</v>
      </c>
      <c r="I44" s="17">
        <v>24.279</v>
      </c>
      <c r="J44" s="17">
        <v>122.179</v>
      </c>
      <c r="K44" s="17">
        <v>32.799999999999997</v>
      </c>
      <c r="L44" s="19" t="s">
        <v>531</v>
      </c>
      <c r="M44" s="21">
        <v>13.23</v>
      </c>
      <c r="N44" s="19"/>
      <c r="O44" s="19"/>
      <c r="P44" s="19"/>
      <c r="Q44" s="19"/>
      <c r="R44" s="19" t="s">
        <v>260</v>
      </c>
      <c r="S44" s="19" t="s">
        <v>532</v>
      </c>
    </row>
    <row r="45" spans="1:19" ht="95" customHeight="1">
      <c r="A45" s="17" t="s">
        <v>533</v>
      </c>
      <c r="B45" s="19" t="s">
        <v>534</v>
      </c>
      <c r="C45" s="19" t="s">
        <v>254</v>
      </c>
      <c r="D45" s="19" t="s">
        <v>255</v>
      </c>
      <c r="E45" s="17" t="s">
        <v>535</v>
      </c>
      <c r="F45" s="20">
        <v>37981.081162499999</v>
      </c>
      <c r="G45" s="17">
        <v>6.6</v>
      </c>
      <c r="H45" s="17" t="s">
        <v>436</v>
      </c>
      <c r="I45" s="17">
        <v>28.995000000000001</v>
      </c>
      <c r="J45" s="17">
        <v>58.311</v>
      </c>
      <c r="K45" s="17">
        <v>10</v>
      </c>
      <c r="L45" s="19" t="s">
        <v>536</v>
      </c>
      <c r="M45" s="21">
        <v>4.83</v>
      </c>
      <c r="N45" s="19" t="s">
        <v>537</v>
      </c>
      <c r="O45" s="19" t="s">
        <v>538</v>
      </c>
      <c r="P45" s="19">
        <v>52.44</v>
      </c>
      <c r="Q45" s="19">
        <v>1</v>
      </c>
      <c r="R45" s="19" t="s">
        <v>260</v>
      </c>
      <c r="S45" s="19" t="s">
        <v>539</v>
      </c>
    </row>
    <row r="46" spans="1:19" ht="95" customHeight="1">
      <c r="A46" s="17" t="s">
        <v>540</v>
      </c>
      <c r="B46" s="19" t="s">
        <v>541</v>
      </c>
      <c r="C46" s="19" t="s">
        <v>254</v>
      </c>
      <c r="D46" s="19" t="s">
        <v>255</v>
      </c>
      <c r="E46" s="17" t="s">
        <v>542</v>
      </c>
      <c r="F46" s="20">
        <v>38283.372232175927</v>
      </c>
      <c r="G46" s="17">
        <v>6.6</v>
      </c>
      <c r="H46" s="17" t="s">
        <v>436</v>
      </c>
      <c r="I46" s="17">
        <v>37.225999999999999</v>
      </c>
      <c r="J46" s="17">
        <v>138.779</v>
      </c>
      <c r="K46" s="17">
        <v>16</v>
      </c>
      <c r="L46" s="19" t="s">
        <v>543</v>
      </c>
      <c r="M46" s="21">
        <v>10.46</v>
      </c>
      <c r="N46" s="19" t="s">
        <v>544</v>
      </c>
      <c r="O46" s="19" t="s">
        <v>545</v>
      </c>
      <c r="P46" s="19">
        <v>0.86</v>
      </c>
      <c r="Q46" s="19">
        <v>3</v>
      </c>
      <c r="R46" s="19" t="s">
        <v>260</v>
      </c>
      <c r="S46" s="19" t="s">
        <v>546</v>
      </c>
    </row>
    <row r="47" spans="1:19" ht="95" customHeight="1">
      <c r="A47" s="17" t="s">
        <v>547</v>
      </c>
      <c r="B47" s="19" t="s">
        <v>548</v>
      </c>
      <c r="C47" s="19" t="s">
        <v>254</v>
      </c>
      <c r="D47" s="19" t="s">
        <v>255</v>
      </c>
      <c r="E47" s="17" t="s">
        <v>549</v>
      </c>
      <c r="F47" s="20">
        <v>38258.719030671295</v>
      </c>
      <c r="G47" s="17">
        <v>5.97</v>
      </c>
      <c r="H47" s="17" t="s">
        <v>257</v>
      </c>
      <c r="I47" s="17">
        <v>35.818166699999999</v>
      </c>
      <c r="J47" s="17">
        <v>-120.366</v>
      </c>
      <c r="K47" s="17">
        <v>8.1359999999999992</v>
      </c>
      <c r="L47" s="19" t="s">
        <v>550</v>
      </c>
      <c r="M47" s="21">
        <v>0.16</v>
      </c>
      <c r="N47" s="19" t="s">
        <v>551</v>
      </c>
      <c r="O47" s="19" t="s">
        <v>552</v>
      </c>
      <c r="P47" s="19">
        <v>24.25</v>
      </c>
      <c r="Q47" s="19">
        <v>1</v>
      </c>
      <c r="R47" s="19" t="s">
        <v>260</v>
      </c>
      <c r="S47" s="19" t="s">
        <v>553</v>
      </c>
    </row>
    <row r="48" spans="1:19" ht="95" customHeight="1">
      <c r="A48" s="17" t="s">
        <v>554</v>
      </c>
      <c r="B48" s="19" t="s">
        <v>555</v>
      </c>
      <c r="C48" s="19" t="s">
        <v>442</v>
      </c>
      <c r="D48" s="19" t="s">
        <v>443</v>
      </c>
      <c r="E48" s="17" t="s">
        <v>556</v>
      </c>
      <c r="F48" s="20">
        <v>38126.294579976849</v>
      </c>
      <c r="G48" s="17">
        <v>6.2</v>
      </c>
      <c r="H48" s="17" t="s">
        <v>436</v>
      </c>
      <c r="I48" s="17">
        <v>22.661999999999999</v>
      </c>
      <c r="J48" s="17">
        <v>121.505</v>
      </c>
      <c r="K48" s="17">
        <v>20</v>
      </c>
      <c r="L48" s="19" t="s">
        <v>557</v>
      </c>
      <c r="M48" s="21">
        <v>15.63</v>
      </c>
      <c r="N48" s="19"/>
      <c r="O48" s="19"/>
      <c r="P48" s="19"/>
      <c r="Q48" s="19"/>
      <c r="R48" s="19" t="s">
        <v>260</v>
      </c>
      <c r="S48" s="19" t="s">
        <v>558</v>
      </c>
    </row>
    <row r="49" spans="1:19" ht="95" customHeight="1">
      <c r="A49" s="17" t="s">
        <v>559</v>
      </c>
      <c r="B49" s="19" t="s">
        <v>560</v>
      </c>
      <c r="C49" s="19" t="s">
        <v>561</v>
      </c>
      <c r="D49" s="19" t="s">
        <v>562</v>
      </c>
      <c r="E49" s="17" t="s">
        <v>563</v>
      </c>
      <c r="F49" s="20">
        <v>38416.797241550928</v>
      </c>
      <c r="G49" s="17">
        <v>5.7</v>
      </c>
      <c r="H49" s="17" t="s">
        <v>436</v>
      </c>
      <c r="I49" s="17">
        <v>24.722000000000001</v>
      </c>
      <c r="J49" s="17">
        <v>121.91800000000001</v>
      </c>
      <c r="K49" s="17">
        <v>10</v>
      </c>
      <c r="L49" s="19" t="s">
        <v>564</v>
      </c>
      <c r="M49" s="21">
        <v>12.78</v>
      </c>
      <c r="N49" s="19"/>
      <c r="O49" s="19"/>
      <c r="P49" s="19"/>
      <c r="Q49" s="19"/>
      <c r="R49" s="19" t="s">
        <v>260</v>
      </c>
      <c r="S49" s="19" t="s">
        <v>565</v>
      </c>
    </row>
    <row r="50" spans="1:19" ht="95" customHeight="1">
      <c r="A50" s="17" t="s">
        <v>566</v>
      </c>
      <c r="B50" s="19" t="s">
        <v>567</v>
      </c>
      <c r="C50" s="19" t="s">
        <v>442</v>
      </c>
      <c r="D50" s="19" t="s">
        <v>443</v>
      </c>
      <c r="E50" s="17" t="s">
        <v>568</v>
      </c>
      <c r="F50" s="20">
        <v>39077.52377083333</v>
      </c>
      <c r="G50" s="17">
        <v>6.9</v>
      </c>
      <c r="H50" s="17" t="s">
        <v>436</v>
      </c>
      <c r="I50" s="17">
        <v>21.974</v>
      </c>
      <c r="J50" s="17">
        <v>120.49299999999999</v>
      </c>
      <c r="K50" s="17">
        <v>10</v>
      </c>
      <c r="L50" s="19" t="s">
        <v>569</v>
      </c>
      <c r="M50" s="21">
        <v>10.98</v>
      </c>
      <c r="N50" s="19"/>
      <c r="O50" s="19"/>
      <c r="P50" s="19"/>
      <c r="Q50" s="19"/>
      <c r="R50" s="19" t="s">
        <v>260</v>
      </c>
      <c r="S50" s="19" t="s">
        <v>570</v>
      </c>
    </row>
    <row r="51" spans="1:19" ht="95" customHeight="1">
      <c r="A51" s="17" t="s">
        <v>571</v>
      </c>
      <c r="B51" s="19" t="s">
        <v>572</v>
      </c>
      <c r="C51" s="19" t="s">
        <v>442</v>
      </c>
      <c r="D51" s="19" t="s">
        <v>443</v>
      </c>
      <c r="E51" s="17" t="s">
        <v>573</v>
      </c>
      <c r="F51" s="20">
        <v>39077.518300231481</v>
      </c>
      <c r="G51" s="17">
        <v>7.1</v>
      </c>
      <c r="H51" s="17" t="s">
        <v>450</v>
      </c>
      <c r="I51" s="17">
        <v>21.798999999999999</v>
      </c>
      <c r="J51" s="17">
        <v>120.547</v>
      </c>
      <c r="K51" s="17">
        <v>10</v>
      </c>
      <c r="L51" s="19" t="s">
        <v>574</v>
      </c>
      <c r="M51" s="21">
        <v>10.029999999999999</v>
      </c>
      <c r="N51" s="19"/>
      <c r="O51" s="19"/>
      <c r="P51" s="19"/>
      <c r="Q51" s="19"/>
      <c r="R51" s="19" t="s">
        <v>260</v>
      </c>
      <c r="S51" s="19" t="s">
        <v>575</v>
      </c>
    </row>
    <row r="52" spans="1:19" ht="95" customHeight="1">
      <c r="A52" s="17" t="s">
        <v>576</v>
      </c>
      <c r="B52" s="19" t="s">
        <v>577</v>
      </c>
      <c r="C52" s="19" t="s">
        <v>442</v>
      </c>
      <c r="D52" s="19" t="s">
        <v>443</v>
      </c>
      <c r="E52" s="17" t="s">
        <v>578</v>
      </c>
      <c r="F52" s="20">
        <v>38808.418282060185</v>
      </c>
      <c r="G52" s="17">
        <v>6.1</v>
      </c>
      <c r="H52" s="17" t="s">
        <v>450</v>
      </c>
      <c r="I52" s="17">
        <v>22.867999999999999</v>
      </c>
      <c r="J52" s="17">
        <v>121.27800000000001</v>
      </c>
      <c r="K52" s="17">
        <v>9</v>
      </c>
      <c r="L52" s="19" t="s">
        <v>579</v>
      </c>
      <c r="M52" s="21">
        <v>21.89</v>
      </c>
      <c r="N52" s="19"/>
      <c r="O52" s="19"/>
      <c r="P52" s="19"/>
      <c r="Q52" s="19"/>
      <c r="R52" s="19" t="s">
        <v>260</v>
      </c>
      <c r="S52" s="19" t="s">
        <v>580</v>
      </c>
    </row>
    <row r="53" spans="1:19" ht="95" customHeight="1">
      <c r="A53" s="17" t="s">
        <v>581</v>
      </c>
      <c r="B53" s="19" t="s">
        <v>582</v>
      </c>
      <c r="C53" s="19" t="s">
        <v>254</v>
      </c>
      <c r="D53" s="19" t="s">
        <v>255</v>
      </c>
      <c r="E53" s="17" t="s">
        <v>583</v>
      </c>
      <c r="F53" s="20">
        <v>39279.050953356484</v>
      </c>
      <c r="G53" s="17">
        <v>6.6</v>
      </c>
      <c r="H53" s="17" t="s">
        <v>436</v>
      </c>
      <c r="I53" s="17">
        <v>37.534999999999997</v>
      </c>
      <c r="J53" s="17">
        <v>138.446</v>
      </c>
      <c r="K53" s="17">
        <v>12</v>
      </c>
      <c r="L53" s="19" t="s">
        <v>584</v>
      </c>
      <c r="M53" s="21">
        <v>15.12</v>
      </c>
      <c r="N53" s="19" t="s">
        <v>585</v>
      </c>
      <c r="O53" s="19" t="s">
        <v>586</v>
      </c>
      <c r="P53" s="19">
        <v>-32377.63</v>
      </c>
      <c r="Q53" s="19">
        <v>1</v>
      </c>
      <c r="R53" s="19" t="s">
        <v>260</v>
      </c>
      <c r="S53" s="19" t="s">
        <v>587</v>
      </c>
    </row>
    <row r="54" spans="1:19" ht="95" customHeight="1">
      <c r="A54" s="17" t="s">
        <v>588</v>
      </c>
      <c r="B54" s="19" t="s">
        <v>589</v>
      </c>
      <c r="C54" s="19" t="s">
        <v>442</v>
      </c>
      <c r="D54" s="19" t="s">
        <v>590</v>
      </c>
      <c r="E54" s="17" t="s">
        <v>591</v>
      </c>
      <c r="F54" s="20">
        <v>39303.038799768517</v>
      </c>
      <c r="G54" s="17">
        <v>5.3</v>
      </c>
      <c r="H54" s="17" t="s">
        <v>272</v>
      </c>
      <c r="I54" s="17">
        <v>22.579000000000001</v>
      </c>
      <c r="J54" s="17">
        <v>121.104</v>
      </c>
      <c r="K54" s="17">
        <v>21</v>
      </c>
      <c r="L54" s="19" t="s">
        <v>592</v>
      </c>
      <c r="M54" s="21">
        <v>8.52</v>
      </c>
      <c r="N54" s="19"/>
      <c r="O54" s="19"/>
      <c r="P54" s="19"/>
      <c r="Q54" s="19"/>
      <c r="R54" s="19" t="s">
        <v>260</v>
      </c>
      <c r="S54" s="19" t="s">
        <v>593</v>
      </c>
    </row>
    <row r="55" spans="1:19" ht="95" customHeight="1">
      <c r="A55" s="17" t="s">
        <v>594</v>
      </c>
      <c r="B55" s="19" t="s">
        <v>595</v>
      </c>
      <c r="C55" s="19" t="s">
        <v>254</v>
      </c>
      <c r="D55" s="19" t="s">
        <v>255</v>
      </c>
      <c r="E55" s="17" t="s">
        <v>596</v>
      </c>
      <c r="F55" s="20">
        <v>39612.988719444445</v>
      </c>
      <c r="G55" s="17">
        <v>6.9</v>
      </c>
      <c r="H55" s="17" t="s">
        <v>436</v>
      </c>
      <c r="I55" s="17">
        <v>39.03</v>
      </c>
      <c r="J55" s="17">
        <v>140.881</v>
      </c>
      <c r="K55" s="17">
        <v>7.8</v>
      </c>
      <c r="L55" s="19"/>
      <c r="M55" s="21"/>
      <c r="N55" s="19" t="s">
        <v>597</v>
      </c>
      <c r="O55" s="19" t="s">
        <v>598</v>
      </c>
      <c r="P55" s="19">
        <v>45.36</v>
      </c>
      <c r="Q55" s="19">
        <v>1</v>
      </c>
      <c r="R55" s="19" t="s">
        <v>260</v>
      </c>
      <c r="S55" s="19" t="s">
        <v>599</v>
      </c>
    </row>
    <row r="56" spans="1:19" ht="95" customHeight="1">
      <c r="A56" s="17" t="s">
        <v>217</v>
      </c>
      <c r="B56" s="19" t="s">
        <v>600</v>
      </c>
      <c r="C56" s="19" t="s">
        <v>254</v>
      </c>
      <c r="D56" s="19" t="s">
        <v>255</v>
      </c>
      <c r="E56" s="17" t="s">
        <v>218</v>
      </c>
      <c r="F56" s="20">
        <v>39580.269462615739</v>
      </c>
      <c r="G56" s="17">
        <v>7.9</v>
      </c>
      <c r="H56" s="17" t="s">
        <v>436</v>
      </c>
      <c r="I56" s="17">
        <v>31.001999999999999</v>
      </c>
      <c r="J56" s="17">
        <v>103.322</v>
      </c>
      <c r="K56" s="17">
        <v>19</v>
      </c>
      <c r="L56" s="19"/>
      <c r="M56" s="21"/>
      <c r="N56" s="19" t="s">
        <v>601</v>
      </c>
      <c r="O56" s="19" t="s">
        <v>275</v>
      </c>
      <c r="P56" s="19"/>
      <c r="Q56" s="19">
        <v>1</v>
      </c>
      <c r="R56" s="19" t="s">
        <v>461</v>
      </c>
      <c r="S56" s="19" t="s">
        <v>602</v>
      </c>
    </row>
    <row r="57" spans="1:19" ht="95" customHeight="1">
      <c r="A57" s="17" t="s">
        <v>603</v>
      </c>
      <c r="B57" s="19" t="s">
        <v>604</v>
      </c>
      <c r="C57" s="19" t="s">
        <v>442</v>
      </c>
      <c r="D57" s="19" t="s">
        <v>443</v>
      </c>
      <c r="E57" s="17" t="s">
        <v>605</v>
      </c>
      <c r="F57" s="20">
        <v>40166.543235763886</v>
      </c>
      <c r="G57" s="17">
        <v>6.4</v>
      </c>
      <c r="H57" s="17" t="s">
        <v>436</v>
      </c>
      <c r="I57" s="17">
        <v>23.795999999999999</v>
      </c>
      <c r="J57" s="17">
        <v>121.605</v>
      </c>
      <c r="K57" s="17">
        <v>43</v>
      </c>
      <c r="L57" s="19" t="s">
        <v>606</v>
      </c>
      <c r="M57" s="21">
        <v>5.3</v>
      </c>
      <c r="N57" s="19"/>
      <c r="O57" s="19"/>
      <c r="P57" s="19"/>
      <c r="Q57" s="19"/>
      <c r="R57" s="19" t="s">
        <v>260</v>
      </c>
      <c r="S57" s="19" t="s">
        <v>607</v>
      </c>
    </row>
    <row r="58" spans="1:19" ht="95" customHeight="1">
      <c r="A58" s="17" t="s">
        <v>608</v>
      </c>
      <c r="B58" s="19" t="s">
        <v>609</v>
      </c>
      <c r="C58" s="19" t="s">
        <v>254</v>
      </c>
      <c r="D58" s="19" t="s">
        <v>255</v>
      </c>
      <c r="E58" s="17" t="s">
        <v>610</v>
      </c>
      <c r="F58" s="20">
        <v>39909.064340277779</v>
      </c>
      <c r="G58" s="17">
        <v>6.3</v>
      </c>
      <c r="H58" s="17" t="s">
        <v>436</v>
      </c>
      <c r="I58" s="17">
        <v>42.334000000000003</v>
      </c>
      <c r="J58" s="17">
        <v>13.334</v>
      </c>
      <c r="K58" s="17">
        <v>8.8000000000000007</v>
      </c>
      <c r="L58" s="19" t="s">
        <v>611</v>
      </c>
      <c r="M58" s="21">
        <v>4.07</v>
      </c>
      <c r="N58" s="19" t="s">
        <v>612</v>
      </c>
      <c r="O58" s="19" t="s">
        <v>613</v>
      </c>
      <c r="P58" s="19">
        <v>-21</v>
      </c>
      <c r="Q58" s="19">
        <v>1</v>
      </c>
      <c r="R58" s="19" t="s">
        <v>260</v>
      </c>
      <c r="S58" s="19" t="s">
        <v>614</v>
      </c>
    </row>
    <row r="59" spans="1:19" ht="95" customHeight="1">
      <c r="A59" s="17" t="s">
        <v>615</v>
      </c>
      <c r="B59" s="19" t="s">
        <v>616</v>
      </c>
      <c r="C59" s="19" t="s">
        <v>442</v>
      </c>
      <c r="D59" s="19" t="s">
        <v>443</v>
      </c>
      <c r="E59" s="17" t="s">
        <v>617</v>
      </c>
      <c r="F59" s="20">
        <v>40122.39787685185</v>
      </c>
      <c r="G59" s="17">
        <v>5.6</v>
      </c>
      <c r="H59" s="17" t="s">
        <v>450</v>
      </c>
      <c r="I59" s="17">
        <v>23.731000000000002</v>
      </c>
      <c r="J59" s="17">
        <v>120.744</v>
      </c>
      <c r="K59" s="17">
        <v>18</v>
      </c>
      <c r="L59" s="19" t="s">
        <v>618</v>
      </c>
      <c r="M59" s="21">
        <v>6.52</v>
      </c>
      <c r="N59" s="19"/>
      <c r="O59" s="19"/>
      <c r="P59" s="19"/>
      <c r="Q59" s="19"/>
      <c r="R59" s="19" t="s">
        <v>260</v>
      </c>
      <c r="S59" s="19" t="s">
        <v>619</v>
      </c>
    </row>
    <row r="60" spans="1:19" ht="95" customHeight="1">
      <c r="A60" s="17" t="s">
        <v>620</v>
      </c>
      <c r="B60" s="19" t="s">
        <v>621</v>
      </c>
      <c r="C60" s="19" t="s">
        <v>3029</v>
      </c>
      <c r="D60" s="19" t="s">
        <v>3030</v>
      </c>
      <c r="E60" s="17" t="s">
        <v>622</v>
      </c>
      <c r="F60" s="20">
        <v>40424.691525115741</v>
      </c>
      <c r="G60" s="17">
        <v>7</v>
      </c>
      <c r="H60" s="17" t="s">
        <v>436</v>
      </c>
      <c r="I60" s="17">
        <v>-43.521999999999998</v>
      </c>
      <c r="J60" s="17">
        <v>171.83</v>
      </c>
      <c r="K60" s="17">
        <v>12</v>
      </c>
      <c r="L60" s="19" t="s">
        <v>623</v>
      </c>
      <c r="M60" s="21">
        <v>20.45</v>
      </c>
      <c r="N60" s="19" t="s">
        <v>624</v>
      </c>
      <c r="O60" s="19" t="s">
        <v>625</v>
      </c>
      <c r="P60" s="19">
        <v>47.77</v>
      </c>
      <c r="Q60" s="19">
        <v>1</v>
      </c>
      <c r="R60" s="19" t="s">
        <v>260</v>
      </c>
      <c r="S60" s="19" t="s">
        <v>3031</v>
      </c>
    </row>
    <row r="61" spans="1:19" ht="95" customHeight="1">
      <c r="A61" s="17" t="s">
        <v>626</v>
      </c>
      <c r="B61" s="19" t="s">
        <v>627</v>
      </c>
      <c r="C61" s="19" t="s">
        <v>254</v>
      </c>
      <c r="D61" s="19" t="s">
        <v>255</v>
      </c>
      <c r="E61" s="17" t="s">
        <v>628</v>
      </c>
      <c r="F61" s="20">
        <v>40272.944934722225</v>
      </c>
      <c r="G61" s="17">
        <v>7.2</v>
      </c>
      <c r="H61" s="17" t="s">
        <v>257</v>
      </c>
      <c r="I61" s="17">
        <v>32.286166700000003</v>
      </c>
      <c r="J61" s="17">
        <v>-115.2953333</v>
      </c>
      <c r="K61" s="17">
        <v>9.9870000000000001</v>
      </c>
      <c r="L61" s="19" t="s">
        <v>629</v>
      </c>
      <c r="M61" s="21">
        <v>3.08</v>
      </c>
      <c r="N61" s="19" t="s">
        <v>630</v>
      </c>
      <c r="O61" s="19" t="s">
        <v>631</v>
      </c>
      <c r="P61" s="19">
        <v>42.36</v>
      </c>
      <c r="Q61" s="19">
        <v>1</v>
      </c>
      <c r="R61" s="19" t="s">
        <v>260</v>
      </c>
      <c r="S61" s="19" t="s">
        <v>632</v>
      </c>
    </row>
    <row r="62" spans="1:19" ht="95" customHeight="1">
      <c r="A62" s="17" t="s">
        <v>633</v>
      </c>
      <c r="B62" s="19" t="s">
        <v>634</v>
      </c>
      <c r="C62" s="19" t="s">
        <v>442</v>
      </c>
      <c r="D62" s="19" t="s">
        <v>443</v>
      </c>
      <c r="E62" s="17" t="s">
        <v>635</v>
      </c>
      <c r="F62" s="20">
        <v>40241.013093634261</v>
      </c>
      <c r="G62" s="17">
        <v>6.3</v>
      </c>
      <c r="H62" s="17" t="s">
        <v>436</v>
      </c>
      <c r="I62" s="17">
        <v>22.917999999999999</v>
      </c>
      <c r="J62" s="17">
        <v>120.795</v>
      </c>
      <c r="K62" s="17">
        <v>21</v>
      </c>
      <c r="L62" s="19" t="s">
        <v>636</v>
      </c>
      <c r="M62" s="21">
        <v>9.39</v>
      </c>
      <c r="N62" s="19"/>
      <c r="O62" s="19"/>
      <c r="P62" s="19"/>
      <c r="Q62" s="19"/>
      <c r="R62" s="19" t="s">
        <v>260</v>
      </c>
      <c r="S62" s="19" t="s">
        <v>637</v>
      </c>
    </row>
    <row r="63" spans="1:19" ht="95" customHeight="1">
      <c r="A63" s="17" t="s">
        <v>638</v>
      </c>
      <c r="B63" s="19" t="s">
        <v>639</v>
      </c>
      <c r="C63" s="19" t="s">
        <v>254</v>
      </c>
      <c r="D63" s="19" t="s">
        <v>255</v>
      </c>
      <c r="E63" s="17" t="s">
        <v>640</v>
      </c>
      <c r="F63" s="20">
        <v>40595.994240162036</v>
      </c>
      <c r="G63" s="17">
        <v>6.1</v>
      </c>
      <c r="H63" s="17" t="s">
        <v>641</v>
      </c>
      <c r="I63" s="17">
        <v>-43.582999999999998</v>
      </c>
      <c r="J63" s="17">
        <v>172.68</v>
      </c>
      <c r="K63" s="17">
        <v>5.9</v>
      </c>
      <c r="L63" s="19" t="s">
        <v>642</v>
      </c>
      <c r="M63" s="21">
        <v>2.2799999999999998</v>
      </c>
      <c r="N63" s="19" t="s">
        <v>643</v>
      </c>
      <c r="O63" s="19" t="s">
        <v>644</v>
      </c>
      <c r="P63" s="19">
        <v>42.35</v>
      </c>
      <c r="Q63" s="19">
        <v>3</v>
      </c>
      <c r="R63" s="19" t="s">
        <v>260</v>
      </c>
      <c r="S63" s="19" t="s">
        <v>645</v>
      </c>
    </row>
    <row r="64" spans="1:19" ht="95" customHeight="1">
      <c r="A64" s="17" t="s">
        <v>646</v>
      </c>
      <c r="B64" s="19" t="s">
        <v>647</v>
      </c>
      <c r="C64" s="19" t="s">
        <v>442</v>
      </c>
      <c r="D64" s="19" t="s">
        <v>443</v>
      </c>
      <c r="E64" s="17" t="s">
        <v>648</v>
      </c>
      <c r="F64" s="20">
        <v>41360.085646064814</v>
      </c>
      <c r="G64" s="17">
        <v>5.9</v>
      </c>
      <c r="H64" s="17" t="s">
        <v>641</v>
      </c>
      <c r="I64" s="17">
        <v>23.827999999999999</v>
      </c>
      <c r="J64" s="17">
        <v>121.215</v>
      </c>
      <c r="K64" s="17">
        <v>19</v>
      </c>
      <c r="L64" s="19" t="s">
        <v>649</v>
      </c>
      <c r="M64" s="21">
        <v>18.27</v>
      </c>
      <c r="N64" s="19"/>
      <c r="O64" s="19"/>
      <c r="P64" s="19"/>
      <c r="Q64" s="19"/>
      <c r="R64" s="19" t="s">
        <v>260</v>
      </c>
      <c r="S64" s="19" t="s">
        <v>650</v>
      </c>
    </row>
    <row r="65" spans="1:19" ht="95" customHeight="1">
      <c r="A65" s="17" t="s">
        <v>651</v>
      </c>
      <c r="B65" s="19" t="s">
        <v>652</v>
      </c>
      <c r="C65" s="19" t="s">
        <v>442</v>
      </c>
      <c r="D65" s="19" t="s">
        <v>443</v>
      </c>
      <c r="E65" s="17" t="s">
        <v>653</v>
      </c>
      <c r="F65" s="20">
        <v>41427.238234490738</v>
      </c>
      <c r="G65" s="17">
        <v>6.2</v>
      </c>
      <c r="H65" s="17" t="s">
        <v>641</v>
      </c>
      <c r="I65" s="17">
        <v>23.789000000000001</v>
      </c>
      <c r="J65" s="17">
        <v>121.14100000000001</v>
      </c>
      <c r="K65" s="17">
        <v>17</v>
      </c>
      <c r="L65" s="19" t="s">
        <v>654</v>
      </c>
      <c r="M65" s="21">
        <v>18.45</v>
      </c>
      <c r="N65" s="19"/>
      <c r="O65" s="19"/>
      <c r="P65" s="19"/>
      <c r="Q65" s="19"/>
      <c r="R65" s="19" t="s">
        <v>260</v>
      </c>
      <c r="S65" s="19" t="s">
        <v>655</v>
      </c>
    </row>
    <row r="66" spans="1:19" ht="95" customHeight="1">
      <c r="A66" s="17" t="s">
        <v>656</v>
      </c>
      <c r="B66" s="19" t="s">
        <v>657</v>
      </c>
      <c r="C66" s="19" t="s">
        <v>442</v>
      </c>
      <c r="D66" s="19" t="s">
        <v>443</v>
      </c>
      <c r="E66" s="17" t="s">
        <v>658</v>
      </c>
      <c r="F66" s="20">
        <v>41578.501489814815</v>
      </c>
      <c r="G66" s="17">
        <v>6.3</v>
      </c>
      <c r="H66" s="17" t="s">
        <v>641</v>
      </c>
      <c r="I66" s="17">
        <v>23.590399999999999</v>
      </c>
      <c r="J66" s="17">
        <v>121.4366</v>
      </c>
      <c r="K66" s="17">
        <v>10</v>
      </c>
      <c r="L66" s="19" t="s">
        <v>659</v>
      </c>
      <c r="M66" s="21">
        <v>9.5399999999999991</v>
      </c>
      <c r="N66" s="19"/>
      <c r="O66" s="19"/>
      <c r="P66" s="19"/>
      <c r="Q66" s="19"/>
      <c r="R66" s="19" t="s">
        <v>260</v>
      </c>
      <c r="S66" s="19" t="s">
        <v>660</v>
      </c>
    </row>
    <row r="67" spans="1:19" ht="95" customHeight="1">
      <c r="A67" s="17" t="s">
        <v>220</v>
      </c>
      <c r="B67" s="19" t="s">
        <v>661</v>
      </c>
      <c r="C67" s="19" t="s">
        <v>442</v>
      </c>
      <c r="D67" s="19" t="s">
        <v>443</v>
      </c>
      <c r="E67" s="17" t="s">
        <v>221</v>
      </c>
      <c r="F67" s="20">
        <v>42119.257939236108</v>
      </c>
      <c r="G67" s="17">
        <v>7.8</v>
      </c>
      <c r="H67" s="17" t="s">
        <v>641</v>
      </c>
      <c r="I67" s="17">
        <v>28.230499999999999</v>
      </c>
      <c r="J67" s="17">
        <v>84.731399999999994</v>
      </c>
      <c r="K67" s="17">
        <v>8.2200000000000006</v>
      </c>
      <c r="L67" s="19" t="s">
        <v>662</v>
      </c>
      <c r="M67" s="21">
        <v>7.0000000000000007E-2</v>
      </c>
      <c r="N67" s="19"/>
      <c r="O67" s="19"/>
      <c r="P67" s="19"/>
      <c r="Q67" s="19"/>
      <c r="R67" s="19" t="s">
        <v>461</v>
      </c>
      <c r="S67" s="19" t="s">
        <v>663</v>
      </c>
    </row>
    <row r="68" spans="1:19" ht="95" customHeight="1">
      <c r="A68" s="17" t="s">
        <v>223</v>
      </c>
      <c r="B68" s="19" t="s">
        <v>664</v>
      </c>
      <c r="C68" s="19" t="s">
        <v>442</v>
      </c>
      <c r="D68" s="19" t="s">
        <v>443</v>
      </c>
      <c r="E68" s="17" t="s">
        <v>224</v>
      </c>
      <c r="F68" s="20">
        <v>42687.460374305556</v>
      </c>
      <c r="G68" s="17">
        <v>7.8</v>
      </c>
      <c r="H68" s="17" t="s">
        <v>641</v>
      </c>
      <c r="I68" s="17">
        <v>-42.737299999999998</v>
      </c>
      <c r="J68" s="17">
        <v>173.054</v>
      </c>
      <c r="K68" s="17">
        <v>15.11</v>
      </c>
      <c r="L68" s="19" t="s">
        <v>665</v>
      </c>
      <c r="M68" s="21">
        <v>0.03</v>
      </c>
      <c r="N68" s="19"/>
      <c r="O68" s="19"/>
      <c r="P68" s="19"/>
      <c r="Q68" s="19"/>
      <c r="R68" s="19" t="s">
        <v>461</v>
      </c>
      <c r="S68" s="19" t="s">
        <v>666</v>
      </c>
    </row>
    <row r="69" spans="1:19" ht="95" customHeight="1">
      <c r="A69" s="17" t="s">
        <v>226</v>
      </c>
      <c r="B69" s="19" t="s">
        <v>667</v>
      </c>
      <c r="C69" s="19" t="s">
        <v>3029</v>
      </c>
      <c r="D69" s="19" t="s">
        <v>3030</v>
      </c>
      <c r="E69" s="17" t="s">
        <v>227</v>
      </c>
      <c r="F69" s="20">
        <v>42475.684099768521</v>
      </c>
      <c r="G69" s="17">
        <v>7</v>
      </c>
      <c r="H69" s="17" t="s">
        <v>641</v>
      </c>
      <c r="I69" s="17">
        <v>32.790599999999998</v>
      </c>
      <c r="J69" s="17">
        <v>130.7543</v>
      </c>
      <c r="K69" s="17">
        <v>10</v>
      </c>
      <c r="L69" s="19" t="s">
        <v>668</v>
      </c>
      <c r="M69" s="21">
        <v>0.05</v>
      </c>
      <c r="N69" s="19"/>
      <c r="O69" s="19"/>
      <c r="P69" s="19"/>
      <c r="Q69" s="19"/>
      <c r="R69" s="19" t="s">
        <v>461</v>
      </c>
      <c r="S69" s="19" t="s">
        <v>3032</v>
      </c>
    </row>
    <row r="70" spans="1:19" ht="95" customHeight="1">
      <c r="A70" s="17" t="s">
        <v>669</v>
      </c>
      <c r="B70" s="19" t="s">
        <v>670</v>
      </c>
      <c r="C70" s="19" t="s">
        <v>3033</v>
      </c>
      <c r="D70" s="19" t="s">
        <v>3034</v>
      </c>
      <c r="E70" s="17" t="s">
        <v>671</v>
      </c>
      <c r="F70" s="20">
        <v>42474.518469097224</v>
      </c>
      <c r="G70" s="17">
        <v>6.2</v>
      </c>
      <c r="H70" s="17" t="s">
        <v>641</v>
      </c>
      <c r="I70" s="17">
        <v>32.787999999999997</v>
      </c>
      <c r="J70" s="17">
        <v>130.70419999999999</v>
      </c>
      <c r="K70" s="17">
        <v>9</v>
      </c>
      <c r="L70" s="19"/>
      <c r="M70" s="21"/>
      <c r="N70" s="19"/>
      <c r="O70" s="19"/>
      <c r="P70" s="19"/>
      <c r="Q70" s="19"/>
      <c r="R70" s="19" t="s">
        <v>260</v>
      </c>
      <c r="S70" s="19" t="s">
        <v>3035</v>
      </c>
    </row>
    <row r="71" spans="1:19" ht="95" customHeight="1">
      <c r="A71" s="17" t="s">
        <v>672</v>
      </c>
      <c r="B71" s="19" t="s">
        <v>673</v>
      </c>
      <c r="C71" s="19" t="s">
        <v>3029</v>
      </c>
      <c r="D71" s="19" t="s">
        <v>3030</v>
      </c>
      <c r="E71" s="17" t="s">
        <v>674</v>
      </c>
      <c r="F71" s="20">
        <v>42405.831566898145</v>
      </c>
      <c r="G71" s="17">
        <v>6.4</v>
      </c>
      <c r="H71" s="17" t="s">
        <v>641</v>
      </c>
      <c r="I71" s="17">
        <v>22.9375</v>
      </c>
      <c r="J71" s="17">
        <v>120.6014</v>
      </c>
      <c r="K71" s="17">
        <v>23</v>
      </c>
      <c r="L71" s="19" t="s">
        <v>675</v>
      </c>
      <c r="M71" s="21">
        <v>6.13</v>
      </c>
      <c r="N71" s="19"/>
      <c r="O71" s="19"/>
      <c r="P71" s="19"/>
      <c r="Q71" s="19"/>
      <c r="R71" s="19" t="s">
        <v>260</v>
      </c>
      <c r="S71" s="19" t="s">
        <v>3036</v>
      </c>
    </row>
    <row r="72" spans="1:19" ht="95" customHeight="1">
      <c r="A72" s="17" t="s">
        <v>676</v>
      </c>
      <c r="B72" s="19" t="s">
        <v>677</v>
      </c>
      <c r="C72" s="19" t="s">
        <v>3029</v>
      </c>
      <c r="D72" s="19" t="s">
        <v>3030</v>
      </c>
      <c r="E72" s="17" t="s">
        <v>678</v>
      </c>
      <c r="F72" s="20">
        <v>43137.660223611114</v>
      </c>
      <c r="G72" s="17">
        <v>6.4</v>
      </c>
      <c r="H72" s="17" t="s">
        <v>641</v>
      </c>
      <c r="I72" s="17">
        <v>24.133800000000001</v>
      </c>
      <c r="J72" s="17">
        <v>121.65860000000001</v>
      </c>
      <c r="K72" s="17">
        <v>17</v>
      </c>
      <c r="L72" s="19" t="s">
        <v>679</v>
      </c>
      <c r="M72" s="21">
        <v>6.77</v>
      </c>
      <c r="N72" s="19"/>
      <c r="O72" s="19"/>
      <c r="P72" s="19"/>
      <c r="Q72" s="19"/>
      <c r="R72" s="19" t="s">
        <v>260</v>
      </c>
      <c r="S72" s="19" t="s">
        <v>3037</v>
      </c>
    </row>
    <row r="73" spans="1:19" ht="95" customHeight="1">
      <c r="A73" s="17" t="s">
        <v>680</v>
      </c>
      <c r="B73" s="19" t="s">
        <v>681</v>
      </c>
      <c r="C73" s="19" t="s">
        <v>442</v>
      </c>
      <c r="D73" s="19" t="s">
        <v>443</v>
      </c>
      <c r="E73" s="17" t="s">
        <v>682</v>
      </c>
      <c r="F73" s="20">
        <v>43348.755545717591</v>
      </c>
      <c r="G73" s="17">
        <v>6.6</v>
      </c>
      <c r="H73" s="17" t="s">
        <v>641</v>
      </c>
      <c r="I73" s="17">
        <v>42.686100000000003</v>
      </c>
      <c r="J73" s="17">
        <v>141.92939999999999</v>
      </c>
      <c r="K73" s="17">
        <v>35</v>
      </c>
      <c r="L73" s="19"/>
      <c r="M73" s="21"/>
      <c r="N73" s="19"/>
      <c r="O73" s="19"/>
      <c r="P73" s="19"/>
      <c r="Q73" s="19"/>
      <c r="R73" s="19" t="s">
        <v>260</v>
      </c>
      <c r="S73" s="19" t="s">
        <v>683</v>
      </c>
    </row>
    <row r="74" spans="1:19" ht="95" customHeight="1">
      <c r="A74" s="17" t="s">
        <v>684</v>
      </c>
      <c r="B74" s="19" t="s">
        <v>685</v>
      </c>
      <c r="C74" s="19" t="s">
        <v>442</v>
      </c>
      <c r="D74" s="19" t="s">
        <v>443</v>
      </c>
      <c r="E74" s="17" t="s">
        <v>686</v>
      </c>
      <c r="F74" s="20">
        <v>44888.047400868054</v>
      </c>
      <c r="G74" s="17">
        <v>6.1</v>
      </c>
      <c r="H74" s="17" t="s">
        <v>641</v>
      </c>
      <c r="I74" s="17">
        <v>40.835599999999999</v>
      </c>
      <c r="J74" s="17">
        <v>30.9831</v>
      </c>
      <c r="K74" s="17">
        <v>10</v>
      </c>
      <c r="L74" s="19"/>
      <c r="M74" s="21"/>
      <c r="N74" s="19"/>
      <c r="O74" s="19"/>
      <c r="P74" s="19"/>
      <c r="Q74" s="19"/>
      <c r="R74" s="19" t="s">
        <v>260</v>
      </c>
      <c r="S74" s="19" t="s">
        <v>687</v>
      </c>
    </row>
    <row r="75" spans="1:19" ht="95" customHeight="1">
      <c r="A75" s="17" t="s">
        <v>229</v>
      </c>
      <c r="B75" s="19" t="s">
        <v>688</v>
      </c>
      <c r="C75" s="19" t="s">
        <v>442</v>
      </c>
      <c r="D75" s="19" t="s">
        <v>443</v>
      </c>
      <c r="E75" s="17" t="s">
        <v>230</v>
      </c>
      <c r="F75" s="20">
        <v>44963.433898275463</v>
      </c>
      <c r="G75" s="17">
        <v>7.5</v>
      </c>
      <c r="H75" s="17" t="s">
        <v>641</v>
      </c>
      <c r="I75" s="17">
        <v>38.010599999999997</v>
      </c>
      <c r="J75" s="17">
        <v>37.196199999999997</v>
      </c>
      <c r="K75" s="17">
        <v>7.4320000000000004</v>
      </c>
      <c r="L75" s="19"/>
      <c r="M75" s="21"/>
      <c r="N75" s="19"/>
      <c r="O75" s="19"/>
      <c r="P75" s="19"/>
      <c r="Q75" s="19"/>
      <c r="R75" s="19" t="s">
        <v>461</v>
      </c>
      <c r="S75" s="19" t="s">
        <v>689</v>
      </c>
    </row>
    <row r="76" spans="1:19" ht="95" customHeight="1">
      <c r="A76" s="17" t="s">
        <v>232</v>
      </c>
      <c r="B76" s="19" t="s">
        <v>690</v>
      </c>
      <c r="C76" s="19" t="s">
        <v>442</v>
      </c>
      <c r="D76" s="19" t="s">
        <v>443</v>
      </c>
      <c r="E76" s="17" t="s">
        <v>233</v>
      </c>
      <c r="F76" s="20">
        <v>44963.053869699077</v>
      </c>
      <c r="G76" s="17">
        <v>7.8</v>
      </c>
      <c r="H76" s="17" t="s">
        <v>641</v>
      </c>
      <c r="I76" s="17">
        <v>37.2256</v>
      </c>
      <c r="J76" s="17">
        <v>37.014299999999999</v>
      </c>
      <c r="K76" s="17">
        <v>10</v>
      </c>
      <c r="L76" s="19"/>
      <c r="M76" s="21"/>
      <c r="N76" s="19"/>
      <c r="O76" s="19"/>
      <c r="P76" s="19"/>
      <c r="Q76" s="19"/>
      <c r="R76" s="19" t="s">
        <v>461</v>
      </c>
      <c r="S76" s="19" t="s">
        <v>691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83F60"/>
  </sheetPr>
  <dimension ref="A1:CM97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30" customWidth="1"/>
    <col min="3" max="3" width="17" customWidth="1"/>
    <col min="4" max="4" width="34" customWidth="1"/>
    <col min="5" max="5" width="17" customWidth="1"/>
    <col min="6" max="7" width="38" customWidth="1"/>
    <col min="8" max="11" width="17" customWidth="1"/>
    <col min="12" max="12" width="75" customWidth="1"/>
    <col min="13" max="13" width="56" customWidth="1"/>
    <col min="14" max="14" width="90" customWidth="1"/>
    <col min="15" max="28" width="17" customWidth="1"/>
    <col min="29" max="29" width="22" customWidth="1"/>
    <col min="30" max="59" width="17" customWidth="1"/>
    <col min="60" max="60" width="40" customWidth="1"/>
    <col min="61" max="62" width="65" customWidth="1"/>
    <col min="63" max="63" width="17" customWidth="1"/>
    <col min="64" max="64" width="54" customWidth="1"/>
    <col min="65" max="72" width="20" customWidth="1"/>
    <col min="73" max="74" width="40" customWidth="1"/>
    <col min="75" max="80" width="20" customWidth="1"/>
    <col min="81" max="82" width="40" customWidth="1"/>
    <col min="83" max="86" width="20" customWidth="1"/>
    <col min="87" max="88" width="55" customWidth="1"/>
    <col min="89" max="90" width="22" customWidth="1"/>
    <col min="91" max="91" width="40" customWidth="1"/>
  </cols>
  <sheetData>
    <row r="1" spans="1:91" ht="58" customHeight="1">
      <c r="A1" s="3" t="s">
        <v>3038</v>
      </c>
      <c r="B1" s="3" t="s">
        <v>1243</v>
      </c>
      <c r="C1" s="3" t="s">
        <v>1244</v>
      </c>
      <c r="D1" s="3" t="s">
        <v>3039</v>
      </c>
      <c r="E1" s="3" t="s">
        <v>3040</v>
      </c>
      <c r="F1" s="3" t="s">
        <v>3041</v>
      </c>
      <c r="G1" s="3" t="s">
        <v>1384</v>
      </c>
      <c r="H1" s="3" t="s">
        <v>1386</v>
      </c>
      <c r="I1" s="3" t="s">
        <v>1387</v>
      </c>
      <c r="J1" s="3" t="s">
        <v>1388</v>
      </c>
      <c r="K1" s="3" t="s">
        <v>3042</v>
      </c>
      <c r="L1" s="3" t="s">
        <v>3043</v>
      </c>
      <c r="M1" s="3" t="s">
        <v>3044</v>
      </c>
      <c r="N1" s="3" t="s">
        <v>1394</v>
      </c>
      <c r="O1" s="3" t="s">
        <v>3045</v>
      </c>
      <c r="P1" s="3" t="s">
        <v>3046</v>
      </c>
      <c r="Q1" s="3" t="s">
        <v>1003</v>
      </c>
      <c r="R1" s="3" t="s">
        <v>3047</v>
      </c>
      <c r="S1" s="3" t="s">
        <v>3048</v>
      </c>
      <c r="T1" s="3" t="s">
        <v>3049</v>
      </c>
      <c r="U1" s="3" t="s">
        <v>3050</v>
      </c>
      <c r="V1" s="3" t="s">
        <v>3051</v>
      </c>
      <c r="W1" s="3" t="s">
        <v>3052</v>
      </c>
      <c r="X1" s="3" t="s">
        <v>3053</v>
      </c>
      <c r="Y1" s="3" t="s">
        <v>3054</v>
      </c>
      <c r="Z1" s="3" t="s">
        <v>3055</v>
      </c>
      <c r="AA1" s="3" t="s">
        <v>3056</v>
      </c>
      <c r="AB1" s="3" t="s">
        <v>3057</v>
      </c>
      <c r="AC1" s="3" t="s">
        <v>3058</v>
      </c>
      <c r="AD1" s="3" t="s">
        <v>3059</v>
      </c>
      <c r="AE1" s="3" t="s">
        <v>3060</v>
      </c>
      <c r="AF1" s="3" t="s">
        <v>3061</v>
      </c>
      <c r="AG1" s="3" t="s">
        <v>3062</v>
      </c>
      <c r="AH1" s="3" t="s">
        <v>1010</v>
      </c>
      <c r="AI1" s="3" t="s">
        <v>3063</v>
      </c>
      <c r="AJ1" s="3" t="s">
        <v>1012</v>
      </c>
      <c r="AK1" s="3" t="s">
        <v>3064</v>
      </c>
      <c r="AL1" s="3" t="s">
        <v>1014</v>
      </c>
      <c r="AM1" s="3" t="s">
        <v>3065</v>
      </c>
      <c r="AN1" s="3" t="s">
        <v>3066</v>
      </c>
      <c r="AO1" s="3" t="s">
        <v>3067</v>
      </c>
      <c r="AP1" s="3" t="s">
        <v>3068</v>
      </c>
      <c r="AQ1" s="3" t="s">
        <v>3069</v>
      </c>
      <c r="AR1" s="3" t="s">
        <v>3070</v>
      </c>
      <c r="AS1" s="3" t="s">
        <v>3071</v>
      </c>
      <c r="AT1" s="3" t="s">
        <v>3072</v>
      </c>
      <c r="AU1" s="3" t="s">
        <v>3073</v>
      </c>
      <c r="AV1" s="3" t="s">
        <v>3074</v>
      </c>
      <c r="AW1" s="3" t="s">
        <v>3075</v>
      </c>
      <c r="AX1" s="3" t="s">
        <v>3076</v>
      </c>
      <c r="AY1" s="3" t="s">
        <v>3077</v>
      </c>
      <c r="AZ1" s="3" t="s">
        <v>3078</v>
      </c>
      <c r="BA1" s="3" t="s">
        <v>3079</v>
      </c>
      <c r="BB1" s="3" t="s">
        <v>3080</v>
      </c>
      <c r="BC1" s="3" t="s">
        <v>3081</v>
      </c>
      <c r="BD1" s="3" t="s">
        <v>3082</v>
      </c>
      <c r="BE1" s="3" t="s">
        <v>3083</v>
      </c>
      <c r="BF1" s="3" t="s">
        <v>3084</v>
      </c>
      <c r="BG1" s="3" t="s">
        <v>3085</v>
      </c>
      <c r="BH1" s="3" t="s">
        <v>3086</v>
      </c>
      <c r="BI1" s="3" t="s">
        <v>3087</v>
      </c>
      <c r="BJ1" s="3" t="s">
        <v>130</v>
      </c>
      <c r="BK1" s="3" t="s">
        <v>3088</v>
      </c>
      <c r="BL1" s="3" t="s">
        <v>3089</v>
      </c>
      <c r="BM1" s="12" t="s">
        <v>194</v>
      </c>
      <c r="BN1" s="12" t="s">
        <v>706</v>
      </c>
      <c r="BO1" s="12" t="s">
        <v>707</v>
      </c>
      <c r="BP1" s="12" t="s">
        <v>708</v>
      </c>
      <c r="BQ1" s="12" t="s">
        <v>709</v>
      </c>
      <c r="BR1" s="12" t="s">
        <v>710</v>
      </c>
      <c r="BS1" s="12" t="s">
        <v>711</v>
      </c>
      <c r="BT1" s="12" t="s">
        <v>712</v>
      </c>
      <c r="BU1" s="12" t="s">
        <v>713</v>
      </c>
      <c r="BV1" s="12" t="s">
        <v>714</v>
      </c>
      <c r="BW1" s="12" t="s">
        <v>715</v>
      </c>
      <c r="BX1" s="12" t="s">
        <v>716</v>
      </c>
      <c r="BY1" s="12" t="s">
        <v>717</v>
      </c>
      <c r="BZ1" s="12" t="s">
        <v>718</v>
      </c>
      <c r="CA1" s="12" t="s">
        <v>719</v>
      </c>
      <c r="CB1" s="12" t="s">
        <v>720</v>
      </c>
      <c r="CC1" s="12" t="s">
        <v>721</v>
      </c>
      <c r="CD1" s="12" t="s">
        <v>722</v>
      </c>
      <c r="CE1" s="12" t="s">
        <v>723</v>
      </c>
      <c r="CF1" s="12" t="s">
        <v>724</v>
      </c>
      <c r="CG1" s="12" t="s">
        <v>725</v>
      </c>
      <c r="CH1" s="12" t="s">
        <v>726</v>
      </c>
      <c r="CI1" s="12" t="s">
        <v>727</v>
      </c>
      <c r="CJ1" s="12" t="s">
        <v>728</v>
      </c>
      <c r="CK1" t="s">
        <v>3090</v>
      </c>
      <c r="CL1" t="s">
        <v>3091</v>
      </c>
      <c r="CM1" s="33" t="s">
        <v>2564</v>
      </c>
    </row>
    <row r="2" spans="1:91" ht="19" customHeight="1">
      <c r="A2" s="1" t="s">
        <v>3092</v>
      </c>
      <c r="B2" s="1" t="s">
        <v>3093</v>
      </c>
      <c r="C2" s="1">
        <v>2</v>
      </c>
      <c r="D2" s="1" t="s">
        <v>253</v>
      </c>
      <c r="E2" s="1">
        <v>1954</v>
      </c>
      <c r="F2" s="1" t="s">
        <v>729</v>
      </c>
      <c r="G2" s="1" t="s">
        <v>2368</v>
      </c>
      <c r="H2" s="4">
        <v>40.576000000000001</v>
      </c>
      <c r="I2" s="4">
        <v>-124.26300000000001</v>
      </c>
      <c r="J2" s="1" t="s">
        <v>1396</v>
      </c>
      <c r="K2" s="1" t="s">
        <v>75</v>
      </c>
      <c r="L2" s="1" t="s">
        <v>2369</v>
      </c>
      <c r="M2" s="1" t="s">
        <v>3094</v>
      </c>
      <c r="N2" s="1"/>
      <c r="O2" s="1" t="s">
        <v>3095</v>
      </c>
      <c r="P2" s="1">
        <v>20</v>
      </c>
      <c r="Q2" s="4">
        <v>6.5</v>
      </c>
      <c r="R2" s="4">
        <v>2</v>
      </c>
      <c r="S2" s="4"/>
      <c r="T2" s="4">
        <v>40.299999999999997</v>
      </c>
      <c r="U2" s="4">
        <v>27</v>
      </c>
      <c r="V2" s="4"/>
      <c r="W2" s="4">
        <v>32.4</v>
      </c>
      <c r="X2" s="4">
        <v>19</v>
      </c>
      <c r="Y2" s="4">
        <v>47</v>
      </c>
      <c r="Z2" s="4">
        <v>0</v>
      </c>
      <c r="AA2" s="4">
        <v>0</v>
      </c>
      <c r="AB2" s="4" t="s">
        <v>730</v>
      </c>
      <c r="AC2" s="4">
        <v>0.69314718055994529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1"/>
      <c r="BJ2" s="1" t="s">
        <v>3096</v>
      </c>
      <c r="BK2" s="1">
        <v>1</v>
      </c>
      <c r="BL2" s="1"/>
      <c r="BM2" s="1" t="s">
        <v>252</v>
      </c>
      <c r="BN2" s="1" t="s">
        <v>2567</v>
      </c>
      <c r="BO2" s="1" t="s">
        <v>2568</v>
      </c>
      <c r="BP2" s="1">
        <v>6.5</v>
      </c>
      <c r="BQ2" s="1" t="s">
        <v>2570</v>
      </c>
      <c r="BR2" s="1">
        <v>40.816699999999997</v>
      </c>
      <c r="BS2" s="1">
        <v>-124.083</v>
      </c>
      <c r="BT2" s="1">
        <v>10</v>
      </c>
      <c r="BU2" s="1" t="s">
        <v>730</v>
      </c>
      <c r="BV2" s="1" t="s">
        <v>2571</v>
      </c>
      <c r="BW2" s="1">
        <v>65.599999999999994</v>
      </c>
      <c r="BX2" s="1">
        <v>90</v>
      </c>
      <c r="BY2" s="1">
        <v>0</v>
      </c>
      <c r="BZ2" s="1"/>
      <c r="CA2" s="1"/>
      <c r="CB2" s="1"/>
      <c r="CC2" s="1" t="s">
        <v>2566</v>
      </c>
      <c r="CD2" s="1" t="s">
        <v>731</v>
      </c>
      <c r="CE2" s="1"/>
      <c r="CF2" s="1"/>
      <c r="CG2" s="1"/>
      <c r="CH2" s="1"/>
      <c r="CI2" s="1"/>
      <c r="CJ2" s="1" t="s">
        <v>167</v>
      </c>
      <c r="CK2" t="s">
        <v>1262</v>
      </c>
      <c r="CL2">
        <v>2</v>
      </c>
      <c r="CM2" t="s">
        <v>2576</v>
      </c>
    </row>
    <row r="3" spans="1:91" ht="19" customHeight="1">
      <c r="A3" s="1" t="s">
        <v>3097</v>
      </c>
      <c r="B3" s="1" t="s">
        <v>3093</v>
      </c>
      <c r="C3" s="1">
        <v>3</v>
      </c>
      <c r="D3" s="1" t="s">
        <v>732</v>
      </c>
      <c r="E3" s="1">
        <v>1971</v>
      </c>
      <c r="F3" s="1" t="s">
        <v>733</v>
      </c>
      <c r="G3" s="1" t="s">
        <v>2445</v>
      </c>
      <c r="H3" s="4">
        <v>34.334000000000003</v>
      </c>
      <c r="I3" s="4">
        <v>-118.396</v>
      </c>
      <c r="J3" s="1" t="s">
        <v>1396</v>
      </c>
      <c r="K3" s="1" t="s">
        <v>75</v>
      </c>
      <c r="L3" s="1" t="s">
        <v>2446</v>
      </c>
      <c r="M3" s="1" t="s">
        <v>3094</v>
      </c>
      <c r="N3" s="1"/>
      <c r="O3" s="1" t="s">
        <v>3095</v>
      </c>
      <c r="P3" s="1">
        <v>77</v>
      </c>
      <c r="Q3" s="4">
        <v>6.6</v>
      </c>
      <c r="R3" s="4">
        <v>1.64</v>
      </c>
      <c r="S3" s="4"/>
      <c r="T3" s="4">
        <v>121.9</v>
      </c>
      <c r="U3" s="4">
        <v>1.8</v>
      </c>
      <c r="V3" s="4"/>
      <c r="W3" s="4">
        <v>17.600000000000001</v>
      </c>
      <c r="X3" s="4">
        <v>189</v>
      </c>
      <c r="Y3" s="4">
        <v>84</v>
      </c>
      <c r="Z3" s="4">
        <v>1</v>
      </c>
      <c r="AA3" s="4">
        <v>1</v>
      </c>
      <c r="AB3" s="4" t="s">
        <v>734</v>
      </c>
      <c r="AC3" s="4">
        <v>0.494696241836107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1"/>
      <c r="BJ3" s="1" t="s">
        <v>3098</v>
      </c>
      <c r="BK3" s="1">
        <v>1</v>
      </c>
      <c r="BL3" s="1"/>
      <c r="BM3" s="1" t="s">
        <v>262</v>
      </c>
      <c r="BN3" s="1" t="s">
        <v>2578</v>
      </c>
      <c r="BO3" s="1" t="s">
        <v>2579</v>
      </c>
      <c r="BP3" s="1">
        <v>6.61</v>
      </c>
      <c r="BQ3" s="1" t="s">
        <v>1003</v>
      </c>
      <c r="BR3" s="1">
        <v>34.44</v>
      </c>
      <c r="BS3" s="1">
        <v>-118.41</v>
      </c>
      <c r="BT3" s="1">
        <v>13</v>
      </c>
      <c r="BU3" s="1" t="s">
        <v>734</v>
      </c>
      <c r="BV3" s="1" t="s">
        <v>2571</v>
      </c>
      <c r="BW3" s="1">
        <v>288</v>
      </c>
      <c r="BX3" s="1">
        <v>50</v>
      </c>
      <c r="BY3" s="1">
        <v>83</v>
      </c>
      <c r="BZ3" s="1"/>
      <c r="CA3" s="1"/>
      <c r="CB3" s="1"/>
      <c r="CC3" s="1" t="s">
        <v>2566</v>
      </c>
      <c r="CD3" s="1" t="s">
        <v>731</v>
      </c>
      <c r="CE3" s="1"/>
      <c r="CF3" s="1"/>
      <c r="CG3" s="1"/>
      <c r="CH3" s="1"/>
      <c r="CI3" s="1"/>
      <c r="CJ3" s="1" t="s">
        <v>167</v>
      </c>
      <c r="CK3" t="s">
        <v>1262</v>
      </c>
      <c r="CL3">
        <v>3</v>
      </c>
      <c r="CM3" t="s">
        <v>2582</v>
      </c>
    </row>
    <row r="4" spans="1:91" ht="19" customHeight="1">
      <c r="A4" s="1" t="s">
        <v>3099</v>
      </c>
      <c r="B4" s="1" t="s">
        <v>3093</v>
      </c>
      <c r="C4" s="1">
        <v>4</v>
      </c>
      <c r="D4" s="1" t="s">
        <v>735</v>
      </c>
      <c r="E4" s="1">
        <v>1978</v>
      </c>
      <c r="F4" s="1" t="s">
        <v>736</v>
      </c>
      <c r="G4" s="1" t="s">
        <v>1409</v>
      </c>
      <c r="H4" s="4">
        <v>33.58</v>
      </c>
      <c r="I4" s="4">
        <v>56.92</v>
      </c>
      <c r="J4" s="1" t="s">
        <v>1396</v>
      </c>
      <c r="K4" s="1" t="s">
        <v>75</v>
      </c>
      <c r="L4" s="1" t="s">
        <v>1410</v>
      </c>
      <c r="M4" s="1" t="s">
        <v>3094</v>
      </c>
      <c r="N4" s="1"/>
      <c r="O4" s="1" t="s">
        <v>3095</v>
      </c>
      <c r="P4" s="1">
        <v>143</v>
      </c>
      <c r="Q4" s="4">
        <v>7.3</v>
      </c>
      <c r="R4" s="4">
        <v>6.19</v>
      </c>
      <c r="S4" s="4"/>
      <c r="T4" s="4">
        <v>129.69999999999999</v>
      </c>
      <c r="U4" s="4">
        <v>2</v>
      </c>
      <c r="V4" s="4"/>
      <c r="W4" s="4">
        <v>55.5</v>
      </c>
      <c r="X4" s="4">
        <v>0</v>
      </c>
      <c r="Y4" s="4">
        <v>30</v>
      </c>
      <c r="Z4" s="4">
        <v>0</v>
      </c>
      <c r="AA4" s="4">
        <v>1</v>
      </c>
      <c r="AB4" s="4" t="s">
        <v>734</v>
      </c>
      <c r="AC4" s="4">
        <v>1.8229350866965051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1"/>
      <c r="BJ4" s="1" t="s">
        <v>3100</v>
      </c>
      <c r="BK4" s="1">
        <v>1</v>
      </c>
      <c r="BL4" s="1"/>
      <c r="BM4" s="1" t="s">
        <v>269</v>
      </c>
      <c r="BN4" s="1" t="s">
        <v>2584</v>
      </c>
      <c r="BO4" s="1" t="s">
        <v>2585</v>
      </c>
      <c r="BP4" s="1">
        <v>7.35</v>
      </c>
      <c r="BQ4" s="1" t="s">
        <v>1003</v>
      </c>
      <c r="BR4" s="1">
        <v>33.215000000000003</v>
      </c>
      <c r="BS4" s="1">
        <v>57.323</v>
      </c>
      <c r="BT4" s="1">
        <v>5.75</v>
      </c>
      <c r="BU4" s="1" t="s">
        <v>734</v>
      </c>
      <c r="BV4" s="1" t="s">
        <v>2571</v>
      </c>
      <c r="BW4" s="1">
        <v>330</v>
      </c>
      <c r="BX4" s="1">
        <v>25</v>
      </c>
      <c r="BY4" s="1">
        <v>110</v>
      </c>
      <c r="BZ4" s="1"/>
      <c r="CA4" s="1"/>
      <c r="CB4" s="1"/>
      <c r="CC4" s="1" t="s">
        <v>2566</v>
      </c>
      <c r="CD4" s="1" t="s">
        <v>731</v>
      </c>
      <c r="CE4" s="1"/>
      <c r="CF4" s="1"/>
      <c r="CG4" s="1"/>
      <c r="CH4" s="1"/>
      <c r="CI4" s="1"/>
      <c r="CJ4" s="1" t="s">
        <v>167</v>
      </c>
      <c r="CK4" t="s">
        <v>1262</v>
      </c>
      <c r="CL4">
        <v>4</v>
      </c>
      <c r="CM4" t="s">
        <v>2587</v>
      </c>
    </row>
    <row r="5" spans="1:91" ht="19" customHeight="1">
      <c r="A5" s="1" t="s">
        <v>3101</v>
      </c>
      <c r="B5" s="1" t="s">
        <v>3093</v>
      </c>
      <c r="C5" s="1">
        <v>5</v>
      </c>
      <c r="D5" s="1" t="s">
        <v>737</v>
      </c>
      <c r="E5" s="1">
        <v>1979</v>
      </c>
      <c r="F5" s="1" t="s">
        <v>738</v>
      </c>
      <c r="G5" s="1" t="s">
        <v>1571</v>
      </c>
      <c r="H5" s="4">
        <v>42.094999999999999</v>
      </c>
      <c r="I5" s="4">
        <v>19.100999999999999</v>
      </c>
      <c r="J5" s="1" t="s">
        <v>1396</v>
      </c>
      <c r="K5" s="1" t="s">
        <v>75</v>
      </c>
      <c r="L5" s="1" t="s">
        <v>1572</v>
      </c>
      <c r="M5" s="1" t="s">
        <v>3094</v>
      </c>
      <c r="N5" s="1"/>
      <c r="O5" s="1" t="s">
        <v>3095</v>
      </c>
      <c r="P5" s="1">
        <v>4451</v>
      </c>
      <c r="Q5" s="4">
        <v>7.1</v>
      </c>
      <c r="R5" s="4">
        <v>1.44</v>
      </c>
      <c r="S5" s="4"/>
      <c r="T5" s="4">
        <v>62.7</v>
      </c>
      <c r="U5" s="4">
        <v>7</v>
      </c>
      <c r="V5" s="4"/>
      <c r="W5" s="4">
        <v>12.9</v>
      </c>
      <c r="X5" s="4">
        <v>309</v>
      </c>
      <c r="Y5" s="4">
        <v>9</v>
      </c>
      <c r="Z5" s="4">
        <v>0</v>
      </c>
      <c r="AA5" s="4">
        <v>1</v>
      </c>
      <c r="AB5" s="4" t="s">
        <v>734</v>
      </c>
      <c r="AC5" s="4">
        <v>0.36464311358790918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1"/>
      <c r="BJ5" s="1" t="s">
        <v>3102</v>
      </c>
      <c r="BK5" s="1">
        <v>1</v>
      </c>
      <c r="BL5" s="1"/>
      <c r="BM5" s="1" t="s">
        <v>298</v>
      </c>
      <c r="BN5" s="1" t="s">
        <v>2589</v>
      </c>
      <c r="BO5" s="1" t="s">
        <v>2590</v>
      </c>
      <c r="BP5" s="1">
        <v>7.1</v>
      </c>
      <c r="BQ5" s="1" t="s">
        <v>1003</v>
      </c>
      <c r="BR5" s="1">
        <v>42.04</v>
      </c>
      <c r="BS5" s="1">
        <v>19.21</v>
      </c>
      <c r="BT5" s="1">
        <v>7</v>
      </c>
      <c r="BU5" s="1" t="s">
        <v>734</v>
      </c>
      <c r="BV5" s="1" t="s">
        <v>2571</v>
      </c>
      <c r="BW5" s="1">
        <v>300</v>
      </c>
      <c r="BX5" s="1">
        <v>14</v>
      </c>
      <c r="BY5" s="1">
        <v>88</v>
      </c>
      <c r="BZ5" s="1"/>
      <c r="CA5" s="1"/>
      <c r="CB5" s="1"/>
      <c r="CC5" s="1" t="s">
        <v>2566</v>
      </c>
      <c r="CD5" s="1" t="s">
        <v>731</v>
      </c>
      <c r="CE5" s="1"/>
      <c r="CF5" s="1"/>
      <c r="CG5" s="1"/>
      <c r="CH5" s="1"/>
      <c r="CI5" s="1"/>
      <c r="CJ5" s="1" t="s">
        <v>167</v>
      </c>
      <c r="CK5" t="s">
        <v>1262</v>
      </c>
      <c r="CL5">
        <v>5</v>
      </c>
      <c r="CM5" t="s">
        <v>2592</v>
      </c>
    </row>
    <row r="6" spans="1:91" ht="19" customHeight="1">
      <c r="A6" s="1" t="s">
        <v>3103</v>
      </c>
      <c r="B6" s="1" t="s">
        <v>3093</v>
      </c>
      <c r="C6" s="1">
        <v>6</v>
      </c>
      <c r="D6" s="1" t="s">
        <v>737</v>
      </c>
      <c r="E6" s="1">
        <v>1979</v>
      </c>
      <c r="F6" s="1" t="s">
        <v>739</v>
      </c>
      <c r="G6" s="1" t="s">
        <v>1574</v>
      </c>
      <c r="H6" s="4">
        <v>41.911000000000001</v>
      </c>
      <c r="I6" s="4">
        <v>19.248999999999999</v>
      </c>
      <c r="J6" s="1" t="s">
        <v>1396</v>
      </c>
      <c r="K6" s="1" t="s">
        <v>75</v>
      </c>
      <c r="L6" s="1" t="s">
        <v>1575</v>
      </c>
      <c r="M6" s="1" t="s">
        <v>3094</v>
      </c>
      <c r="N6" s="1"/>
      <c r="O6" s="1" t="s">
        <v>3095</v>
      </c>
      <c r="P6" s="1">
        <v>4458</v>
      </c>
      <c r="Q6" s="4">
        <v>7.1</v>
      </c>
      <c r="R6" s="4">
        <v>1.97</v>
      </c>
      <c r="S6" s="4"/>
      <c r="T6" s="4">
        <v>62.8</v>
      </c>
      <c r="U6" s="4">
        <v>5.8</v>
      </c>
      <c r="V6" s="4"/>
      <c r="W6" s="4">
        <v>16.3</v>
      </c>
      <c r="X6" s="4">
        <v>301</v>
      </c>
      <c r="Y6" s="4">
        <v>1</v>
      </c>
      <c r="Z6" s="4">
        <v>0</v>
      </c>
      <c r="AA6" s="4">
        <v>1</v>
      </c>
      <c r="AB6" s="4" t="s">
        <v>734</v>
      </c>
      <c r="AC6" s="4">
        <v>0.67803354274989713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1"/>
      <c r="BJ6" s="1" t="s">
        <v>3104</v>
      </c>
      <c r="BK6" s="1">
        <v>1</v>
      </c>
      <c r="BL6" s="1"/>
      <c r="BM6" s="1" t="s">
        <v>298</v>
      </c>
      <c r="BN6" s="1" t="s">
        <v>2589</v>
      </c>
      <c r="BO6" s="1" t="s">
        <v>2590</v>
      </c>
      <c r="BP6" s="1">
        <v>7.1</v>
      </c>
      <c r="BQ6" s="1" t="s">
        <v>1003</v>
      </c>
      <c r="BR6" s="1">
        <v>42.04</v>
      </c>
      <c r="BS6" s="1">
        <v>19.21</v>
      </c>
      <c r="BT6" s="1">
        <v>7</v>
      </c>
      <c r="BU6" s="1" t="s">
        <v>734</v>
      </c>
      <c r="BV6" s="1" t="s">
        <v>2571</v>
      </c>
      <c r="BW6" s="1">
        <v>300</v>
      </c>
      <c r="BX6" s="1">
        <v>14</v>
      </c>
      <c r="BY6" s="1">
        <v>88</v>
      </c>
      <c r="BZ6" s="1"/>
      <c r="CA6" s="1"/>
      <c r="CB6" s="1"/>
      <c r="CC6" s="1" t="s">
        <v>2566</v>
      </c>
      <c r="CD6" s="1" t="s">
        <v>731</v>
      </c>
      <c r="CE6" s="1"/>
      <c r="CF6" s="1"/>
      <c r="CG6" s="1"/>
      <c r="CH6" s="1"/>
      <c r="CI6" s="1"/>
      <c r="CJ6" s="1" t="s">
        <v>167</v>
      </c>
      <c r="CK6" t="s">
        <v>1262</v>
      </c>
      <c r="CL6">
        <v>6</v>
      </c>
      <c r="CM6" t="s">
        <v>2592</v>
      </c>
    </row>
    <row r="7" spans="1:91" ht="19" customHeight="1">
      <c r="A7" s="1" t="s">
        <v>3105</v>
      </c>
      <c r="B7" s="1" t="s">
        <v>3093</v>
      </c>
      <c r="C7" s="1">
        <v>7</v>
      </c>
      <c r="D7" s="1" t="s">
        <v>740</v>
      </c>
      <c r="E7" s="1">
        <v>1979</v>
      </c>
      <c r="F7" s="1" t="s">
        <v>741</v>
      </c>
      <c r="G7" s="1" t="s">
        <v>2370</v>
      </c>
      <c r="H7" s="4">
        <v>36.981999999999999</v>
      </c>
      <c r="I7" s="4">
        <v>-121.556</v>
      </c>
      <c r="J7" s="1" t="s">
        <v>1396</v>
      </c>
      <c r="K7" s="1" t="s">
        <v>75</v>
      </c>
      <c r="L7" s="1" t="s">
        <v>2372</v>
      </c>
      <c r="M7" s="1" t="s">
        <v>3094</v>
      </c>
      <c r="N7" s="1"/>
      <c r="O7" s="1" t="s">
        <v>3095</v>
      </c>
      <c r="P7" s="1">
        <v>147</v>
      </c>
      <c r="Q7" s="4">
        <v>5.7</v>
      </c>
      <c r="R7" s="4">
        <v>1.46</v>
      </c>
      <c r="S7" s="4"/>
      <c r="T7" s="4">
        <v>32</v>
      </c>
      <c r="U7" s="4">
        <v>9</v>
      </c>
      <c r="V7" s="4"/>
      <c r="W7" s="4">
        <v>13.6</v>
      </c>
      <c r="X7" s="4">
        <v>139</v>
      </c>
      <c r="Y7" s="4">
        <v>17</v>
      </c>
      <c r="Z7" s="4">
        <v>0</v>
      </c>
      <c r="AA7" s="4">
        <v>1</v>
      </c>
      <c r="AB7" s="4" t="s">
        <v>730</v>
      </c>
      <c r="AC7" s="4">
        <v>0.37843643572024499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1"/>
      <c r="BJ7" s="1" t="s">
        <v>3106</v>
      </c>
      <c r="BK7" s="1">
        <v>1</v>
      </c>
      <c r="BL7" s="1"/>
      <c r="BM7" s="1" t="s">
        <v>277</v>
      </c>
      <c r="BN7" s="1" t="s">
        <v>2594</v>
      </c>
      <c r="BO7" s="1" t="s">
        <v>2595</v>
      </c>
      <c r="BP7" s="1">
        <v>5.74</v>
      </c>
      <c r="BQ7" s="1" t="s">
        <v>1003</v>
      </c>
      <c r="BR7" s="1">
        <v>37.064999999999998</v>
      </c>
      <c r="BS7" s="1">
        <v>-121.49</v>
      </c>
      <c r="BT7" s="1">
        <v>8</v>
      </c>
      <c r="BU7" s="1" t="s">
        <v>730</v>
      </c>
      <c r="BV7" s="1" t="s">
        <v>2571</v>
      </c>
      <c r="BW7" s="1">
        <v>336</v>
      </c>
      <c r="BX7" s="1">
        <v>80</v>
      </c>
      <c r="BY7" s="1">
        <v>176</v>
      </c>
      <c r="BZ7" s="1"/>
      <c r="CA7" s="1"/>
      <c r="CB7" s="1"/>
      <c r="CC7" s="1" t="s">
        <v>2566</v>
      </c>
      <c r="CD7" s="1" t="s">
        <v>731</v>
      </c>
      <c r="CE7" s="1"/>
      <c r="CF7" s="1"/>
      <c r="CG7" s="1"/>
      <c r="CH7" s="1"/>
      <c r="CI7" s="1"/>
      <c r="CJ7" s="1" t="s">
        <v>167</v>
      </c>
      <c r="CK7" t="s">
        <v>1262</v>
      </c>
      <c r="CL7">
        <v>7</v>
      </c>
      <c r="CM7" t="s">
        <v>2598</v>
      </c>
    </row>
    <row r="8" spans="1:91" ht="19" customHeight="1">
      <c r="A8" s="1" t="s">
        <v>3107</v>
      </c>
      <c r="B8" s="1" t="s">
        <v>3093</v>
      </c>
      <c r="C8" s="1">
        <v>8</v>
      </c>
      <c r="D8" s="1" t="s">
        <v>740</v>
      </c>
      <c r="E8" s="1">
        <v>1979</v>
      </c>
      <c r="F8" s="1" t="s">
        <v>742</v>
      </c>
      <c r="G8" s="1" t="s">
        <v>2375</v>
      </c>
      <c r="H8" s="4">
        <v>36.987000000000002</v>
      </c>
      <c r="I8" s="4">
        <v>-121.536</v>
      </c>
      <c r="J8" s="1" t="s">
        <v>1396</v>
      </c>
      <c r="K8" s="1" t="s">
        <v>75</v>
      </c>
      <c r="L8" s="1" t="s">
        <v>2376</v>
      </c>
      <c r="M8" s="1" t="s">
        <v>3094</v>
      </c>
      <c r="N8" s="1"/>
      <c r="O8" s="1" t="s">
        <v>3095</v>
      </c>
      <c r="P8" s="1">
        <v>148</v>
      </c>
      <c r="Q8" s="4">
        <v>5.7</v>
      </c>
      <c r="R8" s="4">
        <v>1.1599999999999999</v>
      </c>
      <c r="S8" s="4"/>
      <c r="T8" s="4">
        <v>30.8</v>
      </c>
      <c r="U8" s="4">
        <v>7.4</v>
      </c>
      <c r="V8" s="4"/>
      <c r="W8" s="4">
        <v>12.5</v>
      </c>
      <c r="X8" s="4">
        <v>354</v>
      </c>
      <c r="Y8" s="4">
        <v>18</v>
      </c>
      <c r="Z8" s="4">
        <v>0</v>
      </c>
      <c r="AA8" s="4">
        <v>1</v>
      </c>
      <c r="AB8" s="4" t="s">
        <v>730</v>
      </c>
      <c r="AC8" s="4">
        <v>0.14842000511827319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1"/>
      <c r="BJ8" s="1" t="s">
        <v>3108</v>
      </c>
      <c r="BK8" s="1">
        <v>1</v>
      </c>
      <c r="BL8" s="1"/>
      <c r="BM8" s="1" t="s">
        <v>277</v>
      </c>
      <c r="BN8" s="1" t="s">
        <v>2594</v>
      </c>
      <c r="BO8" s="1" t="s">
        <v>2595</v>
      </c>
      <c r="BP8" s="1">
        <v>5.74</v>
      </c>
      <c r="BQ8" s="1" t="s">
        <v>1003</v>
      </c>
      <c r="BR8" s="1">
        <v>37.064999999999998</v>
      </c>
      <c r="BS8" s="1">
        <v>-121.49</v>
      </c>
      <c r="BT8" s="1">
        <v>8</v>
      </c>
      <c r="BU8" s="1" t="s">
        <v>730</v>
      </c>
      <c r="BV8" s="1" t="s">
        <v>2571</v>
      </c>
      <c r="BW8" s="1">
        <v>336</v>
      </c>
      <c r="BX8" s="1">
        <v>80</v>
      </c>
      <c r="BY8" s="1">
        <v>176</v>
      </c>
      <c r="BZ8" s="1"/>
      <c r="CA8" s="1"/>
      <c r="CB8" s="1"/>
      <c r="CC8" s="1" t="s">
        <v>2566</v>
      </c>
      <c r="CD8" s="1" t="s">
        <v>731</v>
      </c>
      <c r="CE8" s="1"/>
      <c r="CF8" s="1"/>
      <c r="CG8" s="1"/>
      <c r="CH8" s="1"/>
      <c r="CI8" s="1"/>
      <c r="CJ8" s="1" t="s">
        <v>167</v>
      </c>
      <c r="CK8" t="s">
        <v>1262</v>
      </c>
      <c r="CL8">
        <v>8</v>
      </c>
      <c r="CM8" t="s">
        <v>2598</v>
      </c>
    </row>
    <row r="9" spans="1:91" ht="19" customHeight="1">
      <c r="A9" s="1" t="s">
        <v>3109</v>
      </c>
      <c r="B9" s="1" t="s">
        <v>3093</v>
      </c>
      <c r="C9" s="1">
        <v>9</v>
      </c>
      <c r="D9" s="1" t="s">
        <v>740</v>
      </c>
      <c r="E9" s="1">
        <v>1979</v>
      </c>
      <c r="F9" s="1" t="s">
        <v>743</v>
      </c>
      <c r="G9" s="1" t="s">
        <v>2378</v>
      </c>
      <c r="H9" s="4">
        <v>37.000999999999998</v>
      </c>
      <c r="I9" s="4">
        <v>-121.52200000000001</v>
      </c>
      <c r="J9" s="1" t="s">
        <v>1396</v>
      </c>
      <c r="K9" s="1" t="s">
        <v>75</v>
      </c>
      <c r="L9" s="1" t="s">
        <v>2379</v>
      </c>
      <c r="M9" s="1" t="s">
        <v>3094</v>
      </c>
      <c r="N9" s="1"/>
      <c r="O9" s="1" t="s">
        <v>3095</v>
      </c>
      <c r="P9" s="1">
        <v>149</v>
      </c>
      <c r="Q9" s="4">
        <v>5.7</v>
      </c>
      <c r="R9" s="4">
        <v>1.35</v>
      </c>
      <c r="S9" s="4"/>
      <c r="T9" s="4">
        <v>32.1</v>
      </c>
      <c r="U9" s="4">
        <v>5.7</v>
      </c>
      <c r="V9" s="4"/>
      <c r="W9" s="4">
        <v>11.1</v>
      </c>
      <c r="X9" s="4">
        <v>350</v>
      </c>
      <c r="Y9" s="4">
        <v>14</v>
      </c>
      <c r="Z9" s="4">
        <v>0</v>
      </c>
      <c r="AA9" s="4">
        <v>1</v>
      </c>
      <c r="AB9" s="4" t="s">
        <v>730</v>
      </c>
      <c r="AC9" s="4">
        <v>0.30010459245033821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1"/>
      <c r="BJ9" s="1" t="s">
        <v>3110</v>
      </c>
      <c r="BK9" s="1">
        <v>1</v>
      </c>
      <c r="BL9" s="1"/>
      <c r="BM9" s="1" t="s">
        <v>277</v>
      </c>
      <c r="BN9" s="1" t="s">
        <v>2594</v>
      </c>
      <c r="BO9" s="1" t="s">
        <v>2595</v>
      </c>
      <c r="BP9" s="1">
        <v>5.74</v>
      </c>
      <c r="BQ9" s="1" t="s">
        <v>1003</v>
      </c>
      <c r="BR9" s="1">
        <v>37.064999999999998</v>
      </c>
      <c r="BS9" s="1">
        <v>-121.49</v>
      </c>
      <c r="BT9" s="1">
        <v>8</v>
      </c>
      <c r="BU9" s="1" t="s">
        <v>730</v>
      </c>
      <c r="BV9" s="1" t="s">
        <v>2571</v>
      </c>
      <c r="BW9" s="1">
        <v>336</v>
      </c>
      <c r="BX9" s="1">
        <v>80</v>
      </c>
      <c r="BY9" s="1">
        <v>176</v>
      </c>
      <c r="BZ9" s="1"/>
      <c r="CA9" s="1"/>
      <c r="CB9" s="1"/>
      <c r="CC9" s="1" t="s">
        <v>2566</v>
      </c>
      <c r="CD9" s="1" t="s">
        <v>731</v>
      </c>
      <c r="CE9" s="1"/>
      <c r="CF9" s="1"/>
      <c r="CG9" s="1"/>
      <c r="CH9" s="1"/>
      <c r="CI9" s="1"/>
      <c r="CJ9" s="1" t="s">
        <v>167</v>
      </c>
      <c r="CK9" t="s">
        <v>1262</v>
      </c>
      <c r="CL9">
        <v>9</v>
      </c>
      <c r="CM9" t="s">
        <v>2598</v>
      </c>
    </row>
    <row r="10" spans="1:91" ht="19" customHeight="1">
      <c r="A10" s="1" t="s">
        <v>3111</v>
      </c>
      <c r="B10" s="1" t="s">
        <v>3093</v>
      </c>
      <c r="C10" s="1">
        <v>10</v>
      </c>
      <c r="D10" s="1" t="s">
        <v>740</v>
      </c>
      <c r="E10" s="1">
        <v>1979</v>
      </c>
      <c r="F10" s="1" t="s">
        <v>744</v>
      </c>
      <c r="G10" s="1" t="s">
        <v>2381</v>
      </c>
      <c r="H10" s="4">
        <v>37.026000000000003</v>
      </c>
      <c r="I10" s="4">
        <v>-121.48399999999999</v>
      </c>
      <c r="J10" s="1" t="s">
        <v>1396</v>
      </c>
      <c r="K10" s="1" t="s">
        <v>75</v>
      </c>
      <c r="L10" s="1" t="s">
        <v>2383</v>
      </c>
      <c r="M10" s="1" t="s">
        <v>3094</v>
      </c>
      <c r="N10" s="1"/>
      <c r="O10" s="1" t="s">
        <v>3095</v>
      </c>
      <c r="P10" s="1">
        <v>150</v>
      </c>
      <c r="Q10" s="4">
        <v>5.7</v>
      </c>
      <c r="R10" s="4">
        <v>1.23</v>
      </c>
      <c r="S10" s="4"/>
      <c r="T10" s="4">
        <v>49.6</v>
      </c>
      <c r="U10" s="4">
        <v>3.1</v>
      </c>
      <c r="V10" s="4"/>
      <c r="W10" s="4">
        <v>9.1</v>
      </c>
      <c r="X10" s="4">
        <v>246</v>
      </c>
      <c r="Y10" s="4">
        <v>90</v>
      </c>
      <c r="Z10" s="4">
        <v>1</v>
      </c>
      <c r="AA10" s="4">
        <v>1</v>
      </c>
      <c r="AB10" s="4" t="s">
        <v>730</v>
      </c>
      <c r="AC10" s="4">
        <v>0.2070141693843261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1"/>
      <c r="BJ10" s="1" t="s">
        <v>3112</v>
      </c>
      <c r="BK10" s="1">
        <v>1</v>
      </c>
      <c r="BL10" s="1"/>
      <c r="BM10" s="1" t="s">
        <v>277</v>
      </c>
      <c r="BN10" s="1" t="s">
        <v>2594</v>
      </c>
      <c r="BO10" s="1" t="s">
        <v>2595</v>
      </c>
      <c r="BP10" s="1">
        <v>5.74</v>
      </c>
      <c r="BQ10" s="1" t="s">
        <v>1003</v>
      </c>
      <c r="BR10" s="1">
        <v>37.064999999999998</v>
      </c>
      <c r="BS10" s="1">
        <v>-121.49</v>
      </c>
      <c r="BT10" s="1">
        <v>8</v>
      </c>
      <c r="BU10" s="1" t="s">
        <v>730</v>
      </c>
      <c r="BV10" s="1" t="s">
        <v>2571</v>
      </c>
      <c r="BW10" s="1">
        <v>336</v>
      </c>
      <c r="BX10" s="1">
        <v>80</v>
      </c>
      <c r="BY10" s="1">
        <v>176</v>
      </c>
      <c r="BZ10" s="1"/>
      <c r="CA10" s="1"/>
      <c r="CB10" s="1"/>
      <c r="CC10" s="1" t="s">
        <v>2566</v>
      </c>
      <c r="CD10" s="1" t="s">
        <v>731</v>
      </c>
      <c r="CE10" s="1"/>
      <c r="CF10" s="1"/>
      <c r="CG10" s="1"/>
      <c r="CH10" s="1"/>
      <c r="CI10" s="1"/>
      <c r="CJ10" s="1" t="s">
        <v>167</v>
      </c>
      <c r="CK10" t="s">
        <v>1262</v>
      </c>
      <c r="CL10">
        <v>10</v>
      </c>
      <c r="CM10" t="s">
        <v>2598</v>
      </c>
    </row>
    <row r="11" spans="1:91" ht="19" customHeight="1">
      <c r="A11" s="1" t="s">
        <v>3113</v>
      </c>
      <c r="B11" s="1" t="s">
        <v>3093</v>
      </c>
      <c r="C11" s="1">
        <v>11</v>
      </c>
      <c r="D11" s="1" t="s">
        <v>745</v>
      </c>
      <c r="E11" s="1">
        <v>1979</v>
      </c>
      <c r="F11" s="1" t="s">
        <v>746</v>
      </c>
      <c r="G11" s="1" t="s">
        <v>2301</v>
      </c>
      <c r="H11" s="4">
        <v>32.621000000000002</v>
      </c>
      <c r="I11" s="4">
        <v>-115.301</v>
      </c>
      <c r="J11" s="1" t="s">
        <v>1396</v>
      </c>
      <c r="K11" s="1" t="s">
        <v>75</v>
      </c>
      <c r="L11" s="1" t="s">
        <v>2302</v>
      </c>
      <c r="M11" s="1" t="s">
        <v>3094</v>
      </c>
      <c r="N11" s="1"/>
      <c r="O11" s="1" t="s">
        <v>3095</v>
      </c>
      <c r="P11" s="1">
        <v>159</v>
      </c>
      <c r="Q11" s="4">
        <v>6.5</v>
      </c>
      <c r="R11" s="4">
        <v>2.34</v>
      </c>
      <c r="S11" s="4"/>
      <c r="T11" s="4">
        <v>53.5</v>
      </c>
      <c r="U11" s="4">
        <v>0.7</v>
      </c>
      <c r="V11" s="4"/>
      <c r="W11" s="4">
        <v>10.3</v>
      </c>
      <c r="X11" s="4">
        <v>53</v>
      </c>
      <c r="Y11" s="4">
        <v>90</v>
      </c>
      <c r="Z11" s="4">
        <v>1</v>
      </c>
      <c r="AA11" s="4">
        <v>1</v>
      </c>
      <c r="AB11" s="4" t="s">
        <v>730</v>
      </c>
      <c r="AC11" s="4">
        <v>0.85015092936961001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1"/>
      <c r="BJ11" s="1" t="s">
        <v>3114</v>
      </c>
      <c r="BK11" s="1">
        <v>1</v>
      </c>
      <c r="BL11" s="1"/>
      <c r="BM11" s="1" t="s">
        <v>285</v>
      </c>
      <c r="BN11" s="1" t="s">
        <v>2599</v>
      </c>
      <c r="BO11" s="1" t="s">
        <v>2600</v>
      </c>
      <c r="BP11" s="1">
        <v>6.53</v>
      </c>
      <c r="BQ11" s="1" t="s">
        <v>1003</v>
      </c>
      <c r="BR11" s="1">
        <v>32.643999999999998</v>
      </c>
      <c r="BS11" s="1">
        <v>-115.307</v>
      </c>
      <c r="BT11" s="1">
        <v>9.9600000000000009</v>
      </c>
      <c r="BU11" s="1" t="s">
        <v>730</v>
      </c>
      <c r="BV11" s="1" t="s">
        <v>2571</v>
      </c>
      <c r="BW11" s="1">
        <v>323</v>
      </c>
      <c r="BX11" s="1">
        <v>80</v>
      </c>
      <c r="BY11" s="1">
        <v>180</v>
      </c>
      <c r="BZ11" s="1"/>
      <c r="CA11" s="1"/>
      <c r="CB11" s="1"/>
      <c r="CC11" s="1" t="s">
        <v>2566</v>
      </c>
      <c r="CD11" s="1" t="s">
        <v>731</v>
      </c>
      <c r="CE11" s="1"/>
      <c r="CF11" s="1"/>
      <c r="CG11" s="1"/>
      <c r="CH11" s="1"/>
      <c r="CI11" s="1"/>
      <c r="CJ11" s="1" t="s">
        <v>167</v>
      </c>
      <c r="CK11" t="s">
        <v>1262</v>
      </c>
      <c r="CL11">
        <v>11</v>
      </c>
      <c r="CM11" t="s">
        <v>2603</v>
      </c>
    </row>
    <row r="12" spans="1:91" ht="19" customHeight="1">
      <c r="A12" s="1" t="s">
        <v>3115</v>
      </c>
      <c r="B12" s="1" t="s">
        <v>3093</v>
      </c>
      <c r="C12" s="1">
        <v>12</v>
      </c>
      <c r="D12" s="1" t="s">
        <v>745</v>
      </c>
      <c r="E12" s="1">
        <v>1979</v>
      </c>
      <c r="F12" s="1" t="s">
        <v>747</v>
      </c>
      <c r="G12" s="1" t="s">
        <v>2315</v>
      </c>
      <c r="H12" s="4">
        <v>32.991</v>
      </c>
      <c r="I12" s="4">
        <v>-115.51300000000001</v>
      </c>
      <c r="J12" s="1" t="s">
        <v>1396</v>
      </c>
      <c r="K12" s="1" t="s">
        <v>75</v>
      </c>
      <c r="L12" s="1" t="s">
        <v>2316</v>
      </c>
      <c r="M12" s="1" t="s">
        <v>3094</v>
      </c>
      <c r="N12" s="1"/>
      <c r="O12" s="1" t="s">
        <v>3095</v>
      </c>
      <c r="P12" s="1">
        <v>161</v>
      </c>
      <c r="Q12" s="4">
        <v>6.5</v>
      </c>
      <c r="R12" s="4">
        <v>4.4000000000000004</v>
      </c>
      <c r="S12" s="4"/>
      <c r="T12" s="4">
        <v>36.700000000000003</v>
      </c>
      <c r="U12" s="4">
        <v>10.4</v>
      </c>
      <c r="V12" s="4"/>
      <c r="W12" s="4">
        <v>44.3</v>
      </c>
      <c r="X12" s="4">
        <v>226</v>
      </c>
      <c r="Y12" s="4">
        <v>83</v>
      </c>
      <c r="Z12" s="4">
        <v>1</v>
      </c>
      <c r="AA12" s="4">
        <v>1</v>
      </c>
      <c r="AB12" s="4" t="s">
        <v>730</v>
      </c>
      <c r="AC12" s="4">
        <v>1.481604540924216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1"/>
      <c r="BJ12" s="1" t="s">
        <v>3116</v>
      </c>
      <c r="BK12" s="1">
        <v>1</v>
      </c>
      <c r="BL12" s="1"/>
      <c r="BM12" s="1" t="s">
        <v>285</v>
      </c>
      <c r="BN12" s="1" t="s">
        <v>2599</v>
      </c>
      <c r="BO12" s="1" t="s">
        <v>2600</v>
      </c>
      <c r="BP12" s="1">
        <v>6.53</v>
      </c>
      <c r="BQ12" s="1" t="s">
        <v>1003</v>
      </c>
      <c r="BR12" s="1">
        <v>32.643999999999998</v>
      </c>
      <c r="BS12" s="1">
        <v>-115.307</v>
      </c>
      <c r="BT12" s="1">
        <v>9.9600000000000009</v>
      </c>
      <c r="BU12" s="1" t="s">
        <v>730</v>
      </c>
      <c r="BV12" s="1" t="s">
        <v>2571</v>
      </c>
      <c r="BW12" s="1">
        <v>323</v>
      </c>
      <c r="BX12" s="1">
        <v>80</v>
      </c>
      <c r="BY12" s="1">
        <v>180</v>
      </c>
      <c r="BZ12" s="1"/>
      <c r="CA12" s="1"/>
      <c r="CB12" s="1"/>
      <c r="CC12" s="1" t="s">
        <v>2566</v>
      </c>
      <c r="CD12" s="1" t="s">
        <v>731</v>
      </c>
      <c r="CE12" s="1"/>
      <c r="CF12" s="1"/>
      <c r="CG12" s="1"/>
      <c r="CH12" s="1"/>
      <c r="CI12" s="1"/>
      <c r="CJ12" s="1" t="s">
        <v>167</v>
      </c>
      <c r="CK12" t="s">
        <v>1262</v>
      </c>
      <c r="CL12">
        <v>12</v>
      </c>
      <c r="CM12" t="s">
        <v>2603</v>
      </c>
    </row>
    <row r="13" spans="1:91" ht="19" customHeight="1">
      <c r="A13" s="1" t="s">
        <v>3117</v>
      </c>
      <c r="B13" s="1" t="s">
        <v>3093</v>
      </c>
      <c r="C13" s="1">
        <v>13</v>
      </c>
      <c r="D13" s="1" t="s">
        <v>745</v>
      </c>
      <c r="E13" s="1">
        <v>1979</v>
      </c>
      <c r="F13" s="1" t="s">
        <v>748</v>
      </c>
      <c r="G13" s="1" t="s">
        <v>2338</v>
      </c>
      <c r="H13" s="4">
        <v>32.792999999999999</v>
      </c>
      <c r="I13" s="4">
        <v>-115.562</v>
      </c>
      <c r="J13" s="1" t="s">
        <v>1396</v>
      </c>
      <c r="K13" s="1" t="s">
        <v>75</v>
      </c>
      <c r="L13" s="1" t="s">
        <v>2339</v>
      </c>
      <c r="M13" s="1" t="s">
        <v>3094</v>
      </c>
      <c r="N13" s="1"/>
      <c r="O13" s="1" t="s">
        <v>3095</v>
      </c>
      <c r="P13" s="1">
        <v>170</v>
      </c>
      <c r="Q13" s="4">
        <v>6.5</v>
      </c>
      <c r="R13" s="4">
        <v>4.42</v>
      </c>
      <c r="S13" s="4"/>
      <c r="T13" s="4">
        <v>70.8</v>
      </c>
      <c r="U13" s="4">
        <v>7.3</v>
      </c>
      <c r="V13" s="4"/>
      <c r="W13" s="4">
        <v>30.7</v>
      </c>
      <c r="X13" s="4">
        <v>75</v>
      </c>
      <c r="Y13" s="4">
        <v>68</v>
      </c>
      <c r="Z13" s="4">
        <v>1</v>
      </c>
      <c r="AA13" s="4">
        <v>1</v>
      </c>
      <c r="AB13" s="4" t="s">
        <v>730</v>
      </c>
      <c r="AC13" s="4">
        <v>1.4861396960896069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1"/>
      <c r="BJ13" s="1" t="s">
        <v>3118</v>
      </c>
      <c r="BK13" s="1">
        <v>1</v>
      </c>
      <c r="BL13" s="1"/>
      <c r="BM13" s="1" t="s">
        <v>285</v>
      </c>
      <c r="BN13" s="1" t="s">
        <v>2599</v>
      </c>
      <c r="BO13" s="1" t="s">
        <v>2600</v>
      </c>
      <c r="BP13" s="1">
        <v>6.53</v>
      </c>
      <c r="BQ13" s="1" t="s">
        <v>1003</v>
      </c>
      <c r="BR13" s="1">
        <v>32.643999999999998</v>
      </c>
      <c r="BS13" s="1">
        <v>-115.307</v>
      </c>
      <c r="BT13" s="1">
        <v>9.9600000000000009</v>
      </c>
      <c r="BU13" s="1" t="s">
        <v>730</v>
      </c>
      <c r="BV13" s="1" t="s">
        <v>2571</v>
      </c>
      <c r="BW13" s="1">
        <v>323</v>
      </c>
      <c r="BX13" s="1">
        <v>80</v>
      </c>
      <c r="BY13" s="1">
        <v>180</v>
      </c>
      <c r="BZ13" s="1"/>
      <c r="CA13" s="1"/>
      <c r="CB13" s="1"/>
      <c r="CC13" s="1" t="s">
        <v>2566</v>
      </c>
      <c r="CD13" s="1" t="s">
        <v>731</v>
      </c>
      <c r="CE13" s="1"/>
      <c r="CF13" s="1"/>
      <c r="CG13" s="1"/>
      <c r="CH13" s="1"/>
      <c r="CI13" s="1"/>
      <c r="CJ13" s="1" t="s">
        <v>167</v>
      </c>
      <c r="CK13" t="s">
        <v>1262</v>
      </c>
      <c r="CL13">
        <v>13</v>
      </c>
      <c r="CM13" t="s">
        <v>2603</v>
      </c>
    </row>
    <row r="14" spans="1:91" ht="19" customHeight="1">
      <c r="A14" s="1" t="s">
        <v>3119</v>
      </c>
      <c r="B14" s="1" t="s">
        <v>3093</v>
      </c>
      <c r="C14" s="1">
        <v>14</v>
      </c>
      <c r="D14" s="1" t="s">
        <v>745</v>
      </c>
      <c r="E14" s="1">
        <v>1979</v>
      </c>
      <c r="F14" s="1" t="s">
        <v>749</v>
      </c>
      <c r="G14" s="1" t="s">
        <v>2363</v>
      </c>
      <c r="H14" s="4">
        <v>32.773000000000003</v>
      </c>
      <c r="I14" s="4">
        <v>-115.447</v>
      </c>
      <c r="J14" s="1" t="s">
        <v>1396</v>
      </c>
      <c r="K14" s="1" t="s">
        <v>75</v>
      </c>
      <c r="L14" s="1" t="s">
        <v>2364</v>
      </c>
      <c r="M14" s="1" t="s">
        <v>3094</v>
      </c>
      <c r="N14" s="1"/>
      <c r="O14" s="1" t="s">
        <v>3095</v>
      </c>
      <c r="P14" s="1">
        <v>171</v>
      </c>
      <c r="Q14" s="4">
        <v>6.5</v>
      </c>
      <c r="R14" s="4">
        <v>3.42</v>
      </c>
      <c r="S14" s="4"/>
      <c r="T14" s="4">
        <v>116.4</v>
      </c>
      <c r="U14" s="4">
        <v>0.1</v>
      </c>
      <c r="V14" s="4"/>
      <c r="W14" s="4">
        <v>21.8</v>
      </c>
      <c r="X14" s="4">
        <v>59</v>
      </c>
      <c r="Y14" s="4">
        <v>84</v>
      </c>
      <c r="Z14" s="4">
        <v>1</v>
      </c>
      <c r="AA14" s="4">
        <v>1</v>
      </c>
      <c r="AB14" s="4" t="s">
        <v>730</v>
      </c>
      <c r="AC14" s="4">
        <v>1.2296405510745141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1"/>
      <c r="BJ14" s="1" t="s">
        <v>3120</v>
      </c>
      <c r="BK14" s="1">
        <v>1</v>
      </c>
      <c r="BL14" s="1"/>
      <c r="BM14" s="1" t="s">
        <v>285</v>
      </c>
      <c r="BN14" s="1" t="s">
        <v>2599</v>
      </c>
      <c r="BO14" s="1" t="s">
        <v>2600</v>
      </c>
      <c r="BP14" s="1">
        <v>6.53</v>
      </c>
      <c r="BQ14" s="1" t="s">
        <v>1003</v>
      </c>
      <c r="BR14" s="1">
        <v>32.643999999999998</v>
      </c>
      <c r="BS14" s="1">
        <v>-115.307</v>
      </c>
      <c r="BT14" s="1">
        <v>9.9600000000000009</v>
      </c>
      <c r="BU14" s="1" t="s">
        <v>730</v>
      </c>
      <c r="BV14" s="1" t="s">
        <v>2571</v>
      </c>
      <c r="BW14" s="1">
        <v>323</v>
      </c>
      <c r="BX14" s="1">
        <v>80</v>
      </c>
      <c r="BY14" s="1">
        <v>180</v>
      </c>
      <c r="BZ14" s="1"/>
      <c r="CA14" s="1"/>
      <c r="CB14" s="1"/>
      <c r="CC14" s="1" t="s">
        <v>2566</v>
      </c>
      <c r="CD14" s="1" t="s">
        <v>731</v>
      </c>
      <c r="CE14" s="1"/>
      <c r="CF14" s="1"/>
      <c r="CG14" s="1"/>
      <c r="CH14" s="1"/>
      <c r="CI14" s="1"/>
      <c r="CJ14" s="1" t="s">
        <v>167</v>
      </c>
      <c r="CK14" t="s">
        <v>1262</v>
      </c>
      <c r="CL14">
        <v>14</v>
      </c>
      <c r="CM14" t="s">
        <v>2603</v>
      </c>
    </row>
    <row r="15" spans="1:91" ht="19" customHeight="1">
      <c r="A15" s="1" t="s">
        <v>3121</v>
      </c>
      <c r="B15" s="1" t="s">
        <v>3093</v>
      </c>
      <c r="C15" s="1">
        <v>15</v>
      </c>
      <c r="D15" s="1" t="s">
        <v>745</v>
      </c>
      <c r="E15" s="1">
        <v>1979</v>
      </c>
      <c r="F15" s="1" t="s">
        <v>750</v>
      </c>
      <c r="G15" s="1" t="s">
        <v>2341</v>
      </c>
      <c r="H15" s="4">
        <v>32.7806</v>
      </c>
      <c r="I15" s="4">
        <v>-115.5681</v>
      </c>
      <c r="J15" s="1" t="s">
        <v>1396</v>
      </c>
      <c r="K15" s="1" t="s">
        <v>75</v>
      </c>
      <c r="L15" s="1" t="s">
        <v>2342</v>
      </c>
      <c r="M15" s="1" t="s">
        <v>3094</v>
      </c>
      <c r="N15" s="1"/>
      <c r="O15" s="1" t="s">
        <v>3095</v>
      </c>
      <c r="P15" s="1">
        <v>173</v>
      </c>
      <c r="Q15" s="4">
        <v>6.5</v>
      </c>
      <c r="R15" s="4">
        <v>4.5199999999999996</v>
      </c>
      <c r="S15" s="4"/>
      <c r="T15" s="4">
        <v>55.2</v>
      </c>
      <c r="U15" s="4">
        <v>8.6</v>
      </c>
      <c r="V15" s="4"/>
      <c r="W15" s="4">
        <v>30.5</v>
      </c>
      <c r="X15" s="4">
        <v>79</v>
      </c>
      <c r="Y15" s="4">
        <v>64</v>
      </c>
      <c r="Z15" s="4">
        <v>1</v>
      </c>
      <c r="AA15" s="4">
        <v>1</v>
      </c>
      <c r="AB15" s="4" t="s">
        <v>730</v>
      </c>
      <c r="AC15" s="4">
        <v>1.50851199384414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1"/>
      <c r="BJ15" s="1" t="s">
        <v>3122</v>
      </c>
      <c r="BK15" s="1">
        <v>1</v>
      </c>
      <c r="BL15" s="1"/>
      <c r="BM15" s="1" t="s">
        <v>285</v>
      </c>
      <c r="BN15" s="1" t="s">
        <v>2599</v>
      </c>
      <c r="BO15" s="1" t="s">
        <v>2600</v>
      </c>
      <c r="BP15" s="1">
        <v>6.53</v>
      </c>
      <c r="BQ15" s="1" t="s">
        <v>1003</v>
      </c>
      <c r="BR15" s="1">
        <v>32.643999999999998</v>
      </c>
      <c r="BS15" s="1">
        <v>-115.307</v>
      </c>
      <c r="BT15" s="1">
        <v>9.9600000000000009</v>
      </c>
      <c r="BU15" s="1" t="s">
        <v>730</v>
      </c>
      <c r="BV15" s="1" t="s">
        <v>2571</v>
      </c>
      <c r="BW15" s="1">
        <v>323</v>
      </c>
      <c r="BX15" s="1">
        <v>80</v>
      </c>
      <c r="BY15" s="1">
        <v>180</v>
      </c>
      <c r="BZ15" s="1"/>
      <c r="CA15" s="1"/>
      <c r="CB15" s="1"/>
      <c r="CC15" s="1" t="s">
        <v>2566</v>
      </c>
      <c r="CD15" s="1" t="s">
        <v>731</v>
      </c>
      <c r="CE15" s="1"/>
      <c r="CF15" s="1"/>
      <c r="CG15" s="1"/>
      <c r="CH15" s="1"/>
      <c r="CI15" s="1"/>
      <c r="CJ15" s="1" t="s">
        <v>167</v>
      </c>
      <c r="CK15" t="s">
        <v>1262</v>
      </c>
      <c r="CL15">
        <v>15</v>
      </c>
      <c r="CM15" t="s">
        <v>2603</v>
      </c>
    </row>
    <row r="16" spans="1:91" ht="19" customHeight="1">
      <c r="A16" s="1" t="s">
        <v>3123</v>
      </c>
      <c r="B16" s="1" t="s">
        <v>3093</v>
      </c>
      <c r="C16" s="1">
        <v>16</v>
      </c>
      <c r="D16" s="1" t="s">
        <v>745</v>
      </c>
      <c r="E16" s="1">
        <v>1979</v>
      </c>
      <c r="F16" s="1" t="s">
        <v>751</v>
      </c>
      <c r="G16" s="1" t="s">
        <v>2344</v>
      </c>
      <c r="H16" s="4">
        <v>32.893999999999998</v>
      </c>
      <c r="I16" s="4">
        <v>-115.38</v>
      </c>
      <c r="J16" s="1" t="s">
        <v>1396</v>
      </c>
      <c r="K16" s="1" t="s">
        <v>75</v>
      </c>
      <c r="L16" s="1" t="s">
        <v>2345</v>
      </c>
      <c r="M16" s="1" t="s">
        <v>3094</v>
      </c>
      <c r="N16" s="1"/>
      <c r="O16" s="1" t="s">
        <v>3095</v>
      </c>
      <c r="P16" s="1">
        <v>178</v>
      </c>
      <c r="Q16" s="4">
        <v>6.5</v>
      </c>
      <c r="R16" s="4">
        <v>4.5</v>
      </c>
      <c r="S16" s="4"/>
      <c r="T16" s="4">
        <v>55.8</v>
      </c>
      <c r="U16" s="4">
        <v>12.9</v>
      </c>
      <c r="V16" s="4"/>
      <c r="W16" s="4">
        <v>30.3</v>
      </c>
      <c r="X16" s="4">
        <v>86</v>
      </c>
      <c r="Y16" s="4">
        <v>57</v>
      </c>
      <c r="Z16" s="4">
        <v>1</v>
      </c>
      <c r="AA16" s="4">
        <v>1</v>
      </c>
      <c r="AB16" s="4" t="s">
        <v>730</v>
      </c>
      <c r="AC16" s="4">
        <v>1.5040773967762739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1"/>
      <c r="BJ16" s="1" t="s">
        <v>3124</v>
      </c>
      <c r="BK16" s="1">
        <v>1</v>
      </c>
      <c r="BL16" s="1"/>
      <c r="BM16" s="1" t="s">
        <v>285</v>
      </c>
      <c r="BN16" s="1" t="s">
        <v>2599</v>
      </c>
      <c r="BO16" s="1" t="s">
        <v>2600</v>
      </c>
      <c r="BP16" s="1">
        <v>6.53</v>
      </c>
      <c r="BQ16" s="1" t="s">
        <v>1003</v>
      </c>
      <c r="BR16" s="1">
        <v>32.643999999999998</v>
      </c>
      <c r="BS16" s="1">
        <v>-115.307</v>
      </c>
      <c r="BT16" s="1">
        <v>9.9600000000000009</v>
      </c>
      <c r="BU16" s="1" t="s">
        <v>730</v>
      </c>
      <c r="BV16" s="1" t="s">
        <v>2571</v>
      </c>
      <c r="BW16" s="1">
        <v>323</v>
      </c>
      <c r="BX16" s="1">
        <v>80</v>
      </c>
      <c r="BY16" s="1">
        <v>180</v>
      </c>
      <c r="BZ16" s="1"/>
      <c r="CA16" s="1"/>
      <c r="CB16" s="1"/>
      <c r="CC16" s="1" t="s">
        <v>2566</v>
      </c>
      <c r="CD16" s="1" t="s">
        <v>731</v>
      </c>
      <c r="CE16" s="1"/>
      <c r="CF16" s="1"/>
      <c r="CG16" s="1"/>
      <c r="CH16" s="1"/>
      <c r="CI16" s="1"/>
      <c r="CJ16" s="1" t="s">
        <v>167</v>
      </c>
      <c r="CK16" t="s">
        <v>1262</v>
      </c>
      <c r="CL16">
        <v>16</v>
      </c>
      <c r="CM16" t="s">
        <v>2603</v>
      </c>
    </row>
    <row r="17" spans="1:91" ht="19" customHeight="1">
      <c r="A17" s="1" t="s">
        <v>3125</v>
      </c>
      <c r="B17" s="1" t="s">
        <v>3093</v>
      </c>
      <c r="C17" s="1">
        <v>17</v>
      </c>
      <c r="D17" s="1" t="s">
        <v>745</v>
      </c>
      <c r="E17" s="1">
        <v>1979</v>
      </c>
      <c r="F17" s="1" t="s">
        <v>752</v>
      </c>
      <c r="G17" s="1" t="s">
        <v>2347</v>
      </c>
      <c r="H17" s="4">
        <v>32.863999999999997</v>
      </c>
      <c r="I17" s="4">
        <v>-115.432</v>
      </c>
      <c r="J17" s="1" t="s">
        <v>1396</v>
      </c>
      <c r="K17" s="1" t="s">
        <v>75</v>
      </c>
      <c r="L17" s="1" t="s">
        <v>2348</v>
      </c>
      <c r="M17" s="1" t="s">
        <v>3094</v>
      </c>
      <c r="N17" s="1"/>
      <c r="O17" s="1" t="s">
        <v>3095</v>
      </c>
      <c r="P17" s="1">
        <v>179</v>
      </c>
      <c r="Q17" s="4">
        <v>6.5</v>
      </c>
      <c r="R17" s="4">
        <v>4.79</v>
      </c>
      <c r="S17" s="4"/>
      <c r="T17" s="4">
        <v>80.8</v>
      </c>
      <c r="U17" s="4">
        <v>7</v>
      </c>
      <c r="V17" s="4"/>
      <c r="W17" s="4">
        <v>28.9</v>
      </c>
      <c r="X17" s="4">
        <v>229</v>
      </c>
      <c r="Y17" s="4">
        <v>86</v>
      </c>
      <c r="Z17" s="4">
        <v>1</v>
      </c>
      <c r="AA17" s="4">
        <v>1</v>
      </c>
      <c r="AB17" s="4" t="s">
        <v>730</v>
      </c>
      <c r="AC17" s="4">
        <v>1.566530411422824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1"/>
      <c r="BJ17" s="1" t="s">
        <v>3126</v>
      </c>
      <c r="BK17" s="1">
        <v>1</v>
      </c>
      <c r="BL17" s="1"/>
      <c r="BM17" s="1" t="s">
        <v>285</v>
      </c>
      <c r="BN17" s="1" t="s">
        <v>2599</v>
      </c>
      <c r="BO17" s="1" t="s">
        <v>2600</v>
      </c>
      <c r="BP17" s="1">
        <v>6.53</v>
      </c>
      <c r="BQ17" s="1" t="s">
        <v>1003</v>
      </c>
      <c r="BR17" s="1">
        <v>32.643999999999998</v>
      </c>
      <c r="BS17" s="1">
        <v>-115.307</v>
      </c>
      <c r="BT17" s="1">
        <v>9.9600000000000009</v>
      </c>
      <c r="BU17" s="1" t="s">
        <v>730</v>
      </c>
      <c r="BV17" s="1" t="s">
        <v>2571</v>
      </c>
      <c r="BW17" s="1">
        <v>323</v>
      </c>
      <c r="BX17" s="1">
        <v>80</v>
      </c>
      <c r="BY17" s="1">
        <v>180</v>
      </c>
      <c r="BZ17" s="1"/>
      <c r="CA17" s="1"/>
      <c r="CB17" s="1"/>
      <c r="CC17" s="1" t="s">
        <v>2566</v>
      </c>
      <c r="CD17" s="1" t="s">
        <v>731</v>
      </c>
      <c r="CE17" s="1"/>
      <c r="CF17" s="1"/>
      <c r="CG17" s="1"/>
      <c r="CH17" s="1"/>
      <c r="CI17" s="1"/>
      <c r="CJ17" s="1" t="s">
        <v>167</v>
      </c>
      <c r="CK17" t="s">
        <v>1262</v>
      </c>
      <c r="CL17">
        <v>17</v>
      </c>
      <c r="CM17" t="s">
        <v>2603</v>
      </c>
    </row>
    <row r="18" spans="1:91" ht="19" customHeight="1">
      <c r="A18" s="1" t="s">
        <v>3127</v>
      </c>
      <c r="B18" s="1" t="s">
        <v>3093</v>
      </c>
      <c r="C18" s="1">
        <v>18</v>
      </c>
      <c r="D18" s="1" t="s">
        <v>745</v>
      </c>
      <c r="E18" s="1">
        <v>1979</v>
      </c>
      <c r="F18" s="1" t="s">
        <v>753</v>
      </c>
      <c r="G18" s="1" t="s">
        <v>2350</v>
      </c>
      <c r="H18" s="4">
        <v>32.854999999999997</v>
      </c>
      <c r="I18" s="4">
        <v>-115.46599999999999</v>
      </c>
      <c r="J18" s="1" t="s">
        <v>1396</v>
      </c>
      <c r="K18" s="1" t="s">
        <v>75</v>
      </c>
      <c r="L18" s="1" t="s">
        <v>2351</v>
      </c>
      <c r="M18" s="1" t="s">
        <v>3094</v>
      </c>
      <c r="N18" s="1"/>
      <c r="O18" s="1" t="s">
        <v>3095</v>
      </c>
      <c r="P18" s="1">
        <v>180</v>
      </c>
      <c r="Q18" s="4">
        <v>6.5</v>
      </c>
      <c r="R18" s="4">
        <v>4.13</v>
      </c>
      <c r="S18" s="4"/>
      <c r="T18" s="4">
        <v>96.5</v>
      </c>
      <c r="U18" s="4">
        <v>4</v>
      </c>
      <c r="V18" s="4"/>
      <c r="W18" s="4">
        <v>29.5</v>
      </c>
      <c r="X18" s="4">
        <v>228</v>
      </c>
      <c r="Y18" s="4">
        <v>85</v>
      </c>
      <c r="Z18" s="4">
        <v>1</v>
      </c>
      <c r="AA18" s="4">
        <v>1</v>
      </c>
      <c r="AB18" s="4" t="s">
        <v>730</v>
      </c>
      <c r="AC18" s="4">
        <v>1.4182774069729409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1"/>
      <c r="BJ18" s="1" t="s">
        <v>3128</v>
      </c>
      <c r="BK18" s="1">
        <v>1</v>
      </c>
      <c r="BL18" s="1"/>
      <c r="BM18" s="1" t="s">
        <v>285</v>
      </c>
      <c r="BN18" s="1" t="s">
        <v>2599</v>
      </c>
      <c r="BO18" s="1" t="s">
        <v>2600</v>
      </c>
      <c r="BP18" s="1">
        <v>6.53</v>
      </c>
      <c r="BQ18" s="1" t="s">
        <v>1003</v>
      </c>
      <c r="BR18" s="1">
        <v>32.643999999999998</v>
      </c>
      <c r="BS18" s="1">
        <v>-115.307</v>
      </c>
      <c r="BT18" s="1">
        <v>9.9600000000000009</v>
      </c>
      <c r="BU18" s="1" t="s">
        <v>730</v>
      </c>
      <c r="BV18" s="1" t="s">
        <v>2571</v>
      </c>
      <c r="BW18" s="1">
        <v>323</v>
      </c>
      <c r="BX18" s="1">
        <v>80</v>
      </c>
      <c r="BY18" s="1">
        <v>180</v>
      </c>
      <c r="BZ18" s="1"/>
      <c r="CA18" s="1"/>
      <c r="CB18" s="1"/>
      <c r="CC18" s="1" t="s">
        <v>2566</v>
      </c>
      <c r="CD18" s="1" t="s">
        <v>731</v>
      </c>
      <c r="CE18" s="1"/>
      <c r="CF18" s="1"/>
      <c r="CG18" s="1"/>
      <c r="CH18" s="1"/>
      <c r="CI18" s="1"/>
      <c r="CJ18" s="1" t="s">
        <v>167</v>
      </c>
      <c r="CK18" t="s">
        <v>1262</v>
      </c>
      <c r="CL18">
        <v>18</v>
      </c>
      <c r="CM18" t="s">
        <v>2603</v>
      </c>
    </row>
    <row r="19" spans="1:91" ht="19" customHeight="1">
      <c r="A19" s="1" t="s">
        <v>3129</v>
      </c>
      <c r="B19" s="1" t="s">
        <v>3093</v>
      </c>
      <c r="C19" s="1">
        <v>19</v>
      </c>
      <c r="D19" s="1" t="s">
        <v>745</v>
      </c>
      <c r="E19" s="1">
        <v>1979</v>
      </c>
      <c r="F19" s="1" t="s">
        <v>754</v>
      </c>
      <c r="G19" s="1" t="s">
        <v>2353</v>
      </c>
      <c r="H19" s="4">
        <v>32.838999999999999</v>
      </c>
      <c r="I19" s="4">
        <v>-115.48699999999999</v>
      </c>
      <c r="J19" s="1" t="s">
        <v>1396</v>
      </c>
      <c r="K19" s="1" t="s">
        <v>75</v>
      </c>
      <c r="L19" s="1" t="s">
        <v>2355</v>
      </c>
      <c r="M19" s="1" t="s">
        <v>3094</v>
      </c>
      <c r="N19" s="1"/>
      <c r="O19" s="1" t="s">
        <v>3095</v>
      </c>
      <c r="P19" s="1">
        <v>181</v>
      </c>
      <c r="Q19" s="4">
        <v>6.5</v>
      </c>
      <c r="R19" s="4">
        <v>3.77</v>
      </c>
      <c r="S19" s="4"/>
      <c r="T19" s="4">
        <v>121.6</v>
      </c>
      <c r="U19" s="4">
        <v>1.4</v>
      </c>
      <c r="V19" s="4"/>
      <c r="W19" s="4">
        <v>29.2</v>
      </c>
      <c r="X19" s="4">
        <v>71</v>
      </c>
      <c r="Y19" s="4">
        <v>72</v>
      </c>
      <c r="Z19" s="4">
        <v>1</v>
      </c>
      <c r="AA19" s="4">
        <v>1</v>
      </c>
      <c r="AB19" s="4" t="s">
        <v>730</v>
      </c>
      <c r="AC19" s="4">
        <v>1.3270750014599191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1"/>
      <c r="BJ19" s="1" t="s">
        <v>3130</v>
      </c>
      <c r="BK19" s="1">
        <v>1</v>
      </c>
      <c r="BL19" s="1"/>
      <c r="BM19" s="1" t="s">
        <v>285</v>
      </c>
      <c r="BN19" s="1" t="s">
        <v>2599</v>
      </c>
      <c r="BO19" s="1" t="s">
        <v>2600</v>
      </c>
      <c r="BP19" s="1">
        <v>6.53</v>
      </c>
      <c r="BQ19" s="1" t="s">
        <v>1003</v>
      </c>
      <c r="BR19" s="1">
        <v>32.643999999999998</v>
      </c>
      <c r="BS19" s="1">
        <v>-115.307</v>
      </c>
      <c r="BT19" s="1">
        <v>9.9600000000000009</v>
      </c>
      <c r="BU19" s="1" t="s">
        <v>730</v>
      </c>
      <c r="BV19" s="1" t="s">
        <v>2571</v>
      </c>
      <c r="BW19" s="1">
        <v>323</v>
      </c>
      <c r="BX19" s="1">
        <v>80</v>
      </c>
      <c r="BY19" s="1">
        <v>180</v>
      </c>
      <c r="BZ19" s="1"/>
      <c r="CA19" s="1"/>
      <c r="CB19" s="1"/>
      <c r="CC19" s="1" t="s">
        <v>2566</v>
      </c>
      <c r="CD19" s="1" t="s">
        <v>731</v>
      </c>
      <c r="CE19" s="1"/>
      <c r="CF19" s="1"/>
      <c r="CG19" s="1"/>
      <c r="CH19" s="1"/>
      <c r="CI19" s="1"/>
      <c r="CJ19" s="1" t="s">
        <v>167</v>
      </c>
      <c r="CK19" t="s">
        <v>1262</v>
      </c>
      <c r="CL19">
        <v>19</v>
      </c>
      <c r="CM19" t="s">
        <v>2603</v>
      </c>
    </row>
    <row r="20" spans="1:91" ht="19" customHeight="1">
      <c r="A20" s="1" t="s">
        <v>3131</v>
      </c>
      <c r="B20" s="1" t="s">
        <v>3093</v>
      </c>
      <c r="C20" s="1">
        <v>20</v>
      </c>
      <c r="D20" s="1" t="s">
        <v>745</v>
      </c>
      <c r="E20" s="1">
        <v>1979</v>
      </c>
      <c r="F20" s="1" t="s">
        <v>755</v>
      </c>
      <c r="G20" s="1" t="s">
        <v>2357</v>
      </c>
      <c r="H20" s="4">
        <v>32.829000000000001</v>
      </c>
      <c r="I20" s="4">
        <v>-115.504</v>
      </c>
      <c r="J20" s="1" t="s">
        <v>1396</v>
      </c>
      <c r="K20" s="1" t="s">
        <v>75</v>
      </c>
      <c r="L20" s="1" t="s">
        <v>2358</v>
      </c>
      <c r="M20" s="1" t="s">
        <v>3094</v>
      </c>
      <c r="N20" s="1"/>
      <c r="O20" s="1" t="s">
        <v>3095</v>
      </c>
      <c r="P20" s="1">
        <v>182</v>
      </c>
      <c r="Q20" s="4">
        <v>6.5</v>
      </c>
      <c r="R20" s="4">
        <v>4.38</v>
      </c>
      <c r="S20" s="4"/>
      <c r="T20" s="4">
        <v>111.9</v>
      </c>
      <c r="U20" s="4">
        <v>0.6</v>
      </c>
      <c r="V20" s="4"/>
      <c r="W20" s="4">
        <v>29.4</v>
      </c>
      <c r="X20" s="4">
        <v>56</v>
      </c>
      <c r="Y20" s="4">
        <v>87</v>
      </c>
      <c r="Z20" s="4">
        <v>1</v>
      </c>
      <c r="AA20" s="4">
        <v>1</v>
      </c>
      <c r="AB20" s="4" t="s">
        <v>730</v>
      </c>
      <c r="AC20" s="4">
        <v>1.477048724388355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1"/>
      <c r="BJ20" s="1" t="s">
        <v>3132</v>
      </c>
      <c r="BK20" s="1">
        <v>1</v>
      </c>
      <c r="BL20" s="1"/>
      <c r="BM20" s="1" t="s">
        <v>285</v>
      </c>
      <c r="BN20" s="1" t="s">
        <v>2599</v>
      </c>
      <c r="BO20" s="1" t="s">
        <v>2600</v>
      </c>
      <c r="BP20" s="1">
        <v>6.53</v>
      </c>
      <c r="BQ20" s="1" t="s">
        <v>1003</v>
      </c>
      <c r="BR20" s="1">
        <v>32.643999999999998</v>
      </c>
      <c r="BS20" s="1">
        <v>-115.307</v>
      </c>
      <c r="BT20" s="1">
        <v>9.9600000000000009</v>
      </c>
      <c r="BU20" s="1" t="s">
        <v>730</v>
      </c>
      <c r="BV20" s="1" t="s">
        <v>2571</v>
      </c>
      <c r="BW20" s="1">
        <v>323</v>
      </c>
      <c r="BX20" s="1">
        <v>80</v>
      </c>
      <c r="BY20" s="1">
        <v>180</v>
      </c>
      <c r="BZ20" s="1"/>
      <c r="CA20" s="1"/>
      <c r="CB20" s="1"/>
      <c r="CC20" s="1" t="s">
        <v>2566</v>
      </c>
      <c r="CD20" s="1" t="s">
        <v>731</v>
      </c>
      <c r="CE20" s="1"/>
      <c r="CF20" s="1"/>
      <c r="CG20" s="1"/>
      <c r="CH20" s="1"/>
      <c r="CI20" s="1"/>
      <c r="CJ20" s="1" t="s">
        <v>167</v>
      </c>
      <c r="CK20" t="s">
        <v>1262</v>
      </c>
      <c r="CL20">
        <v>20</v>
      </c>
      <c r="CM20" t="s">
        <v>2603</v>
      </c>
    </row>
    <row r="21" spans="1:91" ht="19" customHeight="1">
      <c r="A21" s="1" t="s">
        <v>3133</v>
      </c>
      <c r="B21" s="1" t="s">
        <v>3093</v>
      </c>
      <c r="C21" s="1">
        <v>21</v>
      </c>
      <c r="D21" s="1" t="s">
        <v>745</v>
      </c>
      <c r="E21" s="1">
        <v>1979</v>
      </c>
      <c r="F21" s="1" t="s">
        <v>756</v>
      </c>
      <c r="G21" s="1" t="s">
        <v>2360</v>
      </c>
      <c r="H21" s="4">
        <v>32.795999999999999</v>
      </c>
      <c r="I21" s="4">
        <v>-115.535</v>
      </c>
      <c r="J21" s="1" t="s">
        <v>1396</v>
      </c>
      <c r="K21" s="1" t="s">
        <v>75</v>
      </c>
      <c r="L21" s="1" t="s">
        <v>2361</v>
      </c>
      <c r="M21" s="1" t="s">
        <v>3094</v>
      </c>
      <c r="N21" s="1"/>
      <c r="O21" s="1" t="s">
        <v>3095</v>
      </c>
      <c r="P21" s="1">
        <v>184</v>
      </c>
      <c r="Q21" s="4">
        <v>6.5</v>
      </c>
      <c r="R21" s="4">
        <v>6.27</v>
      </c>
      <c r="S21" s="4"/>
      <c r="T21" s="4">
        <v>73.5</v>
      </c>
      <c r="U21" s="4">
        <v>5.0999999999999996</v>
      </c>
      <c r="V21" s="4"/>
      <c r="W21" s="4">
        <v>29</v>
      </c>
      <c r="X21" s="4">
        <v>253</v>
      </c>
      <c r="Y21" s="4">
        <v>70</v>
      </c>
      <c r="Z21" s="4">
        <v>1</v>
      </c>
      <c r="AA21" s="4">
        <v>1</v>
      </c>
      <c r="AB21" s="4" t="s">
        <v>730</v>
      </c>
      <c r="AC21" s="4">
        <v>1.8357763546448289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1"/>
      <c r="BJ21" s="1" t="s">
        <v>3134</v>
      </c>
      <c r="BK21" s="1">
        <v>1</v>
      </c>
      <c r="BL21" s="1"/>
      <c r="BM21" s="1" t="s">
        <v>285</v>
      </c>
      <c r="BN21" s="1" t="s">
        <v>2599</v>
      </c>
      <c r="BO21" s="1" t="s">
        <v>2600</v>
      </c>
      <c r="BP21" s="1">
        <v>6.53</v>
      </c>
      <c r="BQ21" s="1" t="s">
        <v>1003</v>
      </c>
      <c r="BR21" s="1">
        <v>32.643999999999998</v>
      </c>
      <c r="BS21" s="1">
        <v>-115.307</v>
      </c>
      <c r="BT21" s="1">
        <v>9.9600000000000009</v>
      </c>
      <c r="BU21" s="1" t="s">
        <v>730</v>
      </c>
      <c r="BV21" s="1" t="s">
        <v>2571</v>
      </c>
      <c r="BW21" s="1">
        <v>323</v>
      </c>
      <c r="BX21" s="1">
        <v>80</v>
      </c>
      <c r="BY21" s="1">
        <v>180</v>
      </c>
      <c r="BZ21" s="1"/>
      <c r="CA21" s="1"/>
      <c r="CB21" s="1"/>
      <c r="CC21" s="1" t="s">
        <v>2566</v>
      </c>
      <c r="CD21" s="1" t="s">
        <v>731</v>
      </c>
      <c r="CE21" s="1"/>
      <c r="CF21" s="1"/>
      <c r="CG21" s="1"/>
      <c r="CH21" s="1"/>
      <c r="CI21" s="1"/>
      <c r="CJ21" s="1" t="s">
        <v>167</v>
      </c>
      <c r="CK21" t="s">
        <v>1262</v>
      </c>
      <c r="CL21">
        <v>21</v>
      </c>
      <c r="CM21" t="s">
        <v>2603</v>
      </c>
    </row>
    <row r="22" spans="1:91" ht="19" customHeight="1">
      <c r="A22" s="1" t="s">
        <v>3135</v>
      </c>
      <c r="B22" s="1" t="s">
        <v>3093</v>
      </c>
      <c r="C22" s="1">
        <v>22</v>
      </c>
      <c r="D22" s="1" t="s">
        <v>745</v>
      </c>
      <c r="E22" s="1">
        <v>1979</v>
      </c>
      <c r="F22" s="1" t="s">
        <v>757</v>
      </c>
      <c r="G22" s="1" t="s">
        <v>2389</v>
      </c>
      <c r="H22" s="4">
        <v>32.811399999999999</v>
      </c>
      <c r="I22" s="4">
        <v>-115.37860000000001</v>
      </c>
      <c r="J22" s="1" t="s">
        <v>1396</v>
      </c>
      <c r="K22" s="1" t="s">
        <v>75</v>
      </c>
      <c r="L22" s="1" t="s">
        <v>2390</v>
      </c>
      <c r="M22" s="1" t="s">
        <v>3094</v>
      </c>
      <c r="N22" s="1"/>
      <c r="O22" s="1" t="s">
        <v>3095</v>
      </c>
      <c r="P22" s="1">
        <v>185</v>
      </c>
      <c r="Q22" s="4">
        <v>6.5</v>
      </c>
      <c r="R22" s="4">
        <v>4.82</v>
      </c>
      <c r="S22" s="4"/>
      <c r="T22" s="4">
        <v>73.400000000000006</v>
      </c>
      <c r="U22" s="4">
        <v>7.5</v>
      </c>
      <c r="V22" s="4"/>
      <c r="W22" s="4">
        <v>22.2</v>
      </c>
      <c r="X22" s="4">
        <v>263</v>
      </c>
      <c r="Y22" s="4">
        <v>60</v>
      </c>
      <c r="Z22" s="4">
        <v>1</v>
      </c>
      <c r="AA22" s="4">
        <v>1</v>
      </c>
      <c r="AB22" s="4" t="s">
        <v>730</v>
      </c>
      <c r="AC22" s="4">
        <v>1.572773928062509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1"/>
      <c r="BJ22" s="1" t="s">
        <v>3136</v>
      </c>
      <c r="BK22" s="1">
        <v>1</v>
      </c>
      <c r="BL22" s="1"/>
      <c r="BM22" s="1" t="s">
        <v>285</v>
      </c>
      <c r="BN22" s="1" t="s">
        <v>2599</v>
      </c>
      <c r="BO22" s="1" t="s">
        <v>2600</v>
      </c>
      <c r="BP22" s="1">
        <v>6.53</v>
      </c>
      <c r="BQ22" s="1" t="s">
        <v>1003</v>
      </c>
      <c r="BR22" s="1">
        <v>32.643999999999998</v>
      </c>
      <c r="BS22" s="1">
        <v>-115.307</v>
      </c>
      <c r="BT22" s="1">
        <v>9.9600000000000009</v>
      </c>
      <c r="BU22" s="1" t="s">
        <v>730</v>
      </c>
      <c r="BV22" s="1" t="s">
        <v>2571</v>
      </c>
      <c r="BW22" s="1">
        <v>323</v>
      </c>
      <c r="BX22" s="1">
        <v>80</v>
      </c>
      <c r="BY22" s="1">
        <v>180</v>
      </c>
      <c r="BZ22" s="1"/>
      <c r="CA22" s="1"/>
      <c r="CB22" s="1"/>
      <c r="CC22" s="1" t="s">
        <v>2566</v>
      </c>
      <c r="CD22" s="1" t="s">
        <v>731</v>
      </c>
      <c r="CE22" s="1"/>
      <c r="CF22" s="1"/>
      <c r="CG22" s="1"/>
      <c r="CH22" s="1"/>
      <c r="CI22" s="1"/>
      <c r="CJ22" s="1" t="s">
        <v>167</v>
      </c>
      <c r="CK22" t="s">
        <v>1262</v>
      </c>
      <c r="CL22">
        <v>22</v>
      </c>
      <c r="CM22" t="s">
        <v>2603</v>
      </c>
    </row>
    <row r="23" spans="1:91" ht="19" customHeight="1">
      <c r="A23" s="1" t="s">
        <v>3137</v>
      </c>
      <c r="B23" s="1" t="s">
        <v>3093</v>
      </c>
      <c r="C23" s="1">
        <v>23</v>
      </c>
      <c r="D23" s="1" t="s">
        <v>293</v>
      </c>
      <c r="E23" s="1">
        <v>1979</v>
      </c>
      <c r="F23" s="1" t="s">
        <v>754</v>
      </c>
      <c r="G23" s="1" t="s">
        <v>2353</v>
      </c>
      <c r="H23" s="4">
        <v>32.838999999999999</v>
      </c>
      <c r="I23" s="4">
        <v>-115.48699999999999</v>
      </c>
      <c r="J23" s="1" t="s">
        <v>1396</v>
      </c>
      <c r="K23" s="1" t="s">
        <v>75</v>
      </c>
      <c r="L23" s="1" t="s">
        <v>3138</v>
      </c>
      <c r="M23" s="1" t="s">
        <v>3094</v>
      </c>
      <c r="N23" s="1"/>
      <c r="O23" s="1" t="s">
        <v>3095</v>
      </c>
      <c r="P23" s="1">
        <v>204</v>
      </c>
      <c r="Q23" s="4">
        <v>5</v>
      </c>
      <c r="R23" s="4">
        <v>0.69</v>
      </c>
      <c r="S23" s="4"/>
      <c r="T23" s="4">
        <v>26</v>
      </c>
      <c r="U23" s="4">
        <v>10.4</v>
      </c>
      <c r="V23" s="4"/>
      <c r="W23" s="4">
        <v>13.2</v>
      </c>
      <c r="X23" s="4">
        <v>217</v>
      </c>
      <c r="Y23" s="4">
        <v>77</v>
      </c>
      <c r="Z23" s="4">
        <v>1</v>
      </c>
      <c r="AA23" s="4">
        <v>0</v>
      </c>
      <c r="AB23" s="4" t="s">
        <v>730</v>
      </c>
      <c r="AC23" s="4">
        <v>-0.37106368139083212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1"/>
      <c r="BJ23" s="1" t="s">
        <v>3139</v>
      </c>
      <c r="BK23" s="1">
        <v>1</v>
      </c>
      <c r="BL23" s="1"/>
      <c r="BM23" s="1" t="s">
        <v>292</v>
      </c>
      <c r="BN23" s="1" t="s">
        <v>2599</v>
      </c>
      <c r="BO23" s="1" t="s">
        <v>2605</v>
      </c>
      <c r="BP23" s="1">
        <v>5.01</v>
      </c>
      <c r="BQ23" s="1" t="s">
        <v>1003</v>
      </c>
      <c r="BR23" s="1">
        <v>32.7667</v>
      </c>
      <c r="BS23" s="1">
        <v>-115.4413</v>
      </c>
      <c r="BT23" s="1">
        <v>9.5</v>
      </c>
      <c r="BU23" s="1" t="s">
        <v>730</v>
      </c>
      <c r="BV23" s="1" t="s">
        <v>2571</v>
      </c>
      <c r="BW23" s="1">
        <v>319.89999999999998</v>
      </c>
      <c r="BX23" s="1">
        <v>90</v>
      </c>
      <c r="BY23" s="1">
        <v>180</v>
      </c>
      <c r="BZ23" s="1"/>
      <c r="CA23" s="1"/>
      <c r="CB23" s="1"/>
      <c r="CC23" s="1" t="s">
        <v>2566</v>
      </c>
      <c r="CD23" s="1" t="s">
        <v>731</v>
      </c>
      <c r="CE23" s="1"/>
      <c r="CF23" s="1"/>
      <c r="CG23" s="1"/>
      <c r="CH23" s="1"/>
      <c r="CI23" s="1"/>
      <c r="CJ23" s="1" t="s">
        <v>167</v>
      </c>
      <c r="CK23" t="s">
        <v>1262</v>
      </c>
      <c r="CL23">
        <v>23</v>
      </c>
      <c r="CM23" t="s">
        <v>2607</v>
      </c>
    </row>
    <row r="24" spans="1:91" ht="19" customHeight="1">
      <c r="A24" s="1" t="s">
        <v>3140</v>
      </c>
      <c r="B24" s="1" t="s">
        <v>3093</v>
      </c>
      <c r="C24" s="1">
        <v>24</v>
      </c>
      <c r="D24" s="1" t="s">
        <v>758</v>
      </c>
      <c r="E24" s="1">
        <v>1980</v>
      </c>
      <c r="F24" s="1" t="s">
        <v>759</v>
      </c>
      <c r="G24" s="1" t="s">
        <v>1412</v>
      </c>
      <c r="H24" s="4">
        <v>40.820999999999998</v>
      </c>
      <c r="I24" s="4">
        <v>15.069000000000001</v>
      </c>
      <c r="J24" s="1" t="s">
        <v>1396</v>
      </c>
      <c r="K24" s="1" t="s">
        <v>75</v>
      </c>
      <c r="L24" s="1" t="s">
        <v>1413</v>
      </c>
      <c r="M24" s="1" t="s">
        <v>3094</v>
      </c>
      <c r="N24" s="1"/>
      <c r="O24" s="1" t="s">
        <v>3095</v>
      </c>
      <c r="P24" s="1">
        <v>285</v>
      </c>
      <c r="Q24" s="4">
        <v>6.9</v>
      </c>
      <c r="R24" s="4">
        <v>1.71</v>
      </c>
      <c r="S24" s="4"/>
      <c r="T24" s="4">
        <v>38.1</v>
      </c>
      <c r="U24" s="4">
        <v>8.1999999999999993</v>
      </c>
      <c r="V24" s="4"/>
      <c r="W24" s="4">
        <v>24.6</v>
      </c>
      <c r="X24" s="4">
        <v>72</v>
      </c>
      <c r="Y24" s="4">
        <v>61</v>
      </c>
      <c r="Z24" s="4">
        <v>1</v>
      </c>
      <c r="AA24" s="4">
        <v>1</v>
      </c>
      <c r="AB24" s="4" t="s">
        <v>760</v>
      </c>
      <c r="AC24" s="4">
        <v>0.53649337051456847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1"/>
      <c r="BJ24" s="1" t="s">
        <v>3141</v>
      </c>
      <c r="BK24" s="1">
        <v>1</v>
      </c>
      <c r="BL24" s="1"/>
      <c r="BM24" s="1" t="s">
        <v>305</v>
      </c>
      <c r="BN24" s="1" t="s">
        <v>2609</v>
      </c>
      <c r="BO24" s="1" t="s">
        <v>2610</v>
      </c>
      <c r="BP24" s="1">
        <v>6.9</v>
      </c>
      <c r="BQ24" s="1" t="s">
        <v>1003</v>
      </c>
      <c r="BR24" s="1">
        <v>40.805900000000001</v>
      </c>
      <c r="BS24" s="1">
        <v>15.337199999999999</v>
      </c>
      <c r="BT24" s="1">
        <v>9.5</v>
      </c>
      <c r="BU24" s="1" t="s">
        <v>760</v>
      </c>
      <c r="BV24" s="1" t="s">
        <v>2571</v>
      </c>
      <c r="BW24" s="1">
        <v>312.8</v>
      </c>
      <c r="BX24" s="1">
        <v>60</v>
      </c>
      <c r="BY24" s="1">
        <v>-90</v>
      </c>
      <c r="BZ24" s="1"/>
      <c r="CA24" s="1"/>
      <c r="CB24" s="1"/>
      <c r="CC24" s="1" t="s">
        <v>2566</v>
      </c>
      <c r="CD24" s="1" t="s">
        <v>731</v>
      </c>
      <c r="CE24" s="1"/>
      <c r="CF24" s="1"/>
      <c r="CG24" s="1"/>
      <c r="CH24" s="1"/>
      <c r="CI24" s="1"/>
      <c r="CJ24" s="1" t="s">
        <v>167</v>
      </c>
      <c r="CK24" t="s">
        <v>1262</v>
      </c>
      <c r="CL24">
        <v>24</v>
      </c>
      <c r="CM24" t="s">
        <v>2612</v>
      </c>
    </row>
    <row r="25" spans="1:91" ht="19" customHeight="1">
      <c r="A25" s="1" t="s">
        <v>3142</v>
      </c>
      <c r="B25" s="1" t="s">
        <v>3093</v>
      </c>
      <c r="C25" s="1">
        <v>25</v>
      </c>
      <c r="D25" s="1" t="s">
        <v>758</v>
      </c>
      <c r="E25" s="1">
        <v>1980</v>
      </c>
      <c r="F25" s="1" t="s">
        <v>761</v>
      </c>
      <c r="G25" s="1" t="s">
        <v>1424</v>
      </c>
      <c r="H25" s="4">
        <v>41.0184</v>
      </c>
      <c r="I25" s="4">
        <v>15.111700000000001</v>
      </c>
      <c r="J25" s="1" t="s">
        <v>1396</v>
      </c>
      <c r="K25" s="1" t="s">
        <v>75</v>
      </c>
      <c r="L25" s="1" t="s">
        <v>1425</v>
      </c>
      <c r="M25" s="1" t="s">
        <v>3094</v>
      </c>
      <c r="N25" s="1"/>
      <c r="O25" s="1" t="s">
        <v>3095</v>
      </c>
      <c r="P25" s="1">
        <v>292</v>
      </c>
      <c r="Q25" s="4">
        <v>6.9</v>
      </c>
      <c r="R25" s="4">
        <v>3.27</v>
      </c>
      <c r="S25" s="4"/>
      <c r="T25" s="4">
        <v>71.099999999999994</v>
      </c>
      <c r="U25" s="4">
        <v>10.8</v>
      </c>
      <c r="V25" s="4"/>
      <c r="W25" s="4">
        <v>31.8</v>
      </c>
      <c r="X25" s="4">
        <v>87</v>
      </c>
      <c r="Y25" s="4">
        <v>46</v>
      </c>
      <c r="Z25" s="4">
        <v>0</v>
      </c>
      <c r="AA25" s="4">
        <v>1</v>
      </c>
      <c r="AB25" s="4" t="s">
        <v>760</v>
      </c>
      <c r="AC25" s="4">
        <v>1.1847899849091621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1"/>
      <c r="BJ25" s="1" t="s">
        <v>3143</v>
      </c>
      <c r="BK25" s="1">
        <v>1</v>
      </c>
      <c r="BL25" s="1"/>
      <c r="BM25" s="1" t="s">
        <v>305</v>
      </c>
      <c r="BN25" s="1" t="s">
        <v>2609</v>
      </c>
      <c r="BO25" s="1" t="s">
        <v>2610</v>
      </c>
      <c r="BP25" s="1">
        <v>6.9</v>
      </c>
      <c r="BQ25" s="1" t="s">
        <v>1003</v>
      </c>
      <c r="BR25" s="1">
        <v>40.805900000000001</v>
      </c>
      <c r="BS25" s="1">
        <v>15.337199999999999</v>
      </c>
      <c r="BT25" s="1">
        <v>9.5</v>
      </c>
      <c r="BU25" s="1" t="s">
        <v>760</v>
      </c>
      <c r="BV25" s="1" t="s">
        <v>2571</v>
      </c>
      <c r="BW25" s="1">
        <v>312.8</v>
      </c>
      <c r="BX25" s="1">
        <v>60</v>
      </c>
      <c r="BY25" s="1">
        <v>-90</v>
      </c>
      <c r="BZ25" s="1"/>
      <c r="CA25" s="1"/>
      <c r="CB25" s="1"/>
      <c r="CC25" s="1" t="s">
        <v>2566</v>
      </c>
      <c r="CD25" s="1" t="s">
        <v>731</v>
      </c>
      <c r="CE25" s="1"/>
      <c r="CF25" s="1"/>
      <c r="CG25" s="1"/>
      <c r="CH25" s="1"/>
      <c r="CI25" s="1"/>
      <c r="CJ25" s="1" t="s">
        <v>167</v>
      </c>
      <c r="CK25" t="s">
        <v>1262</v>
      </c>
      <c r="CL25">
        <v>25</v>
      </c>
      <c r="CM25" t="s">
        <v>2612</v>
      </c>
    </row>
    <row r="26" spans="1:91" ht="19" customHeight="1">
      <c r="A26" s="1" t="s">
        <v>3144</v>
      </c>
      <c r="B26" s="1" t="s">
        <v>3093</v>
      </c>
      <c r="C26" s="1">
        <v>26</v>
      </c>
      <c r="D26" s="1" t="s">
        <v>313</v>
      </c>
      <c r="E26" s="1">
        <v>1980</v>
      </c>
      <c r="F26" s="1" t="s">
        <v>762</v>
      </c>
      <c r="G26" s="1" t="s">
        <v>2415</v>
      </c>
      <c r="H26" s="4">
        <v>37.588000000000001</v>
      </c>
      <c r="I26" s="4">
        <v>-118.705</v>
      </c>
      <c r="J26" s="1" t="s">
        <v>1396</v>
      </c>
      <c r="K26" s="1" t="s">
        <v>75</v>
      </c>
      <c r="L26" s="1" t="s">
        <v>2416</v>
      </c>
      <c r="M26" s="1" t="s">
        <v>3094</v>
      </c>
      <c r="N26" s="1"/>
      <c r="O26" s="1" t="s">
        <v>3095</v>
      </c>
      <c r="P26" s="1">
        <v>250</v>
      </c>
      <c r="Q26" s="4">
        <v>5.9</v>
      </c>
      <c r="R26" s="4">
        <v>1.01</v>
      </c>
      <c r="S26" s="4"/>
      <c r="T26" s="4">
        <v>43.3</v>
      </c>
      <c r="U26" s="4">
        <v>16</v>
      </c>
      <c r="V26" s="4"/>
      <c r="W26" s="4">
        <v>19.8</v>
      </c>
      <c r="X26" s="4">
        <v>65</v>
      </c>
      <c r="Y26" s="4">
        <v>43</v>
      </c>
      <c r="Z26" s="4">
        <v>1</v>
      </c>
      <c r="AA26" s="4">
        <v>0</v>
      </c>
      <c r="AB26" s="4" t="s">
        <v>730</v>
      </c>
      <c r="AC26" s="4">
        <v>9.950330853168092E-3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1"/>
      <c r="BJ26" s="1" t="s">
        <v>3145</v>
      </c>
      <c r="BK26" s="1">
        <v>1</v>
      </c>
      <c r="BL26" s="1"/>
      <c r="BM26" s="1" t="s">
        <v>312</v>
      </c>
      <c r="BN26" s="1" t="s">
        <v>2614</v>
      </c>
      <c r="BO26" s="1" t="s">
        <v>2615</v>
      </c>
      <c r="BP26" s="1">
        <v>5.94</v>
      </c>
      <c r="BQ26" s="1" t="s">
        <v>1003</v>
      </c>
      <c r="BR26" s="1">
        <v>37.506</v>
      </c>
      <c r="BS26" s="1">
        <v>-118.82599999999999</v>
      </c>
      <c r="BT26" s="1">
        <v>14</v>
      </c>
      <c r="BU26" s="1" t="s">
        <v>730</v>
      </c>
      <c r="BV26" s="1" t="s">
        <v>2571</v>
      </c>
      <c r="BW26" s="1">
        <v>22</v>
      </c>
      <c r="BX26" s="1">
        <v>50</v>
      </c>
      <c r="BY26" s="1">
        <v>-28</v>
      </c>
      <c r="BZ26" s="1"/>
      <c r="CA26" s="1"/>
      <c r="CB26" s="1"/>
      <c r="CC26" s="1" t="s">
        <v>2566</v>
      </c>
      <c r="CD26" s="1" t="s">
        <v>731</v>
      </c>
      <c r="CE26" s="1"/>
      <c r="CF26" s="1"/>
      <c r="CG26" s="1"/>
      <c r="CH26" s="1"/>
      <c r="CI26" s="1"/>
      <c r="CJ26" s="1" t="s">
        <v>167</v>
      </c>
      <c r="CK26" t="s">
        <v>1262</v>
      </c>
      <c r="CL26">
        <v>26</v>
      </c>
      <c r="CM26" t="s">
        <v>2617</v>
      </c>
    </row>
    <row r="27" spans="1:91" ht="19" customHeight="1">
      <c r="A27" s="1" t="s">
        <v>3146</v>
      </c>
      <c r="B27" s="1" t="s">
        <v>3093</v>
      </c>
      <c r="C27" s="1">
        <v>27</v>
      </c>
      <c r="D27" s="1" t="s">
        <v>763</v>
      </c>
      <c r="E27" s="1">
        <v>1981</v>
      </c>
      <c r="F27" s="1" t="s">
        <v>764</v>
      </c>
      <c r="G27" s="1" t="s">
        <v>2451</v>
      </c>
      <c r="H27" s="4">
        <v>32.929000000000002</v>
      </c>
      <c r="I27" s="4">
        <v>-115.70099999999999</v>
      </c>
      <c r="J27" s="1" t="s">
        <v>1396</v>
      </c>
      <c r="K27" s="1" t="s">
        <v>75</v>
      </c>
      <c r="L27" s="1" t="s">
        <v>2453</v>
      </c>
      <c r="M27" s="1" t="s">
        <v>3094</v>
      </c>
      <c r="N27" s="1"/>
      <c r="O27" s="1" t="s">
        <v>3095</v>
      </c>
      <c r="P27" s="1">
        <v>316</v>
      </c>
      <c r="Q27" s="4">
        <v>5.9</v>
      </c>
      <c r="R27" s="4">
        <v>4.3899999999999997</v>
      </c>
      <c r="S27" s="4"/>
      <c r="T27" s="4">
        <v>60.8</v>
      </c>
      <c r="U27" s="4">
        <v>16.7</v>
      </c>
      <c r="V27" s="4"/>
      <c r="W27" s="4">
        <v>20.6</v>
      </c>
      <c r="X27" s="4">
        <v>204</v>
      </c>
      <c r="Y27" s="4">
        <v>40</v>
      </c>
      <c r="Z27" s="4">
        <v>1</v>
      </c>
      <c r="AA27" s="4">
        <v>1</v>
      </c>
      <c r="AB27" s="4" t="s">
        <v>730</v>
      </c>
      <c r="AC27" s="4">
        <v>1.4793292270870799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1"/>
      <c r="BJ27" s="1" t="s">
        <v>3147</v>
      </c>
      <c r="BK27" s="1">
        <v>1</v>
      </c>
      <c r="BL27" s="1"/>
      <c r="BM27" s="1" t="s">
        <v>318</v>
      </c>
      <c r="BN27" s="1" t="s">
        <v>2618</v>
      </c>
      <c r="BO27" s="1" t="s">
        <v>2619</v>
      </c>
      <c r="BP27" s="1">
        <v>5.9</v>
      </c>
      <c r="BQ27" s="1" t="s">
        <v>1003</v>
      </c>
      <c r="BR27" s="1">
        <v>33.1</v>
      </c>
      <c r="BS27" s="1">
        <v>-115.62</v>
      </c>
      <c r="BT27" s="1">
        <v>2.2999999999999998</v>
      </c>
      <c r="BU27" s="1" t="s">
        <v>730</v>
      </c>
      <c r="BV27" s="1" t="s">
        <v>2571</v>
      </c>
      <c r="BW27" s="1">
        <v>64</v>
      </c>
      <c r="BX27" s="1">
        <v>90</v>
      </c>
      <c r="BY27" s="1">
        <v>0</v>
      </c>
      <c r="BZ27" s="1"/>
      <c r="CA27" s="1"/>
      <c r="CB27" s="1"/>
      <c r="CC27" s="1" t="s">
        <v>2566</v>
      </c>
      <c r="CD27" s="1" t="s">
        <v>731</v>
      </c>
      <c r="CE27" s="1"/>
      <c r="CF27" s="1"/>
      <c r="CG27" s="1"/>
      <c r="CH27" s="1"/>
      <c r="CI27" s="1"/>
      <c r="CJ27" s="1" t="s">
        <v>167</v>
      </c>
      <c r="CK27" t="s">
        <v>1262</v>
      </c>
      <c r="CL27">
        <v>27</v>
      </c>
      <c r="CM27" t="s">
        <v>2621</v>
      </c>
    </row>
    <row r="28" spans="1:91" ht="19" customHeight="1">
      <c r="A28" s="1" t="s">
        <v>3148</v>
      </c>
      <c r="B28" s="1" t="s">
        <v>3093</v>
      </c>
      <c r="C28" s="1">
        <v>28</v>
      </c>
      <c r="D28" s="1" t="s">
        <v>763</v>
      </c>
      <c r="E28" s="1">
        <v>1981</v>
      </c>
      <c r="F28" s="1" t="s">
        <v>765</v>
      </c>
      <c r="G28" s="1" t="s">
        <v>2528</v>
      </c>
      <c r="H28" s="4">
        <v>33.036999999999999</v>
      </c>
      <c r="I28" s="4">
        <v>-115.623</v>
      </c>
      <c r="J28" s="1" t="s">
        <v>1396</v>
      </c>
      <c r="K28" s="1" t="s">
        <v>75</v>
      </c>
      <c r="L28" s="1" t="s">
        <v>2529</v>
      </c>
      <c r="M28" s="1" t="s">
        <v>3094</v>
      </c>
      <c r="N28" s="1"/>
      <c r="O28" s="1" t="s">
        <v>3095</v>
      </c>
      <c r="P28" s="1">
        <v>319</v>
      </c>
      <c r="Q28" s="4">
        <v>5.9</v>
      </c>
      <c r="R28" s="4">
        <v>1.22</v>
      </c>
      <c r="S28" s="4"/>
      <c r="T28" s="4">
        <v>52.9</v>
      </c>
      <c r="U28" s="4">
        <v>6.5</v>
      </c>
      <c r="V28" s="4"/>
      <c r="W28" s="4">
        <v>7.4</v>
      </c>
      <c r="X28" s="4">
        <v>56</v>
      </c>
      <c r="Y28" s="4">
        <v>8</v>
      </c>
      <c r="Z28" s="4">
        <v>0</v>
      </c>
      <c r="AA28" s="4">
        <v>0</v>
      </c>
      <c r="AB28" s="4" t="s">
        <v>730</v>
      </c>
      <c r="AC28" s="4">
        <v>0.1988508587451652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1"/>
      <c r="BJ28" s="1" t="s">
        <v>3149</v>
      </c>
      <c r="BK28" s="1">
        <v>1</v>
      </c>
      <c r="BL28" s="1"/>
      <c r="BM28" s="1" t="s">
        <v>318</v>
      </c>
      <c r="BN28" s="1" t="s">
        <v>2618</v>
      </c>
      <c r="BO28" s="1" t="s">
        <v>2619</v>
      </c>
      <c r="BP28" s="1">
        <v>5.9</v>
      </c>
      <c r="BQ28" s="1" t="s">
        <v>1003</v>
      </c>
      <c r="BR28" s="1">
        <v>33.1</v>
      </c>
      <c r="BS28" s="1">
        <v>-115.62</v>
      </c>
      <c r="BT28" s="1">
        <v>2.2999999999999998</v>
      </c>
      <c r="BU28" s="1" t="s">
        <v>730</v>
      </c>
      <c r="BV28" s="1" t="s">
        <v>2571</v>
      </c>
      <c r="BW28" s="1">
        <v>64</v>
      </c>
      <c r="BX28" s="1">
        <v>90</v>
      </c>
      <c r="BY28" s="1">
        <v>0</v>
      </c>
      <c r="BZ28" s="1"/>
      <c r="CA28" s="1"/>
      <c r="CB28" s="1"/>
      <c r="CC28" s="1" t="s">
        <v>2566</v>
      </c>
      <c r="CD28" s="1" t="s">
        <v>731</v>
      </c>
      <c r="CE28" s="1"/>
      <c r="CF28" s="1"/>
      <c r="CG28" s="1"/>
      <c r="CH28" s="1"/>
      <c r="CI28" s="1"/>
      <c r="CJ28" s="1" t="s">
        <v>167</v>
      </c>
      <c r="CK28" t="s">
        <v>1262</v>
      </c>
      <c r="CL28">
        <v>28</v>
      </c>
      <c r="CM28" t="s">
        <v>2621</v>
      </c>
    </row>
    <row r="29" spans="1:91" ht="19" customHeight="1">
      <c r="A29" s="1" t="s">
        <v>3150</v>
      </c>
      <c r="B29" s="1" t="s">
        <v>3093</v>
      </c>
      <c r="C29" s="1">
        <v>29</v>
      </c>
      <c r="D29" s="1" t="s">
        <v>326</v>
      </c>
      <c r="E29" s="1">
        <v>1983</v>
      </c>
      <c r="F29" s="1" t="s">
        <v>766</v>
      </c>
      <c r="G29" s="1" t="s">
        <v>2306</v>
      </c>
      <c r="H29" s="4">
        <v>36.232999999999997</v>
      </c>
      <c r="I29" s="4">
        <v>-120.333</v>
      </c>
      <c r="J29" s="1" t="s">
        <v>1396</v>
      </c>
      <c r="K29" s="1" t="s">
        <v>75</v>
      </c>
      <c r="L29" s="1" t="s">
        <v>2307</v>
      </c>
      <c r="M29" s="1" t="s">
        <v>3094</v>
      </c>
      <c r="N29" s="1"/>
      <c r="O29" s="1" t="s">
        <v>3095</v>
      </c>
      <c r="P29" s="1">
        <v>372</v>
      </c>
      <c r="Q29" s="4">
        <v>5.0999999999999996</v>
      </c>
      <c r="R29" s="4">
        <v>0.26</v>
      </c>
      <c r="S29" s="4"/>
      <c r="T29" s="4">
        <v>26.3</v>
      </c>
      <c r="U29" s="4">
        <v>11.6</v>
      </c>
      <c r="V29" s="4"/>
      <c r="W29" s="4">
        <v>12.5</v>
      </c>
      <c r="X29" s="4">
        <v>322</v>
      </c>
      <c r="Y29" s="4">
        <v>6</v>
      </c>
      <c r="Z29" s="4">
        <v>0</v>
      </c>
      <c r="AA29" s="4">
        <v>0</v>
      </c>
      <c r="AB29" s="4" t="s">
        <v>734</v>
      </c>
      <c r="AC29" s="4">
        <v>-1.347073647966609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1"/>
      <c r="BJ29" s="1" t="s">
        <v>3151</v>
      </c>
      <c r="BK29" s="1">
        <v>1</v>
      </c>
      <c r="BL29" s="1"/>
      <c r="BM29" s="1" t="s">
        <v>325</v>
      </c>
      <c r="BN29" s="1" t="s">
        <v>2623</v>
      </c>
      <c r="BO29" s="1" t="s">
        <v>2624</v>
      </c>
      <c r="BP29" s="1">
        <v>5.09</v>
      </c>
      <c r="BQ29" s="1" t="s">
        <v>1003</v>
      </c>
      <c r="BR29" s="1">
        <v>36.246000000000002</v>
      </c>
      <c r="BS29" s="1">
        <v>-120.29900000000001</v>
      </c>
      <c r="BT29" s="1">
        <v>12</v>
      </c>
      <c r="BU29" s="1" t="s">
        <v>734</v>
      </c>
      <c r="BV29" s="1" t="s">
        <v>2571</v>
      </c>
      <c r="BW29" s="1">
        <v>136</v>
      </c>
      <c r="BX29" s="1">
        <v>44</v>
      </c>
      <c r="BY29" s="1">
        <v>106</v>
      </c>
      <c r="BZ29" s="1"/>
      <c r="CA29" s="1"/>
      <c r="CB29" s="1"/>
      <c r="CC29" s="1" t="s">
        <v>2566</v>
      </c>
      <c r="CD29" s="1" t="s">
        <v>731</v>
      </c>
      <c r="CE29" s="1"/>
      <c r="CF29" s="1"/>
      <c r="CG29" s="1"/>
      <c r="CH29" s="1"/>
      <c r="CI29" s="1"/>
      <c r="CJ29" s="1" t="s">
        <v>167</v>
      </c>
      <c r="CK29" t="s">
        <v>1262</v>
      </c>
      <c r="CL29">
        <v>29</v>
      </c>
      <c r="CM29" t="s">
        <v>2626</v>
      </c>
    </row>
    <row r="30" spans="1:91" ht="19" customHeight="1">
      <c r="A30" s="1" t="s">
        <v>3152</v>
      </c>
      <c r="B30" s="1" t="s">
        <v>3093</v>
      </c>
      <c r="C30" s="1">
        <v>30</v>
      </c>
      <c r="D30" s="1" t="s">
        <v>326</v>
      </c>
      <c r="E30" s="1">
        <v>1983</v>
      </c>
      <c r="F30" s="1" t="s">
        <v>767</v>
      </c>
      <c r="G30" s="1" t="s">
        <v>2308</v>
      </c>
      <c r="H30" s="4">
        <v>36.232999999999997</v>
      </c>
      <c r="I30" s="4">
        <v>-120.333</v>
      </c>
      <c r="J30" s="1" t="s">
        <v>1396</v>
      </c>
      <c r="K30" s="1" t="s">
        <v>75</v>
      </c>
      <c r="L30" s="1" t="s">
        <v>2309</v>
      </c>
      <c r="M30" s="1" t="s">
        <v>3094</v>
      </c>
      <c r="N30" s="1"/>
      <c r="O30" s="1" t="s">
        <v>3095</v>
      </c>
      <c r="P30" s="1">
        <v>373</v>
      </c>
      <c r="Q30" s="4">
        <v>5.0999999999999996</v>
      </c>
      <c r="R30" s="4">
        <v>0.27</v>
      </c>
      <c r="S30" s="4"/>
      <c r="T30" s="4">
        <v>23.3</v>
      </c>
      <c r="U30" s="4">
        <v>11.6</v>
      </c>
      <c r="V30" s="4"/>
      <c r="W30" s="4">
        <v>12.5</v>
      </c>
      <c r="X30" s="4">
        <v>311</v>
      </c>
      <c r="Y30" s="4">
        <v>5</v>
      </c>
      <c r="Z30" s="4">
        <v>0</v>
      </c>
      <c r="AA30" s="4">
        <v>0</v>
      </c>
      <c r="AB30" s="4" t="s">
        <v>734</v>
      </c>
      <c r="AC30" s="4">
        <v>-1.309333319983762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1"/>
      <c r="BJ30" s="1" t="s">
        <v>3153</v>
      </c>
      <c r="BK30" s="1">
        <v>1</v>
      </c>
      <c r="BL30" s="1"/>
      <c r="BM30" s="1" t="s">
        <v>325</v>
      </c>
      <c r="BN30" s="1" t="s">
        <v>2623</v>
      </c>
      <c r="BO30" s="1" t="s">
        <v>2624</v>
      </c>
      <c r="BP30" s="1">
        <v>5.09</v>
      </c>
      <c r="BQ30" s="1" t="s">
        <v>1003</v>
      </c>
      <c r="BR30" s="1">
        <v>36.246000000000002</v>
      </c>
      <c r="BS30" s="1">
        <v>-120.29900000000001</v>
      </c>
      <c r="BT30" s="1">
        <v>12</v>
      </c>
      <c r="BU30" s="1" t="s">
        <v>734</v>
      </c>
      <c r="BV30" s="1" t="s">
        <v>2571</v>
      </c>
      <c r="BW30" s="1">
        <v>136</v>
      </c>
      <c r="BX30" s="1">
        <v>44</v>
      </c>
      <c r="BY30" s="1">
        <v>106</v>
      </c>
      <c r="BZ30" s="1"/>
      <c r="CA30" s="1"/>
      <c r="CB30" s="1"/>
      <c r="CC30" s="1" t="s">
        <v>2566</v>
      </c>
      <c r="CD30" s="1" t="s">
        <v>731</v>
      </c>
      <c r="CE30" s="1"/>
      <c r="CF30" s="1"/>
      <c r="CG30" s="1"/>
      <c r="CH30" s="1"/>
      <c r="CI30" s="1"/>
      <c r="CJ30" s="1" t="s">
        <v>167</v>
      </c>
      <c r="CK30" t="s">
        <v>1262</v>
      </c>
      <c r="CL30">
        <v>30</v>
      </c>
      <c r="CM30" t="s">
        <v>2626</v>
      </c>
    </row>
    <row r="31" spans="1:91" ht="19" customHeight="1">
      <c r="A31" s="1" t="s">
        <v>3154</v>
      </c>
      <c r="B31" s="1" t="s">
        <v>3093</v>
      </c>
      <c r="C31" s="1">
        <v>31</v>
      </c>
      <c r="D31" s="1" t="s">
        <v>332</v>
      </c>
      <c r="E31" s="1">
        <v>1983</v>
      </c>
      <c r="F31" s="1" t="s">
        <v>768</v>
      </c>
      <c r="G31" s="1" t="s">
        <v>2524</v>
      </c>
      <c r="H31" s="4">
        <v>36.249000000000002</v>
      </c>
      <c r="I31" s="4">
        <v>-120.343</v>
      </c>
      <c r="J31" s="1" t="s">
        <v>1396</v>
      </c>
      <c r="K31" s="1" t="s">
        <v>75</v>
      </c>
      <c r="L31" s="1" t="s">
        <v>2525</v>
      </c>
      <c r="M31" s="1" t="s">
        <v>3094</v>
      </c>
      <c r="N31" s="1"/>
      <c r="O31" s="1" t="s">
        <v>3095</v>
      </c>
      <c r="P31" s="1">
        <v>415</v>
      </c>
      <c r="Q31" s="4">
        <v>5.8</v>
      </c>
      <c r="R31" s="4">
        <v>0.88</v>
      </c>
      <c r="S31" s="4"/>
      <c r="T31" s="4">
        <v>64.400000000000006</v>
      </c>
      <c r="U31" s="4">
        <v>9.5</v>
      </c>
      <c r="V31" s="4"/>
      <c r="W31" s="4">
        <v>9.5</v>
      </c>
      <c r="X31" s="4">
        <v>242</v>
      </c>
      <c r="Y31" s="4">
        <v>67</v>
      </c>
      <c r="Z31" s="4">
        <v>1</v>
      </c>
      <c r="AA31" s="4">
        <v>0</v>
      </c>
      <c r="AB31" s="4" t="s">
        <v>734</v>
      </c>
      <c r="AC31" s="4">
        <v>-0.12783337150988491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1"/>
      <c r="BJ31" s="1" t="s">
        <v>3155</v>
      </c>
      <c r="BK31" s="1">
        <v>1</v>
      </c>
      <c r="BL31" s="1"/>
      <c r="BM31" s="1" t="s">
        <v>331</v>
      </c>
      <c r="BN31" s="1" t="s">
        <v>2628</v>
      </c>
      <c r="BO31" s="1" t="s">
        <v>2629</v>
      </c>
      <c r="BP31" s="1">
        <v>5.77</v>
      </c>
      <c r="BQ31" s="1" t="s">
        <v>1003</v>
      </c>
      <c r="BR31" s="1">
        <v>36.241</v>
      </c>
      <c r="BS31" s="1">
        <v>-120.40900000000001</v>
      </c>
      <c r="BT31" s="1">
        <v>7.4</v>
      </c>
      <c r="BU31" s="1" t="s">
        <v>734</v>
      </c>
      <c r="BV31" s="1" t="s">
        <v>2571</v>
      </c>
      <c r="BW31" s="1">
        <v>355</v>
      </c>
      <c r="BX31" s="1">
        <v>38</v>
      </c>
      <c r="BY31" s="1">
        <v>102</v>
      </c>
      <c r="BZ31" s="1"/>
      <c r="CA31" s="1"/>
      <c r="CB31" s="1"/>
      <c r="CC31" s="1" t="s">
        <v>2566</v>
      </c>
      <c r="CD31" s="1" t="s">
        <v>731</v>
      </c>
      <c r="CE31" s="1"/>
      <c r="CF31" s="1"/>
      <c r="CG31" s="1"/>
      <c r="CH31" s="1"/>
      <c r="CI31" s="1"/>
      <c r="CJ31" s="1" t="s">
        <v>167</v>
      </c>
      <c r="CK31" t="s">
        <v>1262</v>
      </c>
      <c r="CL31">
        <v>31</v>
      </c>
      <c r="CM31" t="s">
        <v>2631</v>
      </c>
    </row>
    <row r="32" spans="1:91" ht="19" customHeight="1">
      <c r="A32" s="1" t="s">
        <v>3156</v>
      </c>
      <c r="B32" s="1" t="s">
        <v>3093</v>
      </c>
      <c r="C32" s="1">
        <v>32</v>
      </c>
      <c r="D32" s="1" t="s">
        <v>339</v>
      </c>
      <c r="E32" s="1">
        <v>1983</v>
      </c>
      <c r="F32" s="1" t="s">
        <v>769</v>
      </c>
      <c r="G32" s="1" t="s">
        <v>2326</v>
      </c>
      <c r="H32" s="4">
        <v>36.151000000000003</v>
      </c>
      <c r="I32" s="4">
        <v>-120.35299999999999</v>
      </c>
      <c r="J32" s="1" t="s">
        <v>1396</v>
      </c>
      <c r="K32" s="1" t="s">
        <v>75</v>
      </c>
      <c r="L32" s="1" t="s">
        <v>2327</v>
      </c>
      <c r="M32" s="1" t="s">
        <v>3094</v>
      </c>
      <c r="N32" s="1"/>
      <c r="O32" s="1" t="s">
        <v>3095</v>
      </c>
      <c r="P32" s="1">
        <v>418</v>
      </c>
      <c r="Q32" s="4">
        <v>5.2</v>
      </c>
      <c r="R32" s="4">
        <v>0.44</v>
      </c>
      <c r="S32" s="4"/>
      <c r="T32" s="4">
        <v>32.799999999999997</v>
      </c>
      <c r="U32" s="4">
        <v>10.9</v>
      </c>
      <c r="V32" s="4"/>
      <c r="W32" s="4">
        <v>12.7</v>
      </c>
      <c r="X32" s="4">
        <v>284</v>
      </c>
      <c r="Y32" s="4">
        <v>64</v>
      </c>
      <c r="Z32" s="4">
        <v>1</v>
      </c>
      <c r="AA32" s="4">
        <v>0</v>
      </c>
      <c r="AB32" s="4" t="s">
        <v>734</v>
      </c>
      <c r="AC32" s="4">
        <v>-0.82098055206983023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1"/>
      <c r="BJ32" s="1" t="s">
        <v>3157</v>
      </c>
      <c r="BK32" s="1">
        <v>1</v>
      </c>
      <c r="BL32" s="1"/>
      <c r="BM32" s="1" t="s">
        <v>338</v>
      </c>
      <c r="BN32" s="1" t="s">
        <v>2633</v>
      </c>
      <c r="BO32" s="1" t="s">
        <v>2634</v>
      </c>
      <c r="BP32" s="1">
        <v>5.21</v>
      </c>
      <c r="BQ32" s="1" t="s">
        <v>1003</v>
      </c>
      <c r="BR32" s="1">
        <v>36.228999999999999</v>
      </c>
      <c r="BS32" s="1">
        <v>-120.398</v>
      </c>
      <c r="BT32" s="1">
        <v>8.4</v>
      </c>
      <c r="BU32" s="1" t="s">
        <v>734</v>
      </c>
      <c r="BV32" s="1" t="s">
        <v>2571</v>
      </c>
      <c r="BW32" s="1">
        <v>348.1</v>
      </c>
      <c r="BX32" s="1">
        <v>38</v>
      </c>
      <c r="BY32" s="1">
        <v>90</v>
      </c>
      <c r="BZ32" s="1"/>
      <c r="CA32" s="1"/>
      <c r="CB32" s="1"/>
      <c r="CC32" s="1" t="s">
        <v>2566</v>
      </c>
      <c r="CD32" s="1" t="s">
        <v>731</v>
      </c>
      <c r="CE32" s="1"/>
      <c r="CF32" s="1"/>
      <c r="CG32" s="1"/>
      <c r="CH32" s="1"/>
      <c r="CI32" s="1"/>
      <c r="CJ32" s="1" t="s">
        <v>167</v>
      </c>
      <c r="CK32" t="s">
        <v>1262</v>
      </c>
      <c r="CL32">
        <v>32</v>
      </c>
      <c r="CM32" t="s">
        <v>2636</v>
      </c>
    </row>
    <row r="33" spans="1:91" ht="19" customHeight="1">
      <c r="A33" s="1" t="s">
        <v>3158</v>
      </c>
      <c r="B33" s="1" t="s">
        <v>3093</v>
      </c>
      <c r="C33" s="1">
        <v>33</v>
      </c>
      <c r="D33" s="1" t="s">
        <v>770</v>
      </c>
      <c r="E33" s="1">
        <v>1984</v>
      </c>
      <c r="F33" s="1" t="s">
        <v>771</v>
      </c>
      <c r="G33" s="1" t="s">
        <v>2332</v>
      </c>
      <c r="H33" s="4">
        <v>37.118000000000002</v>
      </c>
      <c r="I33" s="4">
        <v>-121.55</v>
      </c>
      <c r="J33" s="1" t="s">
        <v>1396</v>
      </c>
      <c r="K33" s="1" t="s">
        <v>75</v>
      </c>
      <c r="L33" s="1" t="s">
        <v>2333</v>
      </c>
      <c r="M33" s="1" t="s">
        <v>3094</v>
      </c>
      <c r="N33" s="1"/>
      <c r="O33" s="1" t="s">
        <v>3095</v>
      </c>
      <c r="P33" s="1">
        <v>451</v>
      </c>
      <c r="Q33" s="4">
        <v>6.2</v>
      </c>
      <c r="R33" s="4">
        <v>1.07</v>
      </c>
      <c r="S33" s="4"/>
      <c r="T33" s="4">
        <v>76.8</v>
      </c>
      <c r="U33" s="4">
        <v>0.5</v>
      </c>
      <c r="V33" s="4"/>
      <c r="W33" s="4">
        <v>26</v>
      </c>
      <c r="X33" s="4">
        <v>114</v>
      </c>
      <c r="Y33" s="4">
        <v>34</v>
      </c>
      <c r="Z33" s="4">
        <v>1</v>
      </c>
      <c r="AA33" s="4">
        <v>1</v>
      </c>
      <c r="AB33" s="4" t="s">
        <v>730</v>
      </c>
      <c r="AC33" s="4">
        <v>6.7658648473814864E-2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1"/>
      <c r="BJ33" s="1" t="s">
        <v>3159</v>
      </c>
      <c r="BK33" s="1">
        <v>1</v>
      </c>
      <c r="BL33" s="1"/>
      <c r="BM33" s="1" t="s">
        <v>345</v>
      </c>
      <c r="BN33" s="1" t="s">
        <v>2638</v>
      </c>
      <c r="BO33" s="1" t="s">
        <v>2639</v>
      </c>
      <c r="BP33" s="1">
        <v>6.19</v>
      </c>
      <c r="BQ33" s="1" t="s">
        <v>1003</v>
      </c>
      <c r="BR33" s="1">
        <v>37.305999999999997</v>
      </c>
      <c r="BS33" s="1">
        <v>-121.69499999999999</v>
      </c>
      <c r="BT33" s="1">
        <v>8.5</v>
      </c>
      <c r="BU33" s="1" t="s">
        <v>730</v>
      </c>
      <c r="BV33" s="1" t="s">
        <v>2571</v>
      </c>
      <c r="BW33" s="1">
        <v>148</v>
      </c>
      <c r="BX33" s="1">
        <v>90</v>
      </c>
      <c r="BY33" s="1">
        <v>180</v>
      </c>
      <c r="BZ33" s="1"/>
      <c r="CA33" s="1"/>
      <c r="CB33" s="1"/>
      <c r="CC33" s="1" t="s">
        <v>2566</v>
      </c>
      <c r="CD33" s="1" t="s">
        <v>731</v>
      </c>
      <c r="CE33" s="1"/>
      <c r="CF33" s="1"/>
      <c r="CG33" s="1"/>
      <c r="CH33" s="1"/>
      <c r="CI33" s="1"/>
      <c r="CJ33" s="1" t="s">
        <v>167</v>
      </c>
      <c r="CK33" t="s">
        <v>1262</v>
      </c>
      <c r="CL33">
        <v>33</v>
      </c>
      <c r="CM33" t="s">
        <v>2641</v>
      </c>
    </row>
    <row r="34" spans="1:91" ht="19" customHeight="1">
      <c r="A34" s="1" t="s">
        <v>3160</v>
      </c>
      <c r="B34" s="1" t="s">
        <v>3093</v>
      </c>
      <c r="C34" s="1">
        <v>34</v>
      </c>
      <c r="D34" s="1" t="s">
        <v>770</v>
      </c>
      <c r="E34" s="1">
        <v>1984</v>
      </c>
      <c r="F34" s="1" t="s">
        <v>744</v>
      </c>
      <c r="G34" s="1" t="s">
        <v>2381</v>
      </c>
      <c r="H34" s="4">
        <v>37.026000000000003</v>
      </c>
      <c r="I34" s="4">
        <v>-121.48399999999999</v>
      </c>
      <c r="J34" s="1" t="s">
        <v>1396</v>
      </c>
      <c r="K34" s="1" t="s">
        <v>75</v>
      </c>
      <c r="L34" s="1" t="s">
        <v>3161</v>
      </c>
      <c r="M34" s="1" t="s">
        <v>3094</v>
      </c>
      <c r="N34" s="1"/>
      <c r="O34" s="1" t="s">
        <v>3095</v>
      </c>
      <c r="P34" s="1">
        <v>459</v>
      </c>
      <c r="Q34" s="4">
        <v>6.2</v>
      </c>
      <c r="R34" s="4">
        <v>1.23</v>
      </c>
      <c r="S34" s="4"/>
      <c r="T34" s="4">
        <v>37.299999999999997</v>
      </c>
      <c r="U34" s="4">
        <v>9.9</v>
      </c>
      <c r="V34" s="4"/>
      <c r="W34" s="4">
        <v>37.299999999999997</v>
      </c>
      <c r="X34" s="4">
        <v>78</v>
      </c>
      <c r="Y34" s="4">
        <v>70</v>
      </c>
      <c r="Z34" s="4">
        <v>1</v>
      </c>
      <c r="AA34" s="4">
        <v>1</v>
      </c>
      <c r="AB34" s="4" t="s">
        <v>730</v>
      </c>
      <c r="AC34" s="4">
        <v>0.2070141693843261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1"/>
      <c r="BJ34" s="1" t="s">
        <v>3162</v>
      </c>
      <c r="BK34" s="1">
        <v>1</v>
      </c>
      <c r="BL34" s="1"/>
      <c r="BM34" s="1" t="s">
        <v>345</v>
      </c>
      <c r="BN34" s="1" t="s">
        <v>2638</v>
      </c>
      <c r="BO34" s="1" t="s">
        <v>2639</v>
      </c>
      <c r="BP34" s="1">
        <v>6.19</v>
      </c>
      <c r="BQ34" s="1" t="s">
        <v>1003</v>
      </c>
      <c r="BR34" s="1">
        <v>37.305999999999997</v>
      </c>
      <c r="BS34" s="1">
        <v>-121.69499999999999</v>
      </c>
      <c r="BT34" s="1">
        <v>8.5</v>
      </c>
      <c r="BU34" s="1" t="s">
        <v>730</v>
      </c>
      <c r="BV34" s="1" t="s">
        <v>2571</v>
      </c>
      <c r="BW34" s="1">
        <v>148</v>
      </c>
      <c r="BX34" s="1">
        <v>90</v>
      </c>
      <c r="BY34" s="1">
        <v>180</v>
      </c>
      <c r="BZ34" s="1"/>
      <c r="CA34" s="1"/>
      <c r="CB34" s="1"/>
      <c r="CC34" s="1" t="s">
        <v>2566</v>
      </c>
      <c r="CD34" s="1" t="s">
        <v>731</v>
      </c>
      <c r="CE34" s="1"/>
      <c r="CF34" s="1"/>
      <c r="CG34" s="1"/>
      <c r="CH34" s="1"/>
      <c r="CI34" s="1"/>
      <c r="CJ34" s="1" t="s">
        <v>167</v>
      </c>
      <c r="CK34" t="s">
        <v>1262</v>
      </c>
      <c r="CL34">
        <v>34</v>
      </c>
      <c r="CM34" t="s">
        <v>2641</v>
      </c>
    </row>
    <row r="35" spans="1:91" ht="19" customHeight="1">
      <c r="A35" s="1" t="s">
        <v>3163</v>
      </c>
      <c r="B35" s="1" t="s">
        <v>3093</v>
      </c>
      <c r="C35" s="1">
        <v>35</v>
      </c>
      <c r="D35" s="1" t="s">
        <v>772</v>
      </c>
      <c r="E35" s="1">
        <v>1986</v>
      </c>
      <c r="F35" s="1" t="s">
        <v>773</v>
      </c>
      <c r="G35" s="1" t="s">
        <v>1402</v>
      </c>
      <c r="H35" s="4">
        <v>37.03</v>
      </c>
      <c r="I35" s="4">
        <v>22.12</v>
      </c>
      <c r="J35" s="1" t="s">
        <v>1396</v>
      </c>
      <c r="K35" s="1" t="s">
        <v>75</v>
      </c>
      <c r="L35" s="1" t="s">
        <v>1403</v>
      </c>
      <c r="M35" s="1" t="s">
        <v>3094</v>
      </c>
      <c r="N35" s="1"/>
      <c r="O35" s="1" t="s">
        <v>3095</v>
      </c>
      <c r="P35" s="1">
        <v>566</v>
      </c>
      <c r="Q35" s="4">
        <v>5.4</v>
      </c>
      <c r="R35" s="4">
        <v>0.79</v>
      </c>
      <c r="S35" s="4"/>
      <c r="T35" s="4">
        <v>27</v>
      </c>
      <c r="U35" s="4">
        <v>5.6</v>
      </c>
      <c r="V35" s="4"/>
      <c r="W35" s="4">
        <v>8.6999999999999993</v>
      </c>
      <c r="X35" s="4">
        <v>75</v>
      </c>
      <c r="Y35" s="4">
        <v>77</v>
      </c>
      <c r="Z35" s="4">
        <v>1</v>
      </c>
      <c r="AA35" s="4">
        <v>1</v>
      </c>
      <c r="AB35" s="4" t="s">
        <v>760</v>
      </c>
      <c r="AC35" s="4">
        <v>-0.2357223335210698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1"/>
      <c r="BJ35" s="1" t="s">
        <v>3164</v>
      </c>
      <c r="BK35" s="1">
        <v>1</v>
      </c>
      <c r="BL35" s="1"/>
      <c r="BM35" s="1" t="s">
        <v>352</v>
      </c>
      <c r="BN35" s="1" t="s">
        <v>2643</v>
      </c>
      <c r="BO35" s="1" t="s">
        <v>2644</v>
      </c>
      <c r="BP35" s="1">
        <v>5.4</v>
      </c>
      <c r="BQ35" s="1" t="s">
        <v>2645</v>
      </c>
      <c r="BR35" s="1">
        <v>37.08</v>
      </c>
      <c r="BS35" s="1">
        <v>22.07</v>
      </c>
      <c r="BT35" s="1">
        <v>5</v>
      </c>
      <c r="BU35" s="1" t="s">
        <v>760</v>
      </c>
      <c r="BV35" s="1" t="s">
        <v>2571</v>
      </c>
      <c r="BW35" s="1">
        <v>332.3</v>
      </c>
      <c r="BX35" s="1">
        <v>55</v>
      </c>
      <c r="BY35" s="1">
        <v>-90</v>
      </c>
      <c r="BZ35" s="1"/>
      <c r="CA35" s="1"/>
      <c r="CB35" s="1"/>
      <c r="CC35" s="1" t="s">
        <v>2566</v>
      </c>
      <c r="CD35" s="1" t="s">
        <v>731</v>
      </c>
      <c r="CE35" s="1"/>
      <c r="CF35" s="1"/>
      <c r="CG35" s="1"/>
      <c r="CH35" s="1"/>
      <c r="CI35" s="1"/>
      <c r="CJ35" s="1" t="s">
        <v>167</v>
      </c>
      <c r="CK35" t="s">
        <v>1262</v>
      </c>
      <c r="CL35">
        <v>35</v>
      </c>
      <c r="CM35" t="s">
        <v>2647</v>
      </c>
    </row>
    <row r="36" spans="1:91" ht="19" customHeight="1">
      <c r="A36" s="1" t="s">
        <v>3165</v>
      </c>
      <c r="B36" s="1" t="s">
        <v>3093</v>
      </c>
      <c r="C36" s="1">
        <v>36</v>
      </c>
      <c r="D36" s="1" t="s">
        <v>361</v>
      </c>
      <c r="E36" s="1">
        <v>1986</v>
      </c>
      <c r="F36" s="1" t="s">
        <v>774</v>
      </c>
      <c r="G36" s="1" t="s">
        <v>2423</v>
      </c>
      <c r="H36" s="4">
        <v>34.0486</v>
      </c>
      <c r="I36" s="4">
        <v>-116.5782</v>
      </c>
      <c r="J36" s="1" t="s">
        <v>1396</v>
      </c>
      <c r="K36" s="1" t="s">
        <v>75</v>
      </c>
      <c r="L36" s="1" t="s">
        <v>2424</v>
      </c>
      <c r="M36" s="1" t="s">
        <v>3094</v>
      </c>
      <c r="N36" s="1"/>
      <c r="O36" s="1" t="s">
        <v>3095</v>
      </c>
      <c r="P36" s="1">
        <v>527</v>
      </c>
      <c r="Q36" s="4">
        <v>6.1</v>
      </c>
      <c r="R36" s="4">
        <v>2.38</v>
      </c>
      <c r="S36" s="4"/>
      <c r="T36" s="4">
        <v>39.4</v>
      </c>
      <c r="U36" s="4">
        <v>12</v>
      </c>
      <c r="V36" s="4"/>
      <c r="W36" s="4">
        <v>12.6</v>
      </c>
      <c r="X36" s="4">
        <v>121</v>
      </c>
      <c r="Y36" s="4">
        <v>14</v>
      </c>
      <c r="Z36" s="4">
        <v>0</v>
      </c>
      <c r="AA36" s="4">
        <v>0</v>
      </c>
      <c r="AB36" s="4" t="s">
        <v>734</v>
      </c>
      <c r="AC36" s="4">
        <v>0.86710048768338333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1"/>
      <c r="BJ36" s="1" t="s">
        <v>3166</v>
      </c>
      <c r="BK36" s="1">
        <v>1</v>
      </c>
      <c r="BL36" s="1"/>
      <c r="BM36" s="1" t="s">
        <v>360</v>
      </c>
      <c r="BN36" s="1" t="s">
        <v>2649</v>
      </c>
      <c r="BO36" s="1" t="s">
        <v>2650</v>
      </c>
      <c r="BP36" s="1">
        <v>6.06</v>
      </c>
      <c r="BQ36" s="1" t="s">
        <v>1003</v>
      </c>
      <c r="BR36" s="1">
        <v>34</v>
      </c>
      <c r="BS36" s="1">
        <v>-116.6117</v>
      </c>
      <c r="BT36" s="1">
        <v>11</v>
      </c>
      <c r="BU36" s="1" t="s">
        <v>734</v>
      </c>
      <c r="BV36" s="1" t="s">
        <v>2571</v>
      </c>
      <c r="BW36" s="1">
        <v>287</v>
      </c>
      <c r="BX36" s="1">
        <v>46</v>
      </c>
      <c r="BY36" s="1">
        <v>150</v>
      </c>
      <c r="BZ36" s="1"/>
      <c r="CA36" s="1"/>
      <c r="CB36" s="1"/>
      <c r="CC36" s="1" t="s">
        <v>2566</v>
      </c>
      <c r="CD36" s="1" t="s">
        <v>731</v>
      </c>
      <c r="CE36" s="1"/>
      <c r="CF36" s="1"/>
      <c r="CG36" s="1"/>
      <c r="CH36" s="1"/>
      <c r="CI36" s="1"/>
      <c r="CJ36" s="1" t="s">
        <v>167</v>
      </c>
      <c r="CK36" t="s">
        <v>1262</v>
      </c>
      <c r="CL36">
        <v>36</v>
      </c>
      <c r="CM36" t="s">
        <v>2653</v>
      </c>
    </row>
    <row r="37" spans="1:91" ht="19" customHeight="1">
      <c r="A37" s="1" t="s">
        <v>3167</v>
      </c>
      <c r="B37" s="1" t="s">
        <v>3093</v>
      </c>
      <c r="C37" s="1">
        <v>37</v>
      </c>
      <c r="D37" s="1" t="s">
        <v>374</v>
      </c>
      <c r="E37" s="1">
        <v>1986</v>
      </c>
      <c r="F37" s="1" t="s">
        <v>775</v>
      </c>
      <c r="G37" s="1" t="s">
        <v>2018</v>
      </c>
      <c r="H37" s="4">
        <v>24.6738</v>
      </c>
      <c r="I37" s="4">
        <v>121.7646</v>
      </c>
      <c r="J37" s="1" t="s">
        <v>1396</v>
      </c>
      <c r="K37" s="1" t="s">
        <v>75</v>
      </c>
      <c r="L37" s="1" t="s">
        <v>2019</v>
      </c>
      <c r="M37" s="1" t="s">
        <v>3094</v>
      </c>
      <c r="N37" s="1"/>
      <c r="O37" s="1" t="s">
        <v>3095</v>
      </c>
      <c r="P37" s="1">
        <v>503</v>
      </c>
      <c r="Q37" s="4">
        <v>6.3</v>
      </c>
      <c r="R37" s="4">
        <v>1.57</v>
      </c>
      <c r="S37" s="4"/>
      <c r="T37" s="4">
        <v>34.799999999999997</v>
      </c>
      <c r="U37" s="4">
        <v>59.9</v>
      </c>
      <c r="V37" s="4"/>
      <c r="W37" s="4">
        <v>70</v>
      </c>
      <c r="X37" s="4">
        <v>117</v>
      </c>
      <c r="Y37" s="4">
        <v>74</v>
      </c>
      <c r="Z37" s="4">
        <v>1</v>
      </c>
      <c r="AA37" s="4">
        <v>0</v>
      </c>
      <c r="AB37" s="4" t="s">
        <v>734</v>
      </c>
      <c r="AC37" s="4">
        <v>0.45107561936021667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1"/>
      <c r="BJ37" s="1" t="s">
        <v>3168</v>
      </c>
      <c r="BK37" s="1">
        <v>1</v>
      </c>
      <c r="BL37" s="1"/>
      <c r="BM37" s="1" t="s">
        <v>373</v>
      </c>
      <c r="BN37" s="1" t="s">
        <v>2655</v>
      </c>
      <c r="BO37" s="1" t="s">
        <v>2656</v>
      </c>
      <c r="BP37" s="1">
        <v>6.32</v>
      </c>
      <c r="BQ37" s="1" t="s">
        <v>1003</v>
      </c>
      <c r="BR37" s="1">
        <v>24.081700000000001</v>
      </c>
      <c r="BS37" s="1">
        <v>121.5915</v>
      </c>
      <c r="BT37" s="1">
        <v>15.8</v>
      </c>
      <c r="BU37" s="1" t="s">
        <v>734</v>
      </c>
      <c r="BV37" s="1" t="s">
        <v>2571</v>
      </c>
      <c r="BW37" s="1">
        <v>43</v>
      </c>
      <c r="BX37" s="1">
        <v>57</v>
      </c>
      <c r="BY37" s="1">
        <v>100</v>
      </c>
      <c r="BZ37" s="1"/>
      <c r="CA37" s="1"/>
      <c r="CB37" s="1"/>
      <c r="CC37" s="1" t="s">
        <v>2566</v>
      </c>
      <c r="CD37" s="1" t="s">
        <v>731</v>
      </c>
      <c r="CE37" s="1"/>
      <c r="CF37" s="1"/>
      <c r="CG37" s="1"/>
      <c r="CH37" s="1"/>
      <c r="CI37" s="1"/>
      <c r="CJ37" s="1" t="s">
        <v>167</v>
      </c>
      <c r="CK37" t="s">
        <v>1262</v>
      </c>
      <c r="CL37">
        <v>37</v>
      </c>
      <c r="CM37" t="s">
        <v>2658</v>
      </c>
    </row>
    <row r="38" spans="1:91" ht="19" customHeight="1">
      <c r="A38" s="1" t="s">
        <v>3169</v>
      </c>
      <c r="B38" s="1" t="s">
        <v>3093</v>
      </c>
      <c r="C38" s="1">
        <v>38</v>
      </c>
      <c r="D38" s="1" t="s">
        <v>374</v>
      </c>
      <c r="E38" s="1">
        <v>1986</v>
      </c>
      <c r="F38" s="1" t="s">
        <v>776</v>
      </c>
      <c r="G38" s="1" t="s">
        <v>2020</v>
      </c>
      <c r="H38" s="4">
        <v>24.648700000000002</v>
      </c>
      <c r="I38" s="4">
        <v>121.76439999999999</v>
      </c>
      <c r="J38" s="1" t="s">
        <v>1396</v>
      </c>
      <c r="K38" s="1" t="s">
        <v>75</v>
      </c>
      <c r="L38" s="1" t="s">
        <v>2021</v>
      </c>
      <c r="M38" s="1" t="s">
        <v>3094</v>
      </c>
      <c r="N38" s="1"/>
      <c r="O38" s="1" t="s">
        <v>3095</v>
      </c>
      <c r="P38" s="1">
        <v>504</v>
      </c>
      <c r="Q38" s="4">
        <v>6.3</v>
      </c>
      <c r="R38" s="4">
        <v>1.39</v>
      </c>
      <c r="S38" s="4"/>
      <c r="T38" s="4">
        <v>36.9</v>
      </c>
      <c r="U38" s="4">
        <v>57.3</v>
      </c>
      <c r="V38" s="4"/>
      <c r="W38" s="4">
        <v>67.400000000000006</v>
      </c>
      <c r="X38" s="4">
        <v>104</v>
      </c>
      <c r="Y38" s="4">
        <v>61</v>
      </c>
      <c r="Z38" s="4">
        <v>1</v>
      </c>
      <c r="AA38" s="4">
        <v>0</v>
      </c>
      <c r="AB38" s="4" t="s">
        <v>734</v>
      </c>
      <c r="AC38" s="4">
        <v>0.3293037471426003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1"/>
      <c r="BJ38" s="1" t="s">
        <v>3170</v>
      </c>
      <c r="BK38" s="1">
        <v>1</v>
      </c>
      <c r="BL38" s="1"/>
      <c r="BM38" s="1" t="s">
        <v>373</v>
      </c>
      <c r="BN38" s="1" t="s">
        <v>2655</v>
      </c>
      <c r="BO38" s="1" t="s">
        <v>2656</v>
      </c>
      <c r="BP38" s="1">
        <v>6.32</v>
      </c>
      <c r="BQ38" s="1" t="s">
        <v>1003</v>
      </c>
      <c r="BR38" s="1">
        <v>24.081700000000001</v>
      </c>
      <c r="BS38" s="1">
        <v>121.5915</v>
      </c>
      <c r="BT38" s="1">
        <v>15.8</v>
      </c>
      <c r="BU38" s="1" t="s">
        <v>734</v>
      </c>
      <c r="BV38" s="1" t="s">
        <v>2571</v>
      </c>
      <c r="BW38" s="1">
        <v>43</v>
      </c>
      <c r="BX38" s="1">
        <v>57</v>
      </c>
      <c r="BY38" s="1">
        <v>100</v>
      </c>
      <c r="BZ38" s="1"/>
      <c r="CA38" s="1"/>
      <c r="CB38" s="1"/>
      <c r="CC38" s="1" t="s">
        <v>2566</v>
      </c>
      <c r="CD38" s="1" t="s">
        <v>731</v>
      </c>
      <c r="CE38" s="1"/>
      <c r="CF38" s="1"/>
      <c r="CG38" s="1"/>
      <c r="CH38" s="1"/>
      <c r="CI38" s="1"/>
      <c r="CJ38" s="1" t="s">
        <v>167</v>
      </c>
      <c r="CK38" t="s">
        <v>1262</v>
      </c>
      <c r="CL38">
        <v>38</v>
      </c>
      <c r="CM38" t="s">
        <v>2658</v>
      </c>
    </row>
    <row r="39" spans="1:91" ht="19" customHeight="1">
      <c r="A39" s="1" t="s">
        <v>3171</v>
      </c>
      <c r="B39" s="1" t="s">
        <v>3093</v>
      </c>
      <c r="C39" s="1">
        <v>39</v>
      </c>
      <c r="D39" s="1" t="s">
        <v>374</v>
      </c>
      <c r="E39" s="1">
        <v>1986</v>
      </c>
      <c r="F39" s="1" t="s">
        <v>777</v>
      </c>
      <c r="G39" s="1" t="s">
        <v>2022</v>
      </c>
      <c r="H39" s="4">
        <v>24.6755</v>
      </c>
      <c r="I39" s="4">
        <v>121.765</v>
      </c>
      <c r="J39" s="1" t="s">
        <v>1396</v>
      </c>
      <c r="K39" s="1" t="s">
        <v>75</v>
      </c>
      <c r="L39" s="1" t="s">
        <v>2023</v>
      </c>
      <c r="M39" s="1" t="s">
        <v>3094</v>
      </c>
      <c r="N39" s="1"/>
      <c r="O39" s="1" t="s">
        <v>3095</v>
      </c>
      <c r="P39" s="1">
        <v>505</v>
      </c>
      <c r="Q39" s="4">
        <v>6.3</v>
      </c>
      <c r="R39" s="4">
        <v>1.57</v>
      </c>
      <c r="S39" s="4"/>
      <c r="T39" s="4">
        <v>32.9</v>
      </c>
      <c r="U39" s="4">
        <v>60.1</v>
      </c>
      <c r="V39" s="4"/>
      <c r="W39" s="4">
        <v>70.2</v>
      </c>
      <c r="X39" s="4">
        <v>113</v>
      </c>
      <c r="Y39" s="4">
        <v>70</v>
      </c>
      <c r="Z39" s="4">
        <v>1</v>
      </c>
      <c r="AA39" s="4">
        <v>0</v>
      </c>
      <c r="AB39" s="4" t="s">
        <v>734</v>
      </c>
      <c r="AC39" s="4">
        <v>0.45107561936021667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1"/>
      <c r="BJ39" s="1" t="s">
        <v>3172</v>
      </c>
      <c r="BK39" s="1">
        <v>1</v>
      </c>
      <c r="BL39" s="1"/>
      <c r="BM39" s="1" t="s">
        <v>373</v>
      </c>
      <c r="BN39" s="1" t="s">
        <v>2655</v>
      </c>
      <c r="BO39" s="1" t="s">
        <v>2656</v>
      </c>
      <c r="BP39" s="1">
        <v>6.32</v>
      </c>
      <c r="BQ39" s="1" t="s">
        <v>1003</v>
      </c>
      <c r="BR39" s="1">
        <v>24.081700000000001</v>
      </c>
      <c r="BS39" s="1">
        <v>121.5915</v>
      </c>
      <c r="BT39" s="1">
        <v>15.8</v>
      </c>
      <c r="BU39" s="1" t="s">
        <v>734</v>
      </c>
      <c r="BV39" s="1" t="s">
        <v>2571</v>
      </c>
      <c r="BW39" s="1">
        <v>43</v>
      </c>
      <c r="BX39" s="1">
        <v>57</v>
      </c>
      <c r="BY39" s="1">
        <v>100</v>
      </c>
      <c r="BZ39" s="1"/>
      <c r="CA39" s="1"/>
      <c r="CB39" s="1"/>
      <c r="CC39" s="1" t="s">
        <v>2566</v>
      </c>
      <c r="CD39" s="1" t="s">
        <v>731</v>
      </c>
      <c r="CE39" s="1"/>
      <c r="CF39" s="1"/>
      <c r="CG39" s="1"/>
      <c r="CH39" s="1"/>
      <c r="CI39" s="1"/>
      <c r="CJ39" s="1" t="s">
        <v>167</v>
      </c>
      <c r="CK39" t="s">
        <v>1262</v>
      </c>
      <c r="CL39">
        <v>39</v>
      </c>
      <c r="CM39" t="s">
        <v>2658</v>
      </c>
    </row>
    <row r="40" spans="1:91" ht="19" customHeight="1">
      <c r="A40" s="1" t="s">
        <v>3173</v>
      </c>
      <c r="B40" s="1" t="s">
        <v>3093</v>
      </c>
      <c r="C40" s="1">
        <v>40</v>
      </c>
      <c r="D40" s="1" t="s">
        <v>374</v>
      </c>
      <c r="E40" s="1">
        <v>1986</v>
      </c>
      <c r="F40" s="1" t="s">
        <v>778</v>
      </c>
      <c r="G40" s="1" t="s">
        <v>2034</v>
      </c>
      <c r="H40" s="4">
        <v>24.672000000000001</v>
      </c>
      <c r="I40" s="4">
        <v>121.7642</v>
      </c>
      <c r="J40" s="1" t="s">
        <v>1396</v>
      </c>
      <c r="K40" s="1" t="s">
        <v>75</v>
      </c>
      <c r="L40" s="1" t="s">
        <v>2035</v>
      </c>
      <c r="M40" s="1" t="s">
        <v>3094</v>
      </c>
      <c r="N40" s="1"/>
      <c r="O40" s="1" t="s">
        <v>3095</v>
      </c>
      <c r="P40" s="1">
        <v>506</v>
      </c>
      <c r="Q40" s="4">
        <v>6.3</v>
      </c>
      <c r="R40" s="4">
        <v>1.67</v>
      </c>
      <c r="S40" s="4"/>
      <c r="T40" s="4">
        <v>34</v>
      </c>
      <c r="U40" s="4">
        <v>59.7</v>
      </c>
      <c r="V40" s="4"/>
      <c r="W40" s="4">
        <v>69.8</v>
      </c>
      <c r="X40" s="4">
        <v>113</v>
      </c>
      <c r="Y40" s="4">
        <v>70</v>
      </c>
      <c r="Z40" s="4">
        <v>1</v>
      </c>
      <c r="AA40" s="4">
        <v>0</v>
      </c>
      <c r="AB40" s="4" t="s">
        <v>734</v>
      </c>
      <c r="AC40" s="4">
        <v>0.51282362642866375</v>
      </c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1"/>
      <c r="BJ40" s="1" t="s">
        <v>3174</v>
      </c>
      <c r="BK40" s="1">
        <v>1</v>
      </c>
      <c r="BL40" s="1"/>
      <c r="BM40" s="1" t="s">
        <v>373</v>
      </c>
      <c r="BN40" s="1" t="s">
        <v>2655</v>
      </c>
      <c r="BO40" s="1" t="s">
        <v>2656</v>
      </c>
      <c r="BP40" s="1">
        <v>6.32</v>
      </c>
      <c r="BQ40" s="1" t="s">
        <v>1003</v>
      </c>
      <c r="BR40" s="1">
        <v>24.081700000000001</v>
      </c>
      <c r="BS40" s="1">
        <v>121.5915</v>
      </c>
      <c r="BT40" s="1">
        <v>15.8</v>
      </c>
      <c r="BU40" s="1" t="s">
        <v>734</v>
      </c>
      <c r="BV40" s="1" t="s">
        <v>2571</v>
      </c>
      <c r="BW40" s="1">
        <v>43</v>
      </c>
      <c r="BX40" s="1">
        <v>57</v>
      </c>
      <c r="BY40" s="1">
        <v>100</v>
      </c>
      <c r="BZ40" s="1"/>
      <c r="CA40" s="1"/>
      <c r="CB40" s="1"/>
      <c r="CC40" s="1" t="s">
        <v>2566</v>
      </c>
      <c r="CD40" s="1" t="s">
        <v>731</v>
      </c>
      <c r="CE40" s="1"/>
      <c r="CF40" s="1"/>
      <c r="CG40" s="1"/>
      <c r="CH40" s="1"/>
      <c r="CI40" s="1"/>
      <c r="CJ40" s="1" t="s">
        <v>167</v>
      </c>
      <c r="CK40" t="s">
        <v>1262</v>
      </c>
      <c r="CL40">
        <v>40</v>
      </c>
      <c r="CM40" t="s">
        <v>2658</v>
      </c>
    </row>
    <row r="41" spans="1:91" ht="19" customHeight="1">
      <c r="A41" s="1" t="s">
        <v>3175</v>
      </c>
      <c r="B41" s="1" t="s">
        <v>3093</v>
      </c>
      <c r="C41" s="1">
        <v>41</v>
      </c>
      <c r="D41" s="1" t="s">
        <v>374</v>
      </c>
      <c r="E41" s="1">
        <v>1986</v>
      </c>
      <c r="F41" s="1" t="s">
        <v>779</v>
      </c>
      <c r="G41" s="1" t="s">
        <v>2044</v>
      </c>
      <c r="H41" s="4">
        <v>24.682200000000002</v>
      </c>
      <c r="I41" s="4">
        <v>121.7666</v>
      </c>
      <c r="J41" s="1" t="s">
        <v>1396</v>
      </c>
      <c r="K41" s="1" t="s">
        <v>75</v>
      </c>
      <c r="L41" s="1" t="s">
        <v>2045</v>
      </c>
      <c r="M41" s="1" t="s">
        <v>3094</v>
      </c>
      <c r="N41" s="1"/>
      <c r="O41" s="1" t="s">
        <v>3095</v>
      </c>
      <c r="P41" s="1">
        <v>507</v>
      </c>
      <c r="Q41" s="4">
        <v>6.3</v>
      </c>
      <c r="R41" s="4">
        <v>1.39</v>
      </c>
      <c r="S41" s="4"/>
      <c r="T41" s="4">
        <v>26.1</v>
      </c>
      <c r="U41" s="4">
        <v>60.9</v>
      </c>
      <c r="V41" s="4"/>
      <c r="W41" s="4">
        <v>70.900000000000006</v>
      </c>
      <c r="X41" s="4">
        <v>111</v>
      </c>
      <c r="Y41" s="4">
        <v>68</v>
      </c>
      <c r="Z41" s="4">
        <v>0</v>
      </c>
      <c r="AA41" s="4">
        <v>0</v>
      </c>
      <c r="AB41" s="4" t="s">
        <v>734</v>
      </c>
      <c r="AC41" s="4">
        <v>0.3293037471426003</v>
      </c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1"/>
      <c r="BJ41" s="1" t="s">
        <v>3176</v>
      </c>
      <c r="BK41" s="1">
        <v>1</v>
      </c>
      <c r="BL41" s="1"/>
      <c r="BM41" s="1" t="s">
        <v>373</v>
      </c>
      <c r="BN41" s="1" t="s">
        <v>2655</v>
      </c>
      <c r="BO41" s="1" t="s">
        <v>2656</v>
      </c>
      <c r="BP41" s="1">
        <v>6.32</v>
      </c>
      <c r="BQ41" s="1" t="s">
        <v>1003</v>
      </c>
      <c r="BR41" s="1">
        <v>24.081700000000001</v>
      </c>
      <c r="BS41" s="1">
        <v>121.5915</v>
      </c>
      <c r="BT41" s="1">
        <v>15.8</v>
      </c>
      <c r="BU41" s="1" t="s">
        <v>734</v>
      </c>
      <c r="BV41" s="1" t="s">
        <v>2571</v>
      </c>
      <c r="BW41" s="1">
        <v>43</v>
      </c>
      <c r="BX41" s="1">
        <v>57</v>
      </c>
      <c r="BY41" s="1">
        <v>100</v>
      </c>
      <c r="BZ41" s="1"/>
      <c r="CA41" s="1"/>
      <c r="CB41" s="1"/>
      <c r="CC41" s="1" t="s">
        <v>2566</v>
      </c>
      <c r="CD41" s="1" t="s">
        <v>731</v>
      </c>
      <c r="CE41" s="1"/>
      <c r="CF41" s="1"/>
      <c r="CG41" s="1"/>
      <c r="CH41" s="1"/>
      <c r="CI41" s="1"/>
      <c r="CJ41" s="1" t="s">
        <v>167</v>
      </c>
      <c r="CK41" t="s">
        <v>1262</v>
      </c>
      <c r="CL41">
        <v>41</v>
      </c>
      <c r="CM41" t="s">
        <v>2658</v>
      </c>
    </row>
    <row r="42" spans="1:91" ht="19" customHeight="1">
      <c r="A42" s="1" t="s">
        <v>3177</v>
      </c>
      <c r="B42" s="1" t="s">
        <v>3093</v>
      </c>
      <c r="C42" s="1">
        <v>42</v>
      </c>
      <c r="D42" s="1" t="s">
        <v>374</v>
      </c>
      <c r="E42" s="1">
        <v>1986</v>
      </c>
      <c r="F42" s="1" t="s">
        <v>780</v>
      </c>
      <c r="G42" s="1" t="s">
        <v>2056</v>
      </c>
      <c r="H42" s="4">
        <v>24.664899999999999</v>
      </c>
      <c r="I42" s="4">
        <v>121.762</v>
      </c>
      <c r="J42" s="1" t="s">
        <v>1396</v>
      </c>
      <c r="K42" s="1" t="s">
        <v>75</v>
      </c>
      <c r="L42" s="1" t="s">
        <v>2057</v>
      </c>
      <c r="M42" s="1" t="s">
        <v>3094</v>
      </c>
      <c r="N42" s="1"/>
      <c r="O42" s="1" t="s">
        <v>3095</v>
      </c>
      <c r="P42" s="1">
        <v>508</v>
      </c>
      <c r="Q42" s="4">
        <v>6.3</v>
      </c>
      <c r="R42" s="4">
        <v>1.54</v>
      </c>
      <c r="S42" s="4"/>
      <c r="T42" s="4">
        <v>40.4</v>
      </c>
      <c r="U42" s="4">
        <v>58.9</v>
      </c>
      <c r="V42" s="4"/>
      <c r="W42" s="4">
        <v>69</v>
      </c>
      <c r="X42" s="4">
        <v>114</v>
      </c>
      <c r="Y42" s="4">
        <v>71</v>
      </c>
      <c r="Z42" s="4">
        <v>1</v>
      </c>
      <c r="AA42" s="4">
        <v>0</v>
      </c>
      <c r="AB42" s="4" t="s">
        <v>734</v>
      </c>
      <c r="AC42" s="4">
        <v>0.43178241642553777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1"/>
      <c r="BJ42" s="1" t="s">
        <v>3178</v>
      </c>
      <c r="BK42" s="1">
        <v>1</v>
      </c>
      <c r="BL42" s="1"/>
      <c r="BM42" s="1" t="s">
        <v>373</v>
      </c>
      <c r="BN42" s="1" t="s">
        <v>2655</v>
      </c>
      <c r="BO42" s="1" t="s">
        <v>2656</v>
      </c>
      <c r="BP42" s="1">
        <v>6.32</v>
      </c>
      <c r="BQ42" s="1" t="s">
        <v>1003</v>
      </c>
      <c r="BR42" s="1">
        <v>24.081700000000001</v>
      </c>
      <c r="BS42" s="1">
        <v>121.5915</v>
      </c>
      <c r="BT42" s="1">
        <v>15.8</v>
      </c>
      <c r="BU42" s="1" t="s">
        <v>734</v>
      </c>
      <c r="BV42" s="1" t="s">
        <v>2571</v>
      </c>
      <c r="BW42" s="1">
        <v>43</v>
      </c>
      <c r="BX42" s="1">
        <v>57</v>
      </c>
      <c r="BY42" s="1">
        <v>100</v>
      </c>
      <c r="BZ42" s="1"/>
      <c r="CA42" s="1"/>
      <c r="CB42" s="1"/>
      <c r="CC42" s="1" t="s">
        <v>2566</v>
      </c>
      <c r="CD42" s="1" t="s">
        <v>731</v>
      </c>
      <c r="CE42" s="1"/>
      <c r="CF42" s="1"/>
      <c r="CG42" s="1"/>
      <c r="CH42" s="1"/>
      <c r="CI42" s="1"/>
      <c r="CJ42" s="1" t="s">
        <v>167</v>
      </c>
      <c r="CK42" t="s">
        <v>1262</v>
      </c>
      <c r="CL42">
        <v>42</v>
      </c>
      <c r="CM42" t="s">
        <v>2658</v>
      </c>
    </row>
    <row r="43" spans="1:91" ht="19" customHeight="1">
      <c r="A43" s="1" t="s">
        <v>3179</v>
      </c>
      <c r="B43" s="1" t="s">
        <v>3093</v>
      </c>
      <c r="C43" s="1">
        <v>43</v>
      </c>
      <c r="D43" s="1" t="s">
        <v>374</v>
      </c>
      <c r="E43" s="1">
        <v>1986</v>
      </c>
      <c r="F43" s="1" t="s">
        <v>781</v>
      </c>
      <c r="G43" s="1" t="s">
        <v>2070</v>
      </c>
      <c r="H43" s="4">
        <v>24.656099999999999</v>
      </c>
      <c r="I43" s="4">
        <v>121.7621</v>
      </c>
      <c r="J43" s="1" t="s">
        <v>1396</v>
      </c>
      <c r="K43" s="1" t="s">
        <v>75</v>
      </c>
      <c r="L43" s="1" t="s">
        <v>2071</v>
      </c>
      <c r="M43" s="1" t="s">
        <v>3094</v>
      </c>
      <c r="N43" s="1"/>
      <c r="O43" s="1" t="s">
        <v>3095</v>
      </c>
      <c r="P43" s="1">
        <v>510</v>
      </c>
      <c r="Q43" s="4">
        <v>6.3</v>
      </c>
      <c r="R43" s="4">
        <v>1.53</v>
      </c>
      <c r="S43" s="4"/>
      <c r="T43" s="4">
        <v>28.7</v>
      </c>
      <c r="U43" s="4">
        <v>58</v>
      </c>
      <c r="V43" s="4"/>
      <c r="W43" s="4">
        <v>68.099999999999994</v>
      </c>
      <c r="X43" s="4">
        <v>106</v>
      </c>
      <c r="Y43" s="4">
        <v>63</v>
      </c>
      <c r="Z43" s="4">
        <v>1</v>
      </c>
      <c r="AA43" s="4">
        <v>0</v>
      </c>
      <c r="AB43" s="4" t="s">
        <v>734</v>
      </c>
      <c r="AC43" s="4">
        <v>0.42526773540434409</v>
      </c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1"/>
      <c r="BJ43" s="1" t="s">
        <v>3180</v>
      </c>
      <c r="BK43" s="1">
        <v>1</v>
      </c>
      <c r="BL43" s="1"/>
      <c r="BM43" s="1" t="s">
        <v>373</v>
      </c>
      <c r="BN43" s="1" t="s">
        <v>2655</v>
      </c>
      <c r="BO43" s="1" t="s">
        <v>2656</v>
      </c>
      <c r="BP43" s="1">
        <v>6.32</v>
      </c>
      <c r="BQ43" s="1" t="s">
        <v>1003</v>
      </c>
      <c r="BR43" s="1">
        <v>24.081700000000001</v>
      </c>
      <c r="BS43" s="1">
        <v>121.5915</v>
      </c>
      <c r="BT43" s="1">
        <v>15.8</v>
      </c>
      <c r="BU43" s="1" t="s">
        <v>734</v>
      </c>
      <c r="BV43" s="1" t="s">
        <v>2571</v>
      </c>
      <c r="BW43" s="1">
        <v>43</v>
      </c>
      <c r="BX43" s="1">
        <v>57</v>
      </c>
      <c r="BY43" s="1">
        <v>100</v>
      </c>
      <c r="BZ43" s="1"/>
      <c r="CA43" s="1"/>
      <c r="CB43" s="1"/>
      <c r="CC43" s="1" t="s">
        <v>2566</v>
      </c>
      <c r="CD43" s="1" t="s">
        <v>731</v>
      </c>
      <c r="CE43" s="1"/>
      <c r="CF43" s="1"/>
      <c r="CG43" s="1"/>
      <c r="CH43" s="1"/>
      <c r="CI43" s="1"/>
      <c r="CJ43" s="1" t="s">
        <v>167</v>
      </c>
      <c r="CK43" t="s">
        <v>1262</v>
      </c>
      <c r="CL43">
        <v>43</v>
      </c>
      <c r="CM43" t="s">
        <v>2658</v>
      </c>
    </row>
    <row r="44" spans="1:91" ht="19" customHeight="1">
      <c r="A44" s="1" t="s">
        <v>3181</v>
      </c>
      <c r="B44" s="1" t="s">
        <v>3093</v>
      </c>
      <c r="C44" s="1">
        <v>44</v>
      </c>
      <c r="D44" s="1" t="s">
        <v>374</v>
      </c>
      <c r="E44" s="1">
        <v>1986</v>
      </c>
      <c r="F44" s="1" t="s">
        <v>782</v>
      </c>
      <c r="G44" s="1" t="s">
        <v>2024</v>
      </c>
      <c r="H44" s="4">
        <v>24.675000000000001</v>
      </c>
      <c r="I44" s="4">
        <v>121.76609999999999</v>
      </c>
      <c r="J44" s="1" t="s">
        <v>1396</v>
      </c>
      <c r="K44" s="1" t="s">
        <v>75</v>
      </c>
      <c r="L44" s="1" t="s">
        <v>2025</v>
      </c>
      <c r="M44" s="1" t="s">
        <v>3094</v>
      </c>
      <c r="N44" s="1"/>
      <c r="O44" s="1" t="s">
        <v>3095</v>
      </c>
      <c r="P44" s="1">
        <v>3634</v>
      </c>
      <c r="Q44" s="4">
        <v>6.3</v>
      </c>
      <c r="R44" s="4">
        <v>1.67</v>
      </c>
      <c r="S44" s="4"/>
      <c r="T44" s="4">
        <v>38.9</v>
      </c>
      <c r="U44" s="4">
        <v>60.1</v>
      </c>
      <c r="V44" s="4"/>
      <c r="W44" s="4">
        <v>70.2</v>
      </c>
      <c r="X44" s="4">
        <v>120</v>
      </c>
      <c r="Y44" s="4">
        <v>77</v>
      </c>
      <c r="Z44" s="4">
        <v>1</v>
      </c>
      <c r="AA44" s="4">
        <v>0</v>
      </c>
      <c r="AB44" s="4" t="s">
        <v>734</v>
      </c>
      <c r="AC44" s="4">
        <v>0.51282362642866375</v>
      </c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1"/>
      <c r="BJ44" s="1" t="s">
        <v>3182</v>
      </c>
      <c r="BK44" s="1">
        <v>1</v>
      </c>
      <c r="BL44" s="1"/>
      <c r="BM44" s="1" t="s">
        <v>373</v>
      </c>
      <c r="BN44" s="1" t="s">
        <v>2655</v>
      </c>
      <c r="BO44" s="1" t="s">
        <v>2656</v>
      </c>
      <c r="BP44" s="1">
        <v>6.32</v>
      </c>
      <c r="BQ44" s="1" t="s">
        <v>1003</v>
      </c>
      <c r="BR44" s="1">
        <v>24.081700000000001</v>
      </c>
      <c r="BS44" s="1">
        <v>121.5915</v>
      </c>
      <c r="BT44" s="1">
        <v>15.8</v>
      </c>
      <c r="BU44" s="1" t="s">
        <v>734</v>
      </c>
      <c r="BV44" s="1" t="s">
        <v>2571</v>
      </c>
      <c r="BW44" s="1">
        <v>43</v>
      </c>
      <c r="BX44" s="1">
        <v>57</v>
      </c>
      <c r="BY44" s="1">
        <v>100</v>
      </c>
      <c r="BZ44" s="1"/>
      <c r="CA44" s="1"/>
      <c r="CB44" s="1"/>
      <c r="CC44" s="1" t="s">
        <v>2566</v>
      </c>
      <c r="CD44" s="1" t="s">
        <v>731</v>
      </c>
      <c r="CE44" s="1"/>
      <c r="CF44" s="1"/>
      <c r="CG44" s="1"/>
      <c r="CH44" s="1"/>
      <c r="CI44" s="1"/>
      <c r="CJ44" s="1" t="s">
        <v>167</v>
      </c>
      <c r="CK44" t="s">
        <v>1262</v>
      </c>
      <c r="CL44">
        <v>44</v>
      </c>
      <c r="CM44" t="s">
        <v>2658</v>
      </c>
    </row>
    <row r="45" spans="1:91" ht="19" customHeight="1">
      <c r="A45" s="1" t="s">
        <v>3183</v>
      </c>
      <c r="B45" s="1" t="s">
        <v>3093</v>
      </c>
      <c r="C45" s="1">
        <v>45</v>
      </c>
      <c r="D45" s="1" t="s">
        <v>374</v>
      </c>
      <c r="E45" s="1">
        <v>1986</v>
      </c>
      <c r="F45" s="1" t="s">
        <v>783</v>
      </c>
      <c r="G45" s="1" t="s">
        <v>2026</v>
      </c>
      <c r="H45" s="4">
        <v>24.674399999999999</v>
      </c>
      <c r="I45" s="4">
        <v>121.7667</v>
      </c>
      <c r="J45" s="1" t="s">
        <v>1396</v>
      </c>
      <c r="K45" s="1" t="s">
        <v>75</v>
      </c>
      <c r="L45" s="1" t="s">
        <v>2027</v>
      </c>
      <c r="M45" s="1" t="s">
        <v>3094</v>
      </c>
      <c r="N45" s="1"/>
      <c r="O45" s="1" t="s">
        <v>3095</v>
      </c>
      <c r="P45" s="1">
        <v>3635</v>
      </c>
      <c r="Q45" s="4">
        <v>6.3</v>
      </c>
      <c r="R45" s="4">
        <v>1.67</v>
      </c>
      <c r="S45" s="4"/>
      <c r="T45" s="4">
        <v>35.6</v>
      </c>
      <c r="U45" s="4">
        <v>60</v>
      </c>
      <c r="V45" s="4"/>
      <c r="W45" s="4">
        <v>70.099999999999994</v>
      </c>
      <c r="X45" s="4">
        <v>116</v>
      </c>
      <c r="Y45" s="4">
        <v>73</v>
      </c>
      <c r="Z45" s="4">
        <v>1</v>
      </c>
      <c r="AA45" s="4">
        <v>0</v>
      </c>
      <c r="AB45" s="4" t="s">
        <v>734</v>
      </c>
      <c r="AC45" s="4">
        <v>0.51282362642866375</v>
      </c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1"/>
      <c r="BJ45" s="1" t="s">
        <v>3184</v>
      </c>
      <c r="BK45" s="1">
        <v>1</v>
      </c>
      <c r="BL45" s="1"/>
      <c r="BM45" s="1" t="s">
        <v>373</v>
      </c>
      <c r="BN45" s="1" t="s">
        <v>2655</v>
      </c>
      <c r="BO45" s="1" t="s">
        <v>2656</v>
      </c>
      <c r="BP45" s="1">
        <v>6.32</v>
      </c>
      <c r="BQ45" s="1" t="s">
        <v>1003</v>
      </c>
      <c r="BR45" s="1">
        <v>24.081700000000001</v>
      </c>
      <c r="BS45" s="1">
        <v>121.5915</v>
      </c>
      <c r="BT45" s="1">
        <v>15.8</v>
      </c>
      <c r="BU45" s="1" t="s">
        <v>734</v>
      </c>
      <c r="BV45" s="1" t="s">
        <v>2571</v>
      </c>
      <c r="BW45" s="1">
        <v>43</v>
      </c>
      <c r="BX45" s="1">
        <v>57</v>
      </c>
      <c r="BY45" s="1">
        <v>100</v>
      </c>
      <c r="BZ45" s="1"/>
      <c r="CA45" s="1"/>
      <c r="CB45" s="1"/>
      <c r="CC45" s="1" t="s">
        <v>2566</v>
      </c>
      <c r="CD45" s="1" t="s">
        <v>731</v>
      </c>
      <c r="CE45" s="1"/>
      <c r="CF45" s="1"/>
      <c r="CG45" s="1"/>
      <c r="CH45" s="1"/>
      <c r="CI45" s="1"/>
      <c r="CJ45" s="1" t="s">
        <v>167</v>
      </c>
      <c r="CK45" t="s">
        <v>1262</v>
      </c>
      <c r="CL45">
        <v>45</v>
      </c>
      <c r="CM45" t="s">
        <v>2658</v>
      </c>
    </row>
    <row r="46" spans="1:91" ht="19" customHeight="1">
      <c r="A46" s="1" t="s">
        <v>3185</v>
      </c>
      <c r="B46" s="1" t="s">
        <v>3093</v>
      </c>
      <c r="C46" s="1">
        <v>46</v>
      </c>
      <c r="D46" s="1" t="s">
        <v>374</v>
      </c>
      <c r="E46" s="1">
        <v>1986</v>
      </c>
      <c r="F46" s="1" t="s">
        <v>784</v>
      </c>
      <c r="G46" s="1" t="s">
        <v>2028</v>
      </c>
      <c r="H46" s="4">
        <v>24.673400000000001</v>
      </c>
      <c r="I46" s="4">
        <v>121.7668</v>
      </c>
      <c r="J46" s="1" t="s">
        <v>1396</v>
      </c>
      <c r="K46" s="1" t="s">
        <v>75</v>
      </c>
      <c r="L46" s="1" t="s">
        <v>2029</v>
      </c>
      <c r="M46" s="1" t="s">
        <v>3094</v>
      </c>
      <c r="N46" s="1"/>
      <c r="O46" s="1" t="s">
        <v>3095</v>
      </c>
      <c r="P46" s="1">
        <v>3636</v>
      </c>
      <c r="Q46" s="4">
        <v>6.3</v>
      </c>
      <c r="R46" s="4">
        <v>1.67</v>
      </c>
      <c r="S46" s="4"/>
      <c r="T46" s="4">
        <v>34.1</v>
      </c>
      <c r="U46" s="4">
        <v>59.9</v>
      </c>
      <c r="V46" s="4"/>
      <c r="W46" s="4">
        <v>70</v>
      </c>
      <c r="X46" s="4">
        <v>112</v>
      </c>
      <c r="Y46" s="4">
        <v>69</v>
      </c>
      <c r="Z46" s="4">
        <v>1</v>
      </c>
      <c r="AA46" s="4">
        <v>0</v>
      </c>
      <c r="AB46" s="4" t="s">
        <v>734</v>
      </c>
      <c r="AC46" s="4">
        <v>0.51282362642866375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1"/>
      <c r="BJ46" s="1" t="s">
        <v>3186</v>
      </c>
      <c r="BK46" s="1">
        <v>1</v>
      </c>
      <c r="BL46" s="1"/>
      <c r="BM46" s="1" t="s">
        <v>373</v>
      </c>
      <c r="BN46" s="1" t="s">
        <v>2655</v>
      </c>
      <c r="BO46" s="1" t="s">
        <v>2656</v>
      </c>
      <c r="BP46" s="1">
        <v>6.32</v>
      </c>
      <c r="BQ46" s="1" t="s">
        <v>1003</v>
      </c>
      <c r="BR46" s="1">
        <v>24.081700000000001</v>
      </c>
      <c r="BS46" s="1">
        <v>121.5915</v>
      </c>
      <c r="BT46" s="1">
        <v>15.8</v>
      </c>
      <c r="BU46" s="1" t="s">
        <v>734</v>
      </c>
      <c r="BV46" s="1" t="s">
        <v>2571</v>
      </c>
      <c r="BW46" s="1">
        <v>43</v>
      </c>
      <c r="BX46" s="1">
        <v>57</v>
      </c>
      <c r="BY46" s="1">
        <v>100</v>
      </c>
      <c r="BZ46" s="1"/>
      <c r="CA46" s="1"/>
      <c r="CB46" s="1"/>
      <c r="CC46" s="1" t="s">
        <v>2566</v>
      </c>
      <c r="CD46" s="1" t="s">
        <v>731</v>
      </c>
      <c r="CE46" s="1"/>
      <c r="CF46" s="1"/>
      <c r="CG46" s="1"/>
      <c r="CH46" s="1"/>
      <c r="CI46" s="1"/>
      <c r="CJ46" s="1" t="s">
        <v>167</v>
      </c>
      <c r="CK46" t="s">
        <v>1262</v>
      </c>
      <c r="CL46">
        <v>46</v>
      </c>
      <c r="CM46" t="s">
        <v>2658</v>
      </c>
    </row>
    <row r="47" spans="1:91" ht="19" customHeight="1">
      <c r="A47" s="1" t="s">
        <v>3187</v>
      </c>
      <c r="B47" s="1" t="s">
        <v>3093</v>
      </c>
      <c r="C47" s="1">
        <v>47</v>
      </c>
      <c r="D47" s="1" t="s">
        <v>374</v>
      </c>
      <c r="E47" s="1">
        <v>1986</v>
      </c>
      <c r="F47" s="1" t="s">
        <v>785</v>
      </c>
      <c r="G47" s="1" t="s">
        <v>2030</v>
      </c>
      <c r="H47" s="4">
        <v>24.672599999999999</v>
      </c>
      <c r="I47" s="4">
        <v>121.7663</v>
      </c>
      <c r="J47" s="1" t="s">
        <v>1396</v>
      </c>
      <c r="K47" s="1" t="s">
        <v>75</v>
      </c>
      <c r="L47" s="1" t="s">
        <v>2031</v>
      </c>
      <c r="M47" s="1" t="s">
        <v>3094</v>
      </c>
      <c r="N47" s="1"/>
      <c r="O47" s="1" t="s">
        <v>3095</v>
      </c>
      <c r="P47" s="1">
        <v>3637</v>
      </c>
      <c r="Q47" s="4">
        <v>6.3</v>
      </c>
      <c r="R47" s="4">
        <v>1.69</v>
      </c>
      <c r="S47" s="4"/>
      <c r="T47" s="4">
        <v>33.5</v>
      </c>
      <c r="U47" s="4">
        <v>59.8</v>
      </c>
      <c r="V47" s="4"/>
      <c r="W47" s="4">
        <v>69.900000000000006</v>
      </c>
      <c r="X47" s="4">
        <v>120</v>
      </c>
      <c r="Y47" s="4">
        <v>77</v>
      </c>
      <c r="Z47" s="4">
        <v>1</v>
      </c>
      <c r="AA47" s="4">
        <v>0</v>
      </c>
      <c r="AB47" s="4" t="s">
        <v>734</v>
      </c>
      <c r="AC47" s="4">
        <v>0.52472852893498212</v>
      </c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1"/>
      <c r="BJ47" s="1" t="s">
        <v>3188</v>
      </c>
      <c r="BK47" s="1">
        <v>1</v>
      </c>
      <c r="BL47" s="1"/>
      <c r="BM47" s="1" t="s">
        <v>373</v>
      </c>
      <c r="BN47" s="1" t="s">
        <v>2655</v>
      </c>
      <c r="BO47" s="1" t="s">
        <v>2656</v>
      </c>
      <c r="BP47" s="1">
        <v>6.32</v>
      </c>
      <c r="BQ47" s="1" t="s">
        <v>1003</v>
      </c>
      <c r="BR47" s="1">
        <v>24.081700000000001</v>
      </c>
      <c r="BS47" s="1">
        <v>121.5915</v>
      </c>
      <c r="BT47" s="1">
        <v>15.8</v>
      </c>
      <c r="BU47" s="1" t="s">
        <v>734</v>
      </c>
      <c r="BV47" s="1" t="s">
        <v>2571</v>
      </c>
      <c r="BW47" s="1">
        <v>43</v>
      </c>
      <c r="BX47" s="1">
        <v>57</v>
      </c>
      <c r="BY47" s="1">
        <v>100</v>
      </c>
      <c r="BZ47" s="1"/>
      <c r="CA47" s="1"/>
      <c r="CB47" s="1"/>
      <c r="CC47" s="1" t="s">
        <v>2566</v>
      </c>
      <c r="CD47" s="1" t="s">
        <v>731</v>
      </c>
      <c r="CE47" s="1"/>
      <c r="CF47" s="1"/>
      <c r="CG47" s="1"/>
      <c r="CH47" s="1"/>
      <c r="CI47" s="1"/>
      <c r="CJ47" s="1" t="s">
        <v>167</v>
      </c>
      <c r="CK47" t="s">
        <v>1262</v>
      </c>
      <c r="CL47">
        <v>47</v>
      </c>
      <c r="CM47" t="s">
        <v>2658</v>
      </c>
    </row>
    <row r="48" spans="1:91" ht="19" customHeight="1">
      <c r="A48" s="1" t="s">
        <v>3189</v>
      </c>
      <c r="B48" s="1" t="s">
        <v>3093</v>
      </c>
      <c r="C48" s="1">
        <v>48</v>
      </c>
      <c r="D48" s="1" t="s">
        <v>374</v>
      </c>
      <c r="E48" s="1">
        <v>1986</v>
      </c>
      <c r="F48" s="1" t="s">
        <v>786</v>
      </c>
      <c r="G48" s="1" t="s">
        <v>2032</v>
      </c>
      <c r="H48" s="4">
        <v>24.6721</v>
      </c>
      <c r="I48" s="4">
        <v>121.76519999999999</v>
      </c>
      <c r="J48" s="1" t="s">
        <v>1396</v>
      </c>
      <c r="K48" s="1" t="s">
        <v>75</v>
      </c>
      <c r="L48" s="1" t="s">
        <v>2033</v>
      </c>
      <c r="M48" s="1" t="s">
        <v>3094</v>
      </c>
      <c r="N48" s="1"/>
      <c r="O48" s="1" t="s">
        <v>3095</v>
      </c>
      <c r="P48" s="1">
        <v>3638</v>
      </c>
      <c r="Q48" s="4">
        <v>6.3</v>
      </c>
      <c r="R48" s="4">
        <v>1.67</v>
      </c>
      <c r="S48" s="4"/>
      <c r="T48" s="4">
        <v>33.5</v>
      </c>
      <c r="U48" s="4">
        <v>59.8</v>
      </c>
      <c r="V48" s="4"/>
      <c r="W48" s="4">
        <v>69.8</v>
      </c>
      <c r="X48" s="4">
        <v>124</v>
      </c>
      <c r="Y48" s="4">
        <v>81</v>
      </c>
      <c r="Z48" s="4">
        <v>1</v>
      </c>
      <c r="AA48" s="4">
        <v>0</v>
      </c>
      <c r="AB48" s="4" t="s">
        <v>734</v>
      </c>
      <c r="AC48" s="4">
        <v>0.51282362642866375</v>
      </c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1"/>
      <c r="BJ48" s="1" t="s">
        <v>3190</v>
      </c>
      <c r="BK48" s="1">
        <v>1</v>
      </c>
      <c r="BL48" s="1"/>
      <c r="BM48" s="1" t="s">
        <v>373</v>
      </c>
      <c r="BN48" s="1" t="s">
        <v>2655</v>
      </c>
      <c r="BO48" s="1" t="s">
        <v>2656</v>
      </c>
      <c r="BP48" s="1">
        <v>6.32</v>
      </c>
      <c r="BQ48" s="1" t="s">
        <v>1003</v>
      </c>
      <c r="BR48" s="1">
        <v>24.081700000000001</v>
      </c>
      <c r="BS48" s="1">
        <v>121.5915</v>
      </c>
      <c r="BT48" s="1">
        <v>15.8</v>
      </c>
      <c r="BU48" s="1" t="s">
        <v>734</v>
      </c>
      <c r="BV48" s="1" t="s">
        <v>2571</v>
      </c>
      <c r="BW48" s="1">
        <v>43</v>
      </c>
      <c r="BX48" s="1">
        <v>57</v>
      </c>
      <c r="BY48" s="1">
        <v>100</v>
      </c>
      <c r="BZ48" s="1"/>
      <c r="CA48" s="1"/>
      <c r="CB48" s="1"/>
      <c r="CC48" s="1" t="s">
        <v>2566</v>
      </c>
      <c r="CD48" s="1" t="s">
        <v>731</v>
      </c>
      <c r="CE48" s="1"/>
      <c r="CF48" s="1"/>
      <c r="CG48" s="1"/>
      <c r="CH48" s="1"/>
      <c r="CI48" s="1"/>
      <c r="CJ48" s="1" t="s">
        <v>167</v>
      </c>
      <c r="CK48" t="s">
        <v>1262</v>
      </c>
      <c r="CL48">
        <v>48</v>
      </c>
      <c r="CM48" t="s">
        <v>2658</v>
      </c>
    </row>
    <row r="49" spans="1:91" ht="19" customHeight="1">
      <c r="A49" s="1" t="s">
        <v>3191</v>
      </c>
      <c r="B49" s="1" t="s">
        <v>3093</v>
      </c>
      <c r="C49" s="1">
        <v>49</v>
      </c>
      <c r="D49" s="1" t="s">
        <v>374</v>
      </c>
      <c r="E49" s="1">
        <v>1986</v>
      </c>
      <c r="F49" s="1" t="s">
        <v>787</v>
      </c>
      <c r="G49" s="1" t="s">
        <v>2036</v>
      </c>
      <c r="H49" s="4">
        <v>24.672499999999999</v>
      </c>
      <c r="I49" s="4">
        <v>121.7636</v>
      </c>
      <c r="J49" s="1" t="s">
        <v>1396</v>
      </c>
      <c r="K49" s="1" t="s">
        <v>75</v>
      </c>
      <c r="L49" s="1" t="s">
        <v>2037</v>
      </c>
      <c r="M49" s="1" t="s">
        <v>3094</v>
      </c>
      <c r="N49" s="1"/>
      <c r="O49" s="1" t="s">
        <v>3095</v>
      </c>
      <c r="P49" s="1">
        <v>3639</v>
      </c>
      <c r="Q49" s="4">
        <v>6.3</v>
      </c>
      <c r="R49" s="4">
        <v>1.67</v>
      </c>
      <c r="S49" s="4"/>
      <c r="T49" s="4">
        <v>36.9</v>
      </c>
      <c r="U49" s="4">
        <v>59.8</v>
      </c>
      <c r="V49" s="4"/>
      <c r="W49" s="4">
        <v>69.8</v>
      </c>
      <c r="X49" s="4">
        <v>117</v>
      </c>
      <c r="Y49" s="4">
        <v>74</v>
      </c>
      <c r="Z49" s="4">
        <v>1</v>
      </c>
      <c r="AA49" s="4">
        <v>0</v>
      </c>
      <c r="AB49" s="4" t="s">
        <v>734</v>
      </c>
      <c r="AC49" s="4">
        <v>0.51282362642866375</v>
      </c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1"/>
      <c r="BJ49" s="1" t="s">
        <v>3192</v>
      </c>
      <c r="BK49" s="1">
        <v>1</v>
      </c>
      <c r="BL49" s="1"/>
      <c r="BM49" s="1" t="s">
        <v>373</v>
      </c>
      <c r="BN49" s="1" t="s">
        <v>2655</v>
      </c>
      <c r="BO49" s="1" t="s">
        <v>2656</v>
      </c>
      <c r="BP49" s="1">
        <v>6.32</v>
      </c>
      <c r="BQ49" s="1" t="s">
        <v>1003</v>
      </c>
      <c r="BR49" s="1">
        <v>24.081700000000001</v>
      </c>
      <c r="BS49" s="1">
        <v>121.5915</v>
      </c>
      <c r="BT49" s="1">
        <v>15.8</v>
      </c>
      <c r="BU49" s="1" t="s">
        <v>734</v>
      </c>
      <c r="BV49" s="1" t="s">
        <v>2571</v>
      </c>
      <c r="BW49" s="1">
        <v>43</v>
      </c>
      <c r="BX49" s="1">
        <v>57</v>
      </c>
      <c r="BY49" s="1">
        <v>100</v>
      </c>
      <c r="BZ49" s="1"/>
      <c r="CA49" s="1"/>
      <c r="CB49" s="1"/>
      <c r="CC49" s="1" t="s">
        <v>2566</v>
      </c>
      <c r="CD49" s="1" t="s">
        <v>731</v>
      </c>
      <c r="CE49" s="1"/>
      <c r="CF49" s="1"/>
      <c r="CG49" s="1"/>
      <c r="CH49" s="1"/>
      <c r="CI49" s="1"/>
      <c r="CJ49" s="1" t="s">
        <v>167</v>
      </c>
      <c r="CK49" t="s">
        <v>1262</v>
      </c>
      <c r="CL49">
        <v>49</v>
      </c>
      <c r="CM49" t="s">
        <v>2658</v>
      </c>
    </row>
    <row r="50" spans="1:91" ht="19" customHeight="1">
      <c r="A50" s="1" t="s">
        <v>3193</v>
      </c>
      <c r="B50" s="1" t="s">
        <v>3093</v>
      </c>
      <c r="C50" s="1">
        <v>50</v>
      </c>
      <c r="D50" s="1" t="s">
        <v>374</v>
      </c>
      <c r="E50" s="1">
        <v>1986</v>
      </c>
      <c r="F50" s="1" t="s">
        <v>788</v>
      </c>
      <c r="G50" s="1" t="s">
        <v>2038</v>
      </c>
      <c r="H50" s="4">
        <v>24.673200000000001</v>
      </c>
      <c r="I50" s="4">
        <v>121.7629</v>
      </c>
      <c r="J50" s="1" t="s">
        <v>1396</v>
      </c>
      <c r="K50" s="1" t="s">
        <v>75</v>
      </c>
      <c r="L50" s="1" t="s">
        <v>2039</v>
      </c>
      <c r="M50" s="1" t="s">
        <v>3094</v>
      </c>
      <c r="N50" s="1"/>
      <c r="O50" s="1" t="s">
        <v>3095</v>
      </c>
      <c r="P50" s="1">
        <v>3640</v>
      </c>
      <c r="Q50" s="4">
        <v>6.3</v>
      </c>
      <c r="R50" s="4">
        <v>1.67</v>
      </c>
      <c r="S50" s="4"/>
      <c r="T50" s="4">
        <v>34.799999999999997</v>
      </c>
      <c r="U50" s="4">
        <v>59.8</v>
      </c>
      <c r="V50" s="4"/>
      <c r="W50" s="4">
        <v>69.900000000000006</v>
      </c>
      <c r="X50" s="4">
        <v>119</v>
      </c>
      <c r="Y50" s="4">
        <v>76</v>
      </c>
      <c r="Z50" s="4">
        <v>1</v>
      </c>
      <c r="AA50" s="4">
        <v>0</v>
      </c>
      <c r="AB50" s="4" t="s">
        <v>734</v>
      </c>
      <c r="AC50" s="4">
        <v>0.51282362642866375</v>
      </c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1"/>
      <c r="BJ50" s="1" t="s">
        <v>3194</v>
      </c>
      <c r="BK50" s="1">
        <v>1</v>
      </c>
      <c r="BL50" s="1"/>
      <c r="BM50" s="1" t="s">
        <v>373</v>
      </c>
      <c r="BN50" s="1" t="s">
        <v>2655</v>
      </c>
      <c r="BO50" s="1" t="s">
        <v>2656</v>
      </c>
      <c r="BP50" s="1">
        <v>6.32</v>
      </c>
      <c r="BQ50" s="1" t="s">
        <v>1003</v>
      </c>
      <c r="BR50" s="1">
        <v>24.081700000000001</v>
      </c>
      <c r="BS50" s="1">
        <v>121.5915</v>
      </c>
      <c r="BT50" s="1">
        <v>15.8</v>
      </c>
      <c r="BU50" s="1" t="s">
        <v>734</v>
      </c>
      <c r="BV50" s="1" t="s">
        <v>2571</v>
      </c>
      <c r="BW50" s="1">
        <v>43</v>
      </c>
      <c r="BX50" s="1">
        <v>57</v>
      </c>
      <c r="BY50" s="1">
        <v>100</v>
      </c>
      <c r="BZ50" s="1"/>
      <c r="CA50" s="1"/>
      <c r="CB50" s="1"/>
      <c r="CC50" s="1" t="s">
        <v>2566</v>
      </c>
      <c r="CD50" s="1" t="s">
        <v>731</v>
      </c>
      <c r="CE50" s="1"/>
      <c r="CF50" s="1"/>
      <c r="CG50" s="1"/>
      <c r="CH50" s="1"/>
      <c r="CI50" s="1"/>
      <c r="CJ50" s="1" t="s">
        <v>167</v>
      </c>
      <c r="CK50" t="s">
        <v>1262</v>
      </c>
      <c r="CL50">
        <v>50</v>
      </c>
      <c r="CM50" t="s">
        <v>2658</v>
      </c>
    </row>
    <row r="51" spans="1:91" ht="19" customHeight="1">
      <c r="A51" s="1" t="s">
        <v>3195</v>
      </c>
      <c r="B51" s="1" t="s">
        <v>3093</v>
      </c>
      <c r="C51" s="1">
        <v>51</v>
      </c>
      <c r="D51" s="1" t="s">
        <v>374</v>
      </c>
      <c r="E51" s="1">
        <v>1986</v>
      </c>
      <c r="F51" s="1" t="s">
        <v>789</v>
      </c>
      <c r="G51" s="1" t="s">
        <v>2040</v>
      </c>
      <c r="H51" s="4">
        <v>24.674900000000001</v>
      </c>
      <c r="I51" s="4">
        <v>121.7634</v>
      </c>
      <c r="J51" s="1" t="s">
        <v>1396</v>
      </c>
      <c r="K51" s="1" t="s">
        <v>75</v>
      </c>
      <c r="L51" s="1" t="s">
        <v>2041</v>
      </c>
      <c r="M51" s="1" t="s">
        <v>3094</v>
      </c>
      <c r="N51" s="1"/>
      <c r="O51" s="1" t="s">
        <v>3095</v>
      </c>
      <c r="P51" s="1">
        <v>3641</v>
      </c>
      <c r="Q51" s="4">
        <v>6.3</v>
      </c>
      <c r="R51" s="4">
        <v>1.57</v>
      </c>
      <c r="S51" s="4"/>
      <c r="T51" s="4">
        <v>31.3</v>
      </c>
      <c r="U51" s="4">
        <v>60</v>
      </c>
      <c r="V51" s="4"/>
      <c r="W51" s="4">
        <v>70.099999999999994</v>
      </c>
      <c r="X51" s="4">
        <v>121</v>
      </c>
      <c r="Y51" s="4">
        <v>78</v>
      </c>
      <c r="Z51" s="4">
        <v>1</v>
      </c>
      <c r="AA51" s="4">
        <v>0</v>
      </c>
      <c r="AB51" s="4" t="s">
        <v>734</v>
      </c>
      <c r="AC51" s="4">
        <v>0.45107561936021667</v>
      </c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1"/>
      <c r="BJ51" s="1" t="s">
        <v>3196</v>
      </c>
      <c r="BK51" s="1">
        <v>1</v>
      </c>
      <c r="BL51" s="1"/>
      <c r="BM51" s="1" t="s">
        <v>373</v>
      </c>
      <c r="BN51" s="1" t="s">
        <v>2655</v>
      </c>
      <c r="BO51" s="1" t="s">
        <v>2656</v>
      </c>
      <c r="BP51" s="1">
        <v>6.32</v>
      </c>
      <c r="BQ51" s="1" t="s">
        <v>1003</v>
      </c>
      <c r="BR51" s="1">
        <v>24.081700000000001</v>
      </c>
      <c r="BS51" s="1">
        <v>121.5915</v>
      </c>
      <c r="BT51" s="1">
        <v>15.8</v>
      </c>
      <c r="BU51" s="1" t="s">
        <v>734</v>
      </c>
      <c r="BV51" s="1" t="s">
        <v>2571</v>
      </c>
      <c r="BW51" s="1">
        <v>43</v>
      </c>
      <c r="BX51" s="1">
        <v>57</v>
      </c>
      <c r="BY51" s="1">
        <v>100</v>
      </c>
      <c r="BZ51" s="1"/>
      <c r="CA51" s="1"/>
      <c r="CB51" s="1"/>
      <c r="CC51" s="1" t="s">
        <v>2566</v>
      </c>
      <c r="CD51" s="1" t="s">
        <v>731</v>
      </c>
      <c r="CE51" s="1"/>
      <c r="CF51" s="1"/>
      <c r="CG51" s="1"/>
      <c r="CH51" s="1"/>
      <c r="CI51" s="1"/>
      <c r="CJ51" s="1" t="s">
        <v>167</v>
      </c>
      <c r="CK51" t="s">
        <v>1262</v>
      </c>
      <c r="CL51">
        <v>51</v>
      </c>
      <c r="CM51" t="s">
        <v>2658</v>
      </c>
    </row>
    <row r="52" spans="1:91" ht="19" customHeight="1">
      <c r="A52" s="1" t="s">
        <v>3197</v>
      </c>
      <c r="B52" s="1" t="s">
        <v>3093</v>
      </c>
      <c r="C52" s="1">
        <v>52</v>
      </c>
      <c r="D52" s="1" t="s">
        <v>374</v>
      </c>
      <c r="E52" s="1">
        <v>1986</v>
      </c>
      <c r="F52" s="1" t="s">
        <v>790</v>
      </c>
      <c r="G52" s="1" t="s">
        <v>2042</v>
      </c>
      <c r="H52" s="4">
        <v>24.6755</v>
      </c>
      <c r="I52" s="4">
        <v>121.7641</v>
      </c>
      <c r="J52" s="1" t="s">
        <v>1396</v>
      </c>
      <c r="K52" s="1" t="s">
        <v>75</v>
      </c>
      <c r="L52" s="1" t="s">
        <v>2043</v>
      </c>
      <c r="M52" s="1" t="s">
        <v>3094</v>
      </c>
      <c r="N52" s="1"/>
      <c r="O52" s="1" t="s">
        <v>3095</v>
      </c>
      <c r="P52" s="1">
        <v>3642</v>
      </c>
      <c r="Q52" s="4">
        <v>6.3</v>
      </c>
      <c r="R52" s="4">
        <v>1.57</v>
      </c>
      <c r="S52" s="4"/>
      <c r="T52" s="4">
        <v>32.700000000000003</v>
      </c>
      <c r="U52" s="4">
        <v>60.1</v>
      </c>
      <c r="V52" s="4"/>
      <c r="W52" s="4">
        <v>70.2</v>
      </c>
      <c r="X52" s="4">
        <v>111</v>
      </c>
      <c r="Y52" s="4">
        <v>68</v>
      </c>
      <c r="Z52" s="4">
        <v>1</v>
      </c>
      <c r="AA52" s="4">
        <v>0</v>
      </c>
      <c r="AB52" s="4" t="s">
        <v>734</v>
      </c>
      <c r="AC52" s="4">
        <v>0.45107561936021667</v>
      </c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1"/>
      <c r="BJ52" s="1" t="s">
        <v>3198</v>
      </c>
      <c r="BK52" s="1">
        <v>1</v>
      </c>
      <c r="BL52" s="1"/>
      <c r="BM52" s="1" t="s">
        <v>373</v>
      </c>
      <c r="BN52" s="1" t="s">
        <v>2655</v>
      </c>
      <c r="BO52" s="1" t="s">
        <v>2656</v>
      </c>
      <c r="BP52" s="1">
        <v>6.32</v>
      </c>
      <c r="BQ52" s="1" t="s">
        <v>1003</v>
      </c>
      <c r="BR52" s="1">
        <v>24.081700000000001</v>
      </c>
      <c r="BS52" s="1">
        <v>121.5915</v>
      </c>
      <c r="BT52" s="1">
        <v>15.8</v>
      </c>
      <c r="BU52" s="1" t="s">
        <v>734</v>
      </c>
      <c r="BV52" s="1" t="s">
        <v>2571</v>
      </c>
      <c r="BW52" s="1">
        <v>43</v>
      </c>
      <c r="BX52" s="1">
        <v>57</v>
      </c>
      <c r="BY52" s="1">
        <v>100</v>
      </c>
      <c r="BZ52" s="1"/>
      <c r="CA52" s="1"/>
      <c r="CB52" s="1"/>
      <c r="CC52" s="1" t="s">
        <v>2566</v>
      </c>
      <c r="CD52" s="1" t="s">
        <v>731</v>
      </c>
      <c r="CE52" s="1"/>
      <c r="CF52" s="1"/>
      <c r="CG52" s="1"/>
      <c r="CH52" s="1"/>
      <c r="CI52" s="1"/>
      <c r="CJ52" s="1" t="s">
        <v>167</v>
      </c>
      <c r="CK52" t="s">
        <v>1262</v>
      </c>
      <c r="CL52">
        <v>52</v>
      </c>
      <c r="CM52" t="s">
        <v>2658</v>
      </c>
    </row>
    <row r="53" spans="1:91" ht="19" customHeight="1">
      <c r="A53" s="1" t="s">
        <v>3199</v>
      </c>
      <c r="B53" s="1" t="s">
        <v>3093</v>
      </c>
      <c r="C53" s="1">
        <v>53</v>
      </c>
      <c r="D53" s="1" t="s">
        <v>374</v>
      </c>
      <c r="E53" s="1">
        <v>1986</v>
      </c>
      <c r="F53" s="1" t="s">
        <v>791</v>
      </c>
      <c r="G53" s="1" t="s">
        <v>2046</v>
      </c>
      <c r="H53" s="4">
        <v>24.6815</v>
      </c>
      <c r="I53" s="4">
        <v>121.7717</v>
      </c>
      <c r="J53" s="1" t="s">
        <v>1396</v>
      </c>
      <c r="K53" s="1" t="s">
        <v>75</v>
      </c>
      <c r="L53" s="1" t="s">
        <v>2047</v>
      </c>
      <c r="M53" s="1" t="s">
        <v>3094</v>
      </c>
      <c r="N53" s="1"/>
      <c r="O53" s="1" t="s">
        <v>3095</v>
      </c>
      <c r="P53" s="1">
        <v>3643</v>
      </c>
      <c r="Q53" s="4">
        <v>6.3</v>
      </c>
      <c r="R53" s="4">
        <v>1.48</v>
      </c>
      <c r="S53" s="4"/>
      <c r="T53" s="4">
        <v>29.7</v>
      </c>
      <c r="U53" s="4">
        <v>60.9</v>
      </c>
      <c r="V53" s="4"/>
      <c r="W53" s="4">
        <v>71</v>
      </c>
      <c r="X53" s="4">
        <v>117</v>
      </c>
      <c r="Y53" s="4">
        <v>74</v>
      </c>
      <c r="Z53" s="4">
        <v>1</v>
      </c>
      <c r="AA53" s="4">
        <v>0</v>
      </c>
      <c r="AB53" s="4" t="s">
        <v>734</v>
      </c>
      <c r="AC53" s="4">
        <v>0.39204208777602367</v>
      </c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1"/>
      <c r="BJ53" s="1" t="s">
        <v>3200</v>
      </c>
      <c r="BK53" s="1">
        <v>1</v>
      </c>
      <c r="BL53" s="1"/>
      <c r="BM53" s="1" t="s">
        <v>373</v>
      </c>
      <c r="BN53" s="1" t="s">
        <v>2655</v>
      </c>
      <c r="BO53" s="1" t="s">
        <v>2656</v>
      </c>
      <c r="BP53" s="1">
        <v>6.32</v>
      </c>
      <c r="BQ53" s="1" t="s">
        <v>1003</v>
      </c>
      <c r="BR53" s="1">
        <v>24.081700000000001</v>
      </c>
      <c r="BS53" s="1">
        <v>121.5915</v>
      </c>
      <c r="BT53" s="1">
        <v>15.8</v>
      </c>
      <c r="BU53" s="1" t="s">
        <v>734</v>
      </c>
      <c r="BV53" s="1" t="s">
        <v>2571</v>
      </c>
      <c r="BW53" s="1">
        <v>43</v>
      </c>
      <c r="BX53" s="1">
        <v>57</v>
      </c>
      <c r="BY53" s="1">
        <v>100</v>
      </c>
      <c r="BZ53" s="1"/>
      <c r="CA53" s="1"/>
      <c r="CB53" s="1"/>
      <c r="CC53" s="1" t="s">
        <v>2566</v>
      </c>
      <c r="CD53" s="1" t="s">
        <v>731</v>
      </c>
      <c r="CE53" s="1"/>
      <c r="CF53" s="1"/>
      <c r="CG53" s="1"/>
      <c r="CH53" s="1"/>
      <c r="CI53" s="1"/>
      <c r="CJ53" s="1" t="s">
        <v>167</v>
      </c>
      <c r="CK53" t="s">
        <v>1262</v>
      </c>
      <c r="CL53">
        <v>53</v>
      </c>
      <c r="CM53" t="s">
        <v>2658</v>
      </c>
    </row>
    <row r="54" spans="1:91" ht="19" customHeight="1">
      <c r="A54" s="1" t="s">
        <v>3201</v>
      </c>
      <c r="B54" s="1" t="s">
        <v>3093</v>
      </c>
      <c r="C54" s="1">
        <v>54</v>
      </c>
      <c r="D54" s="1" t="s">
        <v>374</v>
      </c>
      <c r="E54" s="1">
        <v>1986</v>
      </c>
      <c r="F54" s="1" t="s">
        <v>792</v>
      </c>
      <c r="G54" s="1" t="s">
        <v>2048</v>
      </c>
      <c r="H54" s="4">
        <v>24.6769</v>
      </c>
      <c r="I54" s="4">
        <v>121.7735</v>
      </c>
      <c r="J54" s="1" t="s">
        <v>1396</v>
      </c>
      <c r="K54" s="1" t="s">
        <v>75</v>
      </c>
      <c r="L54" s="1" t="s">
        <v>2049</v>
      </c>
      <c r="M54" s="1" t="s">
        <v>3094</v>
      </c>
      <c r="N54" s="1"/>
      <c r="O54" s="1" t="s">
        <v>3095</v>
      </c>
      <c r="P54" s="1">
        <v>3644</v>
      </c>
      <c r="Q54" s="4">
        <v>6.3</v>
      </c>
      <c r="R54" s="4">
        <v>1.57</v>
      </c>
      <c r="S54" s="4"/>
      <c r="T54" s="4">
        <v>34</v>
      </c>
      <c r="U54" s="4">
        <v>60.5</v>
      </c>
      <c r="V54" s="4"/>
      <c r="W54" s="4">
        <v>70.5</v>
      </c>
      <c r="X54" s="4">
        <v>118</v>
      </c>
      <c r="Y54" s="4">
        <v>75</v>
      </c>
      <c r="Z54" s="4">
        <v>1</v>
      </c>
      <c r="AA54" s="4">
        <v>0</v>
      </c>
      <c r="AB54" s="4" t="s">
        <v>734</v>
      </c>
      <c r="AC54" s="4">
        <v>0.45107561936021667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1"/>
      <c r="BJ54" s="1" t="s">
        <v>3202</v>
      </c>
      <c r="BK54" s="1">
        <v>1</v>
      </c>
      <c r="BL54" s="1"/>
      <c r="BM54" s="1" t="s">
        <v>373</v>
      </c>
      <c r="BN54" s="1" t="s">
        <v>2655</v>
      </c>
      <c r="BO54" s="1" t="s">
        <v>2656</v>
      </c>
      <c r="BP54" s="1">
        <v>6.32</v>
      </c>
      <c r="BQ54" s="1" t="s">
        <v>1003</v>
      </c>
      <c r="BR54" s="1">
        <v>24.081700000000001</v>
      </c>
      <c r="BS54" s="1">
        <v>121.5915</v>
      </c>
      <c r="BT54" s="1">
        <v>15.8</v>
      </c>
      <c r="BU54" s="1" t="s">
        <v>734</v>
      </c>
      <c r="BV54" s="1" t="s">
        <v>2571</v>
      </c>
      <c r="BW54" s="1">
        <v>43</v>
      </c>
      <c r="BX54" s="1">
        <v>57</v>
      </c>
      <c r="BY54" s="1">
        <v>100</v>
      </c>
      <c r="BZ54" s="1"/>
      <c r="CA54" s="1"/>
      <c r="CB54" s="1"/>
      <c r="CC54" s="1" t="s">
        <v>2566</v>
      </c>
      <c r="CD54" s="1" t="s">
        <v>731</v>
      </c>
      <c r="CE54" s="1"/>
      <c r="CF54" s="1"/>
      <c r="CG54" s="1"/>
      <c r="CH54" s="1"/>
      <c r="CI54" s="1"/>
      <c r="CJ54" s="1" t="s">
        <v>167</v>
      </c>
      <c r="CK54" t="s">
        <v>1262</v>
      </c>
      <c r="CL54">
        <v>54</v>
      </c>
      <c r="CM54" t="s">
        <v>2658</v>
      </c>
    </row>
    <row r="55" spans="1:91" ht="19" customHeight="1">
      <c r="A55" s="1" t="s">
        <v>3203</v>
      </c>
      <c r="B55" s="1" t="s">
        <v>3093</v>
      </c>
      <c r="C55" s="1">
        <v>55</v>
      </c>
      <c r="D55" s="1" t="s">
        <v>374</v>
      </c>
      <c r="E55" s="1">
        <v>1986</v>
      </c>
      <c r="F55" s="1" t="s">
        <v>793</v>
      </c>
      <c r="G55" s="1" t="s">
        <v>2050</v>
      </c>
      <c r="H55" s="4">
        <v>24.671800000000001</v>
      </c>
      <c r="I55" s="4">
        <v>121.7745</v>
      </c>
      <c r="J55" s="1" t="s">
        <v>1396</v>
      </c>
      <c r="K55" s="1" t="s">
        <v>75</v>
      </c>
      <c r="L55" s="1" t="s">
        <v>2051</v>
      </c>
      <c r="M55" s="1" t="s">
        <v>3094</v>
      </c>
      <c r="N55" s="1"/>
      <c r="O55" s="1" t="s">
        <v>3095</v>
      </c>
      <c r="P55" s="1">
        <v>3645</v>
      </c>
      <c r="Q55" s="4">
        <v>6.3</v>
      </c>
      <c r="R55" s="4">
        <v>1.51</v>
      </c>
      <c r="S55" s="4"/>
      <c r="T55" s="4">
        <v>33.1</v>
      </c>
      <c r="U55" s="4">
        <v>59.9</v>
      </c>
      <c r="V55" s="4"/>
      <c r="W55" s="4">
        <v>70</v>
      </c>
      <c r="X55" s="4">
        <v>108</v>
      </c>
      <c r="Y55" s="4">
        <v>65</v>
      </c>
      <c r="Z55" s="4">
        <v>1</v>
      </c>
      <c r="AA55" s="4">
        <v>0</v>
      </c>
      <c r="AB55" s="4" t="s">
        <v>734</v>
      </c>
      <c r="AC55" s="4">
        <v>0.41210965082683298</v>
      </c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1"/>
      <c r="BJ55" s="1" t="s">
        <v>3204</v>
      </c>
      <c r="BK55" s="1">
        <v>1</v>
      </c>
      <c r="BL55" s="1"/>
      <c r="BM55" s="1" t="s">
        <v>373</v>
      </c>
      <c r="BN55" s="1" t="s">
        <v>2655</v>
      </c>
      <c r="BO55" s="1" t="s">
        <v>2656</v>
      </c>
      <c r="BP55" s="1">
        <v>6.32</v>
      </c>
      <c r="BQ55" s="1" t="s">
        <v>1003</v>
      </c>
      <c r="BR55" s="1">
        <v>24.081700000000001</v>
      </c>
      <c r="BS55" s="1">
        <v>121.5915</v>
      </c>
      <c r="BT55" s="1">
        <v>15.8</v>
      </c>
      <c r="BU55" s="1" t="s">
        <v>734</v>
      </c>
      <c r="BV55" s="1" t="s">
        <v>2571</v>
      </c>
      <c r="BW55" s="1">
        <v>43</v>
      </c>
      <c r="BX55" s="1">
        <v>57</v>
      </c>
      <c r="BY55" s="1">
        <v>100</v>
      </c>
      <c r="BZ55" s="1"/>
      <c r="CA55" s="1"/>
      <c r="CB55" s="1"/>
      <c r="CC55" s="1" t="s">
        <v>2566</v>
      </c>
      <c r="CD55" s="1" t="s">
        <v>731</v>
      </c>
      <c r="CE55" s="1"/>
      <c r="CF55" s="1"/>
      <c r="CG55" s="1"/>
      <c r="CH55" s="1"/>
      <c r="CI55" s="1"/>
      <c r="CJ55" s="1" t="s">
        <v>167</v>
      </c>
      <c r="CK55" t="s">
        <v>1262</v>
      </c>
      <c r="CL55">
        <v>55</v>
      </c>
      <c r="CM55" t="s">
        <v>2658</v>
      </c>
    </row>
    <row r="56" spans="1:91" ht="19" customHeight="1">
      <c r="A56" s="1" t="s">
        <v>3205</v>
      </c>
      <c r="B56" s="1" t="s">
        <v>3093</v>
      </c>
      <c r="C56" s="1">
        <v>56</v>
      </c>
      <c r="D56" s="1" t="s">
        <v>374</v>
      </c>
      <c r="E56" s="1">
        <v>1986</v>
      </c>
      <c r="F56" s="1" t="s">
        <v>794</v>
      </c>
      <c r="G56" s="1" t="s">
        <v>2052</v>
      </c>
      <c r="H56" s="4">
        <v>24.668299999999999</v>
      </c>
      <c r="I56" s="4">
        <v>121.77209999999999</v>
      </c>
      <c r="J56" s="1" t="s">
        <v>1396</v>
      </c>
      <c r="K56" s="1" t="s">
        <v>75</v>
      </c>
      <c r="L56" s="1" t="s">
        <v>2053</v>
      </c>
      <c r="M56" s="1" t="s">
        <v>3094</v>
      </c>
      <c r="N56" s="1"/>
      <c r="O56" s="1" t="s">
        <v>3095</v>
      </c>
      <c r="P56" s="1">
        <v>3646</v>
      </c>
      <c r="Q56" s="4">
        <v>6.3</v>
      </c>
      <c r="R56" s="4">
        <v>1.57</v>
      </c>
      <c r="S56" s="4"/>
      <c r="T56" s="4">
        <v>36.200000000000003</v>
      </c>
      <c r="U56" s="4">
        <v>59.5</v>
      </c>
      <c r="V56" s="4"/>
      <c r="W56" s="4">
        <v>69.599999999999994</v>
      </c>
      <c r="X56" s="4">
        <v>103</v>
      </c>
      <c r="Y56" s="4">
        <v>60</v>
      </c>
      <c r="Z56" s="4">
        <v>1</v>
      </c>
      <c r="AA56" s="4">
        <v>0</v>
      </c>
      <c r="AB56" s="4" t="s">
        <v>734</v>
      </c>
      <c r="AC56" s="4">
        <v>0.45107561936021667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1"/>
      <c r="BJ56" s="1" t="s">
        <v>3206</v>
      </c>
      <c r="BK56" s="1">
        <v>1</v>
      </c>
      <c r="BL56" s="1"/>
      <c r="BM56" s="1" t="s">
        <v>373</v>
      </c>
      <c r="BN56" s="1" t="s">
        <v>2655</v>
      </c>
      <c r="BO56" s="1" t="s">
        <v>2656</v>
      </c>
      <c r="BP56" s="1">
        <v>6.32</v>
      </c>
      <c r="BQ56" s="1" t="s">
        <v>1003</v>
      </c>
      <c r="BR56" s="1">
        <v>24.081700000000001</v>
      </c>
      <c r="BS56" s="1">
        <v>121.5915</v>
      </c>
      <c r="BT56" s="1">
        <v>15.8</v>
      </c>
      <c r="BU56" s="1" t="s">
        <v>734</v>
      </c>
      <c r="BV56" s="1" t="s">
        <v>2571</v>
      </c>
      <c r="BW56" s="1">
        <v>43</v>
      </c>
      <c r="BX56" s="1">
        <v>57</v>
      </c>
      <c r="BY56" s="1">
        <v>100</v>
      </c>
      <c r="BZ56" s="1"/>
      <c r="CA56" s="1"/>
      <c r="CB56" s="1"/>
      <c r="CC56" s="1" t="s">
        <v>2566</v>
      </c>
      <c r="CD56" s="1" t="s">
        <v>731</v>
      </c>
      <c r="CE56" s="1"/>
      <c r="CF56" s="1"/>
      <c r="CG56" s="1"/>
      <c r="CH56" s="1"/>
      <c r="CI56" s="1"/>
      <c r="CJ56" s="1" t="s">
        <v>167</v>
      </c>
      <c r="CK56" t="s">
        <v>1262</v>
      </c>
      <c r="CL56">
        <v>56</v>
      </c>
      <c r="CM56" t="s">
        <v>2658</v>
      </c>
    </row>
    <row r="57" spans="1:91" ht="19" customHeight="1">
      <c r="A57" s="1" t="s">
        <v>3207</v>
      </c>
      <c r="B57" s="1" t="s">
        <v>3093</v>
      </c>
      <c r="C57" s="1">
        <v>57</v>
      </c>
      <c r="D57" s="1" t="s">
        <v>374</v>
      </c>
      <c r="E57" s="1">
        <v>1986</v>
      </c>
      <c r="F57" s="1" t="s">
        <v>795</v>
      </c>
      <c r="G57" s="1" t="s">
        <v>2054</v>
      </c>
      <c r="H57" s="4">
        <v>24.665099999999999</v>
      </c>
      <c r="I57" s="4">
        <v>121.7677</v>
      </c>
      <c r="J57" s="1" t="s">
        <v>1396</v>
      </c>
      <c r="K57" s="1" t="s">
        <v>75</v>
      </c>
      <c r="L57" s="1" t="s">
        <v>2055</v>
      </c>
      <c r="M57" s="1" t="s">
        <v>3094</v>
      </c>
      <c r="N57" s="1"/>
      <c r="O57" s="1" t="s">
        <v>3095</v>
      </c>
      <c r="P57" s="1">
        <v>3647</v>
      </c>
      <c r="Q57" s="4">
        <v>6.3</v>
      </c>
      <c r="R57" s="4">
        <v>1.51</v>
      </c>
      <c r="S57" s="4"/>
      <c r="T57" s="4">
        <v>37.299999999999997</v>
      </c>
      <c r="U57" s="4">
        <v>59.1</v>
      </c>
      <c r="V57" s="4"/>
      <c r="W57" s="4">
        <v>69.2</v>
      </c>
      <c r="X57" s="4">
        <v>105</v>
      </c>
      <c r="Y57" s="4">
        <v>62</v>
      </c>
      <c r="Z57" s="4">
        <v>1</v>
      </c>
      <c r="AA57" s="4">
        <v>0</v>
      </c>
      <c r="AB57" s="4" t="s">
        <v>734</v>
      </c>
      <c r="AC57" s="4">
        <v>0.41210965082683298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1"/>
      <c r="BJ57" s="1" t="s">
        <v>3208</v>
      </c>
      <c r="BK57" s="1">
        <v>1</v>
      </c>
      <c r="BL57" s="1"/>
      <c r="BM57" s="1" t="s">
        <v>373</v>
      </c>
      <c r="BN57" s="1" t="s">
        <v>2655</v>
      </c>
      <c r="BO57" s="1" t="s">
        <v>2656</v>
      </c>
      <c r="BP57" s="1">
        <v>6.32</v>
      </c>
      <c r="BQ57" s="1" t="s">
        <v>1003</v>
      </c>
      <c r="BR57" s="1">
        <v>24.081700000000001</v>
      </c>
      <c r="BS57" s="1">
        <v>121.5915</v>
      </c>
      <c r="BT57" s="1">
        <v>15.8</v>
      </c>
      <c r="BU57" s="1" t="s">
        <v>734</v>
      </c>
      <c r="BV57" s="1" t="s">
        <v>2571</v>
      </c>
      <c r="BW57" s="1">
        <v>43</v>
      </c>
      <c r="BX57" s="1">
        <v>57</v>
      </c>
      <c r="BY57" s="1">
        <v>100</v>
      </c>
      <c r="BZ57" s="1"/>
      <c r="CA57" s="1"/>
      <c r="CB57" s="1"/>
      <c r="CC57" s="1" t="s">
        <v>2566</v>
      </c>
      <c r="CD57" s="1" t="s">
        <v>731</v>
      </c>
      <c r="CE57" s="1"/>
      <c r="CF57" s="1"/>
      <c r="CG57" s="1"/>
      <c r="CH57" s="1"/>
      <c r="CI57" s="1"/>
      <c r="CJ57" s="1" t="s">
        <v>167</v>
      </c>
      <c r="CK57" t="s">
        <v>1262</v>
      </c>
      <c r="CL57">
        <v>57</v>
      </c>
      <c r="CM57" t="s">
        <v>2658</v>
      </c>
    </row>
    <row r="58" spans="1:91" ht="19" customHeight="1">
      <c r="A58" s="1" t="s">
        <v>3209</v>
      </c>
      <c r="B58" s="1" t="s">
        <v>3093</v>
      </c>
      <c r="C58" s="1">
        <v>58</v>
      </c>
      <c r="D58" s="1" t="s">
        <v>374</v>
      </c>
      <c r="E58" s="1">
        <v>1986</v>
      </c>
      <c r="F58" s="1" t="s">
        <v>796</v>
      </c>
      <c r="G58" s="1" t="s">
        <v>2058</v>
      </c>
      <c r="H58" s="4">
        <v>24.670300000000001</v>
      </c>
      <c r="I58" s="4">
        <v>121.75530000000001</v>
      </c>
      <c r="J58" s="1" t="s">
        <v>1396</v>
      </c>
      <c r="K58" s="1" t="s">
        <v>75</v>
      </c>
      <c r="L58" s="1" t="s">
        <v>2059</v>
      </c>
      <c r="M58" s="1" t="s">
        <v>3094</v>
      </c>
      <c r="N58" s="1"/>
      <c r="O58" s="1" t="s">
        <v>3095</v>
      </c>
      <c r="P58" s="1">
        <v>3649</v>
      </c>
      <c r="Q58" s="4">
        <v>6.3</v>
      </c>
      <c r="R58" s="4">
        <v>1.57</v>
      </c>
      <c r="S58" s="4"/>
      <c r="T58" s="4">
        <v>30.8</v>
      </c>
      <c r="U58" s="4">
        <v>59.4</v>
      </c>
      <c r="V58" s="4"/>
      <c r="W58" s="4">
        <v>69.400000000000006</v>
      </c>
      <c r="X58" s="4">
        <v>102</v>
      </c>
      <c r="Y58" s="4">
        <v>59</v>
      </c>
      <c r="Z58" s="4">
        <v>0</v>
      </c>
      <c r="AA58" s="4">
        <v>0</v>
      </c>
      <c r="AB58" s="4" t="s">
        <v>734</v>
      </c>
      <c r="AC58" s="4">
        <v>0.45107561936021667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1"/>
      <c r="BJ58" s="1" t="s">
        <v>3210</v>
      </c>
      <c r="BK58" s="1">
        <v>1</v>
      </c>
      <c r="BL58" s="1"/>
      <c r="BM58" s="1" t="s">
        <v>373</v>
      </c>
      <c r="BN58" s="1" t="s">
        <v>2655</v>
      </c>
      <c r="BO58" s="1" t="s">
        <v>2656</v>
      </c>
      <c r="BP58" s="1">
        <v>6.32</v>
      </c>
      <c r="BQ58" s="1" t="s">
        <v>1003</v>
      </c>
      <c r="BR58" s="1">
        <v>24.081700000000001</v>
      </c>
      <c r="BS58" s="1">
        <v>121.5915</v>
      </c>
      <c r="BT58" s="1">
        <v>15.8</v>
      </c>
      <c r="BU58" s="1" t="s">
        <v>734</v>
      </c>
      <c r="BV58" s="1" t="s">
        <v>2571</v>
      </c>
      <c r="BW58" s="1">
        <v>43</v>
      </c>
      <c r="BX58" s="1">
        <v>57</v>
      </c>
      <c r="BY58" s="1">
        <v>100</v>
      </c>
      <c r="BZ58" s="1"/>
      <c r="CA58" s="1"/>
      <c r="CB58" s="1"/>
      <c r="CC58" s="1" t="s">
        <v>2566</v>
      </c>
      <c r="CD58" s="1" t="s">
        <v>731</v>
      </c>
      <c r="CE58" s="1"/>
      <c r="CF58" s="1"/>
      <c r="CG58" s="1"/>
      <c r="CH58" s="1"/>
      <c r="CI58" s="1"/>
      <c r="CJ58" s="1" t="s">
        <v>167</v>
      </c>
      <c r="CK58" t="s">
        <v>1262</v>
      </c>
      <c r="CL58">
        <v>58</v>
      </c>
      <c r="CM58" t="s">
        <v>2658</v>
      </c>
    </row>
    <row r="59" spans="1:91" ht="19" customHeight="1">
      <c r="A59" s="1" t="s">
        <v>3211</v>
      </c>
      <c r="B59" s="1" t="s">
        <v>3093</v>
      </c>
      <c r="C59" s="1">
        <v>59</v>
      </c>
      <c r="D59" s="1" t="s">
        <v>374</v>
      </c>
      <c r="E59" s="1">
        <v>1986</v>
      </c>
      <c r="F59" s="1" t="s">
        <v>797</v>
      </c>
      <c r="G59" s="1" t="s">
        <v>2060</v>
      </c>
      <c r="H59" s="4">
        <v>24.675000000000001</v>
      </c>
      <c r="I59" s="4">
        <v>121.75579999999999</v>
      </c>
      <c r="J59" s="1" t="s">
        <v>1396</v>
      </c>
      <c r="K59" s="1" t="s">
        <v>75</v>
      </c>
      <c r="L59" s="1" t="s">
        <v>2061</v>
      </c>
      <c r="M59" s="1" t="s">
        <v>3094</v>
      </c>
      <c r="N59" s="1"/>
      <c r="O59" s="1" t="s">
        <v>3095</v>
      </c>
      <c r="P59" s="1">
        <v>3650</v>
      </c>
      <c r="Q59" s="4">
        <v>6.3</v>
      </c>
      <c r="R59" s="4">
        <v>1.6</v>
      </c>
      <c r="S59" s="4"/>
      <c r="T59" s="4">
        <v>30.4</v>
      </c>
      <c r="U59" s="4">
        <v>59.9</v>
      </c>
      <c r="V59" s="4"/>
      <c r="W59" s="4">
        <v>69.900000000000006</v>
      </c>
      <c r="X59" s="4">
        <v>111</v>
      </c>
      <c r="Y59" s="4">
        <v>68</v>
      </c>
      <c r="Z59" s="4">
        <v>0</v>
      </c>
      <c r="AA59" s="4">
        <v>0</v>
      </c>
      <c r="AB59" s="4" t="s">
        <v>734</v>
      </c>
      <c r="AC59" s="4">
        <v>0.47000362924573558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1"/>
      <c r="BJ59" s="1" t="s">
        <v>3212</v>
      </c>
      <c r="BK59" s="1">
        <v>1</v>
      </c>
      <c r="BL59" s="1"/>
      <c r="BM59" s="1" t="s">
        <v>373</v>
      </c>
      <c r="BN59" s="1" t="s">
        <v>2655</v>
      </c>
      <c r="BO59" s="1" t="s">
        <v>2656</v>
      </c>
      <c r="BP59" s="1">
        <v>6.32</v>
      </c>
      <c r="BQ59" s="1" t="s">
        <v>1003</v>
      </c>
      <c r="BR59" s="1">
        <v>24.081700000000001</v>
      </c>
      <c r="BS59" s="1">
        <v>121.5915</v>
      </c>
      <c r="BT59" s="1">
        <v>15.8</v>
      </c>
      <c r="BU59" s="1" t="s">
        <v>734</v>
      </c>
      <c r="BV59" s="1" t="s">
        <v>2571</v>
      </c>
      <c r="BW59" s="1">
        <v>43</v>
      </c>
      <c r="BX59" s="1">
        <v>57</v>
      </c>
      <c r="BY59" s="1">
        <v>100</v>
      </c>
      <c r="BZ59" s="1"/>
      <c r="CA59" s="1"/>
      <c r="CB59" s="1"/>
      <c r="CC59" s="1" t="s">
        <v>2566</v>
      </c>
      <c r="CD59" s="1" t="s">
        <v>731</v>
      </c>
      <c r="CE59" s="1"/>
      <c r="CF59" s="1"/>
      <c r="CG59" s="1"/>
      <c r="CH59" s="1"/>
      <c r="CI59" s="1"/>
      <c r="CJ59" s="1" t="s">
        <v>167</v>
      </c>
      <c r="CK59" t="s">
        <v>1262</v>
      </c>
      <c r="CL59">
        <v>59</v>
      </c>
      <c r="CM59" t="s">
        <v>2658</v>
      </c>
    </row>
    <row r="60" spans="1:91" ht="19" customHeight="1">
      <c r="A60" s="1" t="s">
        <v>3213</v>
      </c>
      <c r="B60" s="1" t="s">
        <v>3093</v>
      </c>
      <c r="C60" s="1">
        <v>60</v>
      </c>
      <c r="D60" s="1" t="s">
        <v>374</v>
      </c>
      <c r="E60" s="1">
        <v>1986</v>
      </c>
      <c r="F60" s="1" t="s">
        <v>798</v>
      </c>
      <c r="G60" s="1" t="s">
        <v>2062</v>
      </c>
      <c r="H60" s="4">
        <v>24.682400000000001</v>
      </c>
      <c r="I60" s="4">
        <v>121.7619</v>
      </c>
      <c r="J60" s="1" t="s">
        <v>1396</v>
      </c>
      <c r="K60" s="1" t="s">
        <v>75</v>
      </c>
      <c r="L60" s="1" t="s">
        <v>2063</v>
      </c>
      <c r="M60" s="1" t="s">
        <v>3094</v>
      </c>
      <c r="N60" s="1"/>
      <c r="O60" s="1" t="s">
        <v>3095</v>
      </c>
      <c r="P60" s="1">
        <v>3652</v>
      </c>
      <c r="Q60" s="4">
        <v>6.3</v>
      </c>
      <c r="R60" s="4">
        <v>1.44</v>
      </c>
      <c r="S60" s="4"/>
      <c r="T60" s="4">
        <v>25</v>
      </c>
      <c r="U60" s="4">
        <v>60.8</v>
      </c>
      <c r="V60" s="4"/>
      <c r="W60" s="4">
        <v>70.8</v>
      </c>
      <c r="X60" s="4">
        <v>144</v>
      </c>
      <c r="Y60" s="4">
        <v>79</v>
      </c>
      <c r="Z60" s="4">
        <v>1</v>
      </c>
      <c r="AA60" s="4">
        <v>0</v>
      </c>
      <c r="AB60" s="4" t="s">
        <v>734</v>
      </c>
      <c r="AC60" s="4">
        <v>0.36464311358790918</v>
      </c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1"/>
      <c r="BJ60" s="1" t="s">
        <v>3214</v>
      </c>
      <c r="BK60" s="1">
        <v>1</v>
      </c>
      <c r="BL60" s="1"/>
      <c r="BM60" s="1" t="s">
        <v>373</v>
      </c>
      <c r="BN60" s="1" t="s">
        <v>2655</v>
      </c>
      <c r="BO60" s="1" t="s">
        <v>2656</v>
      </c>
      <c r="BP60" s="1">
        <v>6.32</v>
      </c>
      <c r="BQ60" s="1" t="s">
        <v>1003</v>
      </c>
      <c r="BR60" s="1">
        <v>24.081700000000001</v>
      </c>
      <c r="BS60" s="1">
        <v>121.5915</v>
      </c>
      <c r="BT60" s="1">
        <v>15.8</v>
      </c>
      <c r="BU60" s="1" t="s">
        <v>734</v>
      </c>
      <c r="BV60" s="1" t="s">
        <v>2571</v>
      </c>
      <c r="BW60" s="1">
        <v>43</v>
      </c>
      <c r="BX60" s="1">
        <v>57</v>
      </c>
      <c r="BY60" s="1">
        <v>100</v>
      </c>
      <c r="BZ60" s="1"/>
      <c r="CA60" s="1"/>
      <c r="CB60" s="1"/>
      <c r="CC60" s="1" t="s">
        <v>2566</v>
      </c>
      <c r="CD60" s="1" t="s">
        <v>731</v>
      </c>
      <c r="CE60" s="1"/>
      <c r="CF60" s="1"/>
      <c r="CG60" s="1"/>
      <c r="CH60" s="1"/>
      <c r="CI60" s="1"/>
      <c r="CJ60" s="1" t="s">
        <v>167</v>
      </c>
      <c r="CK60" t="s">
        <v>1262</v>
      </c>
      <c r="CL60">
        <v>60</v>
      </c>
      <c r="CM60" t="s">
        <v>2658</v>
      </c>
    </row>
    <row r="61" spans="1:91" ht="19" customHeight="1">
      <c r="A61" s="1" t="s">
        <v>3215</v>
      </c>
      <c r="B61" s="1" t="s">
        <v>3093</v>
      </c>
      <c r="C61" s="1">
        <v>61</v>
      </c>
      <c r="D61" s="1" t="s">
        <v>374</v>
      </c>
      <c r="E61" s="1">
        <v>1986</v>
      </c>
      <c r="F61" s="1" t="s">
        <v>799</v>
      </c>
      <c r="G61" s="1" t="s">
        <v>2064</v>
      </c>
      <c r="H61" s="4">
        <v>24.670300000000001</v>
      </c>
      <c r="I61" s="4">
        <v>121.78400000000001</v>
      </c>
      <c r="J61" s="1" t="s">
        <v>1396</v>
      </c>
      <c r="K61" s="1" t="s">
        <v>75</v>
      </c>
      <c r="L61" s="1" t="s">
        <v>2065</v>
      </c>
      <c r="M61" s="1" t="s">
        <v>3094</v>
      </c>
      <c r="N61" s="1"/>
      <c r="O61" s="1" t="s">
        <v>3095</v>
      </c>
      <c r="P61" s="1">
        <v>3655</v>
      </c>
      <c r="Q61" s="4">
        <v>6.3</v>
      </c>
      <c r="R61" s="4">
        <v>1.44</v>
      </c>
      <c r="S61" s="4"/>
      <c r="T61" s="4">
        <v>36.700000000000003</v>
      </c>
      <c r="U61" s="4">
        <v>60</v>
      </c>
      <c r="V61" s="4"/>
      <c r="W61" s="4">
        <v>70.099999999999994</v>
      </c>
      <c r="X61" s="4">
        <v>98</v>
      </c>
      <c r="Y61" s="4">
        <v>55</v>
      </c>
      <c r="Z61" s="4">
        <v>1</v>
      </c>
      <c r="AA61" s="4">
        <v>0</v>
      </c>
      <c r="AB61" s="4" t="s">
        <v>734</v>
      </c>
      <c r="AC61" s="4">
        <v>0.36464311358790918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1"/>
      <c r="BJ61" s="1" t="s">
        <v>3216</v>
      </c>
      <c r="BK61" s="1">
        <v>1</v>
      </c>
      <c r="BL61" s="1"/>
      <c r="BM61" s="1" t="s">
        <v>373</v>
      </c>
      <c r="BN61" s="1" t="s">
        <v>2655</v>
      </c>
      <c r="BO61" s="1" t="s">
        <v>2656</v>
      </c>
      <c r="BP61" s="1">
        <v>6.32</v>
      </c>
      <c r="BQ61" s="1" t="s">
        <v>1003</v>
      </c>
      <c r="BR61" s="1">
        <v>24.081700000000001</v>
      </c>
      <c r="BS61" s="1">
        <v>121.5915</v>
      </c>
      <c r="BT61" s="1">
        <v>15.8</v>
      </c>
      <c r="BU61" s="1" t="s">
        <v>734</v>
      </c>
      <c r="BV61" s="1" t="s">
        <v>2571</v>
      </c>
      <c r="BW61" s="1">
        <v>43</v>
      </c>
      <c r="BX61" s="1">
        <v>57</v>
      </c>
      <c r="BY61" s="1">
        <v>100</v>
      </c>
      <c r="BZ61" s="1"/>
      <c r="CA61" s="1"/>
      <c r="CB61" s="1"/>
      <c r="CC61" s="1" t="s">
        <v>2566</v>
      </c>
      <c r="CD61" s="1" t="s">
        <v>731</v>
      </c>
      <c r="CE61" s="1"/>
      <c r="CF61" s="1"/>
      <c r="CG61" s="1"/>
      <c r="CH61" s="1"/>
      <c r="CI61" s="1"/>
      <c r="CJ61" s="1" t="s">
        <v>167</v>
      </c>
      <c r="CK61" t="s">
        <v>1262</v>
      </c>
      <c r="CL61">
        <v>61</v>
      </c>
      <c r="CM61" t="s">
        <v>2658</v>
      </c>
    </row>
    <row r="62" spans="1:91" ht="19" customHeight="1">
      <c r="A62" s="1" t="s">
        <v>3217</v>
      </c>
      <c r="B62" s="1" t="s">
        <v>3093</v>
      </c>
      <c r="C62" s="1">
        <v>62</v>
      </c>
      <c r="D62" s="1" t="s">
        <v>374</v>
      </c>
      <c r="E62" s="1">
        <v>1986</v>
      </c>
      <c r="F62" s="1" t="s">
        <v>800</v>
      </c>
      <c r="G62" s="1" t="s">
        <v>2066</v>
      </c>
      <c r="H62" s="4">
        <v>24.661999999999999</v>
      </c>
      <c r="I62" s="4">
        <v>121.7799</v>
      </c>
      <c r="J62" s="1" t="s">
        <v>1396</v>
      </c>
      <c r="K62" s="1" t="s">
        <v>75</v>
      </c>
      <c r="L62" s="1" t="s">
        <v>2067</v>
      </c>
      <c r="M62" s="1" t="s">
        <v>3094</v>
      </c>
      <c r="N62" s="1"/>
      <c r="O62" s="1" t="s">
        <v>3095</v>
      </c>
      <c r="P62" s="1">
        <v>3656</v>
      </c>
      <c r="Q62" s="4">
        <v>6.3</v>
      </c>
      <c r="R62" s="4">
        <v>1.48</v>
      </c>
      <c r="S62" s="4"/>
      <c r="T62" s="4">
        <v>33.4</v>
      </c>
      <c r="U62" s="4">
        <v>59</v>
      </c>
      <c r="V62" s="4"/>
      <c r="W62" s="4">
        <v>69.2</v>
      </c>
      <c r="X62" s="4">
        <v>97</v>
      </c>
      <c r="Y62" s="4">
        <v>54</v>
      </c>
      <c r="Z62" s="4">
        <v>1</v>
      </c>
      <c r="AA62" s="4">
        <v>0</v>
      </c>
      <c r="AB62" s="4" t="s">
        <v>734</v>
      </c>
      <c r="AC62" s="4">
        <v>0.39204208777602367</v>
      </c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1"/>
      <c r="BJ62" s="1" t="s">
        <v>3218</v>
      </c>
      <c r="BK62" s="1">
        <v>1</v>
      </c>
      <c r="BL62" s="1"/>
      <c r="BM62" s="1" t="s">
        <v>373</v>
      </c>
      <c r="BN62" s="1" t="s">
        <v>2655</v>
      </c>
      <c r="BO62" s="1" t="s">
        <v>2656</v>
      </c>
      <c r="BP62" s="1">
        <v>6.32</v>
      </c>
      <c r="BQ62" s="1" t="s">
        <v>1003</v>
      </c>
      <c r="BR62" s="1">
        <v>24.081700000000001</v>
      </c>
      <c r="BS62" s="1">
        <v>121.5915</v>
      </c>
      <c r="BT62" s="1">
        <v>15.8</v>
      </c>
      <c r="BU62" s="1" t="s">
        <v>734</v>
      </c>
      <c r="BV62" s="1" t="s">
        <v>2571</v>
      </c>
      <c r="BW62" s="1">
        <v>43</v>
      </c>
      <c r="BX62" s="1">
        <v>57</v>
      </c>
      <c r="BY62" s="1">
        <v>100</v>
      </c>
      <c r="BZ62" s="1"/>
      <c r="CA62" s="1"/>
      <c r="CB62" s="1"/>
      <c r="CC62" s="1" t="s">
        <v>2566</v>
      </c>
      <c r="CD62" s="1" t="s">
        <v>731</v>
      </c>
      <c r="CE62" s="1"/>
      <c r="CF62" s="1"/>
      <c r="CG62" s="1"/>
      <c r="CH62" s="1"/>
      <c r="CI62" s="1"/>
      <c r="CJ62" s="1" t="s">
        <v>167</v>
      </c>
      <c r="CK62" t="s">
        <v>1262</v>
      </c>
      <c r="CL62">
        <v>62</v>
      </c>
      <c r="CM62" t="s">
        <v>2658</v>
      </c>
    </row>
    <row r="63" spans="1:91" ht="19" customHeight="1">
      <c r="A63" s="1" t="s">
        <v>3219</v>
      </c>
      <c r="B63" s="1" t="s">
        <v>3093</v>
      </c>
      <c r="C63" s="1">
        <v>63</v>
      </c>
      <c r="D63" s="1" t="s">
        <v>374</v>
      </c>
      <c r="E63" s="1">
        <v>1986</v>
      </c>
      <c r="F63" s="1" t="s">
        <v>801</v>
      </c>
      <c r="G63" s="1" t="s">
        <v>2068</v>
      </c>
      <c r="H63" s="4">
        <v>24.656500000000001</v>
      </c>
      <c r="I63" s="4">
        <v>121.77079999999999</v>
      </c>
      <c r="J63" s="1" t="s">
        <v>1396</v>
      </c>
      <c r="K63" s="1" t="s">
        <v>75</v>
      </c>
      <c r="L63" s="1" t="s">
        <v>2069</v>
      </c>
      <c r="M63" s="1" t="s">
        <v>3094</v>
      </c>
      <c r="N63" s="1"/>
      <c r="O63" s="1" t="s">
        <v>3095</v>
      </c>
      <c r="P63" s="1">
        <v>3657</v>
      </c>
      <c r="Q63" s="4">
        <v>6.3</v>
      </c>
      <c r="R63" s="4">
        <v>1.6</v>
      </c>
      <c r="S63" s="4"/>
      <c r="T63" s="4">
        <v>34.299999999999997</v>
      </c>
      <c r="U63" s="4">
        <v>58.2</v>
      </c>
      <c r="V63" s="4"/>
      <c r="W63" s="4">
        <v>68.3</v>
      </c>
      <c r="X63" s="4">
        <v>105</v>
      </c>
      <c r="Y63" s="4">
        <v>62</v>
      </c>
      <c r="Z63" s="4">
        <v>1</v>
      </c>
      <c r="AA63" s="4">
        <v>0</v>
      </c>
      <c r="AB63" s="4" t="s">
        <v>734</v>
      </c>
      <c r="AC63" s="4">
        <v>0.47000362924573558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1"/>
      <c r="BJ63" s="1" t="s">
        <v>3220</v>
      </c>
      <c r="BK63" s="1">
        <v>1</v>
      </c>
      <c r="BL63" s="1"/>
      <c r="BM63" s="1" t="s">
        <v>373</v>
      </c>
      <c r="BN63" s="1" t="s">
        <v>2655</v>
      </c>
      <c r="BO63" s="1" t="s">
        <v>2656</v>
      </c>
      <c r="BP63" s="1">
        <v>6.32</v>
      </c>
      <c r="BQ63" s="1" t="s">
        <v>1003</v>
      </c>
      <c r="BR63" s="1">
        <v>24.081700000000001</v>
      </c>
      <c r="BS63" s="1">
        <v>121.5915</v>
      </c>
      <c r="BT63" s="1">
        <v>15.8</v>
      </c>
      <c r="BU63" s="1" t="s">
        <v>734</v>
      </c>
      <c r="BV63" s="1" t="s">
        <v>2571</v>
      </c>
      <c r="BW63" s="1">
        <v>43</v>
      </c>
      <c r="BX63" s="1">
        <v>57</v>
      </c>
      <c r="BY63" s="1">
        <v>100</v>
      </c>
      <c r="BZ63" s="1"/>
      <c r="CA63" s="1"/>
      <c r="CB63" s="1"/>
      <c r="CC63" s="1" t="s">
        <v>2566</v>
      </c>
      <c r="CD63" s="1" t="s">
        <v>731</v>
      </c>
      <c r="CE63" s="1"/>
      <c r="CF63" s="1"/>
      <c r="CG63" s="1"/>
      <c r="CH63" s="1"/>
      <c r="CI63" s="1"/>
      <c r="CJ63" s="1" t="s">
        <v>167</v>
      </c>
      <c r="CK63" t="s">
        <v>1262</v>
      </c>
      <c r="CL63">
        <v>63</v>
      </c>
      <c r="CM63" t="s">
        <v>2658</v>
      </c>
    </row>
    <row r="64" spans="1:91" ht="19" customHeight="1">
      <c r="A64" s="1" t="s">
        <v>3221</v>
      </c>
      <c r="B64" s="1" t="s">
        <v>3093</v>
      </c>
      <c r="C64" s="1">
        <v>64</v>
      </c>
      <c r="D64" s="1" t="s">
        <v>374</v>
      </c>
      <c r="E64" s="1">
        <v>1986</v>
      </c>
      <c r="F64" s="1" t="s">
        <v>802</v>
      </c>
      <c r="G64" s="1" t="s">
        <v>2072</v>
      </c>
      <c r="H64" s="4">
        <v>24.659400000000002</v>
      </c>
      <c r="I64" s="4">
        <v>121.7518</v>
      </c>
      <c r="J64" s="1" t="s">
        <v>1396</v>
      </c>
      <c r="K64" s="1" t="s">
        <v>75</v>
      </c>
      <c r="L64" s="1" t="s">
        <v>2073</v>
      </c>
      <c r="M64" s="1" t="s">
        <v>3094</v>
      </c>
      <c r="N64" s="1"/>
      <c r="O64" s="1" t="s">
        <v>3095</v>
      </c>
      <c r="P64" s="1">
        <v>3658</v>
      </c>
      <c r="Q64" s="4">
        <v>6.3</v>
      </c>
      <c r="R64" s="4">
        <v>1.44</v>
      </c>
      <c r="S64" s="4"/>
      <c r="T64" s="4">
        <v>31.9</v>
      </c>
      <c r="U64" s="4">
        <v>58.1</v>
      </c>
      <c r="V64" s="4"/>
      <c r="W64" s="4">
        <v>68.2</v>
      </c>
      <c r="X64" s="4">
        <v>113</v>
      </c>
      <c r="Y64" s="4">
        <v>70</v>
      </c>
      <c r="Z64" s="4">
        <v>1</v>
      </c>
      <c r="AA64" s="4">
        <v>0</v>
      </c>
      <c r="AB64" s="4" t="s">
        <v>734</v>
      </c>
      <c r="AC64" s="4">
        <v>0.36464311358790918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1"/>
      <c r="BJ64" s="1" t="s">
        <v>3222</v>
      </c>
      <c r="BK64" s="1">
        <v>1</v>
      </c>
      <c r="BL64" s="1"/>
      <c r="BM64" s="1" t="s">
        <v>373</v>
      </c>
      <c r="BN64" s="1" t="s">
        <v>2655</v>
      </c>
      <c r="BO64" s="1" t="s">
        <v>2656</v>
      </c>
      <c r="BP64" s="1">
        <v>6.32</v>
      </c>
      <c r="BQ64" s="1" t="s">
        <v>1003</v>
      </c>
      <c r="BR64" s="1">
        <v>24.081700000000001</v>
      </c>
      <c r="BS64" s="1">
        <v>121.5915</v>
      </c>
      <c r="BT64" s="1">
        <v>15.8</v>
      </c>
      <c r="BU64" s="1" t="s">
        <v>734</v>
      </c>
      <c r="BV64" s="1" t="s">
        <v>2571</v>
      </c>
      <c r="BW64" s="1">
        <v>43</v>
      </c>
      <c r="BX64" s="1">
        <v>57</v>
      </c>
      <c r="BY64" s="1">
        <v>100</v>
      </c>
      <c r="BZ64" s="1"/>
      <c r="CA64" s="1"/>
      <c r="CB64" s="1"/>
      <c r="CC64" s="1" t="s">
        <v>2566</v>
      </c>
      <c r="CD64" s="1" t="s">
        <v>731</v>
      </c>
      <c r="CE64" s="1"/>
      <c r="CF64" s="1"/>
      <c r="CG64" s="1"/>
      <c r="CH64" s="1"/>
      <c r="CI64" s="1"/>
      <c r="CJ64" s="1" t="s">
        <v>167</v>
      </c>
      <c r="CK64" t="s">
        <v>1262</v>
      </c>
      <c r="CL64">
        <v>64</v>
      </c>
      <c r="CM64" t="s">
        <v>2658</v>
      </c>
    </row>
    <row r="65" spans="1:91" ht="19" customHeight="1">
      <c r="A65" s="1" t="s">
        <v>3223</v>
      </c>
      <c r="B65" s="1" t="s">
        <v>3093</v>
      </c>
      <c r="C65" s="1">
        <v>65</v>
      </c>
      <c r="D65" s="1" t="s">
        <v>374</v>
      </c>
      <c r="E65" s="1">
        <v>1986</v>
      </c>
      <c r="F65" s="1" t="s">
        <v>803</v>
      </c>
      <c r="G65" s="1" t="s">
        <v>2074</v>
      </c>
      <c r="H65" s="4">
        <v>24.685600000000001</v>
      </c>
      <c r="I65" s="4">
        <v>121.75060000000001</v>
      </c>
      <c r="J65" s="1" t="s">
        <v>1396</v>
      </c>
      <c r="K65" s="1" t="s">
        <v>75</v>
      </c>
      <c r="L65" s="1" t="s">
        <v>2075</v>
      </c>
      <c r="M65" s="1" t="s">
        <v>3094</v>
      </c>
      <c r="N65" s="1"/>
      <c r="O65" s="1" t="s">
        <v>3095</v>
      </c>
      <c r="P65" s="1">
        <v>3660</v>
      </c>
      <c r="Q65" s="4">
        <v>6.3</v>
      </c>
      <c r="R65" s="4">
        <v>1.23</v>
      </c>
      <c r="S65" s="4"/>
      <c r="T65" s="4">
        <v>27.6</v>
      </c>
      <c r="U65" s="4">
        <v>60.9</v>
      </c>
      <c r="V65" s="4"/>
      <c r="W65" s="4">
        <v>70.900000000000006</v>
      </c>
      <c r="X65" s="4">
        <v>69</v>
      </c>
      <c r="Y65" s="4">
        <v>26</v>
      </c>
      <c r="Z65" s="4">
        <v>0</v>
      </c>
      <c r="AA65" s="4">
        <v>0</v>
      </c>
      <c r="AB65" s="4" t="s">
        <v>734</v>
      </c>
      <c r="AC65" s="4">
        <v>0.2070141693843261</v>
      </c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1"/>
      <c r="BJ65" s="1" t="s">
        <v>3224</v>
      </c>
      <c r="BK65" s="1">
        <v>1</v>
      </c>
      <c r="BL65" s="1"/>
      <c r="BM65" s="1" t="s">
        <v>373</v>
      </c>
      <c r="BN65" s="1" t="s">
        <v>2655</v>
      </c>
      <c r="BO65" s="1" t="s">
        <v>2656</v>
      </c>
      <c r="BP65" s="1">
        <v>6.32</v>
      </c>
      <c r="BQ65" s="1" t="s">
        <v>1003</v>
      </c>
      <c r="BR65" s="1">
        <v>24.081700000000001</v>
      </c>
      <c r="BS65" s="1">
        <v>121.5915</v>
      </c>
      <c r="BT65" s="1">
        <v>15.8</v>
      </c>
      <c r="BU65" s="1" t="s">
        <v>734</v>
      </c>
      <c r="BV65" s="1" t="s">
        <v>2571</v>
      </c>
      <c r="BW65" s="1">
        <v>43</v>
      </c>
      <c r="BX65" s="1">
        <v>57</v>
      </c>
      <c r="BY65" s="1">
        <v>100</v>
      </c>
      <c r="BZ65" s="1"/>
      <c r="CA65" s="1"/>
      <c r="CB65" s="1"/>
      <c r="CC65" s="1" t="s">
        <v>2566</v>
      </c>
      <c r="CD65" s="1" t="s">
        <v>731</v>
      </c>
      <c r="CE65" s="1"/>
      <c r="CF65" s="1"/>
      <c r="CG65" s="1"/>
      <c r="CH65" s="1"/>
      <c r="CI65" s="1"/>
      <c r="CJ65" s="1" t="s">
        <v>167</v>
      </c>
      <c r="CK65" t="s">
        <v>1262</v>
      </c>
      <c r="CL65">
        <v>65</v>
      </c>
      <c r="CM65" t="s">
        <v>2658</v>
      </c>
    </row>
    <row r="66" spans="1:91" ht="19" customHeight="1">
      <c r="A66" s="1" t="s">
        <v>3225</v>
      </c>
      <c r="B66" s="1" t="s">
        <v>3093</v>
      </c>
      <c r="C66" s="1">
        <v>66</v>
      </c>
      <c r="D66" s="1" t="s">
        <v>804</v>
      </c>
      <c r="E66" s="1">
        <v>1986</v>
      </c>
      <c r="F66" s="1" t="s">
        <v>805</v>
      </c>
      <c r="G66" s="1" t="s">
        <v>1654</v>
      </c>
      <c r="H66" s="4">
        <v>13.7</v>
      </c>
      <c r="I66" s="4">
        <v>-89.174999999999997</v>
      </c>
      <c r="J66" s="1" t="s">
        <v>1396</v>
      </c>
      <c r="K66" s="1" t="s">
        <v>75</v>
      </c>
      <c r="L66" s="1" t="s">
        <v>1655</v>
      </c>
      <c r="M66" s="1" t="s">
        <v>3094</v>
      </c>
      <c r="N66" s="1"/>
      <c r="O66" s="1" t="s">
        <v>3095</v>
      </c>
      <c r="P66" s="1">
        <v>568</v>
      </c>
      <c r="Q66" s="4">
        <v>5.8</v>
      </c>
      <c r="R66" s="4">
        <v>0.81</v>
      </c>
      <c r="S66" s="4"/>
      <c r="T66" s="4">
        <v>68.3</v>
      </c>
      <c r="U66" s="4">
        <v>6.3</v>
      </c>
      <c r="V66" s="4"/>
      <c r="W66" s="4">
        <v>13.5</v>
      </c>
      <c r="X66" s="4">
        <v>121</v>
      </c>
      <c r="Y66" s="4">
        <v>89</v>
      </c>
      <c r="Z66" s="4">
        <v>1</v>
      </c>
      <c r="AA66" s="4">
        <v>1</v>
      </c>
      <c r="AB66" s="4" t="s">
        <v>730</v>
      </c>
      <c r="AC66" s="4">
        <v>-0.21072103131565251</v>
      </c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1"/>
      <c r="BJ66" s="1" t="s">
        <v>3226</v>
      </c>
      <c r="BK66" s="1">
        <v>1</v>
      </c>
      <c r="BL66" s="1"/>
      <c r="BM66" s="1" t="s">
        <v>366</v>
      </c>
      <c r="BN66" s="1" t="s">
        <v>2659</v>
      </c>
      <c r="BO66" s="1" t="s">
        <v>2660</v>
      </c>
      <c r="BP66" s="1">
        <v>5.8</v>
      </c>
      <c r="BQ66" s="1" t="s">
        <v>1003</v>
      </c>
      <c r="BR66" s="1">
        <v>13.632999999999999</v>
      </c>
      <c r="BS66" s="1">
        <v>-89.2</v>
      </c>
      <c r="BT66" s="1">
        <v>10.9</v>
      </c>
      <c r="BU66" s="1" t="s">
        <v>730</v>
      </c>
      <c r="BV66" s="1" t="s">
        <v>2571</v>
      </c>
      <c r="BW66" s="1">
        <v>32</v>
      </c>
      <c r="BX66" s="1">
        <v>85</v>
      </c>
      <c r="BY66" s="1">
        <v>0</v>
      </c>
      <c r="BZ66" s="1"/>
      <c r="CA66" s="1"/>
      <c r="CB66" s="1"/>
      <c r="CC66" s="1" t="s">
        <v>2566</v>
      </c>
      <c r="CD66" s="1" t="s">
        <v>731</v>
      </c>
      <c r="CE66" s="1"/>
      <c r="CF66" s="1"/>
      <c r="CG66" s="1"/>
      <c r="CH66" s="1"/>
      <c r="CI66" s="1"/>
      <c r="CJ66" s="1" t="s">
        <v>167</v>
      </c>
      <c r="CK66" t="s">
        <v>1262</v>
      </c>
      <c r="CL66">
        <v>66</v>
      </c>
      <c r="CM66" t="s">
        <v>2662</v>
      </c>
    </row>
    <row r="67" spans="1:91" ht="19" customHeight="1">
      <c r="A67" s="1" t="s">
        <v>3227</v>
      </c>
      <c r="B67" s="1" t="s">
        <v>3093</v>
      </c>
      <c r="C67" s="1">
        <v>67</v>
      </c>
      <c r="D67" s="1" t="s">
        <v>804</v>
      </c>
      <c r="E67" s="1">
        <v>1986</v>
      </c>
      <c r="F67" s="1" t="s">
        <v>806</v>
      </c>
      <c r="G67" s="1" t="s">
        <v>1657</v>
      </c>
      <c r="H67" s="4">
        <v>13.714</v>
      </c>
      <c r="I67" s="4">
        <v>-89.171000000000006</v>
      </c>
      <c r="J67" s="1" t="s">
        <v>1396</v>
      </c>
      <c r="K67" s="1" t="s">
        <v>75</v>
      </c>
      <c r="L67" s="1" t="s">
        <v>1658</v>
      </c>
      <c r="M67" s="1" t="s">
        <v>3094</v>
      </c>
      <c r="N67" s="1"/>
      <c r="O67" s="1" t="s">
        <v>3095</v>
      </c>
      <c r="P67" s="1">
        <v>569</v>
      </c>
      <c r="Q67" s="4">
        <v>5.8</v>
      </c>
      <c r="R67" s="4">
        <v>1.1299999999999999</v>
      </c>
      <c r="S67" s="4"/>
      <c r="T67" s="4">
        <v>92.2</v>
      </c>
      <c r="U67" s="4">
        <v>7</v>
      </c>
      <c r="V67" s="4"/>
      <c r="W67" s="4">
        <v>14.5</v>
      </c>
      <c r="X67" s="4">
        <v>231</v>
      </c>
      <c r="Y67" s="4">
        <v>19</v>
      </c>
      <c r="Z67" s="4">
        <v>0</v>
      </c>
      <c r="AA67" s="4">
        <v>1</v>
      </c>
      <c r="AB67" s="4" t="s">
        <v>730</v>
      </c>
      <c r="AC67" s="4">
        <v>0.1222176327242491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1"/>
      <c r="BJ67" s="1" t="s">
        <v>3228</v>
      </c>
      <c r="BK67" s="1">
        <v>1</v>
      </c>
      <c r="BL67" s="1"/>
      <c r="BM67" s="1" t="s">
        <v>366</v>
      </c>
      <c r="BN67" s="1" t="s">
        <v>2659</v>
      </c>
      <c r="BO67" s="1" t="s">
        <v>2660</v>
      </c>
      <c r="BP67" s="1">
        <v>5.8</v>
      </c>
      <c r="BQ67" s="1" t="s">
        <v>1003</v>
      </c>
      <c r="BR67" s="1">
        <v>13.632999999999999</v>
      </c>
      <c r="BS67" s="1">
        <v>-89.2</v>
      </c>
      <c r="BT67" s="1">
        <v>10.9</v>
      </c>
      <c r="BU67" s="1" t="s">
        <v>730</v>
      </c>
      <c r="BV67" s="1" t="s">
        <v>2571</v>
      </c>
      <c r="BW67" s="1">
        <v>32</v>
      </c>
      <c r="BX67" s="1">
        <v>85</v>
      </c>
      <c r="BY67" s="1">
        <v>0</v>
      </c>
      <c r="BZ67" s="1"/>
      <c r="CA67" s="1"/>
      <c r="CB67" s="1"/>
      <c r="CC67" s="1" t="s">
        <v>2566</v>
      </c>
      <c r="CD67" s="1" t="s">
        <v>731</v>
      </c>
      <c r="CE67" s="1"/>
      <c r="CF67" s="1"/>
      <c r="CG67" s="1"/>
      <c r="CH67" s="1"/>
      <c r="CI67" s="1"/>
      <c r="CJ67" s="1" t="s">
        <v>167</v>
      </c>
      <c r="CK67" t="s">
        <v>1262</v>
      </c>
      <c r="CL67">
        <v>67</v>
      </c>
      <c r="CM67" t="s">
        <v>2662</v>
      </c>
    </row>
    <row r="68" spans="1:91" ht="19" customHeight="1">
      <c r="A68" s="1" t="s">
        <v>3229</v>
      </c>
      <c r="B68" s="1" t="s">
        <v>3093</v>
      </c>
      <c r="C68" s="1">
        <v>68</v>
      </c>
      <c r="D68" s="1" t="s">
        <v>387</v>
      </c>
      <c r="E68" s="1">
        <v>1987</v>
      </c>
      <c r="F68" s="1" t="s">
        <v>807</v>
      </c>
      <c r="G68" s="1" t="s">
        <v>2313</v>
      </c>
      <c r="H68" s="4">
        <v>33.965000000000003</v>
      </c>
      <c r="I68" s="4">
        <v>-118.158</v>
      </c>
      <c r="J68" s="1" t="s">
        <v>1396</v>
      </c>
      <c r="K68" s="1" t="s">
        <v>75</v>
      </c>
      <c r="L68" s="1" t="s">
        <v>2314</v>
      </c>
      <c r="M68" s="1" t="s">
        <v>3094</v>
      </c>
      <c r="N68" s="1"/>
      <c r="O68" s="1" t="s">
        <v>3095</v>
      </c>
      <c r="P68" s="1">
        <v>595</v>
      </c>
      <c r="Q68" s="4">
        <v>6</v>
      </c>
      <c r="R68" s="4">
        <v>0.82</v>
      </c>
      <c r="S68" s="4"/>
      <c r="T68" s="4">
        <v>30</v>
      </c>
      <c r="U68" s="4">
        <v>17.8</v>
      </c>
      <c r="V68" s="4"/>
      <c r="W68" s="4">
        <v>18.8</v>
      </c>
      <c r="X68" s="4">
        <v>133</v>
      </c>
      <c r="Y68" s="4">
        <v>33</v>
      </c>
      <c r="Z68" s="4">
        <v>0</v>
      </c>
      <c r="AA68" s="4">
        <v>0</v>
      </c>
      <c r="AB68" s="4" t="s">
        <v>734</v>
      </c>
      <c r="AC68" s="4">
        <v>-0.19845093872383829</v>
      </c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1"/>
      <c r="BJ68" s="1" t="s">
        <v>3230</v>
      </c>
      <c r="BK68" s="1">
        <v>1</v>
      </c>
      <c r="BL68" s="1"/>
      <c r="BM68" s="1" t="s">
        <v>386</v>
      </c>
      <c r="BN68" s="1" t="s">
        <v>2664</v>
      </c>
      <c r="BO68" s="1" t="s">
        <v>2665</v>
      </c>
      <c r="BP68" s="1">
        <v>5.99</v>
      </c>
      <c r="BQ68" s="1" t="s">
        <v>1003</v>
      </c>
      <c r="BR68" s="1">
        <v>34.049300000000002</v>
      </c>
      <c r="BS68" s="1">
        <v>-118.081</v>
      </c>
      <c r="BT68" s="1">
        <v>14.6</v>
      </c>
      <c r="BU68" s="1" t="s">
        <v>734</v>
      </c>
      <c r="BV68" s="1" t="s">
        <v>2571</v>
      </c>
      <c r="BW68" s="1">
        <v>280</v>
      </c>
      <c r="BX68" s="1">
        <v>30</v>
      </c>
      <c r="BY68" s="1">
        <v>150</v>
      </c>
      <c r="BZ68" s="1"/>
      <c r="CA68" s="1"/>
      <c r="CB68" s="1"/>
      <c r="CC68" s="1" t="s">
        <v>2566</v>
      </c>
      <c r="CD68" s="1" t="s">
        <v>731</v>
      </c>
      <c r="CE68" s="1"/>
      <c r="CF68" s="1"/>
      <c r="CG68" s="1"/>
      <c r="CH68" s="1"/>
      <c r="CI68" s="1"/>
      <c r="CJ68" s="1" t="s">
        <v>167</v>
      </c>
      <c r="CK68" t="s">
        <v>1262</v>
      </c>
      <c r="CL68">
        <v>68</v>
      </c>
      <c r="CM68" t="s">
        <v>2668</v>
      </c>
    </row>
    <row r="69" spans="1:91" ht="19" customHeight="1">
      <c r="A69" s="1" t="s">
        <v>3231</v>
      </c>
      <c r="B69" s="1" t="s">
        <v>3093</v>
      </c>
      <c r="C69" s="1">
        <v>69</v>
      </c>
      <c r="D69" s="1" t="s">
        <v>387</v>
      </c>
      <c r="E69" s="1">
        <v>1987</v>
      </c>
      <c r="F69" s="1" t="s">
        <v>808</v>
      </c>
      <c r="G69" s="1" t="s">
        <v>2328</v>
      </c>
      <c r="H69" s="4">
        <v>33.899000000000001</v>
      </c>
      <c r="I69" s="4">
        <v>-118.196</v>
      </c>
      <c r="J69" s="1" t="s">
        <v>1396</v>
      </c>
      <c r="K69" s="1" t="s">
        <v>75</v>
      </c>
      <c r="L69" s="1" t="s">
        <v>2329</v>
      </c>
      <c r="M69" s="1" t="s">
        <v>3094</v>
      </c>
      <c r="N69" s="1"/>
      <c r="O69" s="1" t="s">
        <v>3095</v>
      </c>
      <c r="P69" s="1">
        <v>611</v>
      </c>
      <c r="Q69" s="4">
        <v>6</v>
      </c>
      <c r="R69" s="4">
        <v>0.87</v>
      </c>
      <c r="S69" s="4"/>
      <c r="T69" s="4">
        <v>32.799999999999997</v>
      </c>
      <c r="U69" s="4">
        <v>23.4</v>
      </c>
      <c r="V69" s="4"/>
      <c r="W69" s="4">
        <v>24.6</v>
      </c>
      <c r="X69" s="4">
        <v>25</v>
      </c>
      <c r="Y69" s="4">
        <v>75</v>
      </c>
      <c r="Z69" s="4">
        <v>1</v>
      </c>
      <c r="AA69" s="4">
        <v>0</v>
      </c>
      <c r="AB69" s="4" t="s">
        <v>734</v>
      </c>
      <c r="AC69" s="4">
        <v>-0.13926206733350771</v>
      </c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1"/>
      <c r="BJ69" s="1" t="s">
        <v>3232</v>
      </c>
      <c r="BK69" s="1">
        <v>1</v>
      </c>
      <c r="BL69" s="1"/>
      <c r="BM69" s="1" t="s">
        <v>386</v>
      </c>
      <c r="BN69" s="1" t="s">
        <v>2664</v>
      </c>
      <c r="BO69" s="1" t="s">
        <v>2665</v>
      </c>
      <c r="BP69" s="1">
        <v>5.99</v>
      </c>
      <c r="BQ69" s="1" t="s">
        <v>1003</v>
      </c>
      <c r="BR69" s="1">
        <v>34.049300000000002</v>
      </c>
      <c r="BS69" s="1">
        <v>-118.081</v>
      </c>
      <c r="BT69" s="1">
        <v>14.6</v>
      </c>
      <c r="BU69" s="1" t="s">
        <v>734</v>
      </c>
      <c r="BV69" s="1" t="s">
        <v>2571</v>
      </c>
      <c r="BW69" s="1">
        <v>280</v>
      </c>
      <c r="BX69" s="1">
        <v>30</v>
      </c>
      <c r="BY69" s="1">
        <v>150</v>
      </c>
      <c r="BZ69" s="1"/>
      <c r="CA69" s="1"/>
      <c r="CB69" s="1"/>
      <c r="CC69" s="1" t="s">
        <v>2566</v>
      </c>
      <c r="CD69" s="1" t="s">
        <v>731</v>
      </c>
      <c r="CE69" s="1"/>
      <c r="CF69" s="1"/>
      <c r="CG69" s="1"/>
      <c r="CH69" s="1"/>
      <c r="CI69" s="1"/>
      <c r="CJ69" s="1" t="s">
        <v>167</v>
      </c>
      <c r="CK69" t="s">
        <v>1262</v>
      </c>
      <c r="CL69">
        <v>69</v>
      </c>
      <c r="CM69" t="s">
        <v>2668</v>
      </c>
    </row>
    <row r="70" spans="1:91" ht="19" customHeight="1">
      <c r="A70" s="1" t="s">
        <v>3233</v>
      </c>
      <c r="B70" s="1" t="s">
        <v>3093</v>
      </c>
      <c r="C70" s="1">
        <v>70</v>
      </c>
      <c r="D70" s="1" t="s">
        <v>387</v>
      </c>
      <c r="E70" s="1">
        <v>1987</v>
      </c>
      <c r="F70" s="1" t="s">
        <v>809</v>
      </c>
      <c r="G70" s="1" t="s">
        <v>2334</v>
      </c>
      <c r="H70" s="4">
        <v>33.92</v>
      </c>
      <c r="I70" s="4">
        <v>-118.137</v>
      </c>
      <c r="J70" s="1" t="s">
        <v>1396</v>
      </c>
      <c r="K70" s="1" t="s">
        <v>75</v>
      </c>
      <c r="L70" s="1" t="s">
        <v>2335</v>
      </c>
      <c r="M70" s="1" t="s">
        <v>3094</v>
      </c>
      <c r="N70" s="1"/>
      <c r="O70" s="1" t="s">
        <v>3095</v>
      </c>
      <c r="P70" s="1">
        <v>614</v>
      </c>
      <c r="Q70" s="4">
        <v>6</v>
      </c>
      <c r="R70" s="4">
        <v>0.86</v>
      </c>
      <c r="S70" s="4"/>
      <c r="T70" s="4">
        <v>40.1</v>
      </c>
      <c r="U70" s="4">
        <v>20.8</v>
      </c>
      <c r="V70" s="4"/>
      <c r="W70" s="4">
        <v>21.1</v>
      </c>
      <c r="X70" s="4">
        <v>176</v>
      </c>
      <c r="Y70" s="4">
        <v>76</v>
      </c>
      <c r="Z70" s="4">
        <v>1</v>
      </c>
      <c r="AA70" s="4">
        <v>0</v>
      </c>
      <c r="AB70" s="4" t="s">
        <v>734</v>
      </c>
      <c r="AC70" s="4">
        <v>-0.15082288973458369</v>
      </c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1"/>
      <c r="BJ70" s="1" t="s">
        <v>3234</v>
      </c>
      <c r="BK70" s="1">
        <v>1</v>
      </c>
      <c r="BL70" s="1"/>
      <c r="BM70" s="1" t="s">
        <v>386</v>
      </c>
      <c r="BN70" s="1" t="s">
        <v>2664</v>
      </c>
      <c r="BO70" s="1" t="s">
        <v>2665</v>
      </c>
      <c r="BP70" s="1">
        <v>5.99</v>
      </c>
      <c r="BQ70" s="1" t="s">
        <v>1003</v>
      </c>
      <c r="BR70" s="1">
        <v>34.049300000000002</v>
      </c>
      <c r="BS70" s="1">
        <v>-118.081</v>
      </c>
      <c r="BT70" s="1">
        <v>14.6</v>
      </c>
      <c r="BU70" s="1" t="s">
        <v>734</v>
      </c>
      <c r="BV70" s="1" t="s">
        <v>2571</v>
      </c>
      <c r="BW70" s="1">
        <v>280</v>
      </c>
      <c r="BX70" s="1">
        <v>30</v>
      </c>
      <c r="BY70" s="1">
        <v>150</v>
      </c>
      <c r="BZ70" s="1"/>
      <c r="CA70" s="1"/>
      <c r="CB70" s="1"/>
      <c r="CC70" s="1" t="s">
        <v>2566</v>
      </c>
      <c r="CD70" s="1" t="s">
        <v>731</v>
      </c>
      <c r="CE70" s="1"/>
      <c r="CF70" s="1"/>
      <c r="CG70" s="1"/>
      <c r="CH70" s="1"/>
      <c r="CI70" s="1"/>
      <c r="CJ70" s="1" t="s">
        <v>167</v>
      </c>
      <c r="CK70" t="s">
        <v>1262</v>
      </c>
      <c r="CL70">
        <v>70</v>
      </c>
      <c r="CM70" t="s">
        <v>2668</v>
      </c>
    </row>
    <row r="71" spans="1:91" ht="19" customHeight="1">
      <c r="A71" s="1" t="s">
        <v>3235</v>
      </c>
      <c r="B71" s="1" t="s">
        <v>3093</v>
      </c>
      <c r="C71" s="1">
        <v>71</v>
      </c>
      <c r="D71" s="1" t="s">
        <v>387</v>
      </c>
      <c r="E71" s="1">
        <v>1987</v>
      </c>
      <c r="F71" s="1" t="s">
        <v>810</v>
      </c>
      <c r="G71" s="1" t="s">
        <v>2336</v>
      </c>
      <c r="H71" s="4">
        <v>33.923999999999999</v>
      </c>
      <c r="I71" s="4">
        <v>-118.167</v>
      </c>
      <c r="J71" s="1" t="s">
        <v>1396</v>
      </c>
      <c r="K71" s="1" t="s">
        <v>75</v>
      </c>
      <c r="L71" s="1" t="s">
        <v>2337</v>
      </c>
      <c r="M71" s="1" t="s">
        <v>3094</v>
      </c>
      <c r="N71" s="1"/>
      <c r="O71" s="1" t="s">
        <v>3095</v>
      </c>
      <c r="P71" s="1">
        <v>615</v>
      </c>
      <c r="Q71" s="4">
        <v>6</v>
      </c>
      <c r="R71" s="4">
        <v>0.88</v>
      </c>
      <c r="S71" s="4"/>
      <c r="T71" s="4">
        <v>33.1</v>
      </c>
      <c r="U71" s="4">
        <v>20.8</v>
      </c>
      <c r="V71" s="4"/>
      <c r="W71" s="4">
        <v>21.7</v>
      </c>
      <c r="X71" s="4">
        <v>207</v>
      </c>
      <c r="Y71" s="4">
        <v>73</v>
      </c>
      <c r="Z71" s="4">
        <v>1</v>
      </c>
      <c r="AA71" s="4">
        <v>0</v>
      </c>
      <c r="AB71" s="4" t="s">
        <v>734</v>
      </c>
      <c r="AC71" s="4">
        <v>-0.12783337150988491</v>
      </c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1"/>
      <c r="BJ71" s="1" t="s">
        <v>3236</v>
      </c>
      <c r="BK71" s="1">
        <v>1</v>
      </c>
      <c r="BL71" s="1"/>
      <c r="BM71" s="1" t="s">
        <v>386</v>
      </c>
      <c r="BN71" s="1" t="s">
        <v>2664</v>
      </c>
      <c r="BO71" s="1" t="s">
        <v>2665</v>
      </c>
      <c r="BP71" s="1">
        <v>5.99</v>
      </c>
      <c r="BQ71" s="1" t="s">
        <v>1003</v>
      </c>
      <c r="BR71" s="1">
        <v>34.049300000000002</v>
      </c>
      <c r="BS71" s="1">
        <v>-118.081</v>
      </c>
      <c r="BT71" s="1">
        <v>14.6</v>
      </c>
      <c r="BU71" s="1" t="s">
        <v>734</v>
      </c>
      <c r="BV71" s="1" t="s">
        <v>2571</v>
      </c>
      <c r="BW71" s="1">
        <v>280</v>
      </c>
      <c r="BX71" s="1">
        <v>30</v>
      </c>
      <c r="BY71" s="1">
        <v>150</v>
      </c>
      <c r="BZ71" s="1"/>
      <c r="CA71" s="1"/>
      <c r="CB71" s="1"/>
      <c r="CC71" s="1" t="s">
        <v>2566</v>
      </c>
      <c r="CD71" s="1" t="s">
        <v>731</v>
      </c>
      <c r="CE71" s="1"/>
      <c r="CF71" s="1"/>
      <c r="CG71" s="1"/>
      <c r="CH71" s="1"/>
      <c r="CI71" s="1"/>
      <c r="CJ71" s="1" t="s">
        <v>167</v>
      </c>
      <c r="CK71" t="s">
        <v>1262</v>
      </c>
      <c r="CL71">
        <v>71</v>
      </c>
      <c r="CM71" t="s">
        <v>2668</v>
      </c>
    </row>
    <row r="72" spans="1:91" ht="19" customHeight="1">
      <c r="A72" s="1" t="s">
        <v>3237</v>
      </c>
      <c r="B72" s="1" t="s">
        <v>3093</v>
      </c>
      <c r="C72" s="1">
        <v>72</v>
      </c>
      <c r="D72" s="1" t="s">
        <v>387</v>
      </c>
      <c r="E72" s="1">
        <v>1987</v>
      </c>
      <c r="F72" s="1" t="s">
        <v>811</v>
      </c>
      <c r="G72" s="1" t="s">
        <v>2413</v>
      </c>
      <c r="H72" s="4">
        <v>33.881</v>
      </c>
      <c r="I72" s="4">
        <v>-118.176</v>
      </c>
      <c r="J72" s="1" t="s">
        <v>1396</v>
      </c>
      <c r="K72" s="1" t="s">
        <v>75</v>
      </c>
      <c r="L72" s="1" t="s">
        <v>2414</v>
      </c>
      <c r="M72" s="1" t="s">
        <v>3094</v>
      </c>
      <c r="N72" s="1"/>
      <c r="O72" s="1" t="s">
        <v>3095</v>
      </c>
      <c r="P72" s="1">
        <v>645</v>
      </c>
      <c r="Q72" s="4">
        <v>6</v>
      </c>
      <c r="R72" s="4">
        <v>0.9</v>
      </c>
      <c r="S72" s="4"/>
      <c r="T72" s="4">
        <v>31.2</v>
      </c>
      <c r="U72" s="4">
        <v>24.5</v>
      </c>
      <c r="V72" s="4"/>
      <c r="W72" s="4">
        <v>25.3</v>
      </c>
      <c r="X72" s="4">
        <v>13</v>
      </c>
      <c r="Y72" s="4">
        <v>87</v>
      </c>
      <c r="Z72" s="4">
        <v>1</v>
      </c>
      <c r="AA72" s="4">
        <v>0</v>
      </c>
      <c r="AB72" s="4" t="s">
        <v>734</v>
      </c>
      <c r="AC72" s="4">
        <v>-0.1053605156578263</v>
      </c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1"/>
      <c r="BJ72" s="1" t="s">
        <v>3238</v>
      </c>
      <c r="BK72" s="1">
        <v>1</v>
      </c>
      <c r="BL72" s="1"/>
      <c r="BM72" s="1" t="s">
        <v>386</v>
      </c>
      <c r="BN72" s="1" t="s">
        <v>2664</v>
      </c>
      <c r="BO72" s="1" t="s">
        <v>2665</v>
      </c>
      <c r="BP72" s="1">
        <v>5.99</v>
      </c>
      <c r="BQ72" s="1" t="s">
        <v>1003</v>
      </c>
      <c r="BR72" s="1">
        <v>34.049300000000002</v>
      </c>
      <c r="BS72" s="1">
        <v>-118.081</v>
      </c>
      <c r="BT72" s="1">
        <v>14.6</v>
      </c>
      <c r="BU72" s="1" t="s">
        <v>734</v>
      </c>
      <c r="BV72" s="1" t="s">
        <v>2571</v>
      </c>
      <c r="BW72" s="1">
        <v>280</v>
      </c>
      <c r="BX72" s="1">
        <v>30</v>
      </c>
      <c r="BY72" s="1">
        <v>150</v>
      </c>
      <c r="BZ72" s="1"/>
      <c r="CA72" s="1"/>
      <c r="CB72" s="1"/>
      <c r="CC72" s="1" t="s">
        <v>2566</v>
      </c>
      <c r="CD72" s="1" t="s">
        <v>731</v>
      </c>
      <c r="CE72" s="1"/>
      <c r="CF72" s="1"/>
      <c r="CG72" s="1"/>
      <c r="CH72" s="1"/>
      <c r="CI72" s="1"/>
      <c r="CJ72" s="1" t="s">
        <v>167</v>
      </c>
      <c r="CK72" t="s">
        <v>1262</v>
      </c>
      <c r="CL72">
        <v>72</v>
      </c>
      <c r="CM72" t="s">
        <v>2668</v>
      </c>
    </row>
    <row r="73" spans="1:91" ht="19" customHeight="1">
      <c r="A73" s="1" t="s">
        <v>3239</v>
      </c>
      <c r="B73" s="1" t="s">
        <v>3093</v>
      </c>
      <c r="C73" s="1">
        <v>73</v>
      </c>
      <c r="D73" s="1" t="s">
        <v>387</v>
      </c>
      <c r="E73" s="1">
        <v>1987</v>
      </c>
      <c r="F73" s="1" t="s">
        <v>812</v>
      </c>
      <c r="G73" s="1" t="s">
        <v>2433</v>
      </c>
      <c r="H73" s="4">
        <v>33.914999999999999</v>
      </c>
      <c r="I73" s="4">
        <v>-118.07</v>
      </c>
      <c r="J73" s="1" t="s">
        <v>1396</v>
      </c>
      <c r="K73" s="1" t="s">
        <v>75</v>
      </c>
      <c r="L73" s="1" t="s">
        <v>2434</v>
      </c>
      <c r="M73" s="1" t="s">
        <v>3094</v>
      </c>
      <c r="N73" s="1"/>
      <c r="O73" s="1" t="s">
        <v>3095</v>
      </c>
      <c r="P73" s="1">
        <v>668</v>
      </c>
      <c r="Q73" s="4">
        <v>6</v>
      </c>
      <c r="R73" s="4">
        <v>0.9</v>
      </c>
      <c r="S73" s="4"/>
      <c r="T73" s="4">
        <v>28</v>
      </c>
      <c r="U73" s="4">
        <v>20.399999999999999</v>
      </c>
      <c r="V73" s="4"/>
      <c r="W73" s="4">
        <v>20.9</v>
      </c>
      <c r="X73" s="4">
        <v>162</v>
      </c>
      <c r="Y73" s="4">
        <v>62</v>
      </c>
      <c r="Z73" s="4">
        <v>0</v>
      </c>
      <c r="AA73" s="4">
        <v>0</v>
      </c>
      <c r="AB73" s="4" t="s">
        <v>734</v>
      </c>
      <c r="AC73" s="4">
        <v>-0.1053605156578263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1"/>
      <c r="BJ73" s="1" t="s">
        <v>3240</v>
      </c>
      <c r="BK73" s="1">
        <v>1</v>
      </c>
      <c r="BL73" s="1"/>
      <c r="BM73" s="1" t="s">
        <v>386</v>
      </c>
      <c r="BN73" s="1" t="s">
        <v>2664</v>
      </c>
      <c r="BO73" s="1" t="s">
        <v>2665</v>
      </c>
      <c r="BP73" s="1">
        <v>5.99</v>
      </c>
      <c r="BQ73" s="1" t="s">
        <v>1003</v>
      </c>
      <c r="BR73" s="1">
        <v>34.049300000000002</v>
      </c>
      <c r="BS73" s="1">
        <v>-118.081</v>
      </c>
      <c r="BT73" s="1">
        <v>14.6</v>
      </c>
      <c r="BU73" s="1" t="s">
        <v>734</v>
      </c>
      <c r="BV73" s="1" t="s">
        <v>2571</v>
      </c>
      <c r="BW73" s="1">
        <v>280</v>
      </c>
      <c r="BX73" s="1">
        <v>30</v>
      </c>
      <c r="BY73" s="1">
        <v>150</v>
      </c>
      <c r="BZ73" s="1"/>
      <c r="CA73" s="1"/>
      <c r="CB73" s="1"/>
      <c r="CC73" s="1" t="s">
        <v>2566</v>
      </c>
      <c r="CD73" s="1" t="s">
        <v>731</v>
      </c>
      <c r="CE73" s="1"/>
      <c r="CF73" s="1"/>
      <c r="CG73" s="1"/>
      <c r="CH73" s="1"/>
      <c r="CI73" s="1"/>
      <c r="CJ73" s="1" t="s">
        <v>167</v>
      </c>
      <c r="CK73" t="s">
        <v>1262</v>
      </c>
      <c r="CL73">
        <v>73</v>
      </c>
      <c r="CM73" t="s">
        <v>2668</v>
      </c>
    </row>
    <row r="74" spans="1:91" ht="19" customHeight="1">
      <c r="A74" s="1" t="s">
        <v>3241</v>
      </c>
      <c r="B74" s="1" t="s">
        <v>3093</v>
      </c>
      <c r="C74" s="1">
        <v>74</v>
      </c>
      <c r="D74" s="1" t="s">
        <v>387</v>
      </c>
      <c r="E74" s="1">
        <v>1987</v>
      </c>
      <c r="F74" s="1" t="s">
        <v>813</v>
      </c>
      <c r="G74" s="1" t="s">
        <v>2499</v>
      </c>
      <c r="H74" s="4">
        <v>33.944000000000003</v>
      </c>
      <c r="I74" s="4">
        <v>-118.087</v>
      </c>
      <c r="J74" s="1" t="s">
        <v>1396</v>
      </c>
      <c r="K74" s="1" t="s">
        <v>75</v>
      </c>
      <c r="L74" s="1" t="s">
        <v>2500</v>
      </c>
      <c r="M74" s="1" t="s">
        <v>3094</v>
      </c>
      <c r="N74" s="1"/>
      <c r="O74" s="1" t="s">
        <v>3095</v>
      </c>
      <c r="P74" s="1">
        <v>692</v>
      </c>
      <c r="Q74" s="4">
        <v>6</v>
      </c>
      <c r="R74" s="4">
        <v>0.81</v>
      </c>
      <c r="S74" s="4"/>
      <c r="T74" s="4">
        <v>44.3</v>
      </c>
      <c r="U74" s="4">
        <v>18.5</v>
      </c>
      <c r="V74" s="4"/>
      <c r="W74" s="4">
        <v>18.7</v>
      </c>
      <c r="X74" s="4">
        <v>74</v>
      </c>
      <c r="Y74" s="4">
        <v>26</v>
      </c>
      <c r="Z74" s="4">
        <v>0</v>
      </c>
      <c r="AA74" s="4">
        <v>0</v>
      </c>
      <c r="AB74" s="4" t="s">
        <v>734</v>
      </c>
      <c r="AC74" s="4">
        <v>-0.21072103131565251</v>
      </c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1"/>
      <c r="BJ74" s="1" t="s">
        <v>3242</v>
      </c>
      <c r="BK74" s="1">
        <v>1</v>
      </c>
      <c r="BL74" s="1"/>
      <c r="BM74" s="1" t="s">
        <v>386</v>
      </c>
      <c r="BN74" s="1" t="s">
        <v>2664</v>
      </c>
      <c r="BO74" s="1" t="s">
        <v>2665</v>
      </c>
      <c r="BP74" s="1">
        <v>5.99</v>
      </c>
      <c r="BQ74" s="1" t="s">
        <v>1003</v>
      </c>
      <c r="BR74" s="1">
        <v>34.049300000000002</v>
      </c>
      <c r="BS74" s="1">
        <v>-118.081</v>
      </c>
      <c r="BT74" s="1">
        <v>14.6</v>
      </c>
      <c r="BU74" s="1" t="s">
        <v>734</v>
      </c>
      <c r="BV74" s="1" t="s">
        <v>2571</v>
      </c>
      <c r="BW74" s="1">
        <v>280</v>
      </c>
      <c r="BX74" s="1">
        <v>30</v>
      </c>
      <c r="BY74" s="1">
        <v>150</v>
      </c>
      <c r="BZ74" s="1"/>
      <c r="CA74" s="1"/>
      <c r="CB74" s="1"/>
      <c r="CC74" s="1" t="s">
        <v>2566</v>
      </c>
      <c r="CD74" s="1" t="s">
        <v>731</v>
      </c>
      <c r="CE74" s="1"/>
      <c r="CF74" s="1"/>
      <c r="CG74" s="1"/>
      <c r="CH74" s="1"/>
      <c r="CI74" s="1"/>
      <c r="CJ74" s="1" t="s">
        <v>167</v>
      </c>
      <c r="CK74" t="s">
        <v>1262</v>
      </c>
      <c r="CL74">
        <v>74</v>
      </c>
      <c r="CM74" t="s">
        <v>2668</v>
      </c>
    </row>
    <row r="75" spans="1:91" ht="19" customHeight="1">
      <c r="A75" s="1" t="s">
        <v>3243</v>
      </c>
      <c r="B75" s="1" t="s">
        <v>3093</v>
      </c>
      <c r="C75" s="1">
        <v>75</v>
      </c>
      <c r="D75" s="1" t="s">
        <v>814</v>
      </c>
      <c r="E75" s="1">
        <v>1987</v>
      </c>
      <c r="F75" s="1" t="s">
        <v>815</v>
      </c>
      <c r="G75" s="1" t="s">
        <v>2402</v>
      </c>
      <c r="H75" s="4">
        <v>33.125</v>
      </c>
      <c r="I75" s="4">
        <v>-115.66500000000001</v>
      </c>
      <c r="J75" s="1" t="s">
        <v>1396</v>
      </c>
      <c r="K75" s="1" t="s">
        <v>75</v>
      </c>
      <c r="L75" s="1" t="s">
        <v>2403</v>
      </c>
      <c r="M75" s="1" t="s">
        <v>3094</v>
      </c>
      <c r="N75" s="1"/>
      <c r="O75" s="1" t="s">
        <v>3095</v>
      </c>
      <c r="P75" s="1">
        <v>722</v>
      </c>
      <c r="Q75" s="4">
        <v>6.5</v>
      </c>
      <c r="R75" s="4">
        <v>2.13</v>
      </c>
      <c r="S75" s="4"/>
      <c r="T75" s="4">
        <v>33.1</v>
      </c>
      <c r="U75" s="4">
        <v>18.5</v>
      </c>
      <c r="V75" s="4"/>
      <c r="W75" s="4">
        <v>21.3</v>
      </c>
      <c r="X75" s="4">
        <v>321</v>
      </c>
      <c r="Y75" s="4">
        <v>14</v>
      </c>
      <c r="Z75" s="4">
        <v>0</v>
      </c>
      <c r="AA75" s="4">
        <v>1</v>
      </c>
      <c r="AB75" s="4" t="s">
        <v>730</v>
      </c>
      <c r="AC75" s="4">
        <v>0.75612197972133366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1"/>
      <c r="BJ75" s="1" t="s">
        <v>3244</v>
      </c>
      <c r="BK75" s="1">
        <v>1</v>
      </c>
      <c r="BL75" s="1"/>
      <c r="BM75" s="1" t="s">
        <v>379</v>
      </c>
      <c r="BN75" s="1" t="s">
        <v>2669</v>
      </c>
      <c r="BO75" s="1" t="s">
        <v>2670</v>
      </c>
      <c r="BP75" s="1">
        <v>6.54</v>
      </c>
      <c r="BQ75" s="1" t="s">
        <v>1003</v>
      </c>
      <c r="BR75" s="1">
        <v>33.022199999999998</v>
      </c>
      <c r="BS75" s="1">
        <v>-115.8314</v>
      </c>
      <c r="BT75" s="1">
        <v>9</v>
      </c>
      <c r="BU75" s="1" t="s">
        <v>730</v>
      </c>
      <c r="BV75" s="1" t="s">
        <v>2571</v>
      </c>
      <c r="BW75" s="1">
        <v>127</v>
      </c>
      <c r="BX75" s="1">
        <v>90</v>
      </c>
      <c r="BY75" s="1">
        <v>180</v>
      </c>
      <c r="BZ75" s="1"/>
      <c r="CA75" s="1"/>
      <c r="CB75" s="1"/>
      <c r="CC75" s="1" t="s">
        <v>2566</v>
      </c>
      <c r="CD75" s="1" t="s">
        <v>731</v>
      </c>
      <c r="CE75" s="1"/>
      <c r="CF75" s="1"/>
      <c r="CG75" s="1"/>
      <c r="CH75" s="1"/>
      <c r="CI75" s="1"/>
      <c r="CJ75" s="1" t="s">
        <v>167</v>
      </c>
      <c r="CK75" t="s">
        <v>1262</v>
      </c>
      <c r="CL75">
        <v>75</v>
      </c>
      <c r="CM75" t="s">
        <v>2673</v>
      </c>
    </row>
    <row r="76" spans="1:91" ht="19" customHeight="1">
      <c r="A76" s="1" t="s">
        <v>3245</v>
      </c>
      <c r="B76" s="1" t="s">
        <v>3093</v>
      </c>
      <c r="C76" s="1">
        <v>76</v>
      </c>
      <c r="D76" s="1" t="s">
        <v>814</v>
      </c>
      <c r="E76" s="1">
        <v>1987</v>
      </c>
      <c r="F76" s="1" t="s">
        <v>764</v>
      </c>
      <c r="G76" s="1" t="s">
        <v>2451</v>
      </c>
      <c r="H76" s="4">
        <v>32.929000000000002</v>
      </c>
      <c r="I76" s="4">
        <v>-115.70099999999999</v>
      </c>
      <c r="J76" s="1" t="s">
        <v>1396</v>
      </c>
      <c r="K76" s="1" t="s">
        <v>75</v>
      </c>
      <c r="L76" s="1" t="s">
        <v>3246</v>
      </c>
      <c r="M76" s="1" t="s">
        <v>3094</v>
      </c>
      <c r="N76" s="1"/>
      <c r="O76" s="1" t="s">
        <v>3095</v>
      </c>
      <c r="P76" s="1">
        <v>723</v>
      </c>
      <c r="Q76" s="4">
        <v>6.5</v>
      </c>
      <c r="R76" s="4">
        <v>2.39</v>
      </c>
      <c r="S76" s="4"/>
      <c r="T76" s="4">
        <v>143.9</v>
      </c>
      <c r="U76" s="4">
        <v>0.9</v>
      </c>
      <c r="V76" s="4"/>
      <c r="W76" s="4">
        <v>18.399999999999999</v>
      </c>
      <c r="X76" s="4">
        <v>242</v>
      </c>
      <c r="Y76" s="4">
        <v>65</v>
      </c>
      <c r="Z76" s="4">
        <v>1</v>
      </c>
      <c r="AA76" s="4">
        <v>1</v>
      </c>
      <c r="AB76" s="4" t="s">
        <v>730</v>
      </c>
      <c r="AC76" s="4">
        <v>0.87129336594341933</v>
      </c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1"/>
      <c r="BJ76" s="1" t="s">
        <v>3247</v>
      </c>
      <c r="BK76" s="1">
        <v>1</v>
      </c>
      <c r="BL76" s="1"/>
      <c r="BM76" s="1" t="s">
        <v>379</v>
      </c>
      <c r="BN76" s="1" t="s">
        <v>2669</v>
      </c>
      <c r="BO76" s="1" t="s">
        <v>2670</v>
      </c>
      <c r="BP76" s="1">
        <v>6.54</v>
      </c>
      <c r="BQ76" s="1" t="s">
        <v>1003</v>
      </c>
      <c r="BR76" s="1">
        <v>33.022199999999998</v>
      </c>
      <c r="BS76" s="1">
        <v>-115.8314</v>
      </c>
      <c r="BT76" s="1">
        <v>9</v>
      </c>
      <c r="BU76" s="1" t="s">
        <v>730</v>
      </c>
      <c r="BV76" s="1" t="s">
        <v>2571</v>
      </c>
      <c r="BW76" s="1">
        <v>127</v>
      </c>
      <c r="BX76" s="1">
        <v>90</v>
      </c>
      <c r="BY76" s="1">
        <v>180</v>
      </c>
      <c r="BZ76" s="1"/>
      <c r="CA76" s="1"/>
      <c r="CB76" s="1"/>
      <c r="CC76" s="1" t="s">
        <v>2566</v>
      </c>
      <c r="CD76" s="1" t="s">
        <v>731</v>
      </c>
      <c r="CE76" s="1"/>
      <c r="CF76" s="1"/>
      <c r="CG76" s="1"/>
      <c r="CH76" s="1"/>
      <c r="CI76" s="1"/>
      <c r="CJ76" s="1" t="s">
        <v>167</v>
      </c>
      <c r="CK76" t="s">
        <v>1262</v>
      </c>
      <c r="CL76">
        <v>76</v>
      </c>
      <c r="CM76" t="s">
        <v>2673</v>
      </c>
    </row>
    <row r="77" spans="1:91" ht="19" customHeight="1">
      <c r="A77" s="1" t="s">
        <v>3248</v>
      </c>
      <c r="B77" s="1" t="s">
        <v>3093</v>
      </c>
      <c r="C77" s="1">
        <v>77</v>
      </c>
      <c r="D77" s="1" t="s">
        <v>814</v>
      </c>
      <c r="E77" s="1">
        <v>1987</v>
      </c>
      <c r="F77" s="1" t="s">
        <v>816</v>
      </c>
      <c r="G77" s="1" t="s">
        <v>2494</v>
      </c>
      <c r="H77" s="4">
        <v>33.097000000000001</v>
      </c>
      <c r="I77" s="4">
        <v>-115.751</v>
      </c>
      <c r="J77" s="1" t="s">
        <v>1396</v>
      </c>
      <c r="K77" s="1" t="s">
        <v>75</v>
      </c>
      <c r="L77" s="1" t="s">
        <v>2495</v>
      </c>
      <c r="M77" s="1" t="s">
        <v>3094</v>
      </c>
      <c r="N77" s="1"/>
      <c r="O77" s="1" t="s">
        <v>3095</v>
      </c>
      <c r="P77" s="1">
        <v>725</v>
      </c>
      <c r="Q77" s="4">
        <v>6.5</v>
      </c>
      <c r="R77" s="4">
        <v>2.87</v>
      </c>
      <c r="S77" s="4"/>
      <c r="T77" s="4">
        <v>42.1</v>
      </c>
      <c r="U77" s="4">
        <v>11.2</v>
      </c>
      <c r="V77" s="4"/>
      <c r="W77" s="4">
        <v>14.4</v>
      </c>
      <c r="X77" s="4">
        <v>319</v>
      </c>
      <c r="Y77" s="4">
        <v>12</v>
      </c>
      <c r="Z77" s="4">
        <v>0</v>
      </c>
      <c r="AA77" s="4">
        <v>0</v>
      </c>
      <c r="AB77" s="4" t="s">
        <v>730</v>
      </c>
      <c r="AC77" s="4">
        <v>1.05431202977153</v>
      </c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1"/>
      <c r="BJ77" s="1" t="s">
        <v>3249</v>
      </c>
      <c r="BK77" s="1">
        <v>1</v>
      </c>
      <c r="BL77" s="1"/>
      <c r="BM77" s="1" t="s">
        <v>379</v>
      </c>
      <c r="BN77" s="1" t="s">
        <v>2669</v>
      </c>
      <c r="BO77" s="1" t="s">
        <v>2670</v>
      </c>
      <c r="BP77" s="1">
        <v>6.54</v>
      </c>
      <c r="BQ77" s="1" t="s">
        <v>1003</v>
      </c>
      <c r="BR77" s="1">
        <v>33.022199999999998</v>
      </c>
      <c r="BS77" s="1">
        <v>-115.8314</v>
      </c>
      <c r="BT77" s="1">
        <v>9</v>
      </c>
      <c r="BU77" s="1" t="s">
        <v>730</v>
      </c>
      <c r="BV77" s="1" t="s">
        <v>2571</v>
      </c>
      <c r="BW77" s="1">
        <v>127</v>
      </c>
      <c r="BX77" s="1">
        <v>90</v>
      </c>
      <c r="BY77" s="1">
        <v>180</v>
      </c>
      <c r="BZ77" s="1"/>
      <c r="CA77" s="1"/>
      <c r="CB77" s="1"/>
      <c r="CC77" s="1" t="s">
        <v>2566</v>
      </c>
      <c r="CD77" s="1" t="s">
        <v>731</v>
      </c>
      <c r="CE77" s="1"/>
      <c r="CF77" s="1"/>
      <c r="CG77" s="1"/>
      <c r="CH77" s="1"/>
      <c r="CI77" s="1"/>
      <c r="CJ77" s="1" t="s">
        <v>167</v>
      </c>
      <c r="CK77" t="s">
        <v>1262</v>
      </c>
      <c r="CL77">
        <v>77</v>
      </c>
      <c r="CM77" t="s">
        <v>2673</v>
      </c>
    </row>
    <row r="78" spans="1:91" ht="19" customHeight="1">
      <c r="A78" s="1" t="s">
        <v>3250</v>
      </c>
      <c r="B78" s="1" t="s">
        <v>3093</v>
      </c>
      <c r="C78" s="1">
        <v>78</v>
      </c>
      <c r="D78" s="1" t="s">
        <v>817</v>
      </c>
      <c r="E78" s="1">
        <v>1989</v>
      </c>
      <c r="F78" s="1" t="s">
        <v>818</v>
      </c>
      <c r="G78" s="1" t="s">
        <v>2304</v>
      </c>
      <c r="H78" s="4">
        <v>37.784999999999997</v>
      </c>
      <c r="I78" s="4">
        <v>-122.303</v>
      </c>
      <c r="J78" s="1" t="s">
        <v>1396</v>
      </c>
      <c r="K78" s="1" t="s">
        <v>75</v>
      </c>
      <c r="L78" s="1" t="s">
        <v>2305</v>
      </c>
      <c r="M78" s="1" t="s">
        <v>3094</v>
      </c>
      <c r="N78" s="1"/>
      <c r="O78" s="1" t="s">
        <v>3095</v>
      </c>
      <c r="P78" s="1">
        <v>738</v>
      </c>
      <c r="Q78" s="4">
        <v>6.9</v>
      </c>
      <c r="R78" s="4">
        <v>2.1</v>
      </c>
      <c r="S78" s="4"/>
      <c r="T78" s="4">
        <v>40.799999999999997</v>
      </c>
      <c r="U78" s="4">
        <v>71</v>
      </c>
      <c r="V78" s="4"/>
      <c r="W78" s="4">
        <v>92.4</v>
      </c>
      <c r="X78" s="4">
        <v>254</v>
      </c>
      <c r="Y78" s="4">
        <v>54</v>
      </c>
      <c r="Z78" s="4">
        <v>0</v>
      </c>
      <c r="AA78" s="4">
        <v>0</v>
      </c>
      <c r="AB78" s="4" t="s">
        <v>734</v>
      </c>
      <c r="AC78" s="4">
        <v>0.74193734472937733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1"/>
      <c r="BJ78" s="1" t="s">
        <v>3251</v>
      </c>
      <c r="BK78" s="1">
        <v>1</v>
      </c>
      <c r="BL78" s="1"/>
      <c r="BM78" s="1" t="s">
        <v>392</v>
      </c>
      <c r="BN78" s="1" t="s">
        <v>2674</v>
      </c>
      <c r="BO78" s="1" t="s">
        <v>2675</v>
      </c>
      <c r="BP78" s="1">
        <v>6.93</v>
      </c>
      <c r="BQ78" s="1" t="s">
        <v>1003</v>
      </c>
      <c r="BR78" s="1">
        <v>37.040700000000001</v>
      </c>
      <c r="BS78" s="1">
        <v>-121.88290000000001</v>
      </c>
      <c r="BT78" s="1">
        <v>17.48</v>
      </c>
      <c r="BU78" s="1" t="s">
        <v>734</v>
      </c>
      <c r="BV78" s="1" t="s">
        <v>2571</v>
      </c>
      <c r="BW78" s="1">
        <v>128</v>
      </c>
      <c r="BX78" s="1">
        <v>70</v>
      </c>
      <c r="BY78" s="1">
        <v>140</v>
      </c>
      <c r="BZ78" s="1"/>
      <c r="CA78" s="1"/>
      <c r="CB78" s="1"/>
      <c r="CC78" s="1" t="s">
        <v>2566</v>
      </c>
      <c r="CD78" s="1" t="s">
        <v>731</v>
      </c>
      <c r="CE78" s="1"/>
      <c r="CF78" s="1"/>
      <c r="CG78" s="1"/>
      <c r="CH78" s="1"/>
      <c r="CI78" s="1"/>
      <c r="CJ78" s="1" t="s">
        <v>167</v>
      </c>
      <c r="CK78" t="s">
        <v>1262</v>
      </c>
      <c r="CL78">
        <v>78</v>
      </c>
      <c r="CM78" t="s">
        <v>2678</v>
      </c>
    </row>
    <row r="79" spans="1:91" ht="19" customHeight="1">
      <c r="A79" s="1" t="s">
        <v>3252</v>
      </c>
      <c r="B79" s="1" t="s">
        <v>3093</v>
      </c>
      <c r="C79" s="1">
        <v>79</v>
      </c>
      <c r="D79" s="1" t="s">
        <v>817</v>
      </c>
      <c r="E79" s="1">
        <v>1989</v>
      </c>
      <c r="F79" s="1" t="s">
        <v>819</v>
      </c>
      <c r="G79" s="1" t="s">
        <v>2366</v>
      </c>
      <c r="H79" s="4">
        <v>37.844000000000001</v>
      </c>
      <c r="I79" s="4">
        <v>-122.295</v>
      </c>
      <c r="J79" s="1" t="s">
        <v>1396</v>
      </c>
      <c r="K79" s="1" t="s">
        <v>75</v>
      </c>
      <c r="L79" s="1" t="s">
        <v>2367</v>
      </c>
      <c r="M79" s="1" t="s">
        <v>3094</v>
      </c>
      <c r="N79" s="1"/>
      <c r="O79" s="1" t="s">
        <v>3095</v>
      </c>
      <c r="P79" s="1">
        <v>758</v>
      </c>
      <c r="Q79" s="4">
        <v>6.9</v>
      </c>
      <c r="R79" s="4">
        <v>1.67</v>
      </c>
      <c r="S79" s="4"/>
      <c r="T79" s="4">
        <v>44</v>
      </c>
      <c r="U79" s="4">
        <v>77</v>
      </c>
      <c r="V79" s="4"/>
      <c r="W79" s="4">
        <v>98.1</v>
      </c>
      <c r="X79" s="4">
        <v>264</v>
      </c>
      <c r="Y79" s="4">
        <v>44</v>
      </c>
      <c r="Z79" s="4">
        <v>0</v>
      </c>
      <c r="AA79" s="4">
        <v>0</v>
      </c>
      <c r="AB79" s="4" t="s">
        <v>734</v>
      </c>
      <c r="AC79" s="4">
        <v>0.51282362642866375</v>
      </c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1"/>
      <c r="BJ79" s="1" t="s">
        <v>3253</v>
      </c>
      <c r="BK79" s="1">
        <v>1</v>
      </c>
      <c r="BL79" s="1"/>
      <c r="BM79" s="1" t="s">
        <v>392</v>
      </c>
      <c r="BN79" s="1" t="s">
        <v>2674</v>
      </c>
      <c r="BO79" s="1" t="s">
        <v>2675</v>
      </c>
      <c r="BP79" s="1">
        <v>6.93</v>
      </c>
      <c r="BQ79" s="1" t="s">
        <v>1003</v>
      </c>
      <c r="BR79" s="1">
        <v>37.040700000000001</v>
      </c>
      <c r="BS79" s="1">
        <v>-121.88290000000001</v>
      </c>
      <c r="BT79" s="1">
        <v>17.48</v>
      </c>
      <c r="BU79" s="1" t="s">
        <v>734</v>
      </c>
      <c r="BV79" s="1" t="s">
        <v>2571</v>
      </c>
      <c r="BW79" s="1">
        <v>128</v>
      </c>
      <c r="BX79" s="1">
        <v>70</v>
      </c>
      <c r="BY79" s="1">
        <v>140</v>
      </c>
      <c r="BZ79" s="1"/>
      <c r="CA79" s="1"/>
      <c r="CB79" s="1"/>
      <c r="CC79" s="1" t="s">
        <v>2566</v>
      </c>
      <c r="CD79" s="1" t="s">
        <v>731</v>
      </c>
      <c r="CE79" s="1"/>
      <c r="CF79" s="1"/>
      <c r="CG79" s="1"/>
      <c r="CH79" s="1"/>
      <c r="CI79" s="1"/>
      <c r="CJ79" s="1" t="s">
        <v>167</v>
      </c>
      <c r="CK79" t="s">
        <v>1262</v>
      </c>
      <c r="CL79">
        <v>79</v>
      </c>
      <c r="CM79" t="s">
        <v>2678</v>
      </c>
    </row>
    <row r="80" spans="1:91" ht="19" customHeight="1">
      <c r="A80" s="1" t="s">
        <v>3254</v>
      </c>
      <c r="B80" s="1" t="s">
        <v>3093</v>
      </c>
      <c r="C80" s="1">
        <v>80</v>
      </c>
      <c r="D80" s="1" t="s">
        <v>817</v>
      </c>
      <c r="E80" s="1">
        <v>1989</v>
      </c>
      <c r="F80" s="1" t="s">
        <v>820</v>
      </c>
      <c r="G80" s="1" t="s">
        <v>2386</v>
      </c>
      <c r="H80" s="4">
        <v>37.009</v>
      </c>
      <c r="I80" s="4">
        <v>-121.569</v>
      </c>
      <c r="J80" s="1" t="s">
        <v>1396</v>
      </c>
      <c r="K80" s="1" t="s">
        <v>75</v>
      </c>
      <c r="L80" s="1" t="s">
        <v>2387</v>
      </c>
      <c r="M80" s="1" t="s">
        <v>3094</v>
      </c>
      <c r="N80" s="1"/>
      <c r="O80" s="1" t="s">
        <v>3095</v>
      </c>
      <c r="P80" s="1">
        <v>764</v>
      </c>
      <c r="Q80" s="4">
        <v>6.9</v>
      </c>
      <c r="R80" s="4">
        <v>1.64</v>
      </c>
      <c r="S80" s="4"/>
      <c r="T80" s="4">
        <v>43.6</v>
      </c>
      <c r="U80" s="4">
        <v>11</v>
      </c>
      <c r="V80" s="4"/>
      <c r="W80" s="4">
        <v>33.1</v>
      </c>
      <c r="X80" s="4">
        <v>147</v>
      </c>
      <c r="Y80" s="4">
        <v>19</v>
      </c>
      <c r="Z80" s="4">
        <v>0</v>
      </c>
      <c r="AA80" s="4">
        <v>1</v>
      </c>
      <c r="AB80" s="4" t="s">
        <v>734</v>
      </c>
      <c r="AC80" s="4">
        <v>0.494696241836107</v>
      </c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1"/>
      <c r="BJ80" s="1" t="s">
        <v>3255</v>
      </c>
      <c r="BK80" s="1">
        <v>1</v>
      </c>
      <c r="BL80" s="1"/>
      <c r="BM80" s="1" t="s">
        <v>392</v>
      </c>
      <c r="BN80" s="1" t="s">
        <v>2674</v>
      </c>
      <c r="BO80" s="1" t="s">
        <v>2675</v>
      </c>
      <c r="BP80" s="1">
        <v>6.93</v>
      </c>
      <c r="BQ80" s="1" t="s">
        <v>1003</v>
      </c>
      <c r="BR80" s="1">
        <v>37.040700000000001</v>
      </c>
      <c r="BS80" s="1">
        <v>-121.88290000000001</v>
      </c>
      <c r="BT80" s="1">
        <v>17.48</v>
      </c>
      <c r="BU80" s="1" t="s">
        <v>734</v>
      </c>
      <c r="BV80" s="1" t="s">
        <v>2571</v>
      </c>
      <c r="BW80" s="1">
        <v>128</v>
      </c>
      <c r="BX80" s="1">
        <v>70</v>
      </c>
      <c r="BY80" s="1">
        <v>140</v>
      </c>
      <c r="BZ80" s="1"/>
      <c r="CA80" s="1"/>
      <c r="CB80" s="1"/>
      <c r="CC80" s="1" t="s">
        <v>2566</v>
      </c>
      <c r="CD80" s="1" t="s">
        <v>731</v>
      </c>
      <c r="CE80" s="1"/>
      <c r="CF80" s="1"/>
      <c r="CG80" s="1"/>
      <c r="CH80" s="1"/>
      <c r="CI80" s="1"/>
      <c r="CJ80" s="1" t="s">
        <v>167</v>
      </c>
      <c r="CK80" t="s">
        <v>1262</v>
      </c>
      <c r="CL80">
        <v>80</v>
      </c>
      <c r="CM80" t="s">
        <v>2678</v>
      </c>
    </row>
    <row r="81" spans="1:91" ht="19" customHeight="1">
      <c r="A81" s="1" t="s">
        <v>3256</v>
      </c>
      <c r="B81" s="1" t="s">
        <v>3093</v>
      </c>
      <c r="C81" s="1">
        <v>81</v>
      </c>
      <c r="D81" s="1" t="s">
        <v>817</v>
      </c>
      <c r="E81" s="1">
        <v>1989</v>
      </c>
      <c r="F81" s="1" t="s">
        <v>741</v>
      </c>
      <c r="G81" s="1" t="s">
        <v>2370</v>
      </c>
      <c r="H81" s="4">
        <v>36.981999999999999</v>
      </c>
      <c r="I81" s="4">
        <v>-121.556</v>
      </c>
      <c r="J81" s="1" t="s">
        <v>1396</v>
      </c>
      <c r="K81" s="1" t="s">
        <v>75</v>
      </c>
      <c r="L81" s="1" t="s">
        <v>3257</v>
      </c>
      <c r="M81" s="1" t="s">
        <v>3094</v>
      </c>
      <c r="N81" s="1"/>
      <c r="O81" s="1" t="s">
        <v>3095</v>
      </c>
      <c r="P81" s="1">
        <v>766</v>
      </c>
      <c r="Q81" s="4">
        <v>6.9</v>
      </c>
      <c r="R81" s="4">
        <v>1.73</v>
      </c>
      <c r="S81" s="4"/>
      <c r="T81" s="4">
        <v>46.2</v>
      </c>
      <c r="U81" s="4">
        <v>11.1</v>
      </c>
      <c r="V81" s="4"/>
      <c r="W81" s="4">
        <v>34.5</v>
      </c>
      <c r="X81" s="4">
        <v>66</v>
      </c>
      <c r="Y81" s="4">
        <v>62</v>
      </c>
      <c r="Z81" s="4">
        <v>1</v>
      </c>
      <c r="AA81" s="4">
        <v>1</v>
      </c>
      <c r="AB81" s="4" t="s">
        <v>734</v>
      </c>
      <c r="AC81" s="4">
        <v>0.5481214085096876</v>
      </c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1"/>
      <c r="BJ81" s="1" t="s">
        <v>3258</v>
      </c>
      <c r="BK81" s="1">
        <v>1</v>
      </c>
      <c r="BL81" s="1"/>
      <c r="BM81" s="1" t="s">
        <v>392</v>
      </c>
      <c r="BN81" s="1" t="s">
        <v>2674</v>
      </c>
      <c r="BO81" s="1" t="s">
        <v>2675</v>
      </c>
      <c r="BP81" s="1">
        <v>6.93</v>
      </c>
      <c r="BQ81" s="1" t="s">
        <v>1003</v>
      </c>
      <c r="BR81" s="1">
        <v>37.040700000000001</v>
      </c>
      <c r="BS81" s="1">
        <v>-121.88290000000001</v>
      </c>
      <c r="BT81" s="1">
        <v>17.48</v>
      </c>
      <c r="BU81" s="1" t="s">
        <v>734</v>
      </c>
      <c r="BV81" s="1" t="s">
        <v>2571</v>
      </c>
      <c r="BW81" s="1">
        <v>128</v>
      </c>
      <c r="BX81" s="1">
        <v>70</v>
      </c>
      <c r="BY81" s="1">
        <v>140</v>
      </c>
      <c r="BZ81" s="1"/>
      <c r="CA81" s="1"/>
      <c r="CB81" s="1"/>
      <c r="CC81" s="1" t="s">
        <v>2566</v>
      </c>
      <c r="CD81" s="1" t="s">
        <v>731</v>
      </c>
      <c r="CE81" s="1"/>
      <c r="CF81" s="1"/>
      <c r="CG81" s="1"/>
      <c r="CH81" s="1"/>
      <c r="CI81" s="1"/>
      <c r="CJ81" s="1" t="s">
        <v>167</v>
      </c>
      <c r="CK81" t="s">
        <v>1262</v>
      </c>
      <c r="CL81">
        <v>81</v>
      </c>
      <c r="CM81" t="s">
        <v>2678</v>
      </c>
    </row>
    <row r="82" spans="1:91" ht="19" customHeight="1">
      <c r="A82" s="1" t="s">
        <v>3259</v>
      </c>
      <c r="B82" s="1" t="s">
        <v>3093</v>
      </c>
      <c r="C82" s="1">
        <v>82</v>
      </c>
      <c r="D82" s="1" t="s">
        <v>817</v>
      </c>
      <c r="E82" s="1">
        <v>1989</v>
      </c>
      <c r="F82" s="1" t="s">
        <v>742</v>
      </c>
      <c r="G82" s="1" t="s">
        <v>2375</v>
      </c>
      <c r="H82" s="4">
        <v>36.987000000000002</v>
      </c>
      <c r="I82" s="4">
        <v>-121.536</v>
      </c>
      <c r="J82" s="1" t="s">
        <v>1396</v>
      </c>
      <c r="K82" s="1" t="s">
        <v>75</v>
      </c>
      <c r="L82" s="1" t="s">
        <v>3260</v>
      </c>
      <c r="M82" s="1" t="s">
        <v>3094</v>
      </c>
      <c r="N82" s="1"/>
      <c r="O82" s="1" t="s">
        <v>3095</v>
      </c>
      <c r="P82" s="1">
        <v>767</v>
      </c>
      <c r="Q82" s="4">
        <v>6.9</v>
      </c>
      <c r="R82" s="4">
        <v>2.64</v>
      </c>
      <c r="S82" s="4"/>
      <c r="T82" s="4">
        <v>44.8</v>
      </c>
      <c r="U82" s="4">
        <v>12.8</v>
      </c>
      <c r="V82" s="4"/>
      <c r="W82" s="4">
        <v>35.9</v>
      </c>
      <c r="X82" s="4">
        <v>277</v>
      </c>
      <c r="Y82" s="4">
        <v>31</v>
      </c>
      <c r="Z82" s="4">
        <v>0</v>
      </c>
      <c r="AA82" s="4">
        <v>1</v>
      </c>
      <c r="AB82" s="4" t="s">
        <v>734</v>
      </c>
      <c r="AC82" s="4">
        <v>0.97077891715822484</v>
      </c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1"/>
      <c r="BJ82" s="1" t="s">
        <v>3261</v>
      </c>
      <c r="BK82" s="1">
        <v>1</v>
      </c>
      <c r="BL82" s="1"/>
      <c r="BM82" s="1" t="s">
        <v>392</v>
      </c>
      <c r="BN82" s="1" t="s">
        <v>2674</v>
      </c>
      <c r="BO82" s="1" t="s">
        <v>2675</v>
      </c>
      <c r="BP82" s="1">
        <v>6.93</v>
      </c>
      <c r="BQ82" s="1" t="s">
        <v>1003</v>
      </c>
      <c r="BR82" s="1">
        <v>37.040700000000001</v>
      </c>
      <c r="BS82" s="1">
        <v>-121.88290000000001</v>
      </c>
      <c r="BT82" s="1">
        <v>17.48</v>
      </c>
      <c r="BU82" s="1" t="s">
        <v>734</v>
      </c>
      <c r="BV82" s="1" t="s">
        <v>2571</v>
      </c>
      <c r="BW82" s="1">
        <v>128</v>
      </c>
      <c r="BX82" s="1">
        <v>70</v>
      </c>
      <c r="BY82" s="1">
        <v>140</v>
      </c>
      <c r="BZ82" s="1"/>
      <c r="CA82" s="1"/>
      <c r="CB82" s="1"/>
      <c r="CC82" s="1" t="s">
        <v>2566</v>
      </c>
      <c r="CD82" s="1" t="s">
        <v>731</v>
      </c>
      <c r="CE82" s="1"/>
      <c r="CF82" s="1"/>
      <c r="CG82" s="1"/>
      <c r="CH82" s="1"/>
      <c r="CI82" s="1"/>
      <c r="CJ82" s="1" t="s">
        <v>167</v>
      </c>
      <c r="CK82" t="s">
        <v>1262</v>
      </c>
      <c r="CL82">
        <v>82</v>
      </c>
      <c r="CM82" t="s">
        <v>2678</v>
      </c>
    </row>
    <row r="83" spans="1:91" ht="19" customHeight="1">
      <c r="A83" s="1" t="s">
        <v>3262</v>
      </c>
      <c r="B83" s="1" t="s">
        <v>3093</v>
      </c>
      <c r="C83" s="1">
        <v>83</v>
      </c>
      <c r="D83" s="1" t="s">
        <v>817</v>
      </c>
      <c r="E83" s="1">
        <v>1989</v>
      </c>
      <c r="F83" s="1" t="s">
        <v>821</v>
      </c>
      <c r="G83" s="1" t="s">
        <v>2435</v>
      </c>
      <c r="H83" s="4">
        <v>37.813000000000002</v>
      </c>
      <c r="I83" s="4">
        <v>-122.31399999999999</v>
      </c>
      <c r="J83" s="1" t="s">
        <v>1396</v>
      </c>
      <c r="K83" s="1" t="s">
        <v>75</v>
      </c>
      <c r="L83" s="1" t="s">
        <v>2436</v>
      </c>
      <c r="M83" s="1" t="s">
        <v>3094</v>
      </c>
      <c r="N83" s="1"/>
      <c r="O83" s="1" t="s">
        <v>3095</v>
      </c>
      <c r="P83" s="1">
        <v>783</v>
      </c>
      <c r="Q83" s="4">
        <v>6.9</v>
      </c>
      <c r="R83" s="4">
        <v>1.83</v>
      </c>
      <c r="S83" s="4"/>
      <c r="T83" s="4">
        <v>48.2</v>
      </c>
      <c r="U83" s="4">
        <v>74.3</v>
      </c>
      <c r="V83" s="4"/>
      <c r="W83" s="4">
        <v>95.6</v>
      </c>
      <c r="X83" s="4">
        <v>37</v>
      </c>
      <c r="Y83" s="4">
        <v>89</v>
      </c>
      <c r="Z83" s="4">
        <v>1</v>
      </c>
      <c r="AA83" s="4">
        <v>0</v>
      </c>
      <c r="AB83" s="4" t="s">
        <v>734</v>
      </c>
      <c r="AC83" s="4">
        <v>0.60431596685332956</v>
      </c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1"/>
      <c r="BJ83" s="1" t="s">
        <v>3263</v>
      </c>
      <c r="BK83" s="1">
        <v>1</v>
      </c>
      <c r="BL83" s="1"/>
      <c r="BM83" s="1" t="s">
        <v>392</v>
      </c>
      <c r="BN83" s="1" t="s">
        <v>2674</v>
      </c>
      <c r="BO83" s="1" t="s">
        <v>2675</v>
      </c>
      <c r="BP83" s="1">
        <v>6.93</v>
      </c>
      <c r="BQ83" s="1" t="s">
        <v>1003</v>
      </c>
      <c r="BR83" s="1">
        <v>37.040700000000001</v>
      </c>
      <c r="BS83" s="1">
        <v>-121.88290000000001</v>
      </c>
      <c r="BT83" s="1">
        <v>17.48</v>
      </c>
      <c r="BU83" s="1" t="s">
        <v>734</v>
      </c>
      <c r="BV83" s="1" t="s">
        <v>2571</v>
      </c>
      <c r="BW83" s="1">
        <v>128</v>
      </c>
      <c r="BX83" s="1">
        <v>70</v>
      </c>
      <c r="BY83" s="1">
        <v>140</v>
      </c>
      <c r="BZ83" s="1"/>
      <c r="CA83" s="1"/>
      <c r="CB83" s="1"/>
      <c r="CC83" s="1" t="s">
        <v>2566</v>
      </c>
      <c r="CD83" s="1" t="s">
        <v>731</v>
      </c>
      <c r="CE83" s="1"/>
      <c r="CF83" s="1"/>
      <c r="CG83" s="1"/>
      <c r="CH83" s="1"/>
      <c r="CI83" s="1"/>
      <c r="CJ83" s="1" t="s">
        <v>167</v>
      </c>
      <c r="CK83" t="s">
        <v>1262</v>
      </c>
      <c r="CL83">
        <v>83</v>
      </c>
      <c r="CM83" t="s">
        <v>2678</v>
      </c>
    </row>
    <row r="84" spans="1:91" ht="19" customHeight="1">
      <c r="A84" s="1" t="s">
        <v>3264</v>
      </c>
      <c r="B84" s="1" t="s">
        <v>3093</v>
      </c>
      <c r="C84" s="1">
        <v>84</v>
      </c>
      <c r="D84" s="1" t="s">
        <v>817</v>
      </c>
      <c r="E84" s="1">
        <v>1989</v>
      </c>
      <c r="F84" s="1" t="s">
        <v>822</v>
      </c>
      <c r="G84" s="1" t="s">
        <v>2437</v>
      </c>
      <c r="H84" s="4">
        <v>37.805999999999997</v>
      </c>
      <c r="I84" s="4">
        <v>-122.267</v>
      </c>
      <c r="J84" s="1" t="s">
        <v>1396</v>
      </c>
      <c r="K84" s="1" t="s">
        <v>75</v>
      </c>
      <c r="L84" s="1" t="s">
        <v>2438</v>
      </c>
      <c r="M84" s="1" t="s">
        <v>3094</v>
      </c>
      <c r="N84" s="1"/>
      <c r="O84" s="1" t="s">
        <v>3095</v>
      </c>
      <c r="P84" s="1">
        <v>784</v>
      </c>
      <c r="Q84" s="4">
        <v>6.9</v>
      </c>
      <c r="R84" s="4">
        <v>1.39</v>
      </c>
      <c r="S84" s="4"/>
      <c r="T84" s="4">
        <v>36.299999999999997</v>
      </c>
      <c r="U84" s="4">
        <v>72.2</v>
      </c>
      <c r="V84" s="4"/>
      <c r="W84" s="4">
        <v>93.3</v>
      </c>
      <c r="X84" s="4">
        <v>261</v>
      </c>
      <c r="Y84" s="4">
        <v>47</v>
      </c>
      <c r="Z84" s="4">
        <v>0</v>
      </c>
      <c r="AA84" s="4">
        <v>0</v>
      </c>
      <c r="AB84" s="4" t="s">
        <v>734</v>
      </c>
      <c r="AC84" s="4">
        <v>0.3293037471426003</v>
      </c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1"/>
      <c r="BJ84" s="1" t="s">
        <v>3265</v>
      </c>
      <c r="BK84" s="1">
        <v>1</v>
      </c>
      <c r="BL84" s="1"/>
      <c r="BM84" s="1" t="s">
        <v>392</v>
      </c>
      <c r="BN84" s="1" t="s">
        <v>2674</v>
      </c>
      <c r="BO84" s="1" t="s">
        <v>2675</v>
      </c>
      <c r="BP84" s="1">
        <v>6.93</v>
      </c>
      <c r="BQ84" s="1" t="s">
        <v>1003</v>
      </c>
      <c r="BR84" s="1">
        <v>37.040700000000001</v>
      </c>
      <c r="BS84" s="1">
        <v>-121.88290000000001</v>
      </c>
      <c r="BT84" s="1">
        <v>17.48</v>
      </c>
      <c r="BU84" s="1" t="s">
        <v>734</v>
      </c>
      <c r="BV84" s="1" t="s">
        <v>2571</v>
      </c>
      <c r="BW84" s="1">
        <v>128</v>
      </c>
      <c r="BX84" s="1">
        <v>70</v>
      </c>
      <c r="BY84" s="1">
        <v>140</v>
      </c>
      <c r="BZ84" s="1"/>
      <c r="CA84" s="1"/>
      <c r="CB84" s="1"/>
      <c r="CC84" s="1" t="s">
        <v>2566</v>
      </c>
      <c r="CD84" s="1" t="s">
        <v>731</v>
      </c>
      <c r="CE84" s="1"/>
      <c r="CF84" s="1"/>
      <c r="CG84" s="1"/>
      <c r="CH84" s="1"/>
      <c r="CI84" s="1"/>
      <c r="CJ84" s="1" t="s">
        <v>167</v>
      </c>
      <c r="CK84" t="s">
        <v>1262</v>
      </c>
      <c r="CL84">
        <v>84</v>
      </c>
      <c r="CM84" t="s">
        <v>2678</v>
      </c>
    </row>
    <row r="85" spans="1:91" ht="19" customHeight="1">
      <c r="A85" s="1" t="s">
        <v>3266</v>
      </c>
      <c r="B85" s="1" t="s">
        <v>3093</v>
      </c>
      <c r="C85" s="1">
        <v>85</v>
      </c>
      <c r="D85" s="1" t="s">
        <v>817</v>
      </c>
      <c r="E85" s="1">
        <v>1989</v>
      </c>
      <c r="F85" s="1" t="s">
        <v>823</v>
      </c>
      <c r="G85" s="1" t="s">
        <v>2507</v>
      </c>
      <c r="H85" s="4">
        <v>37.792000000000002</v>
      </c>
      <c r="I85" s="4">
        <v>-122.45699999999999</v>
      </c>
      <c r="J85" s="1" t="s">
        <v>1396</v>
      </c>
      <c r="K85" s="1" t="s">
        <v>75</v>
      </c>
      <c r="L85" s="1" t="s">
        <v>2508</v>
      </c>
      <c r="M85" s="1" t="s">
        <v>3094</v>
      </c>
      <c r="N85" s="1"/>
      <c r="O85" s="1" t="s">
        <v>3095</v>
      </c>
      <c r="P85" s="1">
        <v>796</v>
      </c>
      <c r="Q85" s="4">
        <v>6.9</v>
      </c>
      <c r="R85" s="4">
        <v>1.32</v>
      </c>
      <c r="S85" s="4"/>
      <c r="T85" s="4">
        <v>32.9</v>
      </c>
      <c r="U85" s="4">
        <v>77.400000000000006</v>
      </c>
      <c r="V85" s="4"/>
      <c r="W85" s="4">
        <v>99.3</v>
      </c>
      <c r="X85" s="4">
        <v>68</v>
      </c>
      <c r="Y85" s="4">
        <v>60</v>
      </c>
      <c r="Z85" s="4">
        <v>0</v>
      </c>
      <c r="AA85" s="4">
        <v>0</v>
      </c>
      <c r="AB85" s="4" t="s">
        <v>734</v>
      </c>
      <c r="AC85" s="4">
        <v>0.27763173659827961</v>
      </c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1"/>
      <c r="BJ85" s="1" t="s">
        <v>3267</v>
      </c>
      <c r="BK85" s="1">
        <v>1</v>
      </c>
      <c r="BL85" s="1"/>
      <c r="BM85" s="1" t="s">
        <v>392</v>
      </c>
      <c r="BN85" s="1" t="s">
        <v>2674</v>
      </c>
      <c r="BO85" s="1" t="s">
        <v>2675</v>
      </c>
      <c r="BP85" s="1">
        <v>6.93</v>
      </c>
      <c r="BQ85" s="1" t="s">
        <v>1003</v>
      </c>
      <c r="BR85" s="1">
        <v>37.040700000000001</v>
      </c>
      <c r="BS85" s="1">
        <v>-121.88290000000001</v>
      </c>
      <c r="BT85" s="1">
        <v>17.48</v>
      </c>
      <c r="BU85" s="1" t="s">
        <v>734</v>
      </c>
      <c r="BV85" s="1" t="s">
        <v>2571</v>
      </c>
      <c r="BW85" s="1">
        <v>128</v>
      </c>
      <c r="BX85" s="1">
        <v>70</v>
      </c>
      <c r="BY85" s="1">
        <v>140</v>
      </c>
      <c r="BZ85" s="1"/>
      <c r="CA85" s="1"/>
      <c r="CB85" s="1"/>
      <c r="CC85" s="1" t="s">
        <v>2566</v>
      </c>
      <c r="CD85" s="1" t="s">
        <v>731</v>
      </c>
      <c r="CE85" s="1"/>
      <c r="CF85" s="1"/>
      <c r="CG85" s="1"/>
      <c r="CH85" s="1"/>
      <c r="CI85" s="1"/>
      <c r="CJ85" s="1" t="s">
        <v>167</v>
      </c>
      <c r="CK85" t="s">
        <v>1262</v>
      </c>
      <c r="CL85">
        <v>85</v>
      </c>
      <c r="CM85" t="s">
        <v>2678</v>
      </c>
    </row>
    <row r="86" spans="1:91" ht="19" customHeight="1">
      <c r="A86" s="1" t="s">
        <v>3268</v>
      </c>
      <c r="B86" s="1" t="s">
        <v>3093</v>
      </c>
      <c r="C86" s="1">
        <v>86</v>
      </c>
      <c r="D86" s="1" t="s">
        <v>817</v>
      </c>
      <c r="E86" s="1">
        <v>1989</v>
      </c>
      <c r="F86" s="1" t="s">
        <v>824</v>
      </c>
      <c r="G86" s="1" t="s">
        <v>2501</v>
      </c>
      <c r="H86" s="4">
        <v>37.255000000000003</v>
      </c>
      <c r="I86" s="4">
        <v>-122.03100000000001</v>
      </c>
      <c r="J86" s="1" t="s">
        <v>1396</v>
      </c>
      <c r="K86" s="1" t="s">
        <v>75</v>
      </c>
      <c r="L86" s="1" t="s">
        <v>2502</v>
      </c>
      <c r="M86" s="1" t="s">
        <v>3094</v>
      </c>
      <c r="N86" s="1"/>
      <c r="O86" s="1" t="s">
        <v>3095</v>
      </c>
      <c r="P86" s="1">
        <v>802</v>
      </c>
      <c r="Q86" s="4">
        <v>6.9</v>
      </c>
      <c r="R86" s="4">
        <v>4.57</v>
      </c>
      <c r="S86" s="4"/>
      <c r="T86" s="4">
        <v>53.5</v>
      </c>
      <c r="U86" s="4">
        <v>8.5</v>
      </c>
      <c r="V86" s="4"/>
      <c r="W86" s="4">
        <v>32.4</v>
      </c>
      <c r="X86" s="4">
        <v>70</v>
      </c>
      <c r="Y86" s="4">
        <v>58</v>
      </c>
      <c r="Z86" s="4">
        <v>0</v>
      </c>
      <c r="AA86" s="4">
        <v>1</v>
      </c>
      <c r="AB86" s="4" t="s">
        <v>734</v>
      </c>
      <c r="AC86" s="4">
        <v>1.5195132049061131</v>
      </c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1"/>
      <c r="BJ86" s="1" t="s">
        <v>3269</v>
      </c>
      <c r="BK86" s="1">
        <v>1</v>
      </c>
      <c r="BL86" s="1"/>
      <c r="BM86" s="1" t="s">
        <v>392</v>
      </c>
      <c r="BN86" s="1" t="s">
        <v>2674</v>
      </c>
      <c r="BO86" s="1" t="s">
        <v>2675</v>
      </c>
      <c r="BP86" s="1">
        <v>6.93</v>
      </c>
      <c r="BQ86" s="1" t="s">
        <v>1003</v>
      </c>
      <c r="BR86" s="1">
        <v>37.040700000000001</v>
      </c>
      <c r="BS86" s="1">
        <v>-121.88290000000001</v>
      </c>
      <c r="BT86" s="1">
        <v>17.48</v>
      </c>
      <c r="BU86" s="1" t="s">
        <v>734</v>
      </c>
      <c r="BV86" s="1" t="s">
        <v>2571</v>
      </c>
      <c r="BW86" s="1">
        <v>128</v>
      </c>
      <c r="BX86" s="1">
        <v>70</v>
      </c>
      <c r="BY86" s="1">
        <v>140</v>
      </c>
      <c r="BZ86" s="1"/>
      <c r="CA86" s="1"/>
      <c r="CB86" s="1"/>
      <c r="CC86" s="1" t="s">
        <v>2566</v>
      </c>
      <c r="CD86" s="1" t="s">
        <v>731</v>
      </c>
      <c r="CE86" s="1"/>
      <c r="CF86" s="1"/>
      <c r="CG86" s="1"/>
      <c r="CH86" s="1"/>
      <c r="CI86" s="1"/>
      <c r="CJ86" s="1" t="s">
        <v>167</v>
      </c>
      <c r="CK86" t="s">
        <v>1262</v>
      </c>
      <c r="CL86">
        <v>86</v>
      </c>
      <c r="CM86" t="s">
        <v>2678</v>
      </c>
    </row>
    <row r="87" spans="1:91" ht="19" customHeight="1">
      <c r="A87" s="1" t="s">
        <v>3270</v>
      </c>
      <c r="B87" s="1" t="s">
        <v>3093</v>
      </c>
      <c r="C87" s="1">
        <v>87</v>
      </c>
      <c r="D87" s="1" t="s">
        <v>817</v>
      </c>
      <c r="E87" s="1">
        <v>1989</v>
      </c>
      <c r="F87" s="1" t="s">
        <v>825</v>
      </c>
      <c r="G87" s="1" t="s">
        <v>2504</v>
      </c>
      <c r="H87" s="4">
        <v>37.262</v>
      </c>
      <c r="I87" s="4">
        <v>-122.009</v>
      </c>
      <c r="J87" s="1" t="s">
        <v>1396</v>
      </c>
      <c r="K87" s="1" t="s">
        <v>75</v>
      </c>
      <c r="L87" s="1" t="s">
        <v>2505</v>
      </c>
      <c r="M87" s="1" t="s">
        <v>3094</v>
      </c>
      <c r="N87" s="1"/>
      <c r="O87" s="1" t="s">
        <v>3095</v>
      </c>
      <c r="P87" s="1">
        <v>803</v>
      </c>
      <c r="Q87" s="4">
        <v>6.9</v>
      </c>
      <c r="R87" s="4">
        <v>5.65</v>
      </c>
      <c r="S87" s="4"/>
      <c r="T87" s="4">
        <v>62</v>
      </c>
      <c r="U87" s="4">
        <v>9.3000000000000007</v>
      </c>
      <c r="V87" s="4"/>
      <c r="W87" s="4">
        <v>32.200000000000003</v>
      </c>
      <c r="X87" s="4">
        <v>280</v>
      </c>
      <c r="Y87" s="4">
        <v>28</v>
      </c>
      <c r="Z87" s="4">
        <v>0</v>
      </c>
      <c r="AA87" s="4">
        <v>1</v>
      </c>
      <c r="AB87" s="4" t="s">
        <v>734</v>
      </c>
      <c r="AC87" s="4">
        <v>1.73165554515835</v>
      </c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1"/>
      <c r="BJ87" s="1" t="s">
        <v>3271</v>
      </c>
      <c r="BK87" s="1">
        <v>1</v>
      </c>
      <c r="BL87" s="1"/>
      <c r="BM87" s="1" t="s">
        <v>392</v>
      </c>
      <c r="BN87" s="1" t="s">
        <v>2674</v>
      </c>
      <c r="BO87" s="1" t="s">
        <v>2675</v>
      </c>
      <c r="BP87" s="1">
        <v>6.93</v>
      </c>
      <c r="BQ87" s="1" t="s">
        <v>1003</v>
      </c>
      <c r="BR87" s="1">
        <v>37.040700000000001</v>
      </c>
      <c r="BS87" s="1">
        <v>-121.88290000000001</v>
      </c>
      <c r="BT87" s="1">
        <v>17.48</v>
      </c>
      <c r="BU87" s="1" t="s">
        <v>734</v>
      </c>
      <c r="BV87" s="1" t="s">
        <v>2571</v>
      </c>
      <c r="BW87" s="1">
        <v>128</v>
      </c>
      <c r="BX87" s="1">
        <v>70</v>
      </c>
      <c r="BY87" s="1">
        <v>140</v>
      </c>
      <c r="BZ87" s="1"/>
      <c r="CA87" s="1"/>
      <c r="CB87" s="1"/>
      <c r="CC87" s="1" t="s">
        <v>2566</v>
      </c>
      <c r="CD87" s="1" t="s">
        <v>731</v>
      </c>
      <c r="CE87" s="1"/>
      <c r="CF87" s="1"/>
      <c r="CG87" s="1"/>
      <c r="CH87" s="1"/>
      <c r="CI87" s="1"/>
      <c r="CJ87" s="1" t="s">
        <v>167</v>
      </c>
      <c r="CK87" t="s">
        <v>1262</v>
      </c>
      <c r="CL87">
        <v>87</v>
      </c>
      <c r="CM87" t="s">
        <v>2678</v>
      </c>
    </row>
    <row r="88" spans="1:91" ht="19" customHeight="1">
      <c r="A88" s="1" t="s">
        <v>3272</v>
      </c>
      <c r="B88" s="1" t="s">
        <v>3093</v>
      </c>
      <c r="C88" s="1">
        <v>88</v>
      </c>
      <c r="D88" s="1" t="s">
        <v>817</v>
      </c>
      <c r="E88" s="1">
        <v>1989</v>
      </c>
      <c r="F88" s="1" t="s">
        <v>826</v>
      </c>
      <c r="G88" s="1" t="s">
        <v>2526</v>
      </c>
      <c r="H88" s="4">
        <v>37.825000000000003</v>
      </c>
      <c r="I88" s="4">
        <v>-122.373</v>
      </c>
      <c r="J88" s="1" t="s">
        <v>1396</v>
      </c>
      <c r="K88" s="1" t="s">
        <v>75</v>
      </c>
      <c r="L88" s="1" t="s">
        <v>2527</v>
      </c>
      <c r="M88" s="1" t="s">
        <v>3094</v>
      </c>
      <c r="N88" s="1"/>
      <c r="O88" s="1" t="s">
        <v>3095</v>
      </c>
      <c r="P88" s="1">
        <v>808</v>
      </c>
      <c r="Q88" s="4">
        <v>6.9</v>
      </c>
      <c r="R88" s="4">
        <v>2.08</v>
      </c>
      <c r="S88" s="4"/>
      <c r="T88" s="4">
        <v>33.4</v>
      </c>
      <c r="U88" s="4">
        <v>77.400000000000006</v>
      </c>
      <c r="V88" s="4"/>
      <c r="W88" s="4">
        <v>99</v>
      </c>
      <c r="X88" s="4">
        <v>67</v>
      </c>
      <c r="Y88" s="4">
        <v>61</v>
      </c>
      <c r="Z88" s="4">
        <v>1</v>
      </c>
      <c r="AA88" s="4">
        <v>0</v>
      </c>
      <c r="AB88" s="4" t="s">
        <v>734</v>
      </c>
      <c r="AC88" s="4">
        <v>0.73236789371322664</v>
      </c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1"/>
      <c r="BJ88" s="1" t="s">
        <v>3273</v>
      </c>
      <c r="BK88" s="1">
        <v>1</v>
      </c>
      <c r="BL88" s="1"/>
      <c r="BM88" s="1" t="s">
        <v>392</v>
      </c>
      <c r="BN88" s="1" t="s">
        <v>2674</v>
      </c>
      <c r="BO88" s="1" t="s">
        <v>2675</v>
      </c>
      <c r="BP88" s="1">
        <v>6.93</v>
      </c>
      <c r="BQ88" s="1" t="s">
        <v>1003</v>
      </c>
      <c r="BR88" s="1">
        <v>37.040700000000001</v>
      </c>
      <c r="BS88" s="1">
        <v>-121.88290000000001</v>
      </c>
      <c r="BT88" s="1">
        <v>17.48</v>
      </c>
      <c r="BU88" s="1" t="s">
        <v>734</v>
      </c>
      <c r="BV88" s="1" t="s">
        <v>2571</v>
      </c>
      <c r="BW88" s="1">
        <v>128</v>
      </c>
      <c r="BX88" s="1">
        <v>70</v>
      </c>
      <c r="BY88" s="1">
        <v>140</v>
      </c>
      <c r="BZ88" s="1"/>
      <c r="CA88" s="1"/>
      <c r="CB88" s="1"/>
      <c r="CC88" s="1" t="s">
        <v>2566</v>
      </c>
      <c r="CD88" s="1" t="s">
        <v>731</v>
      </c>
      <c r="CE88" s="1"/>
      <c r="CF88" s="1"/>
      <c r="CG88" s="1"/>
      <c r="CH88" s="1"/>
      <c r="CI88" s="1"/>
      <c r="CJ88" s="1" t="s">
        <v>167</v>
      </c>
      <c r="CK88" t="s">
        <v>1262</v>
      </c>
      <c r="CL88">
        <v>88</v>
      </c>
      <c r="CM88" t="s">
        <v>2678</v>
      </c>
    </row>
    <row r="89" spans="1:91" ht="19" customHeight="1">
      <c r="A89" s="1" t="s">
        <v>3274</v>
      </c>
      <c r="B89" s="1" t="s">
        <v>3093</v>
      </c>
      <c r="C89" s="1">
        <v>89</v>
      </c>
      <c r="D89" s="1" t="s">
        <v>817</v>
      </c>
      <c r="E89" s="1">
        <v>1989</v>
      </c>
      <c r="F89" s="1" t="s">
        <v>827</v>
      </c>
      <c r="G89" s="1" t="s">
        <v>2417</v>
      </c>
      <c r="H89" s="4">
        <v>37.201999999999998</v>
      </c>
      <c r="I89" s="4">
        <v>-121.991</v>
      </c>
      <c r="J89" s="1" t="s">
        <v>1396</v>
      </c>
      <c r="K89" s="1" t="s">
        <v>75</v>
      </c>
      <c r="L89" s="1" t="s">
        <v>2418</v>
      </c>
      <c r="M89" s="1" t="s">
        <v>3094</v>
      </c>
      <c r="N89" s="1"/>
      <c r="O89" s="1" t="s">
        <v>3095</v>
      </c>
      <c r="P89" s="1">
        <v>3548</v>
      </c>
      <c r="Q89" s="4">
        <v>6.9</v>
      </c>
      <c r="R89" s="4">
        <v>1.57</v>
      </c>
      <c r="S89" s="4"/>
      <c r="T89" s="4">
        <v>121.3</v>
      </c>
      <c r="U89" s="4">
        <v>5</v>
      </c>
      <c r="V89" s="4"/>
      <c r="W89" s="4">
        <v>26.8</v>
      </c>
      <c r="X89" s="4">
        <v>49</v>
      </c>
      <c r="Y89" s="4">
        <v>79</v>
      </c>
      <c r="Z89" s="4">
        <v>1</v>
      </c>
      <c r="AA89" s="4">
        <v>1</v>
      </c>
      <c r="AB89" s="4" t="s">
        <v>734</v>
      </c>
      <c r="AC89" s="4">
        <v>0.45107561936021667</v>
      </c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1"/>
      <c r="BJ89" s="1" t="s">
        <v>3275</v>
      </c>
      <c r="BK89" s="1">
        <v>1</v>
      </c>
      <c r="BL89" s="1"/>
      <c r="BM89" s="1" t="s">
        <v>392</v>
      </c>
      <c r="BN89" s="1" t="s">
        <v>2674</v>
      </c>
      <c r="BO89" s="1" t="s">
        <v>2675</v>
      </c>
      <c r="BP89" s="1">
        <v>6.93</v>
      </c>
      <c r="BQ89" s="1" t="s">
        <v>1003</v>
      </c>
      <c r="BR89" s="1">
        <v>37.040700000000001</v>
      </c>
      <c r="BS89" s="1">
        <v>-121.88290000000001</v>
      </c>
      <c r="BT89" s="1">
        <v>17.48</v>
      </c>
      <c r="BU89" s="1" t="s">
        <v>734</v>
      </c>
      <c r="BV89" s="1" t="s">
        <v>2571</v>
      </c>
      <c r="BW89" s="1">
        <v>128</v>
      </c>
      <c r="BX89" s="1">
        <v>70</v>
      </c>
      <c r="BY89" s="1">
        <v>140</v>
      </c>
      <c r="BZ89" s="1"/>
      <c r="CA89" s="1"/>
      <c r="CB89" s="1"/>
      <c r="CC89" s="1" t="s">
        <v>2566</v>
      </c>
      <c r="CD89" s="1" t="s">
        <v>731</v>
      </c>
      <c r="CE89" s="1"/>
      <c r="CF89" s="1"/>
      <c r="CG89" s="1"/>
      <c r="CH89" s="1"/>
      <c r="CI89" s="1"/>
      <c r="CJ89" s="1" t="s">
        <v>167</v>
      </c>
      <c r="CK89" t="s">
        <v>1262</v>
      </c>
      <c r="CL89">
        <v>89</v>
      </c>
      <c r="CM89" t="s">
        <v>2678</v>
      </c>
    </row>
    <row r="90" spans="1:91" ht="19" customHeight="1">
      <c r="A90" s="1" t="s">
        <v>3276</v>
      </c>
      <c r="B90" s="1" t="s">
        <v>3093</v>
      </c>
      <c r="C90" s="1">
        <v>90</v>
      </c>
      <c r="D90" s="1" t="s">
        <v>828</v>
      </c>
      <c r="E90" s="1">
        <v>1992</v>
      </c>
      <c r="F90" s="1" t="s">
        <v>828</v>
      </c>
      <c r="G90" s="1" t="s">
        <v>2321</v>
      </c>
      <c r="H90" s="4">
        <v>40.347999999999999</v>
      </c>
      <c r="I90" s="4">
        <v>-124.352</v>
      </c>
      <c r="J90" s="1" t="s">
        <v>1396</v>
      </c>
      <c r="K90" s="1" t="s">
        <v>75</v>
      </c>
      <c r="L90" s="1" t="s">
        <v>2322</v>
      </c>
      <c r="M90" s="1" t="s">
        <v>3094</v>
      </c>
      <c r="N90" s="1"/>
      <c r="O90" s="1" t="s">
        <v>3095</v>
      </c>
      <c r="P90" s="1">
        <v>825</v>
      </c>
      <c r="Q90" s="4">
        <v>7</v>
      </c>
      <c r="R90" s="4">
        <v>4.84</v>
      </c>
      <c r="S90" s="4"/>
      <c r="T90" s="4">
        <v>124.1</v>
      </c>
      <c r="U90" s="4">
        <v>7</v>
      </c>
      <c r="V90" s="4"/>
      <c r="W90" s="4">
        <v>14.1</v>
      </c>
      <c r="X90" s="4">
        <v>2</v>
      </c>
      <c r="Y90" s="4">
        <v>12</v>
      </c>
      <c r="Z90" s="4">
        <v>0</v>
      </c>
      <c r="AA90" s="4">
        <v>0</v>
      </c>
      <c r="AB90" s="4" t="s">
        <v>734</v>
      </c>
      <c r="AC90" s="4">
        <v>1.5769147207285401</v>
      </c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1"/>
      <c r="BJ90" s="1" t="s">
        <v>3277</v>
      </c>
      <c r="BK90" s="1">
        <v>1</v>
      </c>
      <c r="BL90" s="1"/>
      <c r="BM90" s="1" t="s">
        <v>399</v>
      </c>
      <c r="BN90" s="1" t="s">
        <v>2680</v>
      </c>
      <c r="BO90" s="1" t="s">
        <v>2681</v>
      </c>
      <c r="BP90" s="1">
        <v>7.01</v>
      </c>
      <c r="BQ90" s="1" t="s">
        <v>1003</v>
      </c>
      <c r="BR90" s="1">
        <v>40.326999999999998</v>
      </c>
      <c r="BS90" s="1">
        <v>-124.233</v>
      </c>
      <c r="BT90" s="1">
        <v>9.5</v>
      </c>
      <c r="BU90" s="1" t="s">
        <v>734</v>
      </c>
      <c r="BV90" s="1" t="s">
        <v>2571</v>
      </c>
      <c r="BW90" s="1">
        <v>350</v>
      </c>
      <c r="BX90" s="1">
        <v>14</v>
      </c>
      <c r="BY90" s="1">
        <v>105</v>
      </c>
      <c r="BZ90" s="1"/>
      <c r="CA90" s="1"/>
      <c r="CB90" s="1"/>
      <c r="CC90" s="1" t="s">
        <v>2566</v>
      </c>
      <c r="CD90" s="1" t="s">
        <v>731</v>
      </c>
      <c r="CE90" s="1"/>
      <c r="CF90" s="1"/>
      <c r="CG90" s="1"/>
      <c r="CH90" s="1"/>
      <c r="CI90" s="1"/>
      <c r="CJ90" s="1" t="s">
        <v>167</v>
      </c>
      <c r="CK90" t="s">
        <v>1262</v>
      </c>
      <c r="CL90">
        <v>90</v>
      </c>
      <c r="CM90" t="s">
        <v>2684</v>
      </c>
    </row>
    <row r="91" spans="1:91" ht="19" customHeight="1">
      <c r="A91" s="1" t="s">
        <v>3278</v>
      </c>
      <c r="B91" s="1" t="s">
        <v>3093</v>
      </c>
      <c r="C91" s="1">
        <v>91</v>
      </c>
      <c r="D91" s="1" t="s">
        <v>828</v>
      </c>
      <c r="E91" s="1">
        <v>1992</v>
      </c>
      <c r="F91" s="1" t="s">
        <v>829</v>
      </c>
      <c r="G91" s="1" t="s">
        <v>2491</v>
      </c>
      <c r="H91" s="4">
        <v>40.323999999999998</v>
      </c>
      <c r="I91" s="4">
        <v>-124.286</v>
      </c>
      <c r="J91" s="1" t="s">
        <v>1396</v>
      </c>
      <c r="K91" s="1" t="s">
        <v>75</v>
      </c>
      <c r="L91" s="1" t="s">
        <v>2492</v>
      </c>
      <c r="M91" s="1" t="s">
        <v>3094</v>
      </c>
      <c r="N91" s="1"/>
      <c r="O91" s="1" t="s">
        <v>3095</v>
      </c>
      <c r="P91" s="1">
        <v>828</v>
      </c>
      <c r="Q91" s="4">
        <v>7</v>
      </c>
      <c r="R91" s="4">
        <v>3</v>
      </c>
      <c r="S91" s="4"/>
      <c r="T91" s="4">
        <v>96.7</v>
      </c>
      <c r="U91" s="4">
        <v>8.1999999999999993</v>
      </c>
      <c r="V91" s="4"/>
      <c r="W91" s="4">
        <v>10.5</v>
      </c>
      <c r="X91" s="4">
        <v>287</v>
      </c>
      <c r="Y91" s="4">
        <v>63</v>
      </c>
      <c r="Z91" s="4">
        <v>1</v>
      </c>
      <c r="AA91" s="4">
        <v>1</v>
      </c>
      <c r="AB91" s="4" t="s">
        <v>734</v>
      </c>
      <c r="AC91" s="4">
        <v>1.09861228866811</v>
      </c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1"/>
      <c r="BJ91" s="1" t="s">
        <v>3279</v>
      </c>
      <c r="BK91" s="1">
        <v>1</v>
      </c>
      <c r="BL91" s="1"/>
      <c r="BM91" s="1" t="s">
        <v>399</v>
      </c>
      <c r="BN91" s="1" t="s">
        <v>2680</v>
      </c>
      <c r="BO91" s="1" t="s">
        <v>2681</v>
      </c>
      <c r="BP91" s="1">
        <v>7.01</v>
      </c>
      <c r="BQ91" s="1" t="s">
        <v>1003</v>
      </c>
      <c r="BR91" s="1">
        <v>40.326999999999998</v>
      </c>
      <c r="BS91" s="1">
        <v>-124.233</v>
      </c>
      <c r="BT91" s="1">
        <v>9.5</v>
      </c>
      <c r="BU91" s="1" t="s">
        <v>734</v>
      </c>
      <c r="BV91" s="1" t="s">
        <v>2571</v>
      </c>
      <c r="BW91" s="1">
        <v>350</v>
      </c>
      <c r="BX91" s="1">
        <v>14</v>
      </c>
      <c r="BY91" s="1">
        <v>105</v>
      </c>
      <c r="BZ91" s="1"/>
      <c r="CA91" s="1"/>
      <c r="CB91" s="1"/>
      <c r="CC91" s="1" t="s">
        <v>2566</v>
      </c>
      <c r="CD91" s="1" t="s">
        <v>731</v>
      </c>
      <c r="CE91" s="1"/>
      <c r="CF91" s="1"/>
      <c r="CG91" s="1"/>
      <c r="CH91" s="1"/>
      <c r="CI91" s="1"/>
      <c r="CJ91" s="1" t="s">
        <v>167</v>
      </c>
      <c r="CK91" t="s">
        <v>1262</v>
      </c>
      <c r="CL91">
        <v>91</v>
      </c>
      <c r="CM91" t="s">
        <v>2684</v>
      </c>
    </row>
    <row r="92" spans="1:91" ht="19" customHeight="1">
      <c r="A92" s="1" t="s">
        <v>3280</v>
      </c>
      <c r="B92" s="1" t="s">
        <v>3093</v>
      </c>
      <c r="C92" s="1">
        <v>92</v>
      </c>
      <c r="D92" s="1" t="s">
        <v>828</v>
      </c>
      <c r="E92" s="1">
        <v>1992</v>
      </c>
      <c r="F92" s="1" t="s">
        <v>830</v>
      </c>
      <c r="G92" s="1" t="s">
        <v>2318</v>
      </c>
      <c r="H92" s="4">
        <v>40.497599999999998</v>
      </c>
      <c r="I92" s="4">
        <v>-124.2945</v>
      </c>
      <c r="J92" s="1" t="s">
        <v>1396</v>
      </c>
      <c r="K92" s="1" t="s">
        <v>75</v>
      </c>
      <c r="L92" s="1" t="s">
        <v>2319</v>
      </c>
      <c r="M92" s="1" t="s">
        <v>3094</v>
      </c>
      <c r="N92" s="1"/>
      <c r="O92" s="1" t="s">
        <v>3095</v>
      </c>
      <c r="P92" s="1">
        <v>3744</v>
      </c>
      <c r="Q92" s="4">
        <v>7</v>
      </c>
      <c r="R92" s="4">
        <v>5.36</v>
      </c>
      <c r="S92" s="4"/>
      <c r="T92" s="4">
        <v>80.599999999999994</v>
      </c>
      <c r="U92" s="4">
        <v>12.2</v>
      </c>
      <c r="V92" s="4"/>
      <c r="W92" s="4">
        <v>21.9</v>
      </c>
      <c r="X92" s="4">
        <v>245</v>
      </c>
      <c r="Y92" s="4">
        <v>75</v>
      </c>
      <c r="Z92" s="4">
        <v>1</v>
      </c>
      <c r="AA92" s="4">
        <v>1</v>
      </c>
      <c r="AB92" s="4" t="s">
        <v>734</v>
      </c>
      <c r="AC92" s="4">
        <v>1.678963975082711</v>
      </c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1"/>
      <c r="BJ92" s="1" t="s">
        <v>3281</v>
      </c>
      <c r="BK92" s="1">
        <v>1</v>
      </c>
      <c r="BL92" s="1"/>
      <c r="BM92" s="1" t="s">
        <v>399</v>
      </c>
      <c r="BN92" s="1" t="s">
        <v>2680</v>
      </c>
      <c r="BO92" s="1" t="s">
        <v>2681</v>
      </c>
      <c r="BP92" s="1">
        <v>7.01</v>
      </c>
      <c r="BQ92" s="1" t="s">
        <v>1003</v>
      </c>
      <c r="BR92" s="1">
        <v>40.326999999999998</v>
      </c>
      <c r="BS92" s="1">
        <v>-124.233</v>
      </c>
      <c r="BT92" s="1">
        <v>9.5</v>
      </c>
      <c r="BU92" s="1" t="s">
        <v>734</v>
      </c>
      <c r="BV92" s="1" t="s">
        <v>2571</v>
      </c>
      <c r="BW92" s="1">
        <v>350</v>
      </c>
      <c r="BX92" s="1">
        <v>14</v>
      </c>
      <c r="BY92" s="1">
        <v>105</v>
      </c>
      <c r="BZ92" s="1"/>
      <c r="CA92" s="1"/>
      <c r="CB92" s="1"/>
      <c r="CC92" s="1" t="s">
        <v>2566</v>
      </c>
      <c r="CD92" s="1" t="s">
        <v>731</v>
      </c>
      <c r="CE92" s="1"/>
      <c r="CF92" s="1"/>
      <c r="CG92" s="1"/>
      <c r="CH92" s="1"/>
      <c r="CI92" s="1"/>
      <c r="CJ92" s="1" t="s">
        <v>167</v>
      </c>
      <c r="CK92" t="s">
        <v>1262</v>
      </c>
      <c r="CL92">
        <v>92</v>
      </c>
      <c r="CM92" t="s">
        <v>2684</v>
      </c>
    </row>
    <row r="93" spans="1:91" ht="19" customHeight="1">
      <c r="A93" s="1" t="s">
        <v>3282</v>
      </c>
      <c r="B93" s="1" t="s">
        <v>3093</v>
      </c>
      <c r="C93" s="1">
        <v>93</v>
      </c>
      <c r="D93" s="1" t="s">
        <v>828</v>
      </c>
      <c r="E93" s="1">
        <v>1992</v>
      </c>
      <c r="F93" s="1" t="s">
        <v>831</v>
      </c>
      <c r="G93" s="1" t="s">
        <v>2323</v>
      </c>
      <c r="H93" s="4">
        <v>40.563000000000002</v>
      </c>
      <c r="I93" s="4">
        <v>-124.348</v>
      </c>
      <c r="J93" s="1" t="s">
        <v>1396</v>
      </c>
      <c r="K93" s="1" t="s">
        <v>75</v>
      </c>
      <c r="L93" s="1" t="s">
        <v>2324</v>
      </c>
      <c r="M93" s="1" t="s">
        <v>3094</v>
      </c>
      <c r="N93" s="1"/>
      <c r="O93" s="1" t="s">
        <v>3095</v>
      </c>
      <c r="P93" s="1">
        <v>3746</v>
      </c>
      <c r="Q93" s="4">
        <v>7</v>
      </c>
      <c r="R93" s="4">
        <v>1.97</v>
      </c>
      <c r="S93" s="4"/>
      <c r="T93" s="4">
        <v>57.5</v>
      </c>
      <c r="U93" s="4">
        <v>18.3</v>
      </c>
      <c r="V93" s="4"/>
      <c r="W93" s="4">
        <v>29.6</v>
      </c>
      <c r="X93" s="4">
        <v>225</v>
      </c>
      <c r="Y93" s="4">
        <v>55</v>
      </c>
      <c r="Z93" s="4">
        <v>1</v>
      </c>
      <c r="AA93" s="4">
        <v>1</v>
      </c>
      <c r="AB93" s="4" t="s">
        <v>734</v>
      </c>
      <c r="AC93" s="4">
        <v>0.67803354274989713</v>
      </c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1"/>
      <c r="BJ93" s="1" t="s">
        <v>3283</v>
      </c>
      <c r="BK93" s="1">
        <v>1</v>
      </c>
      <c r="BL93" s="1"/>
      <c r="BM93" s="1" t="s">
        <v>399</v>
      </c>
      <c r="BN93" s="1" t="s">
        <v>2680</v>
      </c>
      <c r="BO93" s="1" t="s">
        <v>2681</v>
      </c>
      <c r="BP93" s="1">
        <v>7.01</v>
      </c>
      <c r="BQ93" s="1" t="s">
        <v>1003</v>
      </c>
      <c r="BR93" s="1">
        <v>40.326999999999998</v>
      </c>
      <c r="BS93" s="1">
        <v>-124.233</v>
      </c>
      <c r="BT93" s="1">
        <v>9.5</v>
      </c>
      <c r="BU93" s="1" t="s">
        <v>734</v>
      </c>
      <c r="BV93" s="1" t="s">
        <v>2571</v>
      </c>
      <c r="BW93" s="1">
        <v>350</v>
      </c>
      <c r="BX93" s="1">
        <v>14</v>
      </c>
      <c r="BY93" s="1">
        <v>105</v>
      </c>
      <c r="BZ93" s="1"/>
      <c r="CA93" s="1"/>
      <c r="CB93" s="1"/>
      <c r="CC93" s="1" t="s">
        <v>2566</v>
      </c>
      <c r="CD93" s="1" t="s">
        <v>731</v>
      </c>
      <c r="CE93" s="1"/>
      <c r="CF93" s="1"/>
      <c r="CG93" s="1"/>
      <c r="CH93" s="1"/>
      <c r="CI93" s="1"/>
      <c r="CJ93" s="1" t="s">
        <v>167</v>
      </c>
      <c r="CK93" t="s">
        <v>1262</v>
      </c>
      <c r="CL93">
        <v>93</v>
      </c>
      <c r="CM93" t="s">
        <v>2684</v>
      </c>
    </row>
    <row r="94" spans="1:91" ht="19" customHeight="1">
      <c r="A94" s="1" t="s">
        <v>3284</v>
      </c>
      <c r="B94" s="1" t="s">
        <v>3093</v>
      </c>
      <c r="C94" s="1">
        <v>94</v>
      </c>
      <c r="D94" s="1" t="s">
        <v>407</v>
      </c>
      <c r="E94" s="1">
        <v>1992</v>
      </c>
      <c r="F94" s="1" t="s">
        <v>832</v>
      </c>
      <c r="G94" s="1" t="s">
        <v>2392</v>
      </c>
      <c r="H94" s="4">
        <v>33.746200000000002</v>
      </c>
      <c r="I94" s="4">
        <v>-116.2163</v>
      </c>
      <c r="J94" s="1" t="s">
        <v>1396</v>
      </c>
      <c r="K94" s="1" t="s">
        <v>75</v>
      </c>
      <c r="L94" s="1" t="s">
        <v>2393</v>
      </c>
      <c r="M94" s="1" t="s">
        <v>3094</v>
      </c>
      <c r="N94" s="1"/>
      <c r="O94" s="1" t="s">
        <v>3095</v>
      </c>
      <c r="P94" s="1">
        <v>6877</v>
      </c>
      <c r="Q94" s="4">
        <v>6.1</v>
      </c>
      <c r="R94" s="4">
        <v>1.1000000000000001</v>
      </c>
      <c r="S94" s="4"/>
      <c r="T94" s="4">
        <v>53.3</v>
      </c>
      <c r="U94" s="4">
        <v>25.5</v>
      </c>
      <c r="V94" s="4"/>
      <c r="W94" s="4">
        <v>28.4</v>
      </c>
      <c r="X94" s="4">
        <v>268</v>
      </c>
      <c r="Y94" s="4">
        <v>72</v>
      </c>
      <c r="Z94" s="4">
        <v>1</v>
      </c>
      <c r="AA94" s="4">
        <v>0</v>
      </c>
      <c r="AB94" s="4" t="s">
        <v>730</v>
      </c>
      <c r="AC94" s="4">
        <v>9.5310179804324935E-2</v>
      </c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1"/>
      <c r="BJ94" s="1" t="s">
        <v>3285</v>
      </c>
      <c r="BK94" s="1">
        <v>1</v>
      </c>
      <c r="BL94" s="1"/>
      <c r="BM94" s="1" t="s">
        <v>406</v>
      </c>
      <c r="BN94" s="1" t="s">
        <v>2685</v>
      </c>
      <c r="BO94" s="1" t="s">
        <v>2686</v>
      </c>
      <c r="BP94" s="1">
        <v>6.1</v>
      </c>
      <c r="BQ94" s="1" t="s">
        <v>1003</v>
      </c>
      <c r="BR94" s="1">
        <v>33.96</v>
      </c>
      <c r="BS94" s="1">
        <v>-116.3167</v>
      </c>
      <c r="BT94" s="1">
        <v>12.4</v>
      </c>
      <c r="BU94" s="1" t="s">
        <v>730</v>
      </c>
      <c r="BV94" s="1" t="s">
        <v>2571</v>
      </c>
      <c r="BW94" s="1">
        <v>340</v>
      </c>
      <c r="BX94" s="1">
        <v>90</v>
      </c>
      <c r="BY94" s="1">
        <v>180</v>
      </c>
      <c r="BZ94" s="1"/>
      <c r="CA94" s="1"/>
      <c r="CB94" s="1"/>
      <c r="CC94" s="1" t="s">
        <v>2566</v>
      </c>
      <c r="CD94" s="1" t="s">
        <v>731</v>
      </c>
      <c r="CE94" s="1"/>
      <c r="CF94" s="1"/>
      <c r="CG94" s="1"/>
      <c r="CH94" s="1"/>
      <c r="CI94" s="1"/>
      <c r="CJ94" s="1" t="s">
        <v>167</v>
      </c>
      <c r="CK94" t="s">
        <v>1262</v>
      </c>
      <c r="CL94">
        <v>94</v>
      </c>
      <c r="CM94" t="s">
        <v>2688</v>
      </c>
    </row>
    <row r="95" spans="1:91" ht="19" customHeight="1">
      <c r="A95" s="1" t="s">
        <v>3286</v>
      </c>
      <c r="B95" s="1" t="s">
        <v>3093</v>
      </c>
      <c r="C95" s="1">
        <v>95</v>
      </c>
      <c r="D95" s="1" t="s">
        <v>833</v>
      </c>
      <c r="E95" s="1">
        <v>1992</v>
      </c>
      <c r="F95" s="1" t="s">
        <v>834</v>
      </c>
      <c r="G95" s="1" t="s">
        <v>2310</v>
      </c>
      <c r="H95" s="4">
        <v>34.887</v>
      </c>
      <c r="I95" s="4">
        <v>-117.047</v>
      </c>
      <c r="J95" s="1" t="s">
        <v>1396</v>
      </c>
      <c r="K95" s="1" t="s">
        <v>75</v>
      </c>
      <c r="L95" s="1" t="s">
        <v>2311</v>
      </c>
      <c r="M95" s="1" t="s">
        <v>3094</v>
      </c>
      <c r="N95" s="1"/>
      <c r="O95" s="1" t="s">
        <v>3095</v>
      </c>
      <c r="P95" s="1">
        <v>838</v>
      </c>
      <c r="Q95" s="4">
        <v>7.3</v>
      </c>
      <c r="R95" s="4">
        <v>9.1300000000000008</v>
      </c>
      <c r="S95" s="4"/>
      <c r="T95" s="4">
        <v>28.8</v>
      </c>
      <c r="U95" s="4">
        <v>34.9</v>
      </c>
      <c r="V95" s="4"/>
      <c r="W95" s="4">
        <v>95</v>
      </c>
      <c r="X95" s="4">
        <v>47</v>
      </c>
      <c r="Y95" s="4">
        <v>88</v>
      </c>
      <c r="Z95" s="4">
        <v>1</v>
      </c>
      <c r="AA95" s="4">
        <v>1</v>
      </c>
      <c r="AB95" s="4" t="s">
        <v>730</v>
      </c>
      <c r="AC95" s="4">
        <v>2.2115656946068771</v>
      </c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1"/>
      <c r="BJ95" s="1" t="s">
        <v>3287</v>
      </c>
      <c r="BK95" s="1">
        <v>1</v>
      </c>
      <c r="BL95" s="1"/>
      <c r="BM95" s="1" t="s">
        <v>412</v>
      </c>
      <c r="BN95" s="1" t="s">
        <v>2690</v>
      </c>
      <c r="BO95" s="1" t="s">
        <v>2691</v>
      </c>
      <c r="BP95" s="1">
        <v>7.28</v>
      </c>
      <c r="BQ95" s="1" t="s">
        <v>1003</v>
      </c>
      <c r="BR95" s="1">
        <v>34.200000000000003</v>
      </c>
      <c r="BS95" s="1">
        <v>-116.43600000000001</v>
      </c>
      <c r="BT95" s="1">
        <v>7</v>
      </c>
      <c r="BU95" s="1" t="s">
        <v>730</v>
      </c>
      <c r="BV95" s="1" t="s">
        <v>2571</v>
      </c>
      <c r="BW95" s="1">
        <v>336</v>
      </c>
      <c r="BX95" s="1">
        <v>90</v>
      </c>
      <c r="BY95" s="1">
        <v>180</v>
      </c>
      <c r="BZ95" s="1"/>
      <c r="CA95" s="1"/>
      <c r="CB95" s="1"/>
      <c r="CC95" s="1" t="s">
        <v>2566</v>
      </c>
      <c r="CD95" s="1" t="s">
        <v>731</v>
      </c>
      <c r="CE95" s="1"/>
      <c r="CF95" s="1"/>
      <c r="CG95" s="1"/>
      <c r="CH95" s="1"/>
      <c r="CI95" s="1"/>
      <c r="CJ95" s="1" t="s">
        <v>167</v>
      </c>
      <c r="CK95" t="s">
        <v>1262</v>
      </c>
      <c r="CL95">
        <v>95</v>
      </c>
      <c r="CM95" t="s">
        <v>2694</v>
      </c>
    </row>
    <row r="96" spans="1:91" ht="19" customHeight="1">
      <c r="A96" s="1" t="s">
        <v>3288</v>
      </c>
      <c r="B96" s="1" t="s">
        <v>3093</v>
      </c>
      <c r="C96" s="1">
        <v>96</v>
      </c>
      <c r="D96" s="1" t="s">
        <v>833</v>
      </c>
      <c r="E96" s="1">
        <v>1992</v>
      </c>
      <c r="F96" s="1" t="s">
        <v>835</v>
      </c>
      <c r="G96" s="1" t="s">
        <v>2420</v>
      </c>
      <c r="H96" s="4">
        <v>34.567999999999998</v>
      </c>
      <c r="I96" s="4">
        <v>-116.61199999999999</v>
      </c>
      <c r="J96" s="1" t="s">
        <v>1396</v>
      </c>
      <c r="K96" s="1" t="s">
        <v>75</v>
      </c>
      <c r="L96" s="1" t="s">
        <v>2421</v>
      </c>
      <c r="M96" s="1" t="s">
        <v>3094</v>
      </c>
      <c r="N96" s="1"/>
      <c r="O96" s="1" t="s">
        <v>3095</v>
      </c>
      <c r="P96" s="1">
        <v>879</v>
      </c>
      <c r="Q96" s="4">
        <v>7.3</v>
      </c>
      <c r="R96" s="4">
        <v>5.12</v>
      </c>
      <c r="S96" s="4"/>
      <c r="T96" s="4">
        <v>132.30000000000001</v>
      </c>
      <c r="U96" s="4">
        <v>2.2000000000000002</v>
      </c>
      <c r="V96" s="4"/>
      <c r="W96" s="4">
        <v>44.6</v>
      </c>
      <c r="X96" s="4">
        <v>270</v>
      </c>
      <c r="Y96" s="4">
        <v>59</v>
      </c>
      <c r="Z96" s="4">
        <v>1</v>
      </c>
      <c r="AA96" s="4">
        <v>1</v>
      </c>
      <c r="AB96" s="4" t="s">
        <v>730</v>
      </c>
      <c r="AC96" s="4">
        <v>1.6331544390514161</v>
      </c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1"/>
      <c r="BJ96" s="1" t="s">
        <v>3289</v>
      </c>
      <c r="BK96" s="1">
        <v>1</v>
      </c>
      <c r="BL96" s="1"/>
      <c r="BM96" s="1" t="s">
        <v>412</v>
      </c>
      <c r="BN96" s="1" t="s">
        <v>2690</v>
      </c>
      <c r="BO96" s="1" t="s">
        <v>2691</v>
      </c>
      <c r="BP96" s="1">
        <v>7.28</v>
      </c>
      <c r="BQ96" s="1" t="s">
        <v>1003</v>
      </c>
      <c r="BR96" s="1">
        <v>34.200000000000003</v>
      </c>
      <c r="BS96" s="1">
        <v>-116.43600000000001</v>
      </c>
      <c r="BT96" s="1">
        <v>7</v>
      </c>
      <c r="BU96" s="1" t="s">
        <v>730</v>
      </c>
      <c r="BV96" s="1" t="s">
        <v>2571</v>
      </c>
      <c r="BW96" s="1">
        <v>336</v>
      </c>
      <c r="BX96" s="1">
        <v>90</v>
      </c>
      <c r="BY96" s="1">
        <v>180</v>
      </c>
      <c r="BZ96" s="1"/>
      <c r="CA96" s="1"/>
      <c r="CB96" s="1"/>
      <c r="CC96" s="1" t="s">
        <v>2566</v>
      </c>
      <c r="CD96" s="1" t="s">
        <v>731</v>
      </c>
      <c r="CE96" s="1"/>
      <c r="CF96" s="1"/>
      <c r="CG96" s="1"/>
      <c r="CH96" s="1"/>
      <c r="CI96" s="1"/>
      <c r="CJ96" s="1" t="s">
        <v>167</v>
      </c>
      <c r="CK96" t="s">
        <v>1262</v>
      </c>
      <c r="CL96">
        <v>96</v>
      </c>
      <c r="CM96" t="s">
        <v>2694</v>
      </c>
    </row>
    <row r="97" spans="1:91" ht="19" customHeight="1">
      <c r="A97" s="1" t="s">
        <v>3290</v>
      </c>
      <c r="B97" s="1" t="s">
        <v>3093</v>
      </c>
      <c r="C97" s="1">
        <v>97</v>
      </c>
      <c r="D97" s="1" t="s">
        <v>833</v>
      </c>
      <c r="E97" s="1">
        <v>1992</v>
      </c>
      <c r="F97" s="1" t="s">
        <v>836</v>
      </c>
      <c r="G97" s="1" t="s">
        <v>2530</v>
      </c>
      <c r="H97" s="4">
        <v>34.904000000000003</v>
      </c>
      <c r="I97" s="4">
        <v>-116.82299999999999</v>
      </c>
      <c r="J97" s="1" t="s">
        <v>1396</v>
      </c>
      <c r="K97" s="1" t="s">
        <v>75</v>
      </c>
      <c r="L97" s="1" t="s">
        <v>2531</v>
      </c>
      <c r="M97" s="1" t="s">
        <v>3094</v>
      </c>
      <c r="N97" s="1"/>
      <c r="O97" s="1" t="s">
        <v>3095</v>
      </c>
      <c r="P97" s="1">
        <v>900</v>
      </c>
      <c r="Q97" s="4">
        <v>7.3</v>
      </c>
      <c r="R97" s="4">
        <v>7.5</v>
      </c>
      <c r="S97" s="4"/>
      <c r="T97" s="4">
        <v>55.8</v>
      </c>
      <c r="U97" s="4">
        <v>23.6</v>
      </c>
      <c r="V97" s="4"/>
      <c r="W97" s="4">
        <v>86.3</v>
      </c>
      <c r="X97" s="4">
        <v>238</v>
      </c>
      <c r="Y97" s="4">
        <v>77</v>
      </c>
      <c r="Z97" s="4">
        <v>1</v>
      </c>
      <c r="AA97" s="4">
        <v>1</v>
      </c>
      <c r="AB97" s="4" t="s">
        <v>730</v>
      </c>
      <c r="AC97" s="4">
        <v>2.0149030205422651</v>
      </c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1"/>
      <c r="BJ97" s="1" t="s">
        <v>3291</v>
      </c>
      <c r="BK97" s="1">
        <v>1</v>
      </c>
      <c r="BL97" s="1"/>
      <c r="BM97" s="1" t="s">
        <v>412</v>
      </c>
      <c r="BN97" s="1" t="s">
        <v>2690</v>
      </c>
      <c r="BO97" s="1" t="s">
        <v>2691</v>
      </c>
      <c r="BP97" s="1">
        <v>7.28</v>
      </c>
      <c r="BQ97" s="1" t="s">
        <v>1003</v>
      </c>
      <c r="BR97" s="1">
        <v>34.200000000000003</v>
      </c>
      <c r="BS97" s="1">
        <v>-116.43600000000001</v>
      </c>
      <c r="BT97" s="1">
        <v>7</v>
      </c>
      <c r="BU97" s="1" t="s">
        <v>730</v>
      </c>
      <c r="BV97" s="1" t="s">
        <v>2571</v>
      </c>
      <c r="BW97" s="1">
        <v>336</v>
      </c>
      <c r="BX97" s="1">
        <v>90</v>
      </c>
      <c r="BY97" s="1">
        <v>180</v>
      </c>
      <c r="BZ97" s="1"/>
      <c r="CA97" s="1"/>
      <c r="CB97" s="1"/>
      <c r="CC97" s="1" t="s">
        <v>2566</v>
      </c>
      <c r="CD97" s="1" t="s">
        <v>731</v>
      </c>
      <c r="CE97" s="1"/>
      <c r="CF97" s="1"/>
      <c r="CG97" s="1"/>
      <c r="CH97" s="1"/>
      <c r="CI97" s="1"/>
      <c r="CJ97" s="1" t="s">
        <v>167</v>
      </c>
      <c r="CK97" t="s">
        <v>1262</v>
      </c>
      <c r="CL97">
        <v>97</v>
      </c>
      <c r="CM97" t="s">
        <v>2694</v>
      </c>
    </row>
    <row r="98" spans="1:91" ht="19" customHeight="1">
      <c r="A98" s="1" t="s">
        <v>3292</v>
      </c>
      <c r="B98" s="1" t="s">
        <v>3093</v>
      </c>
      <c r="C98" s="1">
        <v>98</v>
      </c>
      <c r="D98" s="1" t="s">
        <v>837</v>
      </c>
      <c r="E98" s="1">
        <v>1994</v>
      </c>
      <c r="F98" s="1" t="s">
        <v>838</v>
      </c>
      <c r="G98" s="1" t="s">
        <v>2394</v>
      </c>
      <c r="H98" s="4">
        <v>34.311999999999998</v>
      </c>
      <c r="I98" s="4">
        <v>-118.496</v>
      </c>
      <c r="J98" s="1" t="s">
        <v>1396</v>
      </c>
      <c r="K98" s="1" t="s">
        <v>75</v>
      </c>
      <c r="L98" s="1" t="s">
        <v>2395</v>
      </c>
      <c r="M98" s="1" t="s">
        <v>3094</v>
      </c>
      <c r="N98" s="1"/>
      <c r="O98" s="1" t="s">
        <v>3095</v>
      </c>
      <c r="P98" s="1">
        <v>982</v>
      </c>
      <c r="Q98" s="4">
        <v>6.7</v>
      </c>
      <c r="R98" s="4">
        <v>3.16</v>
      </c>
      <c r="S98" s="4"/>
      <c r="T98" s="4">
        <v>101.5</v>
      </c>
      <c r="U98" s="4">
        <v>5.4</v>
      </c>
      <c r="V98" s="4"/>
      <c r="W98" s="4">
        <v>21.8</v>
      </c>
      <c r="X98" s="4">
        <v>49</v>
      </c>
      <c r="Y98" s="4">
        <v>73</v>
      </c>
      <c r="Z98" s="4">
        <v>1</v>
      </c>
      <c r="AA98" s="4">
        <v>1</v>
      </c>
      <c r="AB98" s="4" t="s">
        <v>734</v>
      </c>
      <c r="AC98" s="4">
        <v>1.1505720275988209</v>
      </c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1"/>
      <c r="BJ98" s="1" t="s">
        <v>3293</v>
      </c>
      <c r="BK98" s="1">
        <v>1</v>
      </c>
      <c r="BL98" s="1"/>
      <c r="BM98" s="1" t="s">
        <v>419</v>
      </c>
      <c r="BN98" s="1" t="s">
        <v>2696</v>
      </c>
      <c r="BO98" s="1" t="s">
        <v>2697</v>
      </c>
      <c r="BP98" s="1">
        <v>6.69</v>
      </c>
      <c r="BQ98" s="1" t="s">
        <v>1003</v>
      </c>
      <c r="BR98" s="1">
        <v>34.2057</v>
      </c>
      <c r="BS98" s="1">
        <v>-118.5539</v>
      </c>
      <c r="BT98" s="1">
        <v>17.5</v>
      </c>
      <c r="BU98" s="1" t="s">
        <v>734</v>
      </c>
      <c r="BV98" s="1" t="s">
        <v>2571</v>
      </c>
      <c r="BW98" s="1">
        <v>122</v>
      </c>
      <c r="BX98" s="1">
        <v>40</v>
      </c>
      <c r="BY98" s="1">
        <v>103</v>
      </c>
      <c r="BZ98" s="1"/>
      <c r="CA98" s="1"/>
      <c r="CB98" s="1"/>
      <c r="CC98" s="1" t="s">
        <v>2566</v>
      </c>
      <c r="CD98" s="1" t="s">
        <v>731</v>
      </c>
      <c r="CE98" s="1"/>
      <c r="CF98" s="1"/>
      <c r="CG98" s="1"/>
      <c r="CH98" s="1"/>
      <c r="CI98" s="1"/>
      <c r="CJ98" s="1" t="s">
        <v>167</v>
      </c>
      <c r="CK98" t="s">
        <v>1262</v>
      </c>
      <c r="CL98">
        <v>98</v>
      </c>
      <c r="CM98" t="s">
        <v>2700</v>
      </c>
    </row>
    <row r="99" spans="1:91" ht="19" customHeight="1">
      <c r="A99" s="1" t="s">
        <v>3294</v>
      </c>
      <c r="B99" s="1" t="s">
        <v>3093</v>
      </c>
      <c r="C99" s="1">
        <v>99</v>
      </c>
      <c r="D99" s="1" t="s">
        <v>837</v>
      </c>
      <c r="E99" s="1">
        <v>1994</v>
      </c>
      <c r="F99" s="1" t="s">
        <v>839</v>
      </c>
      <c r="G99" s="1" t="s">
        <v>2398</v>
      </c>
      <c r="H99" s="4">
        <v>34.313000000000002</v>
      </c>
      <c r="I99" s="4">
        <v>-118.498</v>
      </c>
      <c r="J99" s="1" t="s">
        <v>1396</v>
      </c>
      <c r="K99" s="1" t="s">
        <v>75</v>
      </c>
      <c r="L99" s="1" t="s">
        <v>2399</v>
      </c>
      <c r="M99" s="1" t="s">
        <v>3094</v>
      </c>
      <c r="N99" s="1"/>
      <c r="O99" s="1" t="s">
        <v>3095</v>
      </c>
      <c r="P99" s="1">
        <v>983</v>
      </c>
      <c r="Q99" s="4">
        <v>6.7</v>
      </c>
      <c r="R99" s="4">
        <v>3.54</v>
      </c>
      <c r="S99" s="4"/>
      <c r="T99" s="4">
        <v>66.099999999999994</v>
      </c>
      <c r="U99" s="4">
        <v>5.4</v>
      </c>
      <c r="V99" s="4"/>
      <c r="W99" s="4">
        <v>21.8</v>
      </c>
      <c r="X99" s="4">
        <v>34</v>
      </c>
      <c r="Y99" s="4">
        <v>88</v>
      </c>
      <c r="Z99" s="4">
        <v>1</v>
      </c>
      <c r="AA99" s="4">
        <v>1</v>
      </c>
      <c r="AB99" s="4" t="s">
        <v>734</v>
      </c>
      <c r="AC99" s="4">
        <v>1.2641267271456831</v>
      </c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1"/>
      <c r="BJ99" s="1" t="s">
        <v>3295</v>
      </c>
      <c r="BK99" s="1">
        <v>1</v>
      </c>
      <c r="BL99" s="1"/>
      <c r="BM99" s="1" t="s">
        <v>419</v>
      </c>
      <c r="BN99" s="1" t="s">
        <v>2696</v>
      </c>
      <c r="BO99" s="1" t="s">
        <v>2697</v>
      </c>
      <c r="BP99" s="1">
        <v>6.69</v>
      </c>
      <c r="BQ99" s="1" t="s">
        <v>1003</v>
      </c>
      <c r="BR99" s="1">
        <v>34.2057</v>
      </c>
      <c r="BS99" s="1">
        <v>-118.5539</v>
      </c>
      <c r="BT99" s="1">
        <v>17.5</v>
      </c>
      <c r="BU99" s="1" t="s">
        <v>734</v>
      </c>
      <c r="BV99" s="1" t="s">
        <v>2571</v>
      </c>
      <c r="BW99" s="1">
        <v>122</v>
      </c>
      <c r="BX99" s="1">
        <v>40</v>
      </c>
      <c r="BY99" s="1">
        <v>103</v>
      </c>
      <c r="BZ99" s="1"/>
      <c r="CA99" s="1"/>
      <c r="CB99" s="1"/>
      <c r="CC99" s="1" t="s">
        <v>2566</v>
      </c>
      <c r="CD99" s="1" t="s">
        <v>731</v>
      </c>
      <c r="CE99" s="1"/>
      <c r="CF99" s="1"/>
      <c r="CG99" s="1"/>
      <c r="CH99" s="1"/>
      <c r="CI99" s="1"/>
      <c r="CJ99" s="1" t="s">
        <v>167</v>
      </c>
      <c r="CK99" t="s">
        <v>1262</v>
      </c>
      <c r="CL99">
        <v>99</v>
      </c>
      <c r="CM99" t="s">
        <v>2700</v>
      </c>
    </row>
    <row r="100" spans="1:91" ht="19" customHeight="1">
      <c r="A100" s="1" t="s">
        <v>3296</v>
      </c>
      <c r="B100" s="1" t="s">
        <v>3093</v>
      </c>
      <c r="C100" s="1">
        <v>100</v>
      </c>
      <c r="D100" s="1" t="s">
        <v>837</v>
      </c>
      <c r="E100" s="1">
        <v>1994</v>
      </c>
      <c r="F100" s="1" t="s">
        <v>840</v>
      </c>
      <c r="G100" s="1" t="s">
        <v>2408</v>
      </c>
      <c r="H100" s="4">
        <v>34.045999999999999</v>
      </c>
      <c r="I100" s="4">
        <v>-118.355</v>
      </c>
      <c r="J100" s="1" t="s">
        <v>1396</v>
      </c>
      <c r="K100" s="1" t="s">
        <v>75</v>
      </c>
      <c r="L100" s="1" t="s">
        <v>2409</v>
      </c>
      <c r="M100" s="1" t="s">
        <v>3094</v>
      </c>
      <c r="N100" s="1"/>
      <c r="O100" s="1" t="s">
        <v>3095</v>
      </c>
      <c r="P100" s="1">
        <v>1003</v>
      </c>
      <c r="Q100" s="4">
        <v>6.7</v>
      </c>
      <c r="R100" s="4">
        <v>0.98</v>
      </c>
      <c r="S100" s="4"/>
      <c r="T100" s="4">
        <v>41.6</v>
      </c>
      <c r="U100" s="4">
        <v>27</v>
      </c>
      <c r="V100" s="4"/>
      <c r="W100" s="4">
        <v>30.9</v>
      </c>
      <c r="X100" s="4">
        <v>87</v>
      </c>
      <c r="Y100" s="4">
        <v>35</v>
      </c>
      <c r="Z100" s="4">
        <v>0</v>
      </c>
      <c r="AA100" s="4">
        <v>0</v>
      </c>
      <c r="AB100" s="4" t="s">
        <v>734</v>
      </c>
      <c r="AC100" s="4">
        <v>-2.0202707317519469E-2</v>
      </c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1"/>
      <c r="BJ100" s="1" t="s">
        <v>3297</v>
      </c>
      <c r="BK100" s="1">
        <v>1</v>
      </c>
      <c r="BL100" s="1"/>
      <c r="BM100" s="1" t="s">
        <v>419</v>
      </c>
      <c r="BN100" s="1" t="s">
        <v>2696</v>
      </c>
      <c r="BO100" s="1" t="s">
        <v>2697</v>
      </c>
      <c r="BP100" s="1">
        <v>6.69</v>
      </c>
      <c r="BQ100" s="1" t="s">
        <v>1003</v>
      </c>
      <c r="BR100" s="1">
        <v>34.2057</v>
      </c>
      <c r="BS100" s="1">
        <v>-118.5539</v>
      </c>
      <c r="BT100" s="1">
        <v>17.5</v>
      </c>
      <c r="BU100" s="1" t="s">
        <v>734</v>
      </c>
      <c r="BV100" s="1" t="s">
        <v>2571</v>
      </c>
      <c r="BW100" s="1">
        <v>122</v>
      </c>
      <c r="BX100" s="1">
        <v>40</v>
      </c>
      <c r="BY100" s="1">
        <v>103</v>
      </c>
      <c r="BZ100" s="1"/>
      <c r="CA100" s="1"/>
      <c r="CB100" s="1"/>
      <c r="CC100" s="1" t="s">
        <v>2566</v>
      </c>
      <c r="CD100" s="1" t="s">
        <v>731</v>
      </c>
      <c r="CE100" s="1"/>
      <c r="CF100" s="1"/>
      <c r="CG100" s="1"/>
      <c r="CH100" s="1"/>
      <c r="CI100" s="1"/>
      <c r="CJ100" s="1" t="s">
        <v>167</v>
      </c>
      <c r="CK100" t="s">
        <v>1262</v>
      </c>
      <c r="CL100">
        <v>100</v>
      </c>
      <c r="CM100" t="s">
        <v>2700</v>
      </c>
    </row>
    <row r="101" spans="1:91" ht="19" customHeight="1">
      <c r="A101" s="1" t="s">
        <v>3298</v>
      </c>
      <c r="B101" s="1" t="s">
        <v>3093</v>
      </c>
      <c r="C101" s="1">
        <v>101</v>
      </c>
      <c r="D101" s="1" t="s">
        <v>837</v>
      </c>
      <c r="E101" s="1">
        <v>1994</v>
      </c>
      <c r="F101" s="1" t="s">
        <v>841</v>
      </c>
      <c r="G101" s="1" t="s">
        <v>2410</v>
      </c>
      <c r="H101" s="4">
        <v>34.248899999999999</v>
      </c>
      <c r="I101" s="4">
        <v>-118.4789</v>
      </c>
      <c r="J101" s="1" t="s">
        <v>1396</v>
      </c>
      <c r="K101" s="1" t="s">
        <v>75</v>
      </c>
      <c r="L101" s="1" t="s">
        <v>2411</v>
      </c>
      <c r="M101" s="1" t="s">
        <v>3094</v>
      </c>
      <c r="N101" s="1"/>
      <c r="O101" s="1" t="s">
        <v>3095</v>
      </c>
      <c r="P101" s="1">
        <v>1004</v>
      </c>
      <c r="Q101" s="4">
        <v>6.7</v>
      </c>
      <c r="R101" s="4">
        <v>0.93</v>
      </c>
      <c r="S101" s="4"/>
      <c r="T101" s="4">
        <v>77.900000000000006</v>
      </c>
      <c r="U101" s="4">
        <v>8.4</v>
      </c>
      <c r="V101" s="4"/>
      <c r="W101" s="4">
        <v>19.399999999999999</v>
      </c>
      <c r="X101" s="4">
        <v>271</v>
      </c>
      <c r="Y101" s="4">
        <v>31</v>
      </c>
      <c r="Z101" s="4">
        <v>0</v>
      </c>
      <c r="AA101" s="4">
        <v>1</v>
      </c>
      <c r="AB101" s="4" t="s">
        <v>734</v>
      </c>
      <c r="AC101" s="4">
        <v>-7.2570692834835374E-2</v>
      </c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1"/>
      <c r="BJ101" s="1" t="s">
        <v>3299</v>
      </c>
      <c r="BK101" s="1">
        <v>1</v>
      </c>
      <c r="BL101" s="1"/>
      <c r="BM101" s="1" t="s">
        <v>419</v>
      </c>
      <c r="BN101" s="1" t="s">
        <v>2696</v>
      </c>
      <c r="BO101" s="1" t="s">
        <v>2697</v>
      </c>
      <c r="BP101" s="1">
        <v>6.69</v>
      </c>
      <c r="BQ101" s="1" t="s">
        <v>1003</v>
      </c>
      <c r="BR101" s="1">
        <v>34.2057</v>
      </c>
      <c r="BS101" s="1">
        <v>-118.5539</v>
      </c>
      <c r="BT101" s="1">
        <v>17.5</v>
      </c>
      <c r="BU101" s="1" t="s">
        <v>734</v>
      </c>
      <c r="BV101" s="1" t="s">
        <v>2571</v>
      </c>
      <c r="BW101" s="1">
        <v>122</v>
      </c>
      <c r="BX101" s="1">
        <v>40</v>
      </c>
      <c r="BY101" s="1">
        <v>103</v>
      </c>
      <c r="BZ101" s="1"/>
      <c r="CA101" s="1"/>
      <c r="CB101" s="1"/>
      <c r="CC101" s="1" t="s">
        <v>2566</v>
      </c>
      <c r="CD101" s="1" t="s">
        <v>731</v>
      </c>
      <c r="CE101" s="1"/>
      <c r="CF101" s="1"/>
      <c r="CG101" s="1"/>
      <c r="CH101" s="1"/>
      <c r="CI101" s="1"/>
      <c r="CJ101" s="1" t="s">
        <v>167</v>
      </c>
      <c r="CK101" t="s">
        <v>1262</v>
      </c>
      <c r="CL101">
        <v>101</v>
      </c>
      <c r="CM101" t="s">
        <v>2700</v>
      </c>
    </row>
    <row r="102" spans="1:91" ht="19" customHeight="1">
      <c r="A102" s="1" t="s">
        <v>3300</v>
      </c>
      <c r="B102" s="1" t="s">
        <v>3093</v>
      </c>
      <c r="C102" s="1">
        <v>102</v>
      </c>
      <c r="D102" s="1" t="s">
        <v>837</v>
      </c>
      <c r="E102" s="1">
        <v>1994</v>
      </c>
      <c r="F102" s="1" t="s">
        <v>842</v>
      </c>
      <c r="G102" s="1" t="s">
        <v>2405</v>
      </c>
      <c r="H102" s="4">
        <v>34.293999999999997</v>
      </c>
      <c r="I102" s="4">
        <v>-118.483</v>
      </c>
      <c r="J102" s="1" t="s">
        <v>1396</v>
      </c>
      <c r="K102" s="1" t="s">
        <v>75</v>
      </c>
      <c r="L102" s="1" t="s">
        <v>2406</v>
      </c>
      <c r="M102" s="1" t="s">
        <v>3094</v>
      </c>
      <c r="N102" s="1"/>
      <c r="O102" s="1" t="s">
        <v>3095</v>
      </c>
      <c r="P102" s="1">
        <v>1013</v>
      </c>
      <c r="Q102" s="4">
        <v>6.7</v>
      </c>
      <c r="R102" s="4">
        <v>1.62</v>
      </c>
      <c r="S102" s="4"/>
      <c r="T102" s="4">
        <v>86.3</v>
      </c>
      <c r="U102" s="4">
        <v>5.9</v>
      </c>
      <c r="V102" s="4"/>
      <c r="W102" s="4">
        <v>21.1</v>
      </c>
      <c r="X102" s="4">
        <v>31</v>
      </c>
      <c r="Y102" s="4">
        <v>89</v>
      </c>
      <c r="Z102" s="4">
        <v>1</v>
      </c>
      <c r="AA102" s="4">
        <v>1</v>
      </c>
      <c r="AB102" s="4" t="s">
        <v>734</v>
      </c>
      <c r="AC102" s="4">
        <v>0.48242614924429278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1"/>
      <c r="BJ102" s="1" t="s">
        <v>3301</v>
      </c>
      <c r="BK102" s="1">
        <v>1</v>
      </c>
      <c r="BL102" s="1"/>
      <c r="BM102" s="1" t="s">
        <v>419</v>
      </c>
      <c r="BN102" s="1" t="s">
        <v>2696</v>
      </c>
      <c r="BO102" s="1" t="s">
        <v>2697</v>
      </c>
      <c r="BP102" s="1">
        <v>6.69</v>
      </c>
      <c r="BQ102" s="1" t="s">
        <v>1003</v>
      </c>
      <c r="BR102" s="1">
        <v>34.2057</v>
      </c>
      <c r="BS102" s="1">
        <v>-118.5539</v>
      </c>
      <c r="BT102" s="1">
        <v>17.5</v>
      </c>
      <c r="BU102" s="1" t="s">
        <v>734</v>
      </c>
      <c r="BV102" s="1" t="s">
        <v>2571</v>
      </c>
      <c r="BW102" s="1">
        <v>122</v>
      </c>
      <c r="BX102" s="1">
        <v>40</v>
      </c>
      <c r="BY102" s="1">
        <v>103</v>
      </c>
      <c r="BZ102" s="1"/>
      <c r="CA102" s="1"/>
      <c r="CB102" s="1"/>
      <c r="CC102" s="1" t="s">
        <v>2566</v>
      </c>
      <c r="CD102" s="1" t="s">
        <v>731</v>
      </c>
      <c r="CE102" s="1"/>
      <c r="CF102" s="1"/>
      <c r="CG102" s="1"/>
      <c r="CH102" s="1"/>
      <c r="CI102" s="1"/>
      <c r="CJ102" s="1" t="s">
        <v>167</v>
      </c>
      <c r="CK102" t="s">
        <v>1262</v>
      </c>
      <c r="CL102">
        <v>102</v>
      </c>
      <c r="CM102" t="s">
        <v>2700</v>
      </c>
    </row>
    <row r="103" spans="1:91" ht="19" customHeight="1">
      <c r="A103" s="1" t="s">
        <v>3302</v>
      </c>
      <c r="B103" s="1" t="s">
        <v>3093</v>
      </c>
      <c r="C103" s="1">
        <v>103</v>
      </c>
      <c r="D103" s="1" t="s">
        <v>837</v>
      </c>
      <c r="E103" s="1">
        <v>1994</v>
      </c>
      <c r="F103" s="1" t="s">
        <v>843</v>
      </c>
      <c r="G103" s="1" t="s">
        <v>2427</v>
      </c>
      <c r="H103" s="4">
        <v>34.387</v>
      </c>
      <c r="I103" s="4">
        <v>-118.533</v>
      </c>
      <c r="J103" s="1" t="s">
        <v>1396</v>
      </c>
      <c r="K103" s="1" t="s">
        <v>75</v>
      </c>
      <c r="L103" s="1" t="s">
        <v>2428</v>
      </c>
      <c r="M103" s="1" t="s">
        <v>3094</v>
      </c>
      <c r="N103" s="1"/>
      <c r="O103" s="1" t="s">
        <v>3095</v>
      </c>
      <c r="P103" s="1">
        <v>1044</v>
      </c>
      <c r="Q103" s="4">
        <v>6.7</v>
      </c>
      <c r="R103" s="4">
        <v>1.37</v>
      </c>
      <c r="S103" s="4"/>
      <c r="T103" s="4">
        <v>116.1</v>
      </c>
      <c r="U103" s="4">
        <v>5.9</v>
      </c>
      <c r="V103" s="4"/>
      <c r="W103" s="4">
        <v>26.8</v>
      </c>
      <c r="X103" s="4">
        <v>21</v>
      </c>
      <c r="Y103" s="4">
        <v>79</v>
      </c>
      <c r="Z103" s="4">
        <v>0</v>
      </c>
      <c r="AA103" s="4">
        <v>1</v>
      </c>
      <c r="AB103" s="4" t="s">
        <v>734</v>
      </c>
      <c r="AC103" s="4">
        <v>0.3148107398400336</v>
      </c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1"/>
      <c r="BJ103" s="1" t="s">
        <v>3303</v>
      </c>
      <c r="BK103" s="1">
        <v>1</v>
      </c>
      <c r="BL103" s="1"/>
      <c r="BM103" s="1" t="s">
        <v>419</v>
      </c>
      <c r="BN103" s="1" t="s">
        <v>2696</v>
      </c>
      <c r="BO103" s="1" t="s">
        <v>2697</v>
      </c>
      <c r="BP103" s="1">
        <v>6.69</v>
      </c>
      <c r="BQ103" s="1" t="s">
        <v>1003</v>
      </c>
      <c r="BR103" s="1">
        <v>34.2057</v>
      </c>
      <c r="BS103" s="1">
        <v>-118.5539</v>
      </c>
      <c r="BT103" s="1">
        <v>17.5</v>
      </c>
      <c r="BU103" s="1" t="s">
        <v>734</v>
      </c>
      <c r="BV103" s="1" t="s">
        <v>2571</v>
      </c>
      <c r="BW103" s="1">
        <v>122</v>
      </c>
      <c r="BX103" s="1">
        <v>40</v>
      </c>
      <c r="BY103" s="1">
        <v>103</v>
      </c>
      <c r="BZ103" s="1"/>
      <c r="CA103" s="1"/>
      <c r="CB103" s="1"/>
      <c r="CC103" s="1" t="s">
        <v>2566</v>
      </c>
      <c r="CD103" s="1" t="s">
        <v>731</v>
      </c>
      <c r="CE103" s="1"/>
      <c r="CF103" s="1"/>
      <c r="CG103" s="1"/>
      <c r="CH103" s="1"/>
      <c r="CI103" s="1"/>
      <c r="CJ103" s="1" t="s">
        <v>167</v>
      </c>
      <c r="CK103" t="s">
        <v>1262</v>
      </c>
      <c r="CL103">
        <v>103</v>
      </c>
      <c r="CM103" t="s">
        <v>2700</v>
      </c>
    </row>
    <row r="104" spans="1:91" ht="19" customHeight="1">
      <c r="A104" s="1" t="s">
        <v>3304</v>
      </c>
      <c r="B104" s="1" t="s">
        <v>3093</v>
      </c>
      <c r="C104" s="1">
        <v>104</v>
      </c>
      <c r="D104" s="1" t="s">
        <v>837</v>
      </c>
      <c r="E104" s="1">
        <v>1994</v>
      </c>
      <c r="F104" s="1" t="s">
        <v>844</v>
      </c>
      <c r="G104" s="1" t="s">
        <v>2430</v>
      </c>
      <c r="H104" s="4">
        <v>34.390999999999998</v>
      </c>
      <c r="I104" s="4">
        <v>-118.622</v>
      </c>
      <c r="J104" s="1" t="s">
        <v>1396</v>
      </c>
      <c r="K104" s="1" t="s">
        <v>75</v>
      </c>
      <c r="L104" s="1" t="s">
        <v>2431</v>
      </c>
      <c r="M104" s="1" t="s">
        <v>3094</v>
      </c>
      <c r="N104" s="1"/>
      <c r="O104" s="1" t="s">
        <v>3095</v>
      </c>
      <c r="P104" s="1">
        <v>1045</v>
      </c>
      <c r="Q104" s="4">
        <v>6.7</v>
      </c>
      <c r="R104" s="4">
        <v>2.98</v>
      </c>
      <c r="S104" s="4"/>
      <c r="T104" s="4">
        <v>118.3</v>
      </c>
      <c r="U104" s="4">
        <v>5.5</v>
      </c>
      <c r="V104" s="4"/>
      <c r="W104" s="4">
        <v>27.8</v>
      </c>
      <c r="X104" s="4">
        <v>34</v>
      </c>
      <c r="Y104" s="4">
        <v>88</v>
      </c>
      <c r="Z104" s="4">
        <v>1</v>
      </c>
      <c r="AA104" s="4">
        <v>1</v>
      </c>
      <c r="AB104" s="4" t="s">
        <v>734</v>
      </c>
      <c r="AC104" s="4">
        <v>1.091923300517313</v>
      </c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1"/>
      <c r="BJ104" s="1" t="s">
        <v>3305</v>
      </c>
      <c r="BK104" s="1">
        <v>1</v>
      </c>
      <c r="BL104" s="1"/>
      <c r="BM104" s="1" t="s">
        <v>419</v>
      </c>
      <c r="BN104" s="1" t="s">
        <v>2696</v>
      </c>
      <c r="BO104" s="1" t="s">
        <v>2697</v>
      </c>
      <c r="BP104" s="1">
        <v>6.69</v>
      </c>
      <c r="BQ104" s="1" t="s">
        <v>1003</v>
      </c>
      <c r="BR104" s="1">
        <v>34.2057</v>
      </c>
      <c r="BS104" s="1">
        <v>-118.5539</v>
      </c>
      <c r="BT104" s="1">
        <v>17.5</v>
      </c>
      <c r="BU104" s="1" t="s">
        <v>734</v>
      </c>
      <c r="BV104" s="1" t="s">
        <v>2571</v>
      </c>
      <c r="BW104" s="1">
        <v>122</v>
      </c>
      <c r="BX104" s="1">
        <v>40</v>
      </c>
      <c r="BY104" s="1">
        <v>103</v>
      </c>
      <c r="BZ104" s="1"/>
      <c r="CA104" s="1"/>
      <c r="CB104" s="1"/>
      <c r="CC104" s="1" t="s">
        <v>2566</v>
      </c>
      <c r="CD104" s="1" t="s">
        <v>731</v>
      </c>
      <c r="CE104" s="1"/>
      <c r="CF104" s="1"/>
      <c r="CG104" s="1"/>
      <c r="CH104" s="1"/>
      <c r="CI104" s="1"/>
      <c r="CJ104" s="1" t="s">
        <v>167</v>
      </c>
      <c r="CK104" t="s">
        <v>1262</v>
      </c>
      <c r="CL104">
        <v>104</v>
      </c>
      <c r="CM104" t="s">
        <v>2700</v>
      </c>
    </row>
    <row r="105" spans="1:91" ht="19" customHeight="1">
      <c r="A105" s="1" t="s">
        <v>3306</v>
      </c>
      <c r="B105" s="1" t="s">
        <v>3093</v>
      </c>
      <c r="C105" s="1">
        <v>105</v>
      </c>
      <c r="D105" s="1" t="s">
        <v>837</v>
      </c>
      <c r="E105" s="1">
        <v>1994</v>
      </c>
      <c r="F105" s="1" t="s">
        <v>845</v>
      </c>
      <c r="G105" s="1" t="s">
        <v>2439</v>
      </c>
      <c r="H105" s="4">
        <v>34.334000000000003</v>
      </c>
      <c r="I105" s="4">
        <v>-118.396</v>
      </c>
      <c r="J105" s="1" t="s">
        <v>1396</v>
      </c>
      <c r="K105" s="1" t="s">
        <v>75</v>
      </c>
      <c r="L105" s="1" t="s">
        <v>2440</v>
      </c>
      <c r="M105" s="1" t="s">
        <v>3094</v>
      </c>
      <c r="N105" s="1"/>
      <c r="O105" s="1" t="s">
        <v>3095</v>
      </c>
      <c r="P105" s="1">
        <v>1050</v>
      </c>
      <c r="Q105" s="4">
        <v>6.7</v>
      </c>
      <c r="R105" s="4">
        <v>0.59</v>
      </c>
      <c r="S105" s="4"/>
      <c r="T105" s="4">
        <v>50.2</v>
      </c>
      <c r="U105" s="4">
        <v>7</v>
      </c>
      <c r="V105" s="4"/>
      <c r="W105" s="4">
        <v>26.9</v>
      </c>
      <c r="X105" s="4">
        <v>205</v>
      </c>
      <c r="Y105" s="4">
        <v>83</v>
      </c>
      <c r="Z105" s="4">
        <v>0</v>
      </c>
      <c r="AA105" s="4">
        <v>1</v>
      </c>
      <c r="AB105" s="4" t="s">
        <v>734</v>
      </c>
      <c r="AC105" s="4">
        <v>-0.52763274208237199</v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1"/>
      <c r="BJ105" s="1" t="s">
        <v>3307</v>
      </c>
      <c r="BK105" s="1">
        <v>1</v>
      </c>
      <c r="BL105" s="1"/>
      <c r="BM105" s="1" t="s">
        <v>419</v>
      </c>
      <c r="BN105" s="1" t="s">
        <v>2696</v>
      </c>
      <c r="BO105" s="1" t="s">
        <v>2697</v>
      </c>
      <c r="BP105" s="1">
        <v>6.69</v>
      </c>
      <c r="BQ105" s="1" t="s">
        <v>1003</v>
      </c>
      <c r="BR105" s="1">
        <v>34.2057</v>
      </c>
      <c r="BS105" s="1">
        <v>-118.5539</v>
      </c>
      <c r="BT105" s="1">
        <v>17.5</v>
      </c>
      <c r="BU105" s="1" t="s">
        <v>734</v>
      </c>
      <c r="BV105" s="1" t="s">
        <v>2571</v>
      </c>
      <c r="BW105" s="1">
        <v>122</v>
      </c>
      <c r="BX105" s="1">
        <v>40</v>
      </c>
      <c r="BY105" s="1">
        <v>103</v>
      </c>
      <c r="BZ105" s="1"/>
      <c r="CA105" s="1"/>
      <c r="CB105" s="1"/>
      <c r="CC105" s="1" t="s">
        <v>2566</v>
      </c>
      <c r="CD105" s="1" t="s">
        <v>731</v>
      </c>
      <c r="CE105" s="1"/>
      <c r="CF105" s="1"/>
      <c r="CG105" s="1"/>
      <c r="CH105" s="1"/>
      <c r="CI105" s="1"/>
      <c r="CJ105" s="1" t="s">
        <v>167</v>
      </c>
      <c r="CK105" t="s">
        <v>1262</v>
      </c>
      <c r="CL105">
        <v>105</v>
      </c>
      <c r="CM105" t="s">
        <v>2700</v>
      </c>
    </row>
    <row r="106" spans="1:91" ht="19" customHeight="1">
      <c r="A106" s="1" t="s">
        <v>3308</v>
      </c>
      <c r="B106" s="1" t="s">
        <v>3093</v>
      </c>
      <c r="C106" s="1">
        <v>106</v>
      </c>
      <c r="D106" s="1" t="s">
        <v>837</v>
      </c>
      <c r="E106" s="1">
        <v>1994</v>
      </c>
      <c r="F106" s="1" t="s">
        <v>846</v>
      </c>
      <c r="G106" s="1" t="s">
        <v>2442</v>
      </c>
      <c r="H106" s="4">
        <v>34.334000000000003</v>
      </c>
      <c r="I106" s="4">
        <v>-118.396</v>
      </c>
      <c r="J106" s="1" t="s">
        <v>1396</v>
      </c>
      <c r="K106" s="1" t="s">
        <v>75</v>
      </c>
      <c r="L106" s="1" t="s">
        <v>2443</v>
      </c>
      <c r="M106" s="1" t="s">
        <v>3094</v>
      </c>
      <c r="N106" s="1"/>
      <c r="O106" s="1" t="s">
        <v>3095</v>
      </c>
      <c r="P106" s="1">
        <v>1051</v>
      </c>
      <c r="Q106" s="4">
        <v>6.7</v>
      </c>
      <c r="R106" s="4">
        <v>0.84</v>
      </c>
      <c r="S106" s="4"/>
      <c r="T106" s="4">
        <v>106.1</v>
      </c>
      <c r="U106" s="4">
        <v>7</v>
      </c>
      <c r="V106" s="4"/>
      <c r="W106" s="4">
        <v>26.9</v>
      </c>
      <c r="X106" s="4">
        <v>41</v>
      </c>
      <c r="Y106" s="4">
        <v>81</v>
      </c>
      <c r="Z106" s="4">
        <v>1</v>
      </c>
      <c r="AA106" s="4">
        <v>1</v>
      </c>
      <c r="AB106" s="4" t="s">
        <v>734</v>
      </c>
      <c r="AC106" s="4">
        <v>-0.1743533871447778</v>
      </c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1"/>
      <c r="BJ106" s="1" t="s">
        <v>3309</v>
      </c>
      <c r="BK106" s="1">
        <v>1</v>
      </c>
      <c r="BL106" s="1"/>
      <c r="BM106" s="1" t="s">
        <v>419</v>
      </c>
      <c r="BN106" s="1" t="s">
        <v>2696</v>
      </c>
      <c r="BO106" s="1" t="s">
        <v>2697</v>
      </c>
      <c r="BP106" s="1">
        <v>6.69</v>
      </c>
      <c r="BQ106" s="1" t="s">
        <v>1003</v>
      </c>
      <c r="BR106" s="1">
        <v>34.2057</v>
      </c>
      <c r="BS106" s="1">
        <v>-118.5539</v>
      </c>
      <c r="BT106" s="1">
        <v>17.5</v>
      </c>
      <c r="BU106" s="1" t="s">
        <v>734</v>
      </c>
      <c r="BV106" s="1" t="s">
        <v>2571</v>
      </c>
      <c r="BW106" s="1">
        <v>122</v>
      </c>
      <c r="BX106" s="1">
        <v>40</v>
      </c>
      <c r="BY106" s="1">
        <v>103</v>
      </c>
      <c r="BZ106" s="1"/>
      <c r="CA106" s="1"/>
      <c r="CB106" s="1"/>
      <c r="CC106" s="1" t="s">
        <v>2566</v>
      </c>
      <c r="CD106" s="1" t="s">
        <v>731</v>
      </c>
      <c r="CE106" s="1"/>
      <c r="CF106" s="1"/>
      <c r="CG106" s="1"/>
      <c r="CH106" s="1"/>
      <c r="CI106" s="1"/>
      <c r="CJ106" s="1" t="s">
        <v>167</v>
      </c>
      <c r="CK106" t="s">
        <v>1262</v>
      </c>
      <c r="CL106">
        <v>106</v>
      </c>
      <c r="CM106" t="s">
        <v>2700</v>
      </c>
    </row>
    <row r="107" spans="1:91" ht="19" customHeight="1">
      <c r="A107" s="1" t="s">
        <v>3310</v>
      </c>
      <c r="B107" s="1" t="s">
        <v>3093</v>
      </c>
      <c r="C107" s="1">
        <v>107</v>
      </c>
      <c r="D107" s="1" t="s">
        <v>837</v>
      </c>
      <c r="E107" s="1">
        <v>1994</v>
      </c>
      <c r="F107" s="1" t="s">
        <v>847</v>
      </c>
      <c r="G107" s="1" t="s">
        <v>2448</v>
      </c>
      <c r="H107" s="4">
        <v>34.295999999999999</v>
      </c>
      <c r="I107" s="4">
        <v>-118.375</v>
      </c>
      <c r="J107" s="1" t="s">
        <v>1396</v>
      </c>
      <c r="K107" s="1" t="s">
        <v>75</v>
      </c>
      <c r="L107" s="1" t="s">
        <v>2449</v>
      </c>
      <c r="M107" s="1" t="s">
        <v>3094</v>
      </c>
      <c r="N107" s="1"/>
      <c r="O107" s="1" t="s">
        <v>3095</v>
      </c>
      <c r="P107" s="1">
        <v>1052</v>
      </c>
      <c r="Q107" s="4">
        <v>6.7</v>
      </c>
      <c r="R107" s="4">
        <v>0.73</v>
      </c>
      <c r="S107" s="4"/>
      <c r="T107" s="4">
        <v>56.8</v>
      </c>
      <c r="U107" s="4">
        <v>7.3</v>
      </c>
      <c r="V107" s="4"/>
      <c r="W107" s="4">
        <v>26</v>
      </c>
      <c r="X107" s="4">
        <v>33</v>
      </c>
      <c r="Y107" s="4">
        <v>89</v>
      </c>
      <c r="Z107" s="4">
        <v>0</v>
      </c>
      <c r="AA107" s="4">
        <v>1</v>
      </c>
      <c r="AB107" s="4" t="s">
        <v>734</v>
      </c>
      <c r="AC107" s="4">
        <v>-0.31471074483970018</v>
      </c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1"/>
      <c r="BJ107" s="1" t="s">
        <v>3311</v>
      </c>
      <c r="BK107" s="1">
        <v>1</v>
      </c>
      <c r="BL107" s="1"/>
      <c r="BM107" s="1" t="s">
        <v>419</v>
      </c>
      <c r="BN107" s="1" t="s">
        <v>2696</v>
      </c>
      <c r="BO107" s="1" t="s">
        <v>2697</v>
      </c>
      <c r="BP107" s="1">
        <v>6.69</v>
      </c>
      <c r="BQ107" s="1" t="s">
        <v>1003</v>
      </c>
      <c r="BR107" s="1">
        <v>34.2057</v>
      </c>
      <c r="BS107" s="1">
        <v>-118.5539</v>
      </c>
      <c r="BT107" s="1">
        <v>17.5</v>
      </c>
      <c r="BU107" s="1" t="s">
        <v>734</v>
      </c>
      <c r="BV107" s="1" t="s">
        <v>2571</v>
      </c>
      <c r="BW107" s="1">
        <v>122</v>
      </c>
      <c r="BX107" s="1">
        <v>40</v>
      </c>
      <c r="BY107" s="1">
        <v>103</v>
      </c>
      <c r="BZ107" s="1"/>
      <c r="CA107" s="1"/>
      <c r="CB107" s="1"/>
      <c r="CC107" s="1" t="s">
        <v>2566</v>
      </c>
      <c r="CD107" s="1" t="s">
        <v>731</v>
      </c>
      <c r="CE107" s="1"/>
      <c r="CF107" s="1"/>
      <c r="CG107" s="1"/>
      <c r="CH107" s="1"/>
      <c r="CI107" s="1"/>
      <c r="CJ107" s="1" t="s">
        <v>167</v>
      </c>
      <c r="CK107" t="s">
        <v>1262</v>
      </c>
      <c r="CL107">
        <v>107</v>
      </c>
      <c r="CM107" t="s">
        <v>2700</v>
      </c>
    </row>
    <row r="108" spans="1:91" ht="19" customHeight="1">
      <c r="A108" s="1" t="s">
        <v>3312</v>
      </c>
      <c r="B108" s="1" t="s">
        <v>3093</v>
      </c>
      <c r="C108" s="1">
        <v>108</v>
      </c>
      <c r="D108" s="1" t="s">
        <v>837</v>
      </c>
      <c r="E108" s="1">
        <v>1994</v>
      </c>
      <c r="F108" s="1" t="s">
        <v>848</v>
      </c>
      <c r="G108" s="1" t="s">
        <v>2456</v>
      </c>
      <c r="H108" s="4">
        <v>34.435000000000002</v>
      </c>
      <c r="I108" s="4">
        <v>-118.58199999999999</v>
      </c>
      <c r="J108" s="1" t="s">
        <v>1396</v>
      </c>
      <c r="K108" s="1" t="s">
        <v>75</v>
      </c>
      <c r="L108" s="1" t="s">
        <v>2457</v>
      </c>
      <c r="M108" s="1" t="s">
        <v>3094</v>
      </c>
      <c r="N108" s="1"/>
      <c r="O108" s="1" t="s">
        <v>3095</v>
      </c>
      <c r="P108" s="1">
        <v>1054</v>
      </c>
      <c r="Q108" s="4">
        <v>6.7</v>
      </c>
      <c r="R108" s="4">
        <v>1.23</v>
      </c>
      <c r="S108" s="4"/>
      <c r="T108" s="4">
        <v>76.3</v>
      </c>
      <c r="U108" s="4">
        <v>7.5</v>
      </c>
      <c r="V108" s="4"/>
      <c r="W108" s="4">
        <v>31.1</v>
      </c>
      <c r="X108" s="4"/>
      <c r="Y108" s="4"/>
      <c r="Z108" s="4"/>
      <c r="AA108" s="4">
        <v>1</v>
      </c>
      <c r="AB108" s="4" t="s">
        <v>734</v>
      </c>
      <c r="AC108" s="4">
        <v>0.2070141693843261</v>
      </c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1"/>
      <c r="BJ108" s="1" t="s">
        <v>3313</v>
      </c>
      <c r="BK108" s="1">
        <v>1</v>
      </c>
      <c r="BL108" s="1"/>
      <c r="BM108" s="1" t="s">
        <v>419</v>
      </c>
      <c r="BN108" s="1" t="s">
        <v>2696</v>
      </c>
      <c r="BO108" s="1" t="s">
        <v>2697</v>
      </c>
      <c r="BP108" s="1">
        <v>6.69</v>
      </c>
      <c r="BQ108" s="1" t="s">
        <v>1003</v>
      </c>
      <c r="BR108" s="1">
        <v>34.2057</v>
      </c>
      <c r="BS108" s="1">
        <v>-118.5539</v>
      </c>
      <c r="BT108" s="1">
        <v>17.5</v>
      </c>
      <c r="BU108" s="1" t="s">
        <v>734</v>
      </c>
      <c r="BV108" s="1" t="s">
        <v>2571</v>
      </c>
      <c r="BW108" s="1">
        <v>122</v>
      </c>
      <c r="BX108" s="1">
        <v>40</v>
      </c>
      <c r="BY108" s="1">
        <v>103</v>
      </c>
      <c r="BZ108" s="1"/>
      <c r="CA108" s="1"/>
      <c r="CB108" s="1"/>
      <c r="CC108" s="1" t="s">
        <v>2566</v>
      </c>
      <c r="CD108" s="1" t="s">
        <v>731</v>
      </c>
      <c r="CE108" s="1"/>
      <c r="CF108" s="1"/>
      <c r="CG108" s="1"/>
      <c r="CH108" s="1"/>
      <c r="CI108" s="1"/>
      <c r="CJ108" s="1" t="s">
        <v>167</v>
      </c>
      <c r="CK108" t="s">
        <v>1262</v>
      </c>
      <c r="CL108">
        <v>108</v>
      </c>
      <c r="CM108" t="s">
        <v>2700</v>
      </c>
    </row>
    <row r="109" spans="1:91" ht="19" customHeight="1">
      <c r="A109" s="1" t="s">
        <v>3314</v>
      </c>
      <c r="B109" s="1" t="s">
        <v>3093</v>
      </c>
      <c r="C109" s="1">
        <v>109</v>
      </c>
      <c r="D109" s="1" t="s">
        <v>837</v>
      </c>
      <c r="E109" s="1">
        <v>1994</v>
      </c>
      <c r="F109" s="1" t="s">
        <v>849</v>
      </c>
      <c r="G109" s="1" t="s">
        <v>2496</v>
      </c>
      <c r="H109" s="4">
        <v>34.280999999999999</v>
      </c>
      <c r="I109" s="4">
        <v>-118.47799999999999</v>
      </c>
      <c r="J109" s="1" t="s">
        <v>1396</v>
      </c>
      <c r="K109" s="1" t="s">
        <v>75</v>
      </c>
      <c r="L109" s="1" t="s">
        <v>2497</v>
      </c>
      <c r="M109" s="1" t="s">
        <v>3094</v>
      </c>
      <c r="N109" s="1"/>
      <c r="O109" s="1" t="s">
        <v>3095</v>
      </c>
      <c r="P109" s="1">
        <v>1063</v>
      </c>
      <c r="Q109" s="4">
        <v>6.7</v>
      </c>
      <c r="R109" s="4">
        <v>1.25</v>
      </c>
      <c r="S109" s="4"/>
      <c r="T109" s="4">
        <v>149.1</v>
      </c>
      <c r="U109" s="4">
        <v>6.5</v>
      </c>
      <c r="V109" s="4"/>
      <c r="W109" s="4">
        <v>20.6</v>
      </c>
      <c r="X109" s="4">
        <v>209</v>
      </c>
      <c r="Y109" s="4">
        <v>87</v>
      </c>
      <c r="Z109" s="4">
        <v>1</v>
      </c>
      <c r="AA109" s="4">
        <v>1</v>
      </c>
      <c r="AB109" s="4" t="s">
        <v>734</v>
      </c>
      <c r="AC109" s="4">
        <v>0.22314355131420979</v>
      </c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1"/>
      <c r="BJ109" s="1" t="s">
        <v>3315</v>
      </c>
      <c r="BK109" s="1">
        <v>1</v>
      </c>
      <c r="BL109" s="1"/>
      <c r="BM109" s="1" t="s">
        <v>419</v>
      </c>
      <c r="BN109" s="1" t="s">
        <v>2696</v>
      </c>
      <c r="BO109" s="1" t="s">
        <v>2697</v>
      </c>
      <c r="BP109" s="1">
        <v>6.69</v>
      </c>
      <c r="BQ109" s="1" t="s">
        <v>1003</v>
      </c>
      <c r="BR109" s="1">
        <v>34.2057</v>
      </c>
      <c r="BS109" s="1">
        <v>-118.5539</v>
      </c>
      <c r="BT109" s="1">
        <v>17.5</v>
      </c>
      <c r="BU109" s="1" t="s">
        <v>734</v>
      </c>
      <c r="BV109" s="1" t="s">
        <v>2571</v>
      </c>
      <c r="BW109" s="1">
        <v>122</v>
      </c>
      <c r="BX109" s="1">
        <v>40</v>
      </c>
      <c r="BY109" s="1">
        <v>103</v>
      </c>
      <c r="BZ109" s="1"/>
      <c r="CA109" s="1"/>
      <c r="CB109" s="1"/>
      <c r="CC109" s="1" t="s">
        <v>2566</v>
      </c>
      <c r="CD109" s="1" t="s">
        <v>731</v>
      </c>
      <c r="CE109" s="1"/>
      <c r="CF109" s="1"/>
      <c r="CG109" s="1"/>
      <c r="CH109" s="1"/>
      <c r="CI109" s="1"/>
      <c r="CJ109" s="1" t="s">
        <v>167</v>
      </c>
      <c r="CK109" t="s">
        <v>1262</v>
      </c>
      <c r="CL109">
        <v>109</v>
      </c>
      <c r="CM109" t="s">
        <v>2700</v>
      </c>
    </row>
    <row r="110" spans="1:91" ht="19" customHeight="1">
      <c r="A110" s="1" t="s">
        <v>3316</v>
      </c>
      <c r="B110" s="1" t="s">
        <v>3093</v>
      </c>
      <c r="C110" s="1">
        <v>110</v>
      </c>
      <c r="D110" s="1" t="s">
        <v>837</v>
      </c>
      <c r="E110" s="1">
        <v>1994</v>
      </c>
      <c r="F110" s="1" t="s">
        <v>850</v>
      </c>
      <c r="G110" s="1" t="s">
        <v>2512</v>
      </c>
      <c r="H110" s="4">
        <v>34.311</v>
      </c>
      <c r="I110" s="4">
        <v>-118.49</v>
      </c>
      <c r="J110" s="1" t="s">
        <v>1396</v>
      </c>
      <c r="K110" s="1" t="s">
        <v>75</v>
      </c>
      <c r="L110" s="1" t="s">
        <v>2513</v>
      </c>
      <c r="M110" s="1" t="s">
        <v>3094</v>
      </c>
      <c r="N110" s="1"/>
      <c r="O110" s="1" t="s">
        <v>3095</v>
      </c>
      <c r="P110" s="1">
        <v>1084</v>
      </c>
      <c r="Q110" s="4">
        <v>6.7</v>
      </c>
      <c r="R110" s="4">
        <v>2.98</v>
      </c>
      <c r="S110" s="4"/>
      <c r="T110" s="4">
        <v>106.3</v>
      </c>
      <c r="U110" s="4">
        <v>5.3</v>
      </c>
      <c r="V110" s="4"/>
      <c r="W110" s="4">
        <v>21.9</v>
      </c>
      <c r="X110" s="4">
        <v>63</v>
      </c>
      <c r="Y110" s="4">
        <v>59</v>
      </c>
      <c r="Z110" s="4">
        <v>0</v>
      </c>
      <c r="AA110" s="4">
        <v>1</v>
      </c>
      <c r="AB110" s="4" t="s">
        <v>734</v>
      </c>
      <c r="AC110" s="4">
        <v>1.091923300517313</v>
      </c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1"/>
      <c r="BJ110" s="1" t="s">
        <v>3317</v>
      </c>
      <c r="BK110" s="1">
        <v>1</v>
      </c>
      <c r="BL110" s="1"/>
      <c r="BM110" s="1" t="s">
        <v>419</v>
      </c>
      <c r="BN110" s="1" t="s">
        <v>2696</v>
      </c>
      <c r="BO110" s="1" t="s">
        <v>2697</v>
      </c>
      <c r="BP110" s="1">
        <v>6.69</v>
      </c>
      <c r="BQ110" s="1" t="s">
        <v>1003</v>
      </c>
      <c r="BR110" s="1">
        <v>34.2057</v>
      </c>
      <c r="BS110" s="1">
        <v>-118.5539</v>
      </c>
      <c r="BT110" s="1">
        <v>17.5</v>
      </c>
      <c r="BU110" s="1" t="s">
        <v>734</v>
      </c>
      <c r="BV110" s="1" t="s">
        <v>2571</v>
      </c>
      <c r="BW110" s="1">
        <v>122</v>
      </c>
      <c r="BX110" s="1">
        <v>40</v>
      </c>
      <c r="BY110" s="1">
        <v>103</v>
      </c>
      <c r="BZ110" s="1"/>
      <c r="CA110" s="1"/>
      <c r="CB110" s="1"/>
      <c r="CC110" s="1" t="s">
        <v>2566</v>
      </c>
      <c r="CD110" s="1" t="s">
        <v>731</v>
      </c>
      <c r="CE110" s="1"/>
      <c r="CF110" s="1"/>
      <c r="CG110" s="1"/>
      <c r="CH110" s="1"/>
      <c r="CI110" s="1"/>
      <c r="CJ110" s="1" t="s">
        <v>167</v>
      </c>
      <c r="CK110" t="s">
        <v>1262</v>
      </c>
      <c r="CL110">
        <v>110</v>
      </c>
      <c r="CM110" t="s">
        <v>2700</v>
      </c>
    </row>
    <row r="111" spans="1:91" ht="19" customHeight="1">
      <c r="A111" s="1" t="s">
        <v>3318</v>
      </c>
      <c r="B111" s="1" t="s">
        <v>3093</v>
      </c>
      <c r="C111" s="1">
        <v>111</v>
      </c>
      <c r="D111" s="1" t="s">
        <v>837</v>
      </c>
      <c r="E111" s="1">
        <v>1994</v>
      </c>
      <c r="F111" s="1" t="s">
        <v>851</v>
      </c>
      <c r="G111" s="1" t="s">
        <v>2515</v>
      </c>
      <c r="H111" s="4">
        <v>34.311999999999998</v>
      </c>
      <c r="I111" s="4">
        <v>-118.48099999999999</v>
      </c>
      <c r="J111" s="1" t="s">
        <v>1396</v>
      </c>
      <c r="K111" s="1" t="s">
        <v>75</v>
      </c>
      <c r="L111" s="1" t="s">
        <v>2516</v>
      </c>
      <c r="M111" s="1" t="s">
        <v>3094</v>
      </c>
      <c r="N111" s="1"/>
      <c r="O111" s="1" t="s">
        <v>3095</v>
      </c>
      <c r="P111" s="1">
        <v>1085</v>
      </c>
      <c r="Q111" s="4">
        <v>6.7</v>
      </c>
      <c r="R111" s="4">
        <v>3.53</v>
      </c>
      <c r="S111" s="4"/>
      <c r="T111" s="4">
        <v>114</v>
      </c>
      <c r="U111" s="4">
        <v>5.2</v>
      </c>
      <c r="V111" s="4"/>
      <c r="W111" s="4">
        <v>22.2</v>
      </c>
      <c r="X111" s="4">
        <v>37</v>
      </c>
      <c r="Y111" s="4">
        <v>85</v>
      </c>
      <c r="Z111" s="4">
        <v>1</v>
      </c>
      <c r="AA111" s="4">
        <v>1</v>
      </c>
      <c r="AB111" s="4" t="s">
        <v>734</v>
      </c>
      <c r="AC111" s="4">
        <v>1.261297870945205</v>
      </c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1"/>
      <c r="BJ111" s="1" t="s">
        <v>3319</v>
      </c>
      <c r="BK111" s="1">
        <v>1</v>
      </c>
      <c r="BL111" s="1"/>
      <c r="BM111" s="1" t="s">
        <v>419</v>
      </c>
      <c r="BN111" s="1" t="s">
        <v>2696</v>
      </c>
      <c r="BO111" s="1" t="s">
        <v>2697</v>
      </c>
      <c r="BP111" s="1">
        <v>6.69</v>
      </c>
      <c r="BQ111" s="1" t="s">
        <v>1003</v>
      </c>
      <c r="BR111" s="1">
        <v>34.2057</v>
      </c>
      <c r="BS111" s="1">
        <v>-118.5539</v>
      </c>
      <c r="BT111" s="1">
        <v>17.5</v>
      </c>
      <c r="BU111" s="1" t="s">
        <v>734</v>
      </c>
      <c r="BV111" s="1" t="s">
        <v>2571</v>
      </c>
      <c r="BW111" s="1">
        <v>122</v>
      </c>
      <c r="BX111" s="1">
        <v>40</v>
      </c>
      <c r="BY111" s="1">
        <v>103</v>
      </c>
      <c r="BZ111" s="1"/>
      <c r="CA111" s="1"/>
      <c r="CB111" s="1"/>
      <c r="CC111" s="1" t="s">
        <v>2566</v>
      </c>
      <c r="CD111" s="1" t="s">
        <v>731</v>
      </c>
      <c r="CE111" s="1"/>
      <c r="CF111" s="1"/>
      <c r="CG111" s="1"/>
      <c r="CH111" s="1"/>
      <c r="CI111" s="1"/>
      <c r="CJ111" s="1" t="s">
        <v>167</v>
      </c>
      <c r="CK111" t="s">
        <v>1262</v>
      </c>
      <c r="CL111">
        <v>111</v>
      </c>
      <c r="CM111" t="s">
        <v>2700</v>
      </c>
    </row>
    <row r="112" spans="1:91" ht="19" customHeight="1">
      <c r="A112" s="1" t="s">
        <v>3320</v>
      </c>
      <c r="B112" s="1" t="s">
        <v>3093</v>
      </c>
      <c r="C112" s="1">
        <v>112</v>
      </c>
      <c r="D112" s="1" t="s">
        <v>837</v>
      </c>
      <c r="E112" s="1">
        <v>1994</v>
      </c>
      <c r="F112" s="1" t="s">
        <v>852</v>
      </c>
      <c r="G112" s="1" t="s">
        <v>2518</v>
      </c>
      <c r="H112" s="4">
        <v>34.326000000000001</v>
      </c>
      <c r="I112" s="4">
        <v>-118.444</v>
      </c>
      <c r="J112" s="1" t="s">
        <v>1396</v>
      </c>
      <c r="K112" s="1" t="s">
        <v>75</v>
      </c>
      <c r="L112" s="1" t="s">
        <v>2519</v>
      </c>
      <c r="M112" s="1" t="s">
        <v>3094</v>
      </c>
      <c r="N112" s="1"/>
      <c r="O112" s="1" t="s">
        <v>3095</v>
      </c>
      <c r="P112" s="1">
        <v>1086</v>
      </c>
      <c r="Q112" s="4">
        <v>6.7</v>
      </c>
      <c r="R112" s="4">
        <v>2.44</v>
      </c>
      <c r="S112" s="4"/>
      <c r="T112" s="4">
        <v>130.6</v>
      </c>
      <c r="U112" s="4">
        <v>5.3</v>
      </c>
      <c r="V112" s="4"/>
      <c r="W112" s="4">
        <v>24.2</v>
      </c>
      <c r="X112" s="4">
        <v>20</v>
      </c>
      <c r="Y112" s="4">
        <v>78</v>
      </c>
      <c r="Z112" s="4">
        <v>1</v>
      </c>
      <c r="AA112" s="4">
        <v>1</v>
      </c>
      <c r="AB112" s="4" t="s">
        <v>734</v>
      </c>
      <c r="AC112" s="4">
        <v>0.89199803930511046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1"/>
      <c r="BJ112" s="1" t="s">
        <v>3321</v>
      </c>
      <c r="BK112" s="1">
        <v>1</v>
      </c>
      <c r="BL112" s="1"/>
      <c r="BM112" s="1" t="s">
        <v>419</v>
      </c>
      <c r="BN112" s="1" t="s">
        <v>2696</v>
      </c>
      <c r="BO112" s="1" t="s">
        <v>2697</v>
      </c>
      <c r="BP112" s="1">
        <v>6.69</v>
      </c>
      <c r="BQ112" s="1" t="s">
        <v>1003</v>
      </c>
      <c r="BR112" s="1">
        <v>34.2057</v>
      </c>
      <c r="BS112" s="1">
        <v>-118.5539</v>
      </c>
      <c r="BT112" s="1">
        <v>17.5</v>
      </c>
      <c r="BU112" s="1" t="s">
        <v>734</v>
      </c>
      <c r="BV112" s="1" t="s">
        <v>2571</v>
      </c>
      <c r="BW112" s="1">
        <v>122</v>
      </c>
      <c r="BX112" s="1">
        <v>40</v>
      </c>
      <c r="BY112" s="1">
        <v>103</v>
      </c>
      <c r="BZ112" s="1"/>
      <c r="CA112" s="1"/>
      <c r="CB112" s="1"/>
      <c r="CC112" s="1" t="s">
        <v>2566</v>
      </c>
      <c r="CD112" s="1" t="s">
        <v>731</v>
      </c>
      <c r="CE112" s="1"/>
      <c r="CF112" s="1"/>
      <c r="CG112" s="1"/>
      <c r="CH112" s="1"/>
      <c r="CI112" s="1"/>
      <c r="CJ112" s="1" t="s">
        <v>167</v>
      </c>
      <c r="CK112" t="s">
        <v>1262</v>
      </c>
      <c r="CL112">
        <v>112</v>
      </c>
      <c r="CM112" t="s">
        <v>2700</v>
      </c>
    </row>
    <row r="113" spans="1:91" ht="19" customHeight="1">
      <c r="A113" s="1" t="s">
        <v>3322</v>
      </c>
      <c r="B113" s="1" t="s">
        <v>3093</v>
      </c>
      <c r="C113" s="1">
        <v>113</v>
      </c>
      <c r="D113" s="1" t="s">
        <v>853</v>
      </c>
      <c r="E113" s="1">
        <v>1995</v>
      </c>
      <c r="F113" s="1" t="s">
        <v>854</v>
      </c>
      <c r="G113" s="1" t="s">
        <v>1518</v>
      </c>
      <c r="H113" s="4">
        <v>34.683300000000003</v>
      </c>
      <c r="I113" s="4">
        <v>135.18</v>
      </c>
      <c r="J113" s="1" t="s">
        <v>1396</v>
      </c>
      <c r="K113" s="1" t="s">
        <v>75</v>
      </c>
      <c r="L113" s="1" t="s">
        <v>1519</v>
      </c>
      <c r="M113" s="1" t="s">
        <v>3094</v>
      </c>
      <c r="N113" s="1"/>
      <c r="O113" s="1" t="s">
        <v>3095</v>
      </c>
      <c r="P113" s="1">
        <v>1106</v>
      </c>
      <c r="Q113" s="4">
        <v>6.9</v>
      </c>
      <c r="R113" s="4">
        <v>1.0900000000000001</v>
      </c>
      <c r="S113" s="4"/>
      <c r="T113" s="4">
        <v>105.6</v>
      </c>
      <c r="U113" s="4">
        <v>1</v>
      </c>
      <c r="V113" s="4"/>
      <c r="W113" s="4">
        <v>25.6</v>
      </c>
      <c r="X113" s="4">
        <v>318</v>
      </c>
      <c r="Y113" s="4">
        <v>88</v>
      </c>
      <c r="Z113" s="4">
        <v>1</v>
      </c>
      <c r="AA113" s="4">
        <v>1</v>
      </c>
      <c r="AB113" s="4" t="s">
        <v>730</v>
      </c>
      <c r="AC113" s="4">
        <v>8.6177696241052412E-2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1"/>
      <c r="BJ113" s="1" t="s">
        <v>3323</v>
      </c>
      <c r="BK113" s="1">
        <v>1</v>
      </c>
      <c r="BL113" s="1"/>
      <c r="BM113" s="1" t="s">
        <v>426</v>
      </c>
      <c r="BN113" s="1" t="s">
        <v>2701</v>
      </c>
      <c r="BO113" s="1" t="s">
        <v>2702</v>
      </c>
      <c r="BP113" s="1">
        <v>6.9</v>
      </c>
      <c r="BQ113" s="1" t="s">
        <v>1003</v>
      </c>
      <c r="BR113" s="1">
        <v>34.595999999999997</v>
      </c>
      <c r="BS113" s="1">
        <v>135.011</v>
      </c>
      <c r="BT113" s="1">
        <v>17.899999999999999</v>
      </c>
      <c r="BU113" s="1" t="s">
        <v>730</v>
      </c>
      <c r="BV113" s="1" t="s">
        <v>2571</v>
      </c>
      <c r="BW113" s="1">
        <v>230</v>
      </c>
      <c r="BX113" s="1">
        <v>85</v>
      </c>
      <c r="BY113" s="1">
        <v>180</v>
      </c>
      <c r="BZ113" s="1"/>
      <c r="CA113" s="1"/>
      <c r="CB113" s="1"/>
      <c r="CC113" s="1" t="s">
        <v>2566</v>
      </c>
      <c r="CD113" s="1" t="s">
        <v>731</v>
      </c>
      <c r="CE113" s="1"/>
      <c r="CF113" s="1"/>
      <c r="CG113" s="1"/>
      <c r="CH113" s="1"/>
      <c r="CI113" s="1"/>
      <c r="CJ113" s="1" t="s">
        <v>167</v>
      </c>
      <c r="CK113" t="s">
        <v>1262</v>
      </c>
      <c r="CL113">
        <v>113</v>
      </c>
      <c r="CM113" t="s">
        <v>2704</v>
      </c>
    </row>
    <row r="114" spans="1:91" ht="19" customHeight="1">
      <c r="A114" s="1" t="s">
        <v>3324</v>
      </c>
      <c r="B114" s="1" t="s">
        <v>3093</v>
      </c>
      <c r="C114" s="1">
        <v>114</v>
      </c>
      <c r="D114" s="1" t="s">
        <v>853</v>
      </c>
      <c r="E114" s="1">
        <v>1995</v>
      </c>
      <c r="F114" s="1" t="s">
        <v>855</v>
      </c>
      <c r="G114" s="1" t="s">
        <v>1549</v>
      </c>
      <c r="H114" s="4">
        <v>34.67</v>
      </c>
      <c r="I114" s="4">
        <v>135.20099999999999</v>
      </c>
      <c r="J114" s="1" t="s">
        <v>1396</v>
      </c>
      <c r="K114" s="1" t="s">
        <v>75</v>
      </c>
      <c r="L114" s="1" t="s">
        <v>1550</v>
      </c>
      <c r="M114" s="1" t="s">
        <v>3094</v>
      </c>
      <c r="N114" s="1"/>
      <c r="O114" s="1" t="s">
        <v>3095</v>
      </c>
      <c r="P114" s="1">
        <v>1114</v>
      </c>
      <c r="Q114" s="4">
        <v>6.9</v>
      </c>
      <c r="R114" s="4">
        <v>2.83</v>
      </c>
      <c r="S114" s="4"/>
      <c r="T114" s="4">
        <v>103</v>
      </c>
      <c r="U114" s="4">
        <v>3.3</v>
      </c>
      <c r="V114" s="4"/>
      <c r="W114" s="4">
        <v>26.3</v>
      </c>
      <c r="X114" s="4">
        <v>332</v>
      </c>
      <c r="Y114" s="4">
        <v>78</v>
      </c>
      <c r="Z114" s="4">
        <v>1</v>
      </c>
      <c r="AA114" s="4">
        <v>1</v>
      </c>
      <c r="AB114" s="4" t="s">
        <v>730</v>
      </c>
      <c r="AC114" s="4">
        <v>1.0402767116551459</v>
      </c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1"/>
      <c r="BJ114" s="1" t="s">
        <v>3325</v>
      </c>
      <c r="BK114" s="1">
        <v>1</v>
      </c>
      <c r="BL114" s="1"/>
      <c r="BM114" s="1" t="s">
        <v>426</v>
      </c>
      <c r="BN114" s="1" t="s">
        <v>2701</v>
      </c>
      <c r="BO114" s="1" t="s">
        <v>2702</v>
      </c>
      <c r="BP114" s="1">
        <v>6.9</v>
      </c>
      <c r="BQ114" s="1" t="s">
        <v>1003</v>
      </c>
      <c r="BR114" s="1">
        <v>34.595999999999997</v>
      </c>
      <c r="BS114" s="1">
        <v>135.011</v>
      </c>
      <c r="BT114" s="1">
        <v>17.899999999999999</v>
      </c>
      <c r="BU114" s="1" t="s">
        <v>730</v>
      </c>
      <c r="BV114" s="1" t="s">
        <v>2571</v>
      </c>
      <c r="BW114" s="1">
        <v>230</v>
      </c>
      <c r="BX114" s="1">
        <v>85</v>
      </c>
      <c r="BY114" s="1">
        <v>180</v>
      </c>
      <c r="BZ114" s="1"/>
      <c r="CA114" s="1"/>
      <c r="CB114" s="1"/>
      <c r="CC114" s="1" t="s">
        <v>2566</v>
      </c>
      <c r="CD114" s="1" t="s">
        <v>731</v>
      </c>
      <c r="CE114" s="1"/>
      <c r="CF114" s="1"/>
      <c r="CG114" s="1"/>
      <c r="CH114" s="1"/>
      <c r="CI114" s="1"/>
      <c r="CJ114" s="1" t="s">
        <v>167</v>
      </c>
      <c r="CK114" t="s">
        <v>1262</v>
      </c>
      <c r="CL114">
        <v>114</v>
      </c>
      <c r="CM114" t="s">
        <v>2704</v>
      </c>
    </row>
    <row r="115" spans="1:91" ht="19" customHeight="1">
      <c r="A115" s="1" t="s">
        <v>3326</v>
      </c>
      <c r="B115" s="1" t="s">
        <v>3093</v>
      </c>
      <c r="C115" s="1">
        <v>115</v>
      </c>
      <c r="D115" s="1" t="s">
        <v>853</v>
      </c>
      <c r="E115" s="1">
        <v>1995</v>
      </c>
      <c r="F115" s="1" t="s">
        <v>856</v>
      </c>
      <c r="G115" s="1" t="s">
        <v>1558</v>
      </c>
      <c r="H115" s="4">
        <v>34.808999999999997</v>
      </c>
      <c r="I115" s="4">
        <v>135.34399999999999</v>
      </c>
      <c r="J115" s="1" t="s">
        <v>1396</v>
      </c>
      <c r="K115" s="1" t="s">
        <v>75</v>
      </c>
      <c r="L115" s="1" t="s">
        <v>1559</v>
      </c>
      <c r="M115" s="1" t="s">
        <v>3094</v>
      </c>
      <c r="N115" s="1"/>
      <c r="O115" s="1" t="s">
        <v>3095</v>
      </c>
      <c r="P115" s="1">
        <v>1119</v>
      </c>
      <c r="Q115" s="4">
        <v>6.9</v>
      </c>
      <c r="R115" s="4">
        <v>1.81</v>
      </c>
      <c r="S115" s="4"/>
      <c r="T115" s="4">
        <v>95.6</v>
      </c>
      <c r="U115" s="4">
        <v>0.3</v>
      </c>
      <c r="V115" s="4"/>
      <c r="W115" s="4">
        <v>42.5</v>
      </c>
      <c r="X115" s="4">
        <v>301</v>
      </c>
      <c r="Y115" s="4">
        <v>71</v>
      </c>
      <c r="Z115" s="4">
        <v>1</v>
      </c>
      <c r="AA115" s="4">
        <v>1</v>
      </c>
      <c r="AB115" s="4" t="s">
        <v>730</v>
      </c>
      <c r="AC115" s="4">
        <v>0.59332684527773438</v>
      </c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1"/>
      <c r="BJ115" s="1" t="s">
        <v>3327</v>
      </c>
      <c r="BK115" s="1">
        <v>1</v>
      </c>
      <c r="BL115" s="1"/>
      <c r="BM115" s="1" t="s">
        <v>426</v>
      </c>
      <c r="BN115" s="1" t="s">
        <v>2701</v>
      </c>
      <c r="BO115" s="1" t="s">
        <v>2702</v>
      </c>
      <c r="BP115" s="1">
        <v>6.9</v>
      </c>
      <c r="BQ115" s="1" t="s">
        <v>1003</v>
      </c>
      <c r="BR115" s="1">
        <v>34.595999999999997</v>
      </c>
      <c r="BS115" s="1">
        <v>135.011</v>
      </c>
      <c r="BT115" s="1">
        <v>17.899999999999999</v>
      </c>
      <c r="BU115" s="1" t="s">
        <v>730</v>
      </c>
      <c r="BV115" s="1" t="s">
        <v>2571</v>
      </c>
      <c r="BW115" s="1">
        <v>230</v>
      </c>
      <c r="BX115" s="1">
        <v>85</v>
      </c>
      <c r="BY115" s="1">
        <v>180</v>
      </c>
      <c r="BZ115" s="1"/>
      <c r="CA115" s="1"/>
      <c r="CB115" s="1"/>
      <c r="CC115" s="1" t="s">
        <v>2566</v>
      </c>
      <c r="CD115" s="1" t="s">
        <v>731</v>
      </c>
      <c r="CE115" s="1"/>
      <c r="CF115" s="1"/>
      <c r="CG115" s="1"/>
      <c r="CH115" s="1"/>
      <c r="CI115" s="1"/>
      <c r="CJ115" s="1" t="s">
        <v>167</v>
      </c>
      <c r="CK115" t="s">
        <v>1262</v>
      </c>
      <c r="CL115">
        <v>115</v>
      </c>
      <c r="CM115" t="s">
        <v>2704</v>
      </c>
    </row>
    <row r="116" spans="1:91" ht="19" customHeight="1">
      <c r="A116" s="1" t="s">
        <v>3328</v>
      </c>
      <c r="B116" s="1" t="s">
        <v>3093</v>
      </c>
      <c r="C116" s="1">
        <v>116</v>
      </c>
      <c r="D116" s="1" t="s">
        <v>853</v>
      </c>
      <c r="E116" s="1">
        <v>1995</v>
      </c>
      <c r="F116" s="1" t="s">
        <v>857</v>
      </c>
      <c r="G116" s="1" t="s">
        <v>1561</v>
      </c>
      <c r="H116" s="4">
        <v>34.649000000000001</v>
      </c>
      <c r="I116" s="4">
        <v>135.13900000000001</v>
      </c>
      <c r="J116" s="1" t="s">
        <v>1396</v>
      </c>
      <c r="K116" s="1" t="s">
        <v>75</v>
      </c>
      <c r="L116" s="1" t="s">
        <v>1562</v>
      </c>
      <c r="M116" s="1" t="s">
        <v>3094</v>
      </c>
      <c r="N116" s="1"/>
      <c r="O116" s="1" t="s">
        <v>3095</v>
      </c>
      <c r="P116" s="1">
        <v>1120</v>
      </c>
      <c r="Q116" s="4">
        <v>6.9</v>
      </c>
      <c r="R116" s="4">
        <v>1.55</v>
      </c>
      <c r="S116" s="4"/>
      <c r="T116" s="4">
        <v>153.19999999999999</v>
      </c>
      <c r="U116" s="4">
        <v>1.5</v>
      </c>
      <c r="V116" s="4"/>
      <c r="W116" s="4">
        <v>22.2</v>
      </c>
      <c r="X116" s="4">
        <v>318</v>
      </c>
      <c r="Y116" s="4">
        <v>88</v>
      </c>
      <c r="Z116" s="4">
        <v>1</v>
      </c>
      <c r="AA116" s="4">
        <v>1</v>
      </c>
      <c r="AB116" s="4" t="s">
        <v>730</v>
      </c>
      <c r="AC116" s="4">
        <v>0.43825493093115531</v>
      </c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1"/>
      <c r="BJ116" s="1" t="s">
        <v>3329</v>
      </c>
      <c r="BK116" s="1">
        <v>1</v>
      </c>
      <c r="BL116" s="1"/>
      <c r="BM116" s="1" t="s">
        <v>426</v>
      </c>
      <c r="BN116" s="1" t="s">
        <v>2701</v>
      </c>
      <c r="BO116" s="1" t="s">
        <v>2702</v>
      </c>
      <c r="BP116" s="1">
        <v>6.9</v>
      </c>
      <c r="BQ116" s="1" t="s">
        <v>1003</v>
      </c>
      <c r="BR116" s="1">
        <v>34.595999999999997</v>
      </c>
      <c r="BS116" s="1">
        <v>135.011</v>
      </c>
      <c r="BT116" s="1">
        <v>17.899999999999999</v>
      </c>
      <c r="BU116" s="1" t="s">
        <v>730</v>
      </c>
      <c r="BV116" s="1" t="s">
        <v>2571</v>
      </c>
      <c r="BW116" s="1">
        <v>230</v>
      </c>
      <c r="BX116" s="1">
        <v>85</v>
      </c>
      <c r="BY116" s="1">
        <v>180</v>
      </c>
      <c r="BZ116" s="1"/>
      <c r="CA116" s="1"/>
      <c r="CB116" s="1"/>
      <c r="CC116" s="1" t="s">
        <v>2566</v>
      </c>
      <c r="CD116" s="1" t="s">
        <v>731</v>
      </c>
      <c r="CE116" s="1"/>
      <c r="CF116" s="1"/>
      <c r="CG116" s="1"/>
      <c r="CH116" s="1"/>
      <c r="CI116" s="1"/>
      <c r="CJ116" s="1" t="s">
        <v>167</v>
      </c>
      <c r="CK116" t="s">
        <v>1262</v>
      </c>
      <c r="CL116">
        <v>116</v>
      </c>
      <c r="CM116" t="s">
        <v>2704</v>
      </c>
    </row>
    <row r="117" spans="1:91" ht="19" customHeight="1">
      <c r="A117" s="1" t="s">
        <v>3330</v>
      </c>
      <c r="B117" s="1" t="s">
        <v>3093</v>
      </c>
      <c r="C117" s="1">
        <v>117</v>
      </c>
      <c r="D117" s="1" t="s">
        <v>853</v>
      </c>
      <c r="E117" s="1">
        <v>1995</v>
      </c>
      <c r="F117" s="1" t="s">
        <v>858</v>
      </c>
      <c r="G117" s="1" t="s">
        <v>1552</v>
      </c>
      <c r="H117" s="4"/>
      <c r="I117" s="4"/>
      <c r="J117" s="1" t="s">
        <v>1553</v>
      </c>
      <c r="K117" s="1"/>
      <c r="L117" s="1"/>
      <c r="M117" s="1"/>
      <c r="N117" s="1" t="s">
        <v>1554</v>
      </c>
      <c r="O117" s="1" t="s">
        <v>3095</v>
      </c>
      <c r="P117" s="1">
        <v>3763</v>
      </c>
      <c r="Q117" s="4">
        <v>6.9</v>
      </c>
      <c r="R117" s="4">
        <v>2.5299999999999998</v>
      </c>
      <c r="S117" s="4"/>
      <c r="T117" s="4">
        <v>71.599999999999994</v>
      </c>
      <c r="U117" s="4">
        <v>3.3</v>
      </c>
      <c r="V117" s="4"/>
      <c r="W117" s="4">
        <v>26.3</v>
      </c>
      <c r="X117" s="4">
        <v>345</v>
      </c>
      <c r="Y117" s="4">
        <v>65</v>
      </c>
      <c r="Z117" s="4">
        <v>0</v>
      </c>
      <c r="AA117" s="4">
        <v>1</v>
      </c>
      <c r="AB117" s="4" t="s">
        <v>730</v>
      </c>
      <c r="AC117" s="4">
        <v>0.92821930273942876</v>
      </c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1"/>
      <c r="BJ117" s="1" t="s">
        <v>3331</v>
      </c>
      <c r="BK117" s="1">
        <v>1</v>
      </c>
      <c r="BL117" s="1"/>
      <c r="BM117" s="1" t="s">
        <v>426</v>
      </c>
      <c r="BN117" s="1" t="s">
        <v>2701</v>
      </c>
      <c r="BO117" s="1" t="s">
        <v>2702</v>
      </c>
      <c r="BP117" s="1">
        <v>6.9</v>
      </c>
      <c r="BQ117" s="1" t="s">
        <v>1003</v>
      </c>
      <c r="BR117" s="1">
        <v>34.595999999999997</v>
      </c>
      <c r="BS117" s="1">
        <v>135.011</v>
      </c>
      <c r="BT117" s="1">
        <v>17.899999999999999</v>
      </c>
      <c r="BU117" s="1" t="s">
        <v>730</v>
      </c>
      <c r="BV117" s="1" t="s">
        <v>2571</v>
      </c>
      <c r="BW117" s="1">
        <v>230</v>
      </c>
      <c r="BX117" s="1">
        <v>85</v>
      </c>
      <c r="BY117" s="1">
        <v>180</v>
      </c>
      <c r="BZ117" s="1"/>
      <c r="CA117" s="1"/>
      <c r="CB117" s="1"/>
      <c r="CC117" s="1" t="s">
        <v>2566</v>
      </c>
      <c r="CD117" s="1" t="s">
        <v>731</v>
      </c>
      <c r="CE117" s="1"/>
      <c r="CF117" s="1"/>
      <c r="CG117" s="1"/>
      <c r="CH117" s="1"/>
      <c r="CI117" s="1"/>
      <c r="CJ117" s="1" t="s">
        <v>167</v>
      </c>
      <c r="CK117" t="s">
        <v>1262</v>
      </c>
      <c r="CL117">
        <v>117</v>
      </c>
      <c r="CM117" t="s">
        <v>2704</v>
      </c>
    </row>
    <row r="118" spans="1:91" ht="19" customHeight="1">
      <c r="A118" s="1" t="s">
        <v>3332</v>
      </c>
      <c r="B118" s="1" t="s">
        <v>3093</v>
      </c>
      <c r="C118" s="1">
        <v>118</v>
      </c>
      <c r="D118" s="1" t="s">
        <v>434</v>
      </c>
      <c r="E118" s="1">
        <v>1997</v>
      </c>
      <c r="F118" s="1" t="s">
        <v>859</v>
      </c>
      <c r="G118" s="1" t="s">
        <v>1398</v>
      </c>
      <c r="H118" s="4">
        <v>39.496000000000002</v>
      </c>
      <c r="I118" s="4">
        <v>76.739000000000004</v>
      </c>
      <c r="J118" s="1" t="s">
        <v>1396</v>
      </c>
      <c r="K118" s="1" t="s">
        <v>75</v>
      </c>
      <c r="L118" s="1" t="s">
        <v>1399</v>
      </c>
      <c r="M118" s="1" t="s">
        <v>3094</v>
      </c>
      <c r="N118" s="1"/>
      <c r="O118" s="1" t="s">
        <v>3095</v>
      </c>
      <c r="P118" s="1">
        <v>1752</v>
      </c>
      <c r="Q118" s="4">
        <v>6.1</v>
      </c>
      <c r="R118" s="4">
        <v>1.0900000000000001</v>
      </c>
      <c r="S118" s="4"/>
      <c r="T118" s="4">
        <v>34.6</v>
      </c>
      <c r="U118" s="4">
        <v>17.7</v>
      </c>
      <c r="V118" s="4"/>
      <c r="W118" s="4">
        <v>27.7</v>
      </c>
      <c r="X118" s="4">
        <v>85</v>
      </c>
      <c r="Y118" s="4">
        <v>64</v>
      </c>
      <c r="Z118" s="4">
        <v>1</v>
      </c>
      <c r="AA118" s="4">
        <v>0</v>
      </c>
      <c r="AB118" s="4" t="s">
        <v>760</v>
      </c>
      <c r="AC118" s="4">
        <v>8.6177696241052412E-2</v>
      </c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1"/>
      <c r="BJ118" s="1" t="s">
        <v>3333</v>
      </c>
      <c r="BK118" s="1">
        <v>1</v>
      </c>
      <c r="BL118" s="1"/>
      <c r="BM118" s="1" t="s">
        <v>433</v>
      </c>
      <c r="BN118" s="1" t="s">
        <v>2705</v>
      </c>
      <c r="BO118" s="1" t="s">
        <v>2706</v>
      </c>
      <c r="BP118" s="1">
        <v>6.1</v>
      </c>
      <c r="BQ118" s="1" t="s">
        <v>1003</v>
      </c>
      <c r="BR118" s="1">
        <v>39.555700000000002</v>
      </c>
      <c r="BS118" s="1">
        <v>76.947699999999998</v>
      </c>
      <c r="BT118" s="1">
        <v>20</v>
      </c>
      <c r="BU118" s="1" t="s">
        <v>760</v>
      </c>
      <c r="BV118" s="1" t="s">
        <v>2571</v>
      </c>
      <c r="BW118" s="1">
        <v>21</v>
      </c>
      <c r="BX118" s="1">
        <v>45</v>
      </c>
      <c r="BY118" s="1">
        <v>-89</v>
      </c>
      <c r="BZ118" s="1"/>
      <c r="CA118" s="1"/>
      <c r="CB118" s="1"/>
      <c r="CC118" s="1" t="s">
        <v>2566</v>
      </c>
      <c r="CD118" s="1" t="s">
        <v>731</v>
      </c>
      <c r="CE118" s="1"/>
      <c r="CF118" s="1"/>
      <c r="CG118" s="1"/>
      <c r="CH118" s="1"/>
      <c r="CI118" s="1"/>
      <c r="CJ118" s="1" t="s">
        <v>167</v>
      </c>
      <c r="CK118" t="s">
        <v>1262</v>
      </c>
      <c r="CL118">
        <v>118</v>
      </c>
      <c r="CM118" t="s">
        <v>2708</v>
      </c>
    </row>
    <row r="119" spans="1:91" ht="19" customHeight="1">
      <c r="A119" s="1" t="s">
        <v>3334</v>
      </c>
      <c r="B119" s="1" t="s">
        <v>3093</v>
      </c>
      <c r="C119" s="1">
        <v>119</v>
      </c>
      <c r="D119" s="1" t="s">
        <v>860</v>
      </c>
      <c r="E119" s="1">
        <v>1999</v>
      </c>
      <c r="F119" s="1" t="s">
        <v>861</v>
      </c>
      <c r="G119" s="1" t="s">
        <v>1769</v>
      </c>
      <c r="H119" s="4">
        <v>23.581499999999998</v>
      </c>
      <c r="I119" s="4">
        <v>120.55200000000001</v>
      </c>
      <c r="J119" s="1" t="s">
        <v>1396</v>
      </c>
      <c r="K119" s="1" t="s">
        <v>75</v>
      </c>
      <c r="L119" s="1" t="s">
        <v>1772</v>
      </c>
      <c r="M119" s="1" t="s">
        <v>3094</v>
      </c>
      <c r="N119" s="1"/>
      <c r="O119" s="1" t="s">
        <v>3095</v>
      </c>
      <c r="P119" s="1">
        <v>1182</v>
      </c>
      <c r="Q119" s="4">
        <v>7.6</v>
      </c>
      <c r="R119" s="4">
        <v>2.57</v>
      </c>
      <c r="S119" s="4"/>
      <c r="T119" s="4">
        <v>58.3</v>
      </c>
      <c r="U119" s="4">
        <v>9.8000000000000007</v>
      </c>
      <c r="V119" s="4"/>
      <c r="W119" s="4">
        <v>41.3</v>
      </c>
      <c r="X119" s="4">
        <v>291</v>
      </c>
      <c r="Y119" s="4">
        <v>89</v>
      </c>
      <c r="Z119" s="4">
        <v>1</v>
      </c>
      <c r="AA119" s="4">
        <v>1</v>
      </c>
      <c r="AB119" s="4" t="s">
        <v>734</v>
      </c>
      <c r="AC119" s="4">
        <v>0.94390589890712839</v>
      </c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1"/>
      <c r="BJ119" s="1" t="s">
        <v>3335</v>
      </c>
      <c r="BK119" s="1">
        <v>1</v>
      </c>
      <c r="BL119" s="1"/>
      <c r="BM119" s="1" t="s">
        <v>211</v>
      </c>
      <c r="BN119" s="1" t="s">
        <v>2710</v>
      </c>
      <c r="BO119" s="1" t="s">
        <v>2711</v>
      </c>
      <c r="BP119" s="1">
        <v>7.62</v>
      </c>
      <c r="BQ119" s="1" t="s">
        <v>1003</v>
      </c>
      <c r="BR119" s="1">
        <v>23.85</v>
      </c>
      <c r="BS119" s="1">
        <v>120.82</v>
      </c>
      <c r="BT119" s="1">
        <v>8</v>
      </c>
      <c r="BU119" s="1" t="s">
        <v>734</v>
      </c>
      <c r="BV119" s="1" t="s">
        <v>2571</v>
      </c>
      <c r="BW119" s="1">
        <v>20</v>
      </c>
      <c r="BX119" s="1">
        <v>33</v>
      </c>
      <c r="BY119" s="1">
        <v>55</v>
      </c>
      <c r="BZ119" s="1"/>
      <c r="CA119" s="1"/>
      <c r="CB119" s="1"/>
      <c r="CC119" s="1" t="s">
        <v>2566</v>
      </c>
      <c r="CD119" s="1" t="s">
        <v>862</v>
      </c>
      <c r="CE119" s="1">
        <v>1</v>
      </c>
      <c r="CF119" s="1">
        <v>7.58</v>
      </c>
      <c r="CG119" s="1">
        <v>5.6364999999999998</v>
      </c>
      <c r="CH119" s="1">
        <v>7322.4000000000005</v>
      </c>
      <c r="CI119" s="1" t="s">
        <v>863</v>
      </c>
      <c r="CJ119" s="1" t="s">
        <v>167</v>
      </c>
      <c r="CK119" t="s">
        <v>1262</v>
      </c>
      <c r="CL119">
        <v>119</v>
      </c>
      <c r="CM119" t="s">
        <v>2716</v>
      </c>
    </row>
    <row r="120" spans="1:91" ht="19" customHeight="1">
      <c r="A120" s="1" t="s">
        <v>3336</v>
      </c>
      <c r="B120" s="1" t="s">
        <v>3093</v>
      </c>
      <c r="C120" s="1">
        <v>120</v>
      </c>
      <c r="D120" s="1" t="s">
        <v>860</v>
      </c>
      <c r="E120" s="1">
        <v>1999</v>
      </c>
      <c r="F120" s="1" t="s">
        <v>864</v>
      </c>
      <c r="G120" s="1" t="s">
        <v>1799</v>
      </c>
      <c r="H120" s="4">
        <v>23.757000000000001</v>
      </c>
      <c r="I120" s="4">
        <v>120.6062</v>
      </c>
      <c r="J120" s="1" t="s">
        <v>1396</v>
      </c>
      <c r="K120" s="1" t="s">
        <v>75</v>
      </c>
      <c r="L120" s="1" t="s">
        <v>1803</v>
      </c>
      <c r="M120" s="1" t="s">
        <v>3094</v>
      </c>
      <c r="N120" s="1"/>
      <c r="O120" s="1" t="s">
        <v>3095</v>
      </c>
      <c r="P120" s="1">
        <v>1193</v>
      </c>
      <c r="Q120" s="4">
        <v>7.6</v>
      </c>
      <c r="R120" s="4">
        <v>6.65</v>
      </c>
      <c r="S120" s="4"/>
      <c r="T120" s="4">
        <v>61.6</v>
      </c>
      <c r="U120" s="4">
        <v>9.6</v>
      </c>
      <c r="V120" s="4"/>
      <c r="W120" s="4">
        <v>25.4</v>
      </c>
      <c r="X120" s="4">
        <v>144</v>
      </c>
      <c r="Y120" s="4">
        <v>33</v>
      </c>
      <c r="Z120" s="4">
        <v>0</v>
      </c>
      <c r="AA120" s="4">
        <v>1</v>
      </c>
      <c r="AB120" s="4" t="s">
        <v>734</v>
      </c>
      <c r="AC120" s="4">
        <v>1.8946168546677631</v>
      </c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1"/>
      <c r="BJ120" s="1" t="s">
        <v>3337</v>
      </c>
      <c r="BK120" s="1">
        <v>1</v>
      </c>
      <c r="BL120" s="1"/>
      <c r="BM120" s="1" t="s">
        <v>211</v>
      </c>
      <c r="BN120" s="1" t="s">
        <v>2710</v>
      </c>
      <c r="BO120" s="1" t="s">
        <v>2711</v>
      </c>
      <c r="BP120" s="1">
        <v>7.62</v>
      </c>
      <c r="BQ120" s="1" t="s">
        <v>1003</v>
      </c>
      <c r="BR120" s="1">
        <v>23.85</v>
      </c>
      <c r="BS120" s="1">
        <v>120.82</v>
      </c>
      <c r="BT120" s="1">
        <v>8</v>
      </c>
      <c r="BU120" s="1" t="s">
        <v>734</v>
      </c>
      <c r="BV120" s="1" t="s">
        <v>2571</v>
      </c>
      <c r="BW120" s="1">
        <v>20</v>
      </c>
      <c r="BX120" s="1">
        <v>33</v>
      </c>
      <c r="BY120" s="1">
        <v>55</v>
      </c>
      <c r="BZ120" s="1"/>
      <c r="CA120" s="1"/>
      <c r="CB120" s="1"/>
      <c r="CC120" s="1" t="s">
        <v>2566</v>
      </c>
      <c r="CD120" s="1" t="s">
        <v>862</v>
      </c>
      <c r="CE120" s="1">
        <v>1</v>
      </c>
      <c r="CF120" s="1">
        <v>7.58</v>
      </c>
      <c r="CG120" s="1">
        <v>5.6364999999999998</v>
      </c>
      <c r="CH120" s="1">
        <v>7322.4000000000005</v>
      </c>
      <c r="CI120" s="1" t="s">
        <v>863</v>
      </c>
      <c r="CJ120" s="1" t="s">
        <v>167</v>
      </c>
      <c r="CK120" t="s">
        <v>1262</v>
      </c>
      <c r="CL120">
        <v>120</v>
      </c>
      <c r="CM120" t="s">
        <v>2716</v>
      </c>
    </row>
    <row r="121" spans="1:91" ht="19" customHeight="1">
      <c r="A121" s="1" t="s">
        <v>3338</v>
      </c>
      <c r="B121" s="1" t="s">
        <v>3093</v>
      </c>
      <c r="C121" s="1">
        <v>121</v>
      </c>
      <c r="D121" s="1" t="s">
        <v>860</v>
      </c>
      <c r="E121" s="1">
        <v>1999</v>
      </c>
      <c r="F121" s="1" t="s">
        <v>865</v>
      </c>
      <c r="G121" s="1" t="s">
        <v>1885</v>
      </c>
      <c r="H121" s="4">
        <v>23.686199999999999</v>
      </c>
      <c r="I121" s="4">
        <v>120.5622</v>
      </c>
      <c r="J121" s="1" t="s">
        <v>1396</v>
      </c>
      <c r="K121" s="1" t="s">
        <v>75</v>
      </c>
      <c r="L121" s="1" t="s">
        <v>1889</v>
      </c>
      <c r="M121" s="1" t="s">
        <v>3094</v>
      </c>
      <c r="N121" s="1"/>
      <c r="O121" s="1" t="s">
        <v>3095</v>
      </c>
      <c r="P121" s="1">
        <v>1244</v>
      </c>
      <c r="Q121" s="4">
        <v>7.6</v>
      </c>
      <c r="R121" s="4">
        <v>5.34</v>
      </c>
      <c r="S121" s="4"/>
      <c r="T121" s="4">
        <v>108.9</v>
      </c>
      <c r="U121" s="4">
        <v>9.9</v>
      </c>
      <c r="V121" s="4"/>
      <c r="W121" s="4">
        <v>33</v>
      </c>
      <c r="X121" s="4">
        <v>6</v>
      </c>
      <c r="Y121" s="4">
        <v>13</v>
      </c>
      <c r="Z121" s="4">
        <v>1</v>
      </c>
      <c r="AA121" s="4">
        <v>1</v>
      </c>
      <c r="AB121" s="4" t="s">
        <v>734</v>
      </c>
      <c r="AC121" s="4">
        <v>1.675225652972103</v>
      </c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1"/>
      <c r="BJ121" s="1" t="s">
        <v>3339</v>
      </c>
      <c r="BK121" s="1">
        <v>1</v>
      </c>
      <c r="BL121" s="1"/>
      <c r="BM121" s="1" t="s">
        <v>211</v>
      </c>
      <c r="BN121" s="1" t="s">
        <v>2710</v>
      </c>
      <c r="BO121" s="1" t="s">
        <v>2711</v>
      </c>
      <c r="BP121" s="1">
        <v>7.62</v>
      </c>
      <c r="BQ121" s="1" t="s">
        <v>1003</v>
      </c>
      <c r="BR121" s="1">
        <v>23.85</v>
      </c>
      <c r="BS121" s="1">
        <v>120.82</v>
      </c>
      <c r="BT121" s="1">
        <v>8</v>
      </c>
      <c r="BU121" s="1" t="s">
        <v>734</v>
      </c>
      <c r="BV121" s="1" t="s">
        <v>2571</v>
      </c>
      <c r="BW121" s="1">
        <v>20</v>
      </c>
      <c r="BX121" s="1">
        <v>33</v>
      </c>
      <c r="BY121" s="1">
        <v>55</v>
      </c>
      <c r="BZ121" s="1"/>
      <c r="CA121" s="1"/>
      <c r="CB121" s="1"/>
      <c r="CC121" s="1" t="s">
        <v>2566</v>
      </c>
      <c r="CD121" s="1" t="s">
        <v>862</v>
      </c>
      <c r="CE121" s="1">
        <v>1</v>
      </c>
      <c r="CF121" s="1">
        <v>7.58</v>
      </c>
      <c r="CG121" s="1">
        <v>5.6364999999999998</v>
      </c>
      <c r="CH121" s="1">
        <v>7322.4000000000005</v>
      </c>
      <c r="CI121" s="1" t="s">
        <v>863</v>
      </c>
      <c r="CJ121" s="1" t="s">
        <v>167</v>
      </c>
      <c r="CK121" t="s">
        <v>1262</v>
      </c>
      <c r="CL121">
        <v>121</v>
      </c>
      <c r="CM121" t="s">
        <v>2716</v>
      </c>
    </row>
    <row r="122" spans="1:91" ht="19" customHeight="1">
      <c r="A122" s="1" t="s">
        <v>3340</v>
      </c>
      <c r="B122" s="1" t="s">
        <v>3093</v>
      </c>
      <c r="C122" s="1">
        <v>122</v>
      </c>
      <c r="D122" s="1" t="s">
        <v>860</v>
      </c>
      <c r="E122" s="1">
        <v>1999</v>
      </c>
      <c r="F122" s="1" t="s">
        <v>866</v>
      </c>
      <c r="G122" s="1" t="s">
        <v>2007</v>
      </c>
      <c r="H122" s="4">
        <v>24.6312</v>
      </c>
      <c r="I122" s="4">
        <v>121.0005</v>
      </c>
      <c r="J122" s="1" t="s">
        <v>1396</v>
      </c>
      <c r="K122" s="1" t="s">
        <v>75</v>
      </c>
      <c r="L122" s="1" t="s">
        <v>2009</v>
      </c>
      <c r="M122" s="1" t="s">
        <v>3094</v>
      </c>
      <c r="N122" s="1"/>
      <c r="O122" s="1" t="s">
        <v>3095</v>
      </c>
      <c r="P122" s="1">
        <v>1402</v>
      </c>
      <c r="Q122" s="4">
        <v>7.6</v>
      </c>
      <c r="R122" s="4">
        <v>7.88</v>
      </c>
      <c r="S122" s="4"/>
      <c r="T122" s="4">
        <v>32.299999999999997</v>
      </c>
      <c r="U122" s="4">
        <v>38.4</v>
      </c>
      <c r="V122" s="4"/>
      <c r="W122" s="4">
        <v>89.2</v>
      </c>
      <c r="X122" s="4">
        <v>48</v>
      </c>
      <c r="Y122" s="4">
        <v>11</v>
      </c>
      <c r="Z122" s="4">
        <v>0</v>
      </c>
      <c r="AA122" s="4">
        <v>1</v>
      </c>
      <c r="AB122" s="4" t="s">
        <v>734</v>
      </c>
      <c r="AC122" s="4">
        <v>2.0643279038697879</v>
      </c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1"/>
      <c r="BJ122" s="1" t="s">
        <v>3341</v>
      </c>
      <c r="BK122" s="1">
        <v>1</v>
      </c>
      <c r="BL122" s="1"/>
      <c r="BM122" s="1" t="s">
        <v>211</v>
      </c>
      <c r="BN122" s="1" t="s">
        <v>2710</v>
      </c>
      <c r="BO122" s="1" t="s">
        <v>2711</v>
      </c>
      <c r="BP122" s="1">
        <v>7.62</v>
      </c>
      <c r="BQ122" s="1" t="s">
        <v>1003</v>
      </c>
      <c r="BR122" s="1">
        <v>23.85</v>
      </c>
      <c r="BS122" s="1">
        <v>120.82</v>
      </c>
      <c r="BT122" s="1">
        <v>8</v>
      </c>
      <c r="BU122" s="1" t="s">
        <v>734</v>
      </c>
      <c r="BV122" s="1" t="s">
        <v>2571</v>
      </c>
      <c r="BW122" s="1">
        <v>20</v>
      </c>
      <c r="BX122" s="1">
        <v>33</v>
      </c>
      <c r="BY122" s="1">
        <v>55</v>
      </c>
      <c r="BZ122" s="1"/>
      <c r="CA122" s="1"/>
      <c r="CB122" s="1"/>
      <c r="CC122" s="1" t="s">
        <v>2566</v>
      </c>
      <c r="CD122" s="1" t="s">
        <v>862</v>
      </c>
      <c r="CE122" s="1">
        <v>1</v>
      </c>
      <c r="CF122" s="1">
        <v>7.58</v>
      </c>
      <c r="CG122" s="1">
        <v>5.6364999999999998</v>
      </c>
      <c r="CH122" s="1">
        <v>7322.4000000000005</v>
      </c>
      <c r="CI122" s="1" t="s">
        <v>863</v>
      </c>
      <c r="CJ122" s="1" t="s">
        <v>167</v>
      </c>
      <c r="CK122" t="s">
        <v>1262</v>
      </c>
      <c r="CL122">
        <v>122</v>
      </c>
      <c r="CM122" t="s">
        <v>2716</v>
      </c>
    </row>
    <row r="123" spans="1:91" ht="19" customHeight="1">
      <c r="A123" s="1" t="s">
        <v>3342</v>
      </c>
      <c r="B123" s="1" t="s">
        <v>3093</v>
      </c>
      <c r="C123" s="1">
        <v>123</v>
      </c>
      <c r="D123" s="1" t="s">
        <v>860</v>
      </c>
      <c r="E123" s="1">
        <v>1999</v>
      </c>
      <c r="F123" s="1" t="s">
        <v>867</v>
      </c>
      <c r="G123" s="1" t="s">
        <v>2010</v>
      </c>
      <c r="H123" s="4">
        <v>24.4162</v>
      </c>
      <c r="I123" s="4">
        <v>120.7607</v>
      </c>
      <c r="J123" s="1" t="s">
        <v>1396</v>
      </c>
      <c r="K123" s="1" t="s">
        <v>75</v>
      </c>
      <c r="L123" s="1" t="s">
        <v>2011</v>
      </c>
      <c r="M123" s="1" t="s">
        <v>3094</v>
      </c>
      <c r="N123" s="1"/>
      <c r="O123" s="1" t="s">
        <v>3095</v>
      </c>
      <c r="P123" s="1">
        <v>1403</v>
      </c>
      <c r="Q123" s="4">
        <v>7.6</v>
      </c>
      <c r="R123" s="4">
        <v>9.16</v>
      </c>
      <c r="S123" s="4"/>
      <c r="T123" s="4">
        <v>59.3</v>
      </c>
      <c r="U123" s="4">
        <v>13.1</v>
      </c>
      <c r="V123" s="4"/>
      <c r="W123" s="4">
        <v>63.8</v>
      </c>
      <c r="X123" s="4">
        <v>89</v>
      </c>
      <c r="Y123" s="4">
        <v>53</v>
      </c>
      <c r="Z123" s="4">
        <v>1</v>
      </c>
      <c r="AA123" s="4">
        <v>1</v>
      </c>
      <c r="AB123" s="4" t="s">
        <v>734</v>
      </c>
      <c r="AC123" s="4">
        <v>2.2148461786860389</v>
      </c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1"/>
      <c r="BJ123" s="1" t="s">
        <v>3343</v>
      </c>
      <c r="BK123" s="1">
        <v>1</v>
      </c>
      <c r="BL123" s="1"/>
      <c r="BM123" s="1" t="s">
        <v>211</v>
      </c>
      <c r="BN123" s="1" t="s">
        <v>2710</v>
      </c>
      <c r="BO123" s="1" t="s">
        <v>2711</v>
      </c>
      <c r="BP123" s="1">
        <v>7.62</v>
      </c>
      <c r="BQ123" s="1" t="s">
        <v>1003</v>
      </c>
      <c r="BR123" s="1">
        <v>23.85</v>
      </c>
      <c r="BS123" s="1">
        <v>120.82</v>
      </c>
      <c r="BT123" s="1">
        <v>8</v>
      </c>
      <c r="BU123" s="1" t="s">
        <v>734</v>
      </c>
      <c r="BV123" s="1" t="s">
        <v>2571</v>
      </c>
      <c r="BW123" s="1">
        <v>20</v>
      </c>
      <c r="BX123" s="1">
        <v>33</v>
      </c>
      <c r="BY123" s="1">
        <v>55</v>
      </c>
      <c r="BZ123" s="1"/>
      <c r="CA123" s="1"/>
      <c r="CB123" s="1"/>
      <c r="CC123" s="1" t="s">
        <v>2566</v>
      </c>
      <c r="CD123" s="1" t="s">
        <v>862</v>
      </c>
      <c r="CE123" s="1">
        <v>1</v>
      </c>
      <c r="CF123" s="1">
        <v>7.58</v>
      </c>
      <c r="CG123" s="1">
        <v>5.6364999999999998</v>
      </c>
      <c r="CH123" s="1">
        <v>7322.4000000000005</v>
      </c>
      <c r="CI123" s="1" t="s">
        <v>863</v>
      </c>
      <c r="CJ123" s="1" t="s">
        <v>167</v>
      </c>
      <c r="CK123" t="s">
        <v>1262</v>
      </c>
      <c r="CL123">
        <v>123</v>
      </c>
      <c r="CM123" t="s">
        <v>2716</v>
      </c>
    </row>
    <row r="124" spans="1:91" ht="19" customHeight="1">
      <c r="A124" s="1" t="s">
        <v>3344</v>
      </c>
      <c r="B124" s="1" t="s">
        <v>3093</v>
      </c>
      <c r="C124" s="1">
        <v>124</v>
      </c>
      <c r="D124" s="1" t="s">
        <v>860</v>
      </c>
      <c r="E124" s="1">
        <v>1999</v>
      </c>
      <c r="F124" s="1" t="s">
        <v>868</v>
      </c>
      <c r="G124" s="1" t="s">
        <v>2092</v>
      </c>
      <c r="H124" s="4">
        <v>24.147500000000001</v>
      </c>
      <c r="I124" s="4">
        <v>120.676</v>
      </c>
      <c r="J124" s="1" t="s">
        <v>1396</v>
      </c>
      <c r="K124" s="1" t="s">
        <v>75</v>
      </c>
      <c r="L124" s="1" t="s">
        <v>2093</v>
      </c>
      <c r="M124" s="1" t="s">
        <v>3094</v>
      </c>
      <c r="N124" s="1"/>
      <c r="O124" s="1" t="s">
        <v>3095</v>
      </c>
      <c r="P124" s="1">
        <v>1462</v>
      </c>
      <c r="Q124" s="4">
        <v>7.6</v>
      </c>
      <c r="R124" s="4">
        <v>4.51</v>
      </c>
      <c r="S124" s="4"/>
      <c r="T124" s="4">
        <v>43.8</v>
      </c>
      <c r="U124" s="4">
        <v>5.2</v>
      </c>
      <c r="V124" s="4"/>
      <c r="W124" s="4">
        <v>37.1</v>
      </c>
      <c r="X124" s="4">
        <v>56</v>
      </c>
      <c r="Y124" s="4">
        <v>40</v>
      </c>
      <c r="Z124" s="4">
        <v>0</v>
      </c>
      <c r="AA124" s="4">
        <v>1</v>
      </c>
      <c r="AB124" s="4" t="s">
        <v>734</v>
      </c>
      <c r="AC124" s="4">
        <v>1.506297153514587</v>
      </c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1"/>
      <c r="BJ124" s="1" t="s">
        <v>3345</v>
      </c>
      <c r="BK124" s="1">
        <v>1</v>
      </c>
      <c r="BL124" s="1"/>
      <c r="BM124" s="1" t="s">
        <v>211</v>
      </c>
      <c r="BN124" s="1" t="s">
        <v>2710</v>
      </c>
      <c r="BO124" s="1" t="s">
        <v>2711</v>
      </c>
      <c r="BP124" s="1">
        <v>7.62</v>
      </c>
      <c r="BQ124" s="1" t="s">
        <v>1003</v>
      </c>
      <c r="BR124" s="1">
        <v>23.85</v>
      </c>
      <c r="BS124" s="1">
        <v>120.82</v>
      </c>
      <c r="BT124" s="1">
        <v>8</v>
      </c>
      <c r="BU124" s="1" t="s">
        <v>734</v>
      </c>
      <c r="BV124" s="1" t="s">
        <v>2571</v>
      </c>
      <c r="BW124" s="1">
        <v>20</v>
      </c>
      <c r="BX124" s="1">
        <v>33</v>
      </c>
      <c r="BY124" s="1">
        <v>55</v>
      </c>
      <c r="BZ124" s="1"/>
      <c r="CA124" s="1"/>
      <c r="CB124" s="1"/>
      <c r="CC124" s="1" t="s">
        <v>2566</v>
      </c>
      <c r="CD124" s="1" t="s">
        <v>862</v>
      </c>
      <c r="CE124" s="1">
        <v>1</v>
      </c>
      <c r="CF124" s="1">
        <v>7.58</v>
      </c>
      <c r="CG124" s="1">
        <v>5.6364999999999998</v>
      </c>
      <c r="CH124" s="1">
        <v>7322.4000000000005</v>
      </c>
      <c r="CI124" s="1" t="s">
        <v>863</v>
      </c>
      <c r="CJ124" s="1" t="s">
        <v>167</v>
      </c>
      <c r="CK124" t="s">
        <v>1262</v>
      </c>
      <c r="CL124">
        <v>124</v>
      </c>
      <c r="CM124" t="s">
        <v>2716</v>
      </c>
    </row>
    <row r="125" spans="1:91" ht="19" customHeight="1">
      <c r="A125" s="1" t="s">
        <v>3346</v>
      </c>
      <c r="B125" s="1" t="s">
        <v>3093</v>
      </c>
      <c r="C125" s="1">
        <v>125</v>
      </c>
      <c r="D125" s="1" t="s">
        <v>860</v>
      </c>
      <c r="E125" s="1">
        <v>1999</v>
      </c>
      <c r="F125" s="1" t="s">
        <v>869</v>
      </c>
      <c r="G125" s="1" t="s">
        <v>2094</v>
      </c>
      <c r="H125" s="4">
        <v>24.911799999999999</v>
      </c>
      <c r="I125" s="4">
        <v>121.1405</v>
      </c>
      <c r="J125" s="1" t="s">
        <v>1396</v>
      </c>
      <c r="K125" s="1" t="s">
        <v>75</v>
      </c>
      <c r="L125" s="1" t="s">
        <v>2096</v>
      </c>
      <c r="M125" s="1" t="s">
        <v>3094</v>
      </c>
      <c r="N125" s="1"/>
      <c r="O125" s="1" t="s">
        <v>3095</v>
      </c>
      <c r="P125" s="1">
        <v>1464</v>
      </c>
      <c r="Q125" s="4">
        <v>7.6</v>
      </c>
      <c r="R125" s="4">
        <v>10.88</v>
      </c>
      <c r="S125" s="4"/>
      <c r="T125" s="4">
        <v>35.799999999999997</v>
      </c>
      <c r="U125" s="4">
        <v>72.599999999999994</v>
      </c>
      <c r="V125" s="4"/>
      <c r="W125" s="4">
        <v>122.8</v>
      </c>
      <c r="X125" s="4">
        <v>76</v>
      </c>
      <c r="Y125" s="4">
        <v>40</v>
      </c>
      <c r="Z125" s="4">
        <v>0</v>
      </c>
      <c r="AA125" s="4">
        <v>0</v>
      </c>
      <c r="AB125" s="4" t="s">
        <v>734</v>
      </c>
      <c r="AC125" s="4">
        <v>2.3869262414277972</v>
      </c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1"/>
      <c r="BJ125" s="1" t="s">
        <v>3347</v>
      </c>
      <c r="BK125" s="1">
        <v>1</v>
      </c>
      <c r="BL125" s="1"/>
      <c r="BM125" s="1" t="s">
        <v>211</v>
      </c>
      <c r="BN125" s="1" t="s">
        <v>2710</v>
      </c>
      <c r="BO125" s="1" t="s">
        <v>2711</v>
      </c>
      <c r="BP125" s="1">
        <v>7.62</v>
      </c>
      <c r="BQ125" s="1" t="s">
        <v>1003</v>
      </c>
      <c r="BR125" s="1">
        <v>23.85</v>
      </c>
      <c r="BS125" s="1">
        <v>120.82</v>
      </c>
      <c r="BT125" s="1">
        <v>8</v>
      </c>
      <c r="BU125" s="1" t="s">
        <v>734</v>
      </c>
      <c r="BV125" s="1" t="s">
        <v>2571</v>
      </c>
      <c r="BW125" s="1">
        <v>20</v>
      </c>
      <c r="BX125" s="1">
        <v>33</v>
      </c>
      <c r="BY125" s="1">
        <v>55</v>
      </c>
      <c r="BZ125" s="1"/>
      <c r="CA125" s="1"/>
      <c r="CB125" s="1"/>
      <c r="CC125" s="1" t="s">
        <v>2566</v>
      </c>
      <c r="CD125" s="1" t="s">
        <v>862</v>
      </c>
      <c r="CE125" s="1">
        <v>1</v>
      </c>
      <c r="CF125" s="1">
        <v>7.58</v>
      </c>
      <c r="CG125" s="1">
        <v>5.6364999999999998</v>
      </c>
      <c r="CH125" s="1">
        <v>7322.4000000000005</v>
      </c>
      <c r="CI125" s="1" t="s">
        <v>863</v>
      </c>
      <c r="CJ125" s="1" t="s">
        <v>167</v>
      </c>
      <c r="CK125" t="s">
        <v>1262</v>
      </c>
      <c r="CL125">
        <v>125</v>
      </c>
      <c r="CM125" t="s">
        <v>2716</v>
      </c>
    </row>
    <row r="126" spans="1:91" ht="19" customHeight="1">
      <c r="A126" s="1" t="s">
        <v>3348</v>
      </c>
      <c r="B126" s="1" t="s">
        <v>3093</v>
      </c>
      <c r="C126" s="1">
        <v>126</v>
      </c>
      <c r="D126" s="1" t="s">
        <v>860</v>
      </c>
      <c r="E126" s="1">
        <v>1999</v>
      </c>
      <c r="F126" s="1" t="s">
        <v>870</v>
      </c>
      <c r="G126" s="1" t="s">
        <v>2097</v>
      </c>
      <c r="H126" s="4">
        <v>25.046299999999999</v>
      </c>
      <c r="I126" s="4">
        <v>121.3075</v>
      </c>
      <c r="J126" s="1" t="s">
        <v>1396</v>
      </c>
      <c r="K126" s="1" t="s">
        <v>75</v>
      </c>
      <c r="L126" s="1" t="s">
        <v>2098</v>
      </c>
      <c r="M126" s="1" t="s">
        <v>3094</v>
      </c>
      <c r="N126" s="1"/>
      <c r="O126" s="1" t="s">
        <v>3095</v>
      </c>
      <c r="P126" s="1">
        <v>1470</v>
      </c>
      <c r="Q126" s="4">
        <v>7.6</v>
      </c>
      <c r="R126" s="4">
        <v>10.37</v>
      </c>
      <c r="S126" s="4"/>
      <c r="T126" s="4">
        <v>27.2</v>
      </c>
      <c r="U126" s="4">
        <v>92.7</v>
      </c>
      <c r="V126" s="4"/>
      <c r="W126" s="4">
        <v>142.19999999999999</v>
      </c>
      <c r="X126" s="4">
        <v>80</v>
      </c>
      <c r="Y126" s="4">
        <v>44</v>
      </c>
      <c r="Z126" s="4">
        <v>0</v>
      </c>
      <c r="AA126" s="4">
        <v>0</v>
      </c>
      <c r="AB126" s="4" t="s">
        <v>734</v>
      </c>
      <c r="AC126" s="4">
        <v>2.3389170222414362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1"/>
      <c r="BJ126" s="1" t="s">
        <v>3349</v>
      </c>
      <c r="BK126" s="1">
        <v>1</v>
      </c>
      <c r="BL126" s="1"/>
      <c r="BM126" s="1" t="s">
        <v>211</v>
      </c>
      <c r="BN126" s="1" t="s">
        <v>2710</v>
      </c>
      <c r="BO126" s="1" t="s">
        <v>2711</v>
      </c>
      <c r="BP126" s="1">
        <v>7.62</v>
      </c>
      <c r="BQ126" s="1" t="s">
        <v>1003</v>
      </c>
      <c r="BR126" s="1">
        <v>23.85</v>
      </c>
      <c r="BS126" s="1">
        <v>120.82</v>
      </c>
      <c r="BT126" s="1">
        <v>8</v>
      </c>
      <c r="BU126" s="1" t="s">
        <v>734</v>
      </c>
      <c r="BV126" s="1" t="s">
        <v>2571</v>
      </c>
      <c r="BW126" s="1">
        <v>20</v>
      </c>
      <c r="BX126" s="1">
        <v>33</v>
      </c>
      <c r="BY126" s="1">
        <v>55</v>
      </c>
      <c r="BZ126" s="1"/>
      <c r="CA126" s="1"/>
      <c r="CB126" s="1"/>
      <c r="CC126" s="1" t="s">
        <v>2566</v>
      </c>
      <c r="CD126" s="1" t="s">
        <v>862</v>
      </c>
      <c r="CE126" s="1">
        <v>1</v>
      </c>
      <c r="CF126" s="1">
        <v>7.58</v>
      </c>
      <c r="CG126" s="1">
        <v>5.6364999999999998</v>
      </c>
      <c r="CH126" s="1">
        <v>7322.4000000000005</v>
      </c>
      <c r="CI126" s="1" t="s">
        <v>863</v>
      </c>
      <c r="CJ126" s="1" t="s">
        <v>167</v>
      </c>
      <c r="CK126" t="s">
        <v>1262</v>
      </c>
      <c r="CL126">
        <v>126</v>
      </c>
      <c r="CM126" t="s">
        <v>2716</v>
      </c>
    </row>
    <row r="127" spans="1:91" ht="19" customHeight="1">
      <c r="A127" s="1" t="s">
        <v>3350</v>
      </c>
      <c r="B127" s="1" t="s">
        <v>3093</v>
      </c>
      <c r="C127" s="1">
        <v>127</v>
      </c>
      <c r="D127" s="1" t="s">
        <v>860</v>
      </c>
      <c r="E127" s="1">
        <v>1999</v>
      </c>
      <c r="F127" s="1" t="s">
        <v>871</v>
      </c>
      <c r="G127" s="1" t="s">
        <v>2099</v>
      </c>
      <c r="H127" s="4">
        <v>24.757200000000001</v>
      </c>
      <c r="I127" s="4">
        <v>120.9345</v>
      </c>
      <c r="J127" s="1" t="s">
        <v>1396</v>
      </c>
      <c r="K127" s="1" t="s">
        <v>75</v>
      </c>
      <c r="L127" s="1" t="s">
        <v>2101</v>
      </c>
      <c r="M127" s="1" t="s">
        <v>3094</v>
      </c>
      <c r="N127" s="1"/>
      <c r="O127" s="1" t="s">
        <v>3095</v>
      </c>
      <c r="P127" s="1">
        <v>1471</v>
      </c>
      <c r="Q127" s="4">
        <v>7.6</v>
      </c>
      <c r="R127" s="4">
        <v>9.11</v>
      </c>
      <c r="S127" s="4"/>
      <c r="T127" s="4">
        <v>44</v>
      </c>
      <c r="U127" s="4">
        <v>49.8</v>
      </c>
      <c r="V127" s="4"/>
      <c r="W127" s="4">
        <v>101.9</v>
      </c>
      <c r="X127" s="4">
        <v>68</v>
      </c>
      <c r="Y127" s="4">
        <v>31</v>
      </c>
      <c r="Z127" s="4">
        <v>0</v>
      </c>
      <c r="AA127" s="4">
        <v>0</v>
      </c>
      <c r="AB127" s="4" t="s">
        <v>734</v>
      </c>
      <c r="AC127" s="4">
        <v>2.2093727112718669</v>
      </c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1"/>
      <c r="BJ127" s="1" t="s">
        <v>3351</v>
      </c>
      <c r="BK127" s="1">
        <v>1</v>
      </c>
      <c r="BL127" s="1"/>
      <c r="BM127" s="1" t="s">
        <v>211</v>
      </c>
      <c r="BN127" s="1" t="s">
        <v>2710</v>
      </c>
      <c r="BO127" s="1" t="s">
        <v>2711</v>
      </c>
      <c r="BP127" s="1">
        <v>7.62</v>
      </c>
      <c r="BQ127" s="1" t="s">
        <v>1003</v>
      </c>
      <c r="BR127" s="1">
        <v>23.85</v>
      </c>
      <c r="BS127" s="1">
        <v>120.82</v>
      </c>
      <c r="BT127" s="1">
        <v>8</v>
      </c>
      <c r="BU127" s="1" t="s">
        <v>734</v>
      </c>
      <c r="BV127" s="1" t="s">
        <v>2571</v>
      </c>
      <c r="BW127" s="1">
        <v>20</v>
      </c>
      <c r="BX127" s="1">
        <v>33</v>
      </c>
      <c r="BY127" s="1">
        <v>55</v>
      </c>
      <c r="BZ127" s="1"/>
      <c r="CA127" s="1"/>
      <c r="CB127" s="1"/>
      <c r="CC127" s="1" t="s">
        <v>2566</v>
      </c>
      <c r="CD127" s="1" t="s">
        <v>862</v>
      </c>
      <c r="CE127" s="1">
        <v>1</v>
      </c>
      <c r="CF127" s="1">
        <v>7.58</v>
      </c>
      <c r="CG127" s="1">
        <v>5.6364999999999998</v>
      </c>
      <c r="CH127" s="1">
        <v>7322.4000000000005</v>
      </c>
      <c r="CI127" s="1" t="s">
        <v>863</v>
      </c>
      <c r="CJ127" s="1" t="s">
        <v>167</v>
      </c>
      <c r="CK127" t="s">
        <v>1262</v>
      </c>
      <c r="CL127">
        <v>127</v>
      </c>
      <c r="CM127" t="s">
        <v>2716</v>
      </c>
    </row>
    <row r="128" spans="1:91" ht="19" customHeight="1">
      <c r="A128" s="1" t="s">
        <v>3352</v>
      </c>
      <c r="B128" s="1" t="s">
        <v>3093</v>
      </c>
      <c r="C128" s="1">
        <v>128</v>
      </c>
      <c r="D128" s="1" t="s">
        <v>860</v>
      </c>
      <c r="E128" s="1">
        <v>1999</v>
      </c>
      <c r="F128" s="1" t="s">
        <v>872</v>
      </c>
      <c r="G128" s="1" t="s">
        <v>2102</v>
      </c>
      <c r="H128" s="4">
        <v>24.780799999999999</v>
      </c>
      <c r="I128" s="4">
        <v>121.0068</v>
      </c>
      <c r="J128" s="1" t="s">
        <v>1396</v>
      </c>
      <c r="K128" s="1" t="s">
        <v>75</v>
      </c>
      <c r="L128" s="1" t="s">
        <v>2104</v>
      </c>
      <c r="M128" s="1" t="s">
        <v>3094</v>
      </c>
      <c r="N128" s="1"/>
      <c r="O128" s="1" t="s">
        <v>3095</v>
      </c>
      <c r="P128" s="1">
        <v>1472</v>
      </c>
      <c r="Q128" s="4">
        <v>7.6</v>
      </c>
      <c r="R128" s="4">
        <v>8.67</v>
      </c>
      <c r="S128" s="4"/>
      <c r="T128" s="4">
        <v>47.5</v>
      </c>
      <c r="U128" s="4">
        <v>54.3</v>
      </c>
      <c r="V128" s="4"/>
      <c r="W128" s="4">
        <v>105.6</v>
      </c>
      <c r="X128" s="4">
        <v>59</v>
      </c>
      <c r="Y128" s="4">
        <v>23</v>
      </c>
      <c r="Z128" s="4">
        <v>0</v>
      </c>
      <c r="AA128" s="4">
        <v>0</v>
      </c>
      <c r="AB128" s="4" t="s">
        <v>734</v>
      </c>
      <c r="AC128" s="4">
        <v>2.159868790792451</v>
      </c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1"/>
      <c r="BJ128" s="1" t="s">
        <v>3353</v>
      </c>
      <c r="BK128" s="1">
        <v>1</v>
      </c>
      <c r="BL128" s="1"/>
      <c r="BM128" s="1" t="s">
        <v>211</v>
      </c>
      <c r="BN128" s="1" t="s">
        <v>2710</v>
      </c>
      <c r="BO128" s="1" t="s">
        <v>2711</v>
      </c>
      <c r="BP128" s="1">
        <v>7.62</v>
      </c>
      <c r="BQ128" s="1" t="s">
        <v>1003</v>
      </c>
      <c r="BR128" s="1">
        <v>23.85</v>
      </c>
      <c r="BS128" s="1">
        <v>120.82</v>
      </c>
      <c r="BT128" s="1">
        <v>8</v>
      </c>
      <c r="BU128" s="1" t="s">
        <v>734</v>
      </c>
      <c r="BV128" s="1" t="s">
        <v>2571</v>
      </c>
      <c r="BW128" s="1">
        <v>20</v>
      </c>
      <c r="BX128" s="1">
        <v>33</v>
      </c>
      <c r="BY128" s="1">
        <v>55</v>
      </c>
      <c r="BZ128" s="1"/>
      <c r="CA128" s="1"/>
      <c r="CB128" s="1"/>
      <c r="CC128" s="1" t="s">
        <v>2566</v>
      </c>
      <c r="CD128" s="1" t="s">
        <v>862</v>
      </c>
      <c r="CE128" s="1">
        <v>1</v>
      </c>
      <c r="CF128" s="1">
        <v>7.58</v>
      </c>
      <c r="CG128" s="1">
        <v>5.6364999999999998</v>
      </c>
      <c r="CH128" s="1">
        <v>7322.4000000000005</v>
      </c>
      <c r="CI128" s="1" t="s">
        <v>863</v>
      </c>
      <c r="CJ128" s="1" t="s">
        <v>167</v>
      </c>
      <c r="CK128" t="s">
        <v>1262</v>
      </c>
      <c r="CL128">
        <v>128</v>
      </c>
      <c r="CM128" t="s">
        <v>2716</v>
      </c>
    </row>
    <row r="129" spans="1:91" ht="19" customHeight="1">
      <c r="A129" s="1" t="s">
        <v>3354</v>
      </c>
      <c r="B129" s="1" t="s">
        <v>3093</v>
      </c>
      <c r="C129" s="1">
        <v>129</v>
      </c>
      <c r="D129" s="1" t="s">
        <v>860</v>
      </c>
      <c r="E129" s="1">
        <v>1999</v>
      </c>
      <c r="F129" s="1" t="s">
        <v>873</v>
      </c>
      <c r="G129" s="1" t="s">
        <v>2105</v>
      </c>
      <c r="H129" s="4">
        <v>24.88</v>
      </c>
      <c r="I129" s="4">
        <v>121.0535</v>
      </c>
      <c r="J129" s="1" t="s">
        <v>1396</v>
      </c>
      <c r="K129" s="1" t="s">
        <v>75</v>
      </c>
      <c r="L129" s="1" t="s">
        <v>2107</v>
      </c>
      <c r="M129" s="1" t="s">
        <v>3094</v>
      </c>
      <c r="N129" s="1"/>
      <c r="O129" s="1" t="s">
        <v>3095</v>
      </c>
      <c r="P129" s="1">
        <v>1473</v>
      </c>
      <c r="Q129" s="4">
        <v>7.6</v>
      </c>
      <c r="R129" s="4">
        <v>10.23</v>
      </c>
      <c r="S129" s="4"/>
      <c r="T129" s="4">
        <v>42.7</v>
      </c>
      <c r="U129" s="4">
        <v>66.3</v>
      </c>
      <c r="V129" s="4"/>
      <c r="W129" s="4">
        <v>117.3</v>
      </c>
      <c r="X129" s="4">
        <v>69</v>
      </c>
      <c r="Y129" s="4">
        <v>33</v>
      </c>
      <c r="Z129" s="4">
        <v>0</v>
      </c>
      <c r="AA129" s="4">
        <v>0</v>
      </c>
      <c r="AB129" s="4" t="s">
        <v>734</v>
      </c>
      <c r="AC129" s="4">
        <v>2.3253245799635351</v>
      </c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1"/>
      <c r="BJ129" s="1" t="s">
        <v>3355</v>
      </c>
      <c r="BK129" s="1">
        <v>1</v>
      </c>
      <c r="BL129" s="1"/>
      <c r="BM129" s="1" t="s">
        <v>211</v>
      </c>
      <c r="BN129" s="1" t="s">
        <v>2710</v>
      </c>
      <c r="BO129" s="1" t="s">
        <v>2711</v>
      </c>
      <c r="BP129" s="1">
        <v>7.62</v>
      </c>
      <c r="BQ129" s="1" t="s">
        <v>1003</v>
      </c>
      <c r="BR129" s="1">
        <v>23.85</v>
      </c>
      <c r="BS129" s="1">
        <v>120.82</v>
      </c>
      <c r="BT129" s="1">
        <v>8</v>
      </c>
      <c r="BU129" s="1" t="s">
        <v>734</v>
      </c>
      <c r="BV129" s="1" t="s">
        <v>2571</v>
      </c>
      <c r="BW129" s="1">
        <v>20</v>
      </c>
      <c r="BX129" s="1">
        <v>33</v>
      </c>
      <c r="BY129" s="1">
        <v>55</v>
      </c>
      <c r="BZ129" s="1"/>
      <c r="CA129" s="1"/>
      <c r="CB129" s="1"/>
      <c r="CC129" s="1" t="s">
        <v>2566</v>
      </c>
      <c r="CD129" s="1" t="s">
        <v>862</v>
      </c>
      <c r="CE129" s="1">
        <v>1</v>
      </c>
      <c r="CF129" s="1">
        <v>7.58</v>
      </c>
      <c r="CG129" s="1">
        <v>5.6364999999999998</v>
      </c>
      <c r="CH129" s="1">
        <v>7322.4000000000005</v>
      </c>
      <c r="CI129" s="1" t="s">
        <v>863</v>
      </c>
      <c r="CJ129" s="1" t="s">
        <v>167</v>
      </c>
      <c r="CK129" t="s">
        <v>1262</v>
      </c>
      <c r="CL129">
        <v>129</v>
      </c>
      <c r="CM129" t="s">
        <v>2716</v>
      </c>
    </row>
    <row r="130" spans="1:91" ht="19" customHeight="1">
      <c r="A130" s="1" t="s">
        <v>3356</v>
      </c>
      <c r="B130" s="1" t="s">
        <v>3093</v>
      </c>
      <c r="C130" s="1">
        <v>130</v>
      </c>
      <c r="D130" s="1" t="s">
        <v>860</v>
      </c>
      <c r="E130" s="1">
        <v>1999</v>
      </c>
      <c r="F130" s="1" t="s">
        <v>874</v>
      </c>
      <c r="G130" s="1" t="s">
        <v>2108</v>
      </c>
      <c r="H130" s="4">
        <v>24.775700000000001</v>
      </c>
      <c r="I130" s="4">
        <v>121.075</v>
      </c>
      <c r="J130" s="1" t="s">
        <v>1396</v>
      </c>
      <c r="K130" s="1" t="s">
        <v>75</v>
      </c>
      <c r="L130" s="1" t="s">
        <v>2110</v>
      </c>
      <c r="M130" s="1" t="s">
        <v>3094</v>
      </c>
      <c r="N130" s="1"/>
      <c r="O130" s="1" t="s">
        <v>3095</v>
      </c>
      <c r="P130" s="1">
        <v>1475</v>
      </c>
      <c r="Q130" s="4">
        <v>7.6</v>
      </c>
      <c r="R130" s="4">
        <v>8.3699999999999992</v>
      </c>
      <c r="S130" s="4"/>
      <c r="T130" s="4">
        <v>45.7</v>
      </c>
      <c r="U130" s="4">
        <v>56.1</v>
      </c>
      <c r="V130" s="4"/>
      <c r="W130" s="4">
        <v>106.5</v>
      </c>
      <c r="X130" s="4">
        <v>57</v>
      </c>
      <c r="Y130" s="4">
        <v>21</v>
      </c>
      <c r="Z130" s="4">
        <v>0</v>
      </c>
      <c r="AA130" s="4">
        <v>1</v>
      </c>
      <c r="AB130" s="4" t="s">
        <v>734</v>
      </c>
      <c r="AC130" s="4">
        <v>2.124653884501384</v>
      </c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1"/>
      <c r="BJ130" s="1" t="s">
        <v>3357</v>
      </c>
      <c r="BK130" s="1">
        <v>1</v>
      </c>
      <c r="BL130" s="1"/>
      <c r="BM130" s="1" t="s">
        <v>211</v>
      </c>
      <c r="BN130" s="1" t="s">
        <v>2710</v>
      </c>
      <c r="BO130" s="1" t="s">
        <v>2711</v>
      </c>
      <c r="BP130" s="1">
        <v>7.62</v>
      </c>
      <c r="BQ130" s="1" t="s">
        <v>1003</v>
      </c>
      <c r="BR130" s="1">
        <v>23.85</v>
      </c>
      <c r="BS130" s="1">
        <v>120.82</v>
      </c>
      <c r="BT130" s="1">
        <v>8</v>
      </c>
      <c r="BU130" s="1" t="s">
        <v>734</v>
      </c>
      <c r="BV130" s="1" t="s">
        <v>2571</v>
      </c>
      <c r="BW130" s="1">
        <v>20</v>
      </c>
      <c r="BX130" s="1">
        <v>33</v>
      </c>
      <c r="BY130" s="1">
        <v>55</v>
      </c>
      <c r="BZ130" s="1"/>
      <c r="CA130" s="1"/>
      <c r="CB130" s="1"/>
      <c r="CC130" s="1" t="s">
        <v>2566</v>
      </c>
      <c r="CD130" s="1" t="s">
        <v>862</v>
      </c>
      <c r="CE130" s="1">
        <v>1</v>
      </c>
      <c r="CF130" s="1">
        <v>7.58</v>
      </c>
      <c r="CG130" s="1">
        <v>5.6364999999999998</v>
      </c>
      <c r="CH130" s="1">
        <v>7322.4000000000005</v>
      </c>
      <c r="CI130" s="1" t="s">
        <v>863</v>
      </c>
      <c r="CJ130" s="1" t="s">
        <v>167</v>
      </c>
      <c r="CK130" t="s">
        <v>1262</v>
      </c>
      <c r="CL130">
        <v>130</v>
      </c>
      <c r="CM130" t="s">
        <v>2716</v>
      </c>
    </row>
    <row r="131" spans="1:91" ht="19" customHeight="1">
      <c r="A131" s="1" t="s">
        <v>3358</v>
      </c>
      <c r="B131" s="1" t="s">
        <v>3093</v>
      </c>
      <c r="C131" s="1">
        <v>131</v>
      </c>
      <c r="D131" s="1" t="s">
        <v>860</v>
      </c>
      <c r="E131" s="1">
        <v>1999</v>
      </c>
      <c r="F131" s="1" t="s">
        <v>875</v>
      </c>
      <c r="G131" s="1" t="s">
        <v>2111</v>
      </c>
      <c r="H131" s="4">
        <v>24.558800000000002</v>
      </c>
      <c r="I131" s="4">
        <v>120.7492</v>
      </c>
      <c r="J131" s="1" t="s">
        <v>1396</v>
      </c>
      <c r="K131" s="1" t="s">
        <v>75</v>
      </c>
      <c r="L131" s="1" t="s">
        <v>2113</v>
      </c>
      <c r="M131" s="1" t="s">
        <v>3094</v>
      </c>
      <c r="N131" s="1"/>
      <c r="O131" s="1" t="s">
        <v>3095</v>
      </c>
      <c r="P131" s="1">
        <v>1476</v>
      </c>
      <c r="Q131" s="4">
        <v>7.6</v>
      </c>
      <c r="R131" s="4">
        <v>5.29</v>
      </c>
      <c r="S131" s="4"/>
      <c r="T131" s="4">
        <v>62.7</v>
      </c>
      <c r="U131" s="4">
        <v>28</v>
      </c>
      <c r="V131" s="4"/>
      <c r="W131" s="4">
        <v>79.599999999999994</v>
      </c>
      <c r="X131" s="4">
        <v>155</v>
      </c>
      <c r="Y131" s="4">
        <v>61</v>
      </c>
      <c r="Z131" s="4">
        <v>1</v>
      </c>
      <c r="AA131" s="4">
        <v>1</v>
      </c>
      <c r="AB131" s="4" t="s">
        <v>734</v>
      </c>
      <c r="AC131" s="4">
        <v>1.665818245870208</v>
      </c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1"/>
      <c r="BJ131" s="1" t="s">
        <v>3359</v>
      </c>
      <c r="BK131" s="1">
        <v>1</v>
      </c>
      <c r="BL131" s="1"/>
      <c r="BM131" s="1" t="s">
        <v>211</v>
      </c>
      <c r="BN131" s="1" t="s">
        <v>2710</v>
      </c>
      <c r="BO131" s="1" t="s">
        <v>2711</v>
      </c>
      <c r="BP131" s="1">
        <v>7.62</v>
      </c>
      <c r="BQ131" s="1" t="s">
        <v>1003</v>
      </c>
      <c r="BR131" s="1">
        <v>23.85</v>
      </c>
      <c r="BS131" s="1">
        <v>120.82</v>
      </c>
      <c r="BT131" s="1">
        <v>8</v>
      </c>
      <c r="BU131" s="1" t="s">
        <v>734</v>
      </c>
      <c r="BV131" s="1" t="s">
        <v>2571</v>
      </c>
      <c r="BW131" s="1">
        <v>20</v>
      </c>
      <c r="BX131" s="1">
        <v>33</v>
      </c>
      <c r="BY131" s="1">
        <v>55</v>
      </c>
      <c r="BZ131" s="1"/>
      <c r="CA131" s="1"/>
      <c r="CB131" s="1"/>
      <c r="CC131" s="1" t="s">
        <v>2566</v>
      </c>
      <c r="CD131" s="1" t="s">
        <v>862</v>
      </c>
      <c r="CE131" s="1">
        <v>1</v>
      </c>
      <c r="CF131" s="1">
        <v>7.58</v>
      </c>
      <c r="CG131" s="1">
        <v>5.6364999999999998</v>
      </c>
      <c r="CH131" s="1">
        <v>7322.4000000000005</v>
      </c>
      <c r="CI131" s="1" t="s">
        <v>863</v>
      </c>
      <c r="CJ131" s="1" t="s">
        <v>167</v>
      </c>
      <c r="CK131" t="s">
        <v>1262</v>
      </c>
      <c r="CL131">
        <v>131</v>
      </c>
      <c r="CM131" t="s">
        <v>2716</v>
      </c>
    </row>
    <row r="132" spans="1:91" ht="19" customHeight="1">
      <c r="A132" s="1" t="s">
        <v>3360</v>
      </c>
      <c r="B132" s="1" t="s">
        <v>3093</v>
      </c>
      <c r="C132" s="1">
        <v>132</v>
      </c>
      <c r="D132" s="1" t="s">
        <v>860</v>
      </c>
      <c r="E132" s="1">
        <v>1999</v>
      </c>
      <c r="F132" s="1" t="s">
        <v>876</v>
      </c>
      <c r="G132" s="1" t="s">
        <v>2114</v>
      </c>
      <c r="H132" s="4">
        <v>24.561499999999999</v>
      </c>
      <c r="I132" s="4">
        <v>120.70099999999999</v>
      </c>
      <c r="J132" s="1" t="s">
        <v>1396</v>
      </c>
      <c r="K132" s="1" t="s">
        <v>75</v>
      </c>
      <c r="L132" s="1" t="s">
        <v>2116</v>
      </c>
      <c r="M132" s="1" t="s">
        <v>3094</v>
      </c>
      <c r="N132" s="1"/>
      <c r="O132" s="1" t="s">
        <v>3095</v>
      </c>
      <c r="P132" s="1">
        <v>1477</v>
      </c>
      <c r="Q132" s="4">
        <v>7.6</v>
      </c>
      <c r="R132" s="4">
        <v>5.93</v>
      </c>
      <c r="S132" s="4"/>
      <c r="T132" s="4">
        <v>63.3</v>
      </c>
      <c r="U132" s="4">
        <v>30.2</v>
      </c>
      <c r="V132" s="4"/>
      <c r="W132" s="4">
        <v>80.5</v>
      </c>
      <c r="X132" s="4">
        <v>123</v>
      </c>
      <c r="Y132" s="4">
        <v>87</v>
      </c>
      <c r="Z132" s="4">
        <v>1</v>
      </c>
      <c r="AA132" s="4">
        <v>1</v>
      </c>
      <c r="AB132" s="4" t="s">
        <v>734</v>
      </c>
      <c r="AC132" s="4">
        <v>1.780024213009634</v>
      </c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1"/>
      <c r="BJ132" s="1" t="s">
        <v>3361</v>
      </c>
      <c r="BK132" s="1">
        <v>1</v>
      </c>
      <c r="BL132" s="1"/>
      <c r="BM132" s="1" t="s">
        <v>211</v>
      </c>
      <c r="BN132" s="1" t="s">
        <v>2710</v>
      </c>
      <c r="BO132" s="1" t="s">
        <v>2711</v>
      </c>
      <c r="BP132" s="1">
        <v>7.62</v>
      </c>
      <c r="BQ132" s="1" t="s">
        <v>1003</v>
      </c>
      <c r="BR132" s="1">
        <v>23.85</v>
      </c>
      <c r="BS132" s="1">
        <v>120.82</v>
      </c>
      <c r="BT132" s="1">
        <v>8</v>
      </c>
      <c r="BU132" s="1" t="s">
        <v>734</v>
      </c>
      <c r="BV132" s="1" t="s">
        <v>2571</v>
      </c>
      <c r="BW132" s="1">
        <v>20</v>
      </c>
      <c r="BX132" s="1">
        <v>33</v>
      </c>
      <c r="BY132" s="1">
        <v>55</v>
      </c>
      <c r="BZ132" s="1"/>
      <c r="CA132" s="1"/>
      <c r="CB132" s="1"/>
      <c r="CC132" s="1" t="s">
        <v>2566</v>
      </c>
      <c r="CD132" s="1" t="s">
        <v>862</v>
      </c>
      <c r="CE132" s="1">
        <v>1</v>
      </c>
      <c r="CF132" s="1">
        <v>7.58</v>
      </c>
      <c r="CG132" s="1">
        <v>5.6364999999999998</v>
      </c>
      <c r="CH132" s="1">
        <v>7322.4000000000005</v>
      </c>
      <c r="CI132" s="1" t="s">
        <v>863</v>
      </c>
      <c r="CJ132" s="1" t="s">
        <v>167</v>
      </c>
      <c r="CK132" t="s">
        <v>1262</v>
      </c>
      <c r="CL132">
        <v>132</v>
      </c>
      <c r="CM132" t="s">
        <v>2716</v>
      </c>
    </row>
    <row r="133" spans="1:91" ht="19" customHeight="1">
      <c r="A133" s="1" t="s">
        <v>3362</v>
      </c>
      <c r="B133" s="1" t="s">
        <v>3093</v>
      </c>
      <c r="C133" s="1">
        <v>133</v>
      </c>
      <c r="D133" s="1" t="s">
        <v>860</v>
      </c>
      <c r="E133" s="1">
        <v>1999</v>
      </c>
      <c r="F133" s="1" t="s">
        <v>877</v>
      </c>
      <c r="G133" s="1" t="s">
        <v>2117</v>
      </c>
      <c r="H133" s="4">
        <v>24.685500000000001</v>
      </c>
      <c r="I133" s="4">
        <v>120.8623</v>
      </c>
      <c r="J133" s="1" t="s">
        <v>1396</v>
      </c>
      <c r="K133" s="1" t="s">
        <v>75</v>
      </c>
      <c r="L133" s="1" t="s">
        <v>2119</v>
      </c>
      <c r="M133" s="1" t="s">
        <v>3094</v>
      </c>
      <c r="N133" s="1"/>
      <c r="O133" s="1" t="s">
        <v>3095</v>
      </c>
      <c r="P133" s="1">
        <v>1478</v>
      </c>
      <c r="Q133" s="4">
        <v>7.6</v>
      </c>
      <c r="R133" s="4">
        <v>8.9700000000000006</v>
      </c>
      <c r="S133" s="4"/>
      <c r="T133" s="4">
        <v>41.7</v>
      </c>
      <c r="U133" s="4">
        <v>40.9</v>
      </c>
      <c r="V133" s="4"/>
      <c r="W133" s="4">
        <v>93.4</v>
      </c>
      <c r="X133" s="4">
        <v>71</v>
      </c>
      <c r="Y133" s="4">
        <v>35</v>
      </c>
      <c r="Z133" s="4">
        <v>0</v>
      </c>
      <c r="AA133" s="4">
        <v>1</v>
      </c>
      <c r="AB133" s="4" t="s">
        <v>734</v>
      </c>
      <c r="AC133" s="4">
        <v>2.1938856760707051</v>
      </c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1"/>
      <c r="BJ133" s="1" t="s">
        <v>3363</v>
      </c>
      <c r="BK133" s="1">
        <v>1</v>
      </c>
      <c r="BL133" s="1"/>
      <c r="BM133" s="1" t="s">
        <v>211</v>
      </c>
      <c r="BN133" s="1" t="s">
        <v>2710</v>
      </c>
      <c r="BO133" s="1" t="s">
        <v>2711</v>
      </c>
      <c r="BP133" s="1">
        <v>7.62</v>
      </c>
      <c r="BQ133" s="1" t="s">
        <v>1003</v>
      </c>
      <c r="BR133" s="1">
        <v>23.85</v>
      </c>
      <c r="BS133" s="1">
        <v>120.82</v>
      </c>
      <c r="BT133" s="1">
        <v>8</v>
      </c>
      <c r="BU133" s="1" t="s">
        <v>734</v>
      </c>
      <c r="BV133" s="1" t="s">
        <v>2571</v>
      </c>
      <c r="BW133" s="1">
        <v>20</v>
      </c>
      <c r="BX133" s="1">
        <v>33</v>
      </c>
      <c r="BY133" s="1">
        <v>55</v>
      </c>
      <c r="BZ133" s="1"/>
      <c r="CA133" s="1"/>
      <c r="CB133" s="1"/>
      <c r="CC133" s="1" t="s">
        <v>2566</v>
      </c>
      <c r="CD133" s="1" t="s">
        <v>862</v>
      </c>
      <c r="CE133" s="1">
        <v>1</v>
      </c>
      <c r="CF133" s="1">
        <v>7.58</v>
      </c>
      <c r="CG133" s="1">
        <v>5.6364999999999998</v>
      </c>
      <c r="CH133" s="1">
        <v>7322.4000000000005</v>
      </c>
      <c r="CI133" s="1" t="s">
        <v>863</v>
      </c>
      <c r="CJ133" s="1" t="s">
        <v>167</v>
      </c>
      <c r="CK133" t="s">
        <v>1262</v>
      </c>
      <c r="CL133">
        <v>133</v>
      </c>
      <c r="CM133" t="s">
        <v>2716</v>
      </c>
    </row>
    <row r="134" spans="1:91" ht="19" customHeight="1">
      <c r="A134" s="1" t="s">
        <v>3364</v>
      </c>
      <c r="B134" s="1" t="s">
        <v>3093</v>
      </c>
      <c r="C134" s="1">
        <v>134</v>
      </c>
      <c r="D134" s="1" t="s">
        <v>860</v>
      </c>
      <c r="E134" s="1">
        <v>1999</v>
      </c>
      <c r="F134" s="1" t="s">
        <v>878</v>
      </c>
      <c r="G134" s="1" t="s">
        <v>2120</v>
      </c>
      <c r="H134" s="4">
        <v>24.638999999999999</v>
      </c>
      <c r="I134" s="4">
        <v>120.85680000000001</v>
      </c>
      <c r="J134" s="1" t="s">
        <v>1396</v>
      </c>
      <c r="K134" s="1" t="s">
        <v>75</v>
      </c>
      <c r="L134" s="1" t="s">
        <v>2122</v>
      </c>
      <c r="M134" s="1" t="s">
        <v>3094</v>
      </c>
      <c r="N134" s="1"/>
      <c r="O134" s="1" t="s">
        <v>3095</v>
      </c>
      <c r="P134" s="1">
        <v>1479</v>
      </c>
      <c r="Q134" s="4">
        <v>7.6</v>
      </c>
      <c r="R134" s="4">
        <v>8.8699999999999992</v>
      </c>
      <c r="S134" s="4"/>
      <c r="T134" s="4">
        <v>45.2</v>
      </c>
      <c r="U134" s="4">
        <v>35.700000000000003</v>
      </c>
      <c r="V134" s="4"/>
      <c r="W134" s="4">
        <v>88.2</v>
      </c>
      <c r="X134" s="4">
        <v>72</v>
      </c>
      <c r="Y134" s="4">
        <v>36</v>
      </c>
      <c r="Z134" s="4">
        <v>0</v>
      </c>
      <c r="AA134" s="4">
        <v>1</v>
      </c>
      <c r="AB134" s="4" t="s">
        <v>734</v>
      </c>
      <c r="AC134" s="4">
        <v>2.1826747963214879</v>
      </c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1"/>
      <c r="BJ134" s="1" t="s">
        <v>3365</v>
      </c>
      <c r="BK134" s="1">
        <v>1</v>
      </c>
      <c r="BL134" s="1"/>
      <c r="BM134" s="1" t="s">
        <v>211</v>
      </c>
      <c r="BN134" s="1" t="s">
        <v>2710</v>
      </c>
      <c r="BO134" s="1" t="s">
        <v>2711</v>
      </c>
      <c r="BP134" s="1">
        <v>7.62</v>
      </c>
      <c r="BQ134" s="1" t="s">
        <v>1003</v>
      </c>
      <c r="BR134" s="1">
        <v>23.85</v>
      </c>
      <c r="BS134" s="1">
        <v>120.82</v>
      </c>
      <c r="BT134" s="1">
        <v>8</v>
      </c>
      <c r="BU134" s="1" t="s">
        <v>734</v>
      </c>
      <c r="BV134" s="1" t="s">
        <v>2571</v>
      </c>
      <c r="BW134" s="1">
        <v>20</v>
      </c>
      <c r="BX134" s="1">
        <v>33</v>
      </c>
      <c r="BY134" s="1">
        <v>55</v>
      </c>
      <c r="BZ134" s="1"/>
      <c r="CA134" s="1"/>
      <c r="CB134" s="1"/>
      <c r="CC134" s="1" t="s">
        <v>2566</v>
      </c>
      <c r="CD134" s="1" t="s">
        <v>862</v>
      </c>
      <c r="CE134" s="1">
        <v>1</v>
      </c>
      <c r="CF134" s="1">
        <v>7.58</v>
      </c>
      <c r="CG134" s="1">
        <v>5.6364999999999998</v>
      </c>
      <c r="CH134" s="1">
        <v>7322.4000000000005</v>
      </c>
      <c r="CI134" s="1" t="s">
        <v>863</v>
      </c>
      <c r="CJ134" s="1" t="s">
        <v>167</v>
      </c>
      <c r="CK134" t="s">
        <v>1262</v>
      </c>
      <c r="CL134">
        <v>134</v>
      </c>
      <c r="CM134" t="s">
        <v>2716</v>
      </c>
    </row>
    <row r="135" spans="1:91" ht="19" customHeight="1">
      <c r="A135" s="1" t="s">
        <v>3366</v>
      </c>
      <c r="B135" s="1" t="s">
        <v>3093</v>
      </c>
      <c r="C135" s="1">
        <v>135</v>
      </c>
      <c r="D135" s="1" t="s">
        <v>860</v>
      </c>
      <c r="E135" s="1">
        <v>1999</v>
      </c>
      <c r="F135" s="1" t="s">
        <v>879</v>
      </c>
      <c r="G135" s="1" t="s">
        <v>2123</v>
      </c>
      <c r="H135" s="4">
        <v>24.448799999999999</v>
      </c>
      <c r="I135" s="4">
        <v>120.69629999999999</v>
      </c>
      <c r="J135" s="1" t="s">
        <v>1396</v>
      </c>
      <c r="K135" s="1" t="s">
        <v>75</v>
      </c>
      <c r="L135" s="1" t="s">
        <v>2125</v>
      </c>
      <c r="M135" s="1" t="s">
        <v>3094</v>
      </c>
      <c r="N135" s="1"/>
      <c r="O135" s="1" t="s">
        <v>3095</v>
      </c>
      <c r="P135" s="1">
        <v>1480</v>
      </c>
      <c r="Q135" s="4">
        <v>7.6</v>
      </c>
      <c r="R135" s="4">
        <v>5.38</v>
      </c>
      <c r="S135" s="4"/>
      <c r="T135" s="4">
        <v>63.2</v>
      </c>
      <c r="U135" s="4">
        <v>19.8</v>
      </c>
      <c r="V135" s="4"/>
      <c r="W135" s="4">
        <v>68.3</v>
      </c>
      <c r="X135" s="4">
        <v>131</v>
      </c>
      <c r="Y135" s="4">
        <v>56</v>
      </c>
      <c r="Z135" s="4">
        <v>1</v>
      </c>
      <c r="AA135" s="4">
        <v>1</v>
      </c>
      <c r="AB135" s="4" t="s">
        <v>734</v>
      </c>
      <c r="AC135" s="4">
        <v>1.6826883741736931</v>
      </c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1"/>
      <c r="BJ135" s="1" t="s">
        <v>3367</v>
      </c>
      <c r="BK135" s="1">
        <v>1</v>
      </c>
      <c r="BL135" s="1"/>
      <c r="BM135" s="1" t="s">
        <v>211</v>
      </c>
      <c r="BN135" s="1" t="s">
        <v>2710</v>
      </c>
      <c r="BO135" s="1" t="s">
        <v>2711</v>
      </c>
      <c r="BP135" s="1">
        <v>7.62</v>
      </c>
      <c r="BQ135" s="1" t="s">
        <v>1003</v>
      </c>
      <c r="BR135" s="1">
        <v>23.85</v>
      </c>
      <c r="BS135" s="1">
        <v>120.82</v>
      </c>
      <c r="BT135" s="1">
        <v>8</v>
      </c>
      <c r="BU135" s="1" t="s">
        <v>734</v>
      </c>
      <c r="BV135" s="1" t="s">
        <v>2571</v>
      </c>
      <c r="BW135" s="1">
        <v>20</v>
      </c>
      <c r="BX135" s="1">
        <v>33</v>
      </c>
      <c r="BY135" s="1">
        <v>55</v>
      </c>
      <c r="BZ135" s="1"/>
      <c r="CA135" s="1"/>
      <c r="CB135" s="1"/>
      <c r="CC135" s="1" t="s">
        <v>2566</v>
      </c>
      <c r="CD135" s="1" t="s">
        <v>862</v>
      </c>
      <c r="CE135" s="1">
        <v>1</v>
      </c>
      <c r="CF135" s="1">
        <v>7.58</v>
      </c>
      <c r="CG135" s="1">
        <v>5.6364999999999998</v>
      </c>
      <c r="CH135" s="1">
        <v>7322.4000000000005</v>
      </c>
      <c r="CI135" s="1" t="s">
        <v>863</v>
      </c>
      <c r="CJ135" s="1" t="s">
        <v>167</v>
      </c>
      <c r="CK135" t="s">
        <v>1262</v>
      </c>
      <c r="CL135">
        <v>135</v>
      </c>
      <c r="CM135" t="s">
        <v>2716</v>
      </c>
    </row>
    <row r="136" spans="1:91" ht="19" customHeight="1">
      <c r="A136" s="1" t="s">
        <v>3368</v>
      </c>
      <c r="B136" s="1" t="s">
        <v>3093</v>
      </c>
      <c r="C136" s="1">
        <v>136</v>
      </c>
      <c r="D136" s="1" t="s">
        <v>860</v>
      </c>
      <c r="E136" s="1">
        <v>1999</v>
      </c>
      <c r="F136" s="1" t="s">
        <v>880</v>
      </c>
      <c r="G136" s="1" t="s">
        <v>2126</v>
      </c>
      <c r="H136" s="4">
        <v>24.491199999999999</v>
      </c>
      <c r="I136" s="4">
        <v>120.663</v>
      </c>
      <c r="J136" s="1" t="s">
        <v>1396</v>
      </c>
      <c r="K136" s="1" t="s">
        <v>75</v>
      </c>
      <c r="L136" s="1" t="s">
        <v>2128</v>
      </c>
      <c r="M136" s="1" t="s">
        <v>3094</v>
      </c>
      <c r="N136" s="1"/>
      <c r="O136" s="1" t="s">
        <v>3095</v>
      </c>
      <c r="P136" s="1">
        <v>1481</v>
      </c>
      <c r="Q136" s="4">
        <v>7.6</v>
      </c>
      <c r="R136" s="4">
        <v>9.58</v>
      </c>
      <c r="S136" s="4"/>
      <c r="T136" s="4">
        <v>54.9</v>
      </c>
      <c r="U136" s="4">
        <v>25.4</v>
      </c>
      <c r="V136" s="4"/>
      <c r="W136" s="4">
        <v>73.5</v>
      </c>
      <c r="X136" s="4">
        <v>70</v>
      </c>
      <c r="Y136" s="4">
        <v>62</v>
      </c>
      <c r="Z136" s="4">
        <v>1</v>
      </c>
      <c r="AA136" s="4">
        <v>1</v>
      </c>
      <c r="AB136" s="4" t="s">
        <v>734</v>
      </c>
      <c r="AC136" s="4">
        <v>2.259677591982769</v>
      </c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1"/>
      <c r="BJ136" s="1" t="s">
        <v>3369</v>
      </c>
      <c r="BK136" s="1">
        <v>1</v>
      </c>
      <c r="BL136" s="1"/>
      <c r="BM136" s="1" t="s">
        <v>211</v>
      </c>
      <c r="BN136" s="1" t="s">
        <v>2710</v>
      </c>
      <c r="BO136" s="1" t="s">
        <v>2711</v>
      </c>
      <c r="BP136" s="1">
        <v>7.62</v>
      </c>
      <c r="BQ136" s="1" t="s">
        <v>1003</v>
      </c>
      <c r="BR136" s="1">
        <v>23.85</v>
      </c>
      <c r="BS136" s="1">
        <v>120.82</v>
      </c>
      <c r="BT136" s="1">
        <v>8</v>
      </c>
      <c r="BU136" s="1" t="s">
        <v>734</v>
      </c>
      <c r="BV136" s="1" t="s">
        <v>2571</v>
      </c>
      <c r="BW136" s="1">
        <v>20</v>
      </c>
      <c r="BX136" s="1">
        <v>33</v>
      </c>
      <c r="BY136" s="1">
        <v>55</v>
      </c>
      <c r="BZ136" s="1"/>
      <c r="CA136" s="1"/>
      <c r="CB136" s="1"/>
      <c r="CC136" s="1" t="s">
        <v>2566</v>
      </c>
      <c r="CD136" s="1" t="s">
        <v>862</v>
      </c>
      <c r="CE136" s="1">
        <v>1</v>
      </c>
      <c r="CF136" s="1">
        <v>7.58</v>
      </c>
      <c r="CG136" s="1">
        <v>5.6364999999999998</v>
      </c>
      <c r="CH136" s="1">
        <v>7322.4000000000005</v>
      </c>
      <c r="CI136" s="1" t="s">
        <v>863</v>
      </c>
      <c r="CJ136" s="1" t="s">
        <v>167</v>
      </c>
      <c r="CK136" t="s">
        <v>1262</v>
      </c>
      <c r="CL136">
        <v>136</v>
      </c>
      <c r="CM136" t="s">
        <v>2716</v>
      </c>
    </row>
    <row r="137" spans="1:91" ht="19" customHeight="1">
      <c r="A137" s="1" t="s">
        <v>3370</v>
      </c>
      <c r="B137" s="1" t="s">
        <v>3093</v>
      </c>
      <c r="C137" s="1">
        <v>137</v>
      </c>
      <c r="D137" s="1" t="s">
        <v>860</v>
      </c>
      <c r="E137" s="1">
        <v>1999</v>
      </c>
      <c r="F137" s="1" t="s">
        <v>881</v>
      </c>
      <c r="G137" s="1" t="s">
        <v>2129</v>
      </c>
      <c r="H137" s="4">
        <v>24.491700000000002</v>
      </c>
      <c r="I137" s="4">
        <v>120.7837</v>
      </c>
      <c r="J137" s="1" t="s">
        <v>1396</v>
      </c>
      <c r="K137" s="1" t="s">
        <v>75</v>
      </c>
      <c r="L137" s="1" t="s">
        <v>2131</v>
      </c>
      <c r="M137" s="1" t="s">
        <v>3094</v>
      </c>
      <c r="N137" s="1"/>
      <c r="O137" s="1" t="s">
        <v>3095</v>
      </c>
      <c r="P137" s="1">
        <v>1482</v>
      </c>
      <c r="Q137" s="4">
        <v>7.6</v>
      </c>
      <c r="R137" s="4">
        <v>9.33</v>
      </c>
      <c r="S137" s="4"/>
      <c r="T137" s="4">
        <v>57.8</v>
      </c>
      <c r="U137" s="4">
        <v>19.899999999999999</v>
      </c>
      <c r="V137" s="4"/>
      <c r="W137" s="4">
        <v>72</v>
      </c>
      <c r="X137" s="4">
        <v>94</v>
      </c>
      <c r="Y137" s="4">
        <v>58</v>
      </c>
      <c r="Z137" s="4">
        <v>1</v>
      </c>
      <c r="AA137" s="4">
        <v>1</v>
      </c>
      <c r="AB137" s="4" t="s">
        <v>734</v>
      </c>
      <c r="AC137" s="4">
        <v>2.233235014859253</v>
      </c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1"/>
      <c r="BJ137" s="1" t="s">
        <v>3371</v>
      </c>
      <c r="BK137" s="1">
        <v>1</v>
      </c>
      <c r="BL137" s="1"/>
      <c r="BM137" s="1" t="s">
        <v>211</v>
      </c>
      <c r="BN137" s="1" t="s">
        <v>2710</v>
      </c>
      <c r="BO137" s="1" t="s">
        <v>2711</v>
      </c>
      <c r="BP137" s="1">
        <v>7.62</v>
      </c>
      <c r="BQ137" s="1" t="s">
        <v>1003</v>
      </c>
      <c r="BR137" s="1">
        <v>23.85</v>
      </c>
      <c r="BS137" s="1">
        <v>120.82</v>
      </c>
      <c r="BT137" s="1">
        <v>8</v>
      </c>
      <c r="BU137" s="1" t="s">
        <v>734</v>
      </c>
      <c r="BV137" s="1" t="s">
        <v>2571</v>
      </c>
      <c r="BW137" s="1">
        <v>20</v>
      </c>
      <c r="BX137" s="1">
        <v>33</v>
      </c>
      <c r="BY137" s="1">
        <v>55</v>
      </c>
      <c r="BZ137" s="1"/>
      <c r="CA137" s="1"/>
      <c r="CB137" s="1"/>
      <c r="CC137" s="1" t="s">
        <v>2566</v>
      </c>
      <c r="CD137" s="1" t="s">
        <v>862</v>
      </c>
      <c r="CE137" s="1">
        <v>1</v>
      </c>
      <c r="CF137" s="1">
        <v>7.58</v>
      </c>
      <c r="CG137" s="1">
        <v>5.6364999999999998</v>
      </c>
      <c r="CH137" s="1">
        <v>7322.4000000000005</v>
      </c>
      <c r="CI137" s="1" t="s">
        <v>863</v>
      </c>
      <c r="CJ137" s="1" t="s">
        <v>167</v>
      </c>
      <c r="CK137" t="s">
        <v>1262</v>
      </c>
      <c r="CL137">
        <v>137</v>
      </c>
      <c r="CM137" t="s">
        <v>2716</v>
      </c>
    </row>
    <row r="138" spans="1:91" ht="19" customHeight="1">
      <c r="A138" s="1" t="s">
        <v>3372</v>
      </c>
      <c r="B138" s="1" t="s">
        <v>3093</v>
      </c>
      <c r="C138" s="1">
        <v>138</v>
      </c>
      <c r="D138" s="1" t="s">
        <v>860</v>
      </c>
      <c r="E138" s="1">
        <v>1999</v>
      </c>
      <c r="F138" s="1" t="s">
        <v>882</v>
      </c>
      <c r="G138" s="1" t="s">
        <v>2132</v>
      </c>
      <c r="H138" s="4">
        <v>24.4497</v>
      </c>
      <c r="I138" s="4">
        <v>120.6455</v>
      </c>
      <c r="J138" s="1" t="s">
        <v>1396</v>
      </c>
      <c r="K138" s="1" t="s">
        <v>75</v>
      </c>
      <c r="L138" s="1" t="s">
        <v>2134</v>
      </c>
      <c r="M138" s="1" t="s">
        <v>3094</v>
      </c>
      <c r="N138" s="1"/>
      <c r="O138" s="1" t="s">
        <v>3095</v>
      </c>
      <c r="P138" s="1">
        <v>1483</v>
      </c>
      <c r="Q138" s="4">
        <v>7.6</v>
      </c>
      <c r="R138" s="4">
        <v>6.43</v>
      </c>
      <c r="S138" s="4"/>
      <c r="T138" s="4">
        <v>47.6</v>
      </c>
      <c r="U138" s="4">
        <v>22.1</v>
      </c>
      <c r="V138" s="4"/>
      <c r="W138" s="4">
        <v>69.5</v>
      </c>
      <c r="X138" s="4">
        <v>162</v>
      </c>
      <c r="Y138" s="4">
        <v>25</v>
      </c>
      <c r="Z138" s="4">
        <v>1</v>
      </c>
      <c r="AA138" s="4">
        <v>1</v>
      </c>
      <c r="AB138" s="4" t="s">
        <v>734</v>
      </c>
      <c r="AC138" s="4">
        <v>1.860974538249528</v>
      </c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1"/>
      <c r="BJ138" s="1" t="s">
        <v>3373</v>
      </c>
      <c r="BK138" s="1">
        <v>1</v>
      </c>
      <c r="BL138" s="1"/>
      <c r="BM138" s="1" t="s">
        <v>211</v>
      </c>
      <c r="BN138" s="1" t="s">
        <v>2710</v>
      </c>
      <c r="BO138" s="1" t="s">
        <v>2711</v>
      </c>
      <c r="BP138" s="1">
        <v>7.62</v>
      </c>
      <c r="BQ138" s="1" t="s">
        <v>1003</v>
      </c>
      <c r="BR138" s="1">
        <v>23.85</v>
      </c>
      <c r="BS138" s="1">
        <v>120.82</v>
      </c>
      <c r="BT138" s="1">
        <v>8</v>
      </c>
      <c r="BU138" s="1" t="s">
        <v>734</v>
      </c>
      <c r="BV138" s="1" t="s">
        <v>2571</v>
      </c>
      <c r="BW138" s="1">
        <v>20</v>
      </c>
      <c r="BX138" s="1">
        <v>33</v>
      </c>
      <c r="BY138" s="1">
        <v>55</v>
      </c>
      <c r="BZ138" s="1"/>
      <c r="CA138" s="1"/>
      <c r="CB138" s="1"/>
      <c r="CC138" s="1" t="s">
        <v>2566</v>
      </c>
      <c r="CD138" s="1" t="s">
        <v>862</v>
      </c>
      <c r="CE138" s="1">
        <v>1</v>
      </c>
      <c r="CF138" s="1">
        <v>7.58</v>
      </c>
      <c r="CG138" s="1">
        <v>5.6364999999999998</v>
      </c>
      <c r="CH138" s="1">
        <v>7322.4000000000005</v>
      </c>
      <c r="CI138" s="1" t="s">
        <v>863</v>
      </c>
      <c r="CJ138" s="1" t="s">
        <v>167</v>
      </c>
      <c r="CK138" t="s">
        <v>1262</v>
      </c>
      <c r="CL138">
        <v>138</v>
      </c>
      <c r="CM138" t="s">
        <v>2716</v>
      </c>
    </row>
    <row r="139" spans="1:91" ht="19" customHeight="1">
      <c r="A139" s="1" t="s">
        <v>3374</v>
      </c>
      <c r="B139" s="1" t="s">
        <v>3093</v>
      </c>
      <c r="C139" s="1">
        <v>139</v>
      </c>
      <c r="D139" s="1" t="s">
        <v>860</v>
      </c>
      <c r="E139" s="1">
        <v>1999</v>
      </c>
      <c r="F139" s="1" t="s">
        <v>883</v>
      </c>
      <c r="G139" s="1" t="s">
        <v>2137</v>
      </c>
      <c r="H139" s="4">
        <v>24.5412</v>
      </c>
      <c r="I139" s="4">
        <v>120.91370000000001</v>
      </c>
      <c r="J139" s="1" t="s">
        <v>1396</v>
      </c>
      <c r="K139" s="1" t="s">
        <v>75</v>
      </c>
      <c r="L139" s="1" t="s">
        <v>2139</v>
      </c>
      <c r="M139" s="1" t="s">
        <v>3094</v>
      </c>
      <c r="N139" s="1"/>
      <c r="O139" s="1" t="s">
        <v>3095</v>
      </c>
      <c r="P139" s="1">
        <v>1485</v>
      </c>
      <c r="Q139" s="4">
        <v>7.6</v>
      </c>
      <c r="R139" s="4">
        <v>9.34</v>
      </c>
      <c r="S139" s="4"/>
      <c r="T139" s="4">
        <v>43.7</v>
      </c>
      <c r="U139" s="4">
        <v>26</v>
      </c>
      <c r="V139" s="4"/>
      <c r="W139" s="4">
        <v>77.900000000000006</v>
      </c>
      <c r="X139" s="4">
        <v>75</v>
      </c>
      <c r="Y139" s="4">
        <v>39</v>
      </c>
      <c r="Z139" s="4">
        <v>0</v>
      </c>
      <c r="AA139" s="4">
        <v>1</v>
      </c>
      <c r="AB139" s="4" t="s">
        <v>734</v>
      </c>
      <c r="AC139" s="4">
        <v>2.2343062522407511</v>
      </c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1"/>
      <c r="BJ139" s="1" t="s">
        <v>3375</v>
      </c>
      <c r="BK139" s="1">
        <v>1</v>
      </c>
      <c r="BL139" s="1"/>
      <c r="BM139" s="1" t="s">
        <v>211</v>
      </c>
      <c r="BN139" s="1" t="s">
        <v>2710</v>
      </c>
      <c r="BO139" s="1" t="s">
        <v>2711</v>
      </c>
      <c r="BP139" s="1">
        <v>7.62</v>
      </c>
      <c r="BQ139" s="1" t="s">
        <v>1003</v>
      </c>
      <c r="BR139" s="1">
        <v>23.85</v>
      </c>
      <c r="BS139" s="1">
        <v>120.82</v>
      </c>
      <c r="BT139" s="1">
        <v>8</v>
      </c>
      <c r="BU139" s="1" t="s">
        <v>734</v>
      </c>
      <c r="BV139" s="1" t="s">
        <v>2571</v>
      </c>
      <c r="BW139" s="1">
        <v>20</v>
      </c>
      <c r="BX139" s="1">
        <v>33</v>
      </c>
      <c r="BY139" s="1">
        <v>55</v>
      </c>
      <c r="BZ139" s="1"/>
      <c r="CA139" s="1"/>
      <c r="CB139" s="1"/>
      <c r="CC139" s="1" t="s">
        <v>2566</v>
      </c>
      <c r="CD139" s="1" t="s">
        <v>862</v>
      </c>
      <c r="CE139" s="1">
        <v>1</v>
      </c>
      <c r="CF139" s="1">
        <v>7.58</v>
      </c>
      <c r="CG139" s="1">
        <v>5.6364999999999998</v>
      </c>
      <c r="CH139" s="1">
        <v>7322.4000000000005</v>
      </c>
      <c r="CI139" s="1" t="s">
        <v>863</v>
      </c>
      <c r="CJ139" s="1" t="s">
        <v>167</v>
      </c>
      <c r="CK139" t="s">
        <v>1262</v>
      </c>
      <c r="CL139">
        <v>139</v>
      </c>
      <c r="CM139" t="s">
        <v>2716</v>
      </c>
    </row>
    <row r="140" spans="1:91" ht="19" customHeight="1">
      <c r="A140" s="1" t="s">
        <v>3376</v>
      </c>
      <c r="B140" s="1" t="s">
        <v>3093</v>
      </c>
      <c r="C140" s="1">
        <v>140</v>
      </c>
      <c r="D140" s="1" t="s">
        <v>860</v>
      </c>
      <c r="E140" s="1">
        <v>1999</v>
      </c>
      <c r="F140" s="1" t="s">
        <v>884</v>
      </c>
      <c r="G140" s="1" t="s">
        <v>2140</v>
      </c>
      <c r="H140" s="4">
        <v>24.468299999999999</v>
      </c>
      <c r="I140" s="4">
        <v>120.85429999999999</v>
      </c>
      <c r="J140" s="1" t="s">
        <v>1396</v>
      </c>
      <c r="K140" s="1" t="s">
        <v>75</v>
      </c>
      <c r="L140" s="1" t="s">
        <v>2142</v>
      </c>
      <c r="M140" s="1" t="s">
        <v>3094</v>
      </c>
      <c r="N140" s="1"/>
      <c r="O140" s="1" t="s">
        <v>3095</v>
      </c>
      <c r="P140" s="1">
        <v>1486</v>
      </c>
      <c r="Q140" s="4">
        <v>7.6</v>
      </c>
      <c r="R140" s="4">
        <v>8.0399999999999991</v>
      </c>
      <c r="S140" s="4"/>
      <c r="T140" s="4">
        <v>31.3</v>
      </c>
      <c r="U140" s="4">
        <v>16.7</v>
      </c>
      <c r="V140" s="4"/>
      <c r="W140" s="4">
        <v>69.3</v>
      </c>
      <c r="X140" s="4">
        <v>112</v>
      </c>
      <c r="Y140" s="4">
        <v>76</v>
      </c>
      <c r="Z140" s="4">
        <v>1</v>
      </c>
      <c r="AA140" s="4">
        <v>1</v>
      </c>
      <c r="AB140" s="4" t="s">
        <v>734</v>
      </c>
      <c r="AC140" s="4">
        <v>2.0844290831908752</v>
      </c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1"/>
      <c r="BJ140" s="1" t="s">
        <v>3377</v>
      </c>
      <c r="BK140" s="1">
        <v>1</v>
      </c>
      <c r="BL140" s="1"/>
      <c r="BM140" s="1" t="s">
        <v>211</v>
      </c>
      <c r="BN140" s="1" t="s">
        <v>2710</v>
      </c>
      <c r="BO140" s="1" t="s">
        <v>2711</v>
      </c>
      <c r="BP140" s="1">
        <v>7.62</v>
      </c>
      <c r="BQ140" s="1" t="s">
        <v>1003</v>
      </c>
      <c r="BR140" s="1">
        <v>23.85</v>
      </c>
      <c r="BS140" s="1">
        <v>120.82</v>
      </c>
      <c r="BT140" s="1">
        <v>8</v>
      </c>
      <c r="BU140" s="1" t="s">
        <v>734</v>
      </c>
      <c r="BV140" s="1" t="s">
        <v>2571</v>
      </c>
      <c r="BW140" s="1">
        <v>20</v>
      </c>
      <c r="BX140" s="1">
        <v>33</v>
      </c>
      <c r="BY140" s="1">
        <v>55</v>
      </c>
      <c r="BZ140" s="1"/>
      <c r="CA140" s="1"/>
      <c r="CB140" s="1"/>
      <c r="CC140" s="1" t="s">
        <v>2566</v>
      </c>
      <c r="CD140" s="1" t="s">
        <v>862</v>
      </c>
      <c r="CE140" s="1">
        <v>1</v>
      </c>
      <c r="CF140" s="1">
        <v>7.58</v>
      </c>
      <c r="CG140" s="1">
        <v>5.6364999999999998</v>
      </c>
      <c r="CH140" s="1">
        <v>7322.4000000000005</v>
      </c>
      <c r="CI140" s="1" t="s">
        <v>863</v>
      </c>
      <c r="CJ140" s="1" t="s">
        <v>167</v>
      </c>
      <c r="CK140" t="s">
        <v>1262</v>
      </c>
      <c r="CL140">
        <v>140</v>
      </c>
      <c r="CM140" t="s">
        <v>2716</v>
      </c>
    </row>
    <row r="141" spans="1:91" ht="19" customHeight="1">
      <c r="A141" s="1" t="s">
        <v>3378</v>
      </c>
      <c r="B141" s="1" t="s">
        <v>3093</v>
      </c>
      <c r="C141" s="1">
        <v>141</v>
      </c>
      <c r="D141" s="1" t="s">
        <v>860</v>
      </c>
      <c r="E141" s="1">
        <v>1999</v>
      </c>
      <c r="F141" s="1" t="s">
        <v>885</v>
      </c>
      <c r="G141" s="1" t="s">
        <v>2143</v>
      </c>
      <c r="H141" s="4">
        <v>24.6188</v>
      </c>
      <c r="I141" s="4">
        <v>120.9387</v>
      </c>
      <c r="J141" s="1" t="s">
        <v>1396</v>
      </c>
      <c r="K141" s="1" t="s">
        <v>75</v>
      </c>
      <c r="L141" s="1" t="s">
        <v>2145</v>
      </c>
      <c r="M141" s="1" t="s">
        <v>3094</v>
      </c>
      <c r="N141" s="1"/>
      <c r="O141" s="1" t="s">
        <v>3095</v>
      </c>
      <c r="P141" s="1">
        <v>1487</v>
      </c>
      <c r="Q141" s="4">
        <v>7.6</v>
      </c>
      <c r="R141" s="4">
        <v>12.31</v>
      </c>
      <c r="S141" s="4"/>
      <c r="T141" s="4">
        <v>44.4</v>
      </c>
      <c r="U141" s="4">
        <v>35</v>
      </c>
      <c r="V141" s="4"/>
      <c r="W141" s="4">
        <v>86.8</v>
      </c>
      <c r="X141" s="4">
        <v>55</v>
      </c>
      <c r="Y141" s="4">
        <v>19</v>
      </c>
      <c r="Z141" s="4">
        <v>0</v>
      </c>
      <c r="AA141" s="4">
        <v>1</v>
      </c>
      <c r="AB141" s="4" t="s">
        <v>734</v>
      </c>
      <c r="AC141" s="4">
        <v>2.510411940196362</v>
      </c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1"/>
      <c r="BJ141" s="1" t="s">
        <v>3379</v>
      </c>
      <c r="BK141" s="1">
        <v>1</v>
      </c>
      <c r="BL141" s="1"/>
      <c r="BM141" s="1" t="s">
        <v>211</v>
      </c>
      <c r="BN141" s="1" t="s">
        <v>2710</v>
      </c>
      <c r="BO141" s="1" t="s">
        <v>2711</v>
      </c>
      <c r="BP141" s="1">
        <v>7.62</v>
      </c>
      <c r="BQ141" s="1" t="s">
        <v>1003</v>
      </c>
      <c r="BR141" s="1">
        <v>23.85</v>
      </c>
      <c r="BS141" s="1">
        <v>120.82</v>
      </c>
      <c r="BT141" s="1">
        <v>8</v>
      </c>
      <c r="BU141" s="1" t="s">
        <v>734</v>
      </c>
      <c r="BV141" s="1" t="s">
        <v>2571</v>
      </c>
      <c r="BW141" s="1">
        <v>20</v>
      </c>
      <c r="BX141" s="1">
        <v>33</v>
      </c>
      <c r="BY141" s="1">
        <v>55</v>
      </c>
      <c r="BZ141" s="1"/>
      <c r="CA141" s="1"/>
      <c r="CB141" s="1"/>
      <c r="CC141" s="1" t="s">
        <v>2566</v>
      </c>
      <c r="CD141" s="1" t="s">
        <v>862</v>
      </c>
      <c r="CE141" s="1">
        <v>1</v>
      </c>
      <c r="CF141" s="1">
        <v>7.58</v>
      </c>
      <c r="CG141" s="1">
        <v>5.6364999999999998</v>
      </c>
      <c r="CH141" s="1">
        <v>7322.4000000000005</v>
      </c>
      <c r="CI141" s="1" t="s">
        <v>863</v>
      </c>
      <c r="CJ141" s="1" t="s">
        <v>167</v>
      </c>
      <c r="CK141" t="s">
        <v>1262</v>
      </c>
      <c r="CL141">
        <v>141</v>
      </c>
      <c r="CM141" t="s">
        <v>2716</v>
      </c>
    </row>
    <row r="142" spans="1:91" ht="19" customHeight="1">
      <c r="A142" s="1" t="s">
        <v>3380</v>
      </c>
      <c r="B142" s="1" t="s">
        <v>3093</v>
      </c>
      <c r="C142" s="1">
        <v>142</v>
      </c>
      <c r="D142" s="1" t="s">
        <v>860</v>
      </c>
      <c r="E142" s="1">
        <v>1999</v>
      </c>
      <c r="F142" s="1" t="s">
        <v>886</v>
      </c>
      <c r="G142" s="1" t="s">
        <v>2146</v>
      </c>
      <c r="H142" s="4">
        <v>24.178999999999998</v>
      </c>
      <c r="I142" s="4">
        <v>120.6902</v>
      </c>
      <c r="J142" s="1" t="s">
        <v>1396</v>
      </c>
      <c r="K142" s="1" t="s">
        <v>75</v>
      </c>
      <c r="L142" s="1" t="s">
        <v>2148</v>
      </c>
      <c r="M142" s="1" t="s">
        <v>3094</v>
      </c>
      <c r="N142" s="1"/>
      <c r="O142" s="1" t="s">
        <v>3095</v>
      </c>
      <c r="P142" s="1">
        <v>1489</v>
      </c>
      <c r="Q142" s="4">
        <v>7.6</v>
      </c>
      <c r="R142" s="4">
        <v>10.220000000000001</v>
      </c>
      <c r="S142" s="4"/>
      <c r="T142" s="4">
        <v>56.5</v>
      </c>
      <c r="U142" s="4">
        <v>3.8</v>
      </c>
      <c r="V142" s="4"/>
      <c r="W142" s="4">
        <v>39.700000000000003</v>
      </c>
      <c r="X142" s="4">
        <v>76</v>
      </c>
      <c r="Y142" s="4">
        <v>68</v>
      </c>
      <c r="Z142" s="4">
        <v>1</v>
      </c>
      <c r="AA142" s="4">
        <v>1</v>
      </c>
      <c r="AB142" s="4" t="s">
        <v>734</v>
      </c>
      <c r="AC142" s="4">
        <v>2.324346584775558</v>
      </c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1"/>
      <c r="BJ142" s="1" t="s">
        <v>3381</v>
      </c>
      <c r="BK142" s="1">
        <v>1</v>
      </c>
      <c r="BL142" s="1"/>
      <c r="BM142" s="1" t="s">
        <v>211</v>
      </c>
      <c r="BN142" s="1" t="s">
        <v>2710</v>
      </c>
      <c r="BO142" s="1" t="s">
        <v>2711</v>
      </c>
      <c r="BP142" s="1">
        <v>7.62</v>
      </c>
      <c r="BQ142" s="1" t="s">
        <v>1003</v>
      </c>
      <c r="BR142" s="1">
        <v>23.85</v>
      </c>
      <c r="BS142" s="1">
        <v>120.82</v>
      </c>
      <c r="BT142" s="1">
        <v>8</v>
      </c>
      <c r="BU142" s="1" t="s">
        <v>734</v>
      </c>
      <c r="BV142" s="1" t="s">
        <v>2571</v>
      </c>
      <c r="BW142" s="1">
        <v>20</v>
      </c>
      <c r="BX142" s="1">
        <v>33</v>
      </c>
      <c r="BY142" s="1">
        <v>55</v>
      </c>
      <c r="BZ142" s="1"/>
      <c r="CA142" s="1"/>
      <c r="CB142" s="1"/>
      <c r="CC142" s="1" t="s">
        <v>2566</v>
      </c>
      <c r="CD142" s="1" t="s">
        <v>862</v>
      </c>
      <c r="CE142" s="1">
        <v>1</v>
      </c>
      <c r="CF142" s="1">
        <v>7.58</v>
      </c>
      <c r="CG142" s="1">
        <v>5.6364999999999998</v>
      </c>
      <c r="CH142" s="1">
        <v>7322.4000000000005</v>
      </c>
      <c r="CI142" s="1" t="s">
        <v>863</v>
      </c>
      <c r="CJ142" s="1" t="s">
        <v>167</v>
      </c>
      <c r="CK142" t="s">
        <v>1262</v>
      </c>
      <c r="CL142">
        <v>142</v>
      </c>
      <c r="CM142" t="s">
        <v>2716</v>
      </c>
    </row>
    <row r="143" spans="1:91" ht="19" customHeight="1">
      <c r="A143" s="1" t="s">
        <v>3382</v>
      </c>
      <c r="B143" s="1" t="s">
        <v>3093</v>
      </c>
      <c r="C143" s="1">
        <v>143</v>
      </c>
      <c r="D143" s="1" t="s">
        <v>860</v>
      </c>
      <c r="E143" s="1">
        <v>1999</v>
      </c>
      <c r="F143" s="1" t="s">
        <v>887</v>
      </c>
      <c r="G143" s="1" t="s">
        <v>2151</v>
      </c>
      <c r="H143" s="4">
        <v>24.160299999999999</v>
      </c>
      <c r="I143" s="4">
        <v>120.65179999999999</v>
      </c>
      <c r="J143" s="1" t="s">
        <v>1396</v>
      </c>
      <c r="K143" s="1" t="s">
        <v>75</v>
      </c>
      <c r="L143" s="1" t="s">
        <v>2153</v>
      </c>
      <c r="M143" s="1" t="s">
        <v>3094</v>
      </c>
      <c r="N143" s="1"/>
      <c r="O143" s="1" t="s">
        <v>3095</v>
      </c>
      <c r="P143" s="1">
        <v>1491</v>
      </c>
      <c r="Q143" s="4">
        <v>7.6</v>
      </c>
      <c r="R143" s="4">
        <v>10.38</v>
      </c>
      <c r="S143" s="4"/>
      <c r="T143" s="4">
        <v>52.8</v>
      </c>
      <c r="U143" s="4">
        <v>7.6</v>
      </c>
      <c r="V143" s="4"/>
      <c r="W143" s="4">
        <v>39.4</v>
      </c>
      <c r="X143" s="4">
        <v>100</v>
      </c>
      <c r="Y143" s="4">
        <v>86</v>
      </c>
      <c r="Z143" s="4">
        <v>1</v>
      </c>
      <c r="AA143" s="4">
        <v>1</v>
      </c>
      <c r="AB143" s="4" t="s">
        <v>734</v>
      </c>
      <c r="AC143" s="4">
        <v>2.339880877737742</v>
      </c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1"/>
      <c r="BJ143" s="1" t="s">
        <v>3383</v>
      </c>
      <c r="BK143" s="1">
        <v>1</v>
      </c>
      <c r="BL143" s="1"/>
      <c r="BM143" s="1" t="s">
        <v>211</v>
      </c>
      <c r="BN143" s="1" t="s">
        <v>2710</v>
      </c>
      <c r="BO143" s="1" t="s">
        <v>2711</v>
      </c>
      <c r="BP143" s="1">
        <v>7.62</v>
      </c>
      <c r="BQ143" s="1" t="s">
        <v>1003</v>
      </c>
      <c r="BR143" s="1">
        <v>23.85</v>
      </c>
      <c r="BS143" s="1">
        <v>120.82</v>
      </c>
      <c r="BT143" s="1">
        <v>8</v>
      </c>
      <c r="BU143" s="1" t="s">
        <v>734</v>
      </c>
      <c r="BV143" s="1" t="s">
        <v>2571</v>
      </c>
      <c r="BW143" s="1">
        <v>20</v>
      </c>
      <c r="BX143" s="1">
        <v>33</v>
      </c>
      <c r="BY143" s="1">
        <v>55</v>
      </c>
      <c r="BZ143" s="1"/>
      <c r="CA143" s="1"/>
      <c r="CB143" s="1"/>
      <c r="CC143" s="1" t="s">
        <v>2566</v>
      </c>
      <c r="CD143" s="1" t="s">
        <v>862</v>
      </c>
      <c r="CE143" s="1">
        <v>1</v>
      </c>
      <c r="CF143" s="1">
        <v>7.58</v>
      </c>
      <c r="CG143" s="1">
        <v>5.6364999999999998</v>
      </c>
      <c r="CH143" s="1">
        <v>7322.4000000000005</v>
      </c>
      <c r="CI143" s="1" t="s">
        <v>863</v>
      </c>
      <c r="CJ143" s="1" t="s">
        <v>167</v>
      </c>
      <c r="CK143" t="s">
        <v>1262</v>
      </c>
      <c r="CL143">
        <v>143</v>
      </c>
      <c r="CM143" t="s">
        <v>2716</v>
      </c>
    </row>
    <row r="144" spans="1:91" ht="19" customHeight="1">
      <c r="A144" s="1" t="s">
        <v>3384</v>
      </c>
      <c r="B144" s="1" t="s">
        <v>3093</v>
      </c>
      <c r="C144" s="1">
        <v>144</v>
      </c>
      <c r="D144" s="1" t="s">
        <v>860</v>
      </c>
      <c r="E144" s="1">
        <v>1999</v>
      </c>
      <c r="F144" s="1" t="s">
        <v>888</v>
      </c>
      <c r="G144" s="1" t="s">
        <v>2154</v>
      </c>
      <c r="H144" s="4">
        <v>24.198</v>
      </c>
      <c r="I144" s="4">
        <v>120.7393</v>
      </c>
      <c r="J144" s="1" t="s">
        <v>1396</v>
      </c>
      <c r="K144" s="1" t="s">
        <v>75</v>
      </c>
      <c r="L144" s="1" t="s">
        <v>2156</v>
      </c>
      <c r="M144" s="1" t="s">
        <v>3094</v>
      </c>
      <c r="N144" s="1"/>
      <c r="O144" s="1" t="s">
        <v>3095</v>
      </c>
      <c r="P144" s="1">
        <v>1492</v>
      </c>
      <c r="Q144" s="4">
        <v>7.6</v>
      </c>
      <c r="R144" s="4">
        <v>11.96</v>
      </c>
      <c r="S144" s="4"/>
      <c r="T144" s="4">
        <v>209.1</v>
      </c>
      <c r="U144" s="4">
        <v>0.7</v>
      </c>
      <c r="V144" s="4"/>
      <c r="W144" s="4">
        <v>40.4</v>
      </c>
      <c r="X144" s="4">
        <v>142</v>
      </c>
      <c r="Y144" s="4">
        <v>46</v>
      </c>
      <c r="Z144" s="4">
        <v>1</v>
      </c>
      <c r="AA144" s="4">
        <v>1</v>
      </c>
      <c r="AB144" s="4" t="s">
        <v>734</v>
      </c>
      <c r="AC144" s="4">
        <v>2.4815677485224859</v>
      </c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1"/>
      <c r="BJ144" s="1" t="s">
        <v>3385</v>
      </c>
      <c r="BK144" s="1">
        <v>1</v>
      </c>
      <c r="BL144" s="1"/>
      <c r="BM144" s="1" t="s">
        <v>211</v>
      </c>
      <c r="BN144" s="1" t="s">
        <v>2710</v>
      </c>
      <c r="BO144" s="1" t="s">
        <v>2711</v>
      </c>
      <c r="BP144" s="1">
        <v>7.62</v>
      </c>
      <c r="BQ144" s="1" t="s">
        <v>1003</v>
      </c>
      <c r="BR144" s="1">
        <v>23.85</v>
      </c>
      <c r="BS144" s="1">
        <v>120.82</v>
      </c>
      <c r="BT144" s="1">
        <v>8</v>
      </c>
      <c r="BU144" s="1" t="s">
        <v>734</v>
      </c>
      <c r="BV144" s="1" t="s">
        <v>2571</v>
      </c>
      <c r="BW144" s="1">
        <v>20</v>
      </c>
      <c r="BX144" s="1">
        <v>33</v>
      </c>
      <c r="BY144" s="1">
        <v>55</v>
      </c>
      <c r="BZ144" s="1"/>
      <c r="CA144" s="1"/>
      <c r="CB144" s="1"/>
      <c r="CC144" s="1" t="s">
        <v>2566</v>
      </c>
      <c r="CD144" s="1" t="s">
        <v>862</v>
      </c>
      <c r="CE144" s="1">
        <v>1</v>
      </c>
      <c r="CF144" s="1">
        <v>7.58</v>
      </c>
      <c r="CG144" s="1">
        <v>5.6364999999999998</v>
      </c>
      <c r="CH144" s="1">
        <v>7322.4000000000005</v>
      </c>
      <c r="CI144" s="1" t="s">
        <v>863</v>
      </c>
      <c r="CJ144" s="1" t="s">
        <v>167</v>
      </c>
      <c r="CK144" t="s">
        <v>1262</v>
      </c>
      <c r="CL144">
        <v>144</v>
      </c>
      <c r="CM144" t="s">
        <v>2716</v>
      </c>
    </row>
    <row r="145" spans="1:91" ht="19" customHeight="1">
      <c r="A145" s="1" t="s">
        <v>3386</v>
      </c>
      <c r="B145" s="1" t="s">
        <v>3093</v>
      </c>
      <c r="C145" s="1">
        <v>145</v>
      </c>
      <c r="D145" s="1" t="s">
        <v>860</v>
      </c>
      <c r="E145" s="1">
        <v>1999</v>
      </c>
      <c r="F145" s="1" t="s">
        <v>889</v>
      </c>
      <c r="G145" s="1" t="s">
        <v>2157</v>
      </c>
      <c r="H145" s="4">
        <v>24.1935</v>
      </c>
      <c r="I145" s="4">
        <v>120.6688</v>
      </c>
      <c r="J145" s="1" t="s">
        <v>1396</v>
      </c>
      <c r="K145" s="1" t="s">
        <v>75</v>
      </c>
      <c r="L145" s="1" t="s">
        <v>2159</v>
      </c>
      <c r="M145" s="1" t="s">
        <v>3094</v>
      </c>
      <c r="N145" s="1"/>
      <c r="O145" s="1" t="s">
        <v>3095</v>
      </c>
      <c r="P145" s="1">
        <v>1493</v>
      </c>
      <c r="Q145" s="4">
        <v>7.6</v>
      </c>
      <c r="R145" s="4">
        <v>13.12</v>
      </c>
      <c r="S145" s="4"/>
      <c r="T145" s="4">
        <v>37.1</v>
      </c>
      <c r="U145" s="4">
        <v>6</v>
      </c>
      <c r="V145" s="4"/>
      <c r="W145" s="4">
        <v>42</v>
      </c>
      <c r="X145" s="4">
        <v>83</v>
      </c>
      <c r="Y145" s="4">
        <v>75</v>
      </c>
      <c r="Z145" s="4">
        <v>1</v>
      </c>
      <c r="AA145" s="4">
        <v>1</v>
      </c>
      <c r="AB145" s="4" t="s">
        <v>734</v>
      </c>
      <c r="AC145" s="4">
        <v>2.5741377835159431</v>
      </c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1"/>
      <c r="BJ145" s="1" t="s">
        <v>3387</v>
      </c>
      <c r="BK145" s="1">
        <v>1</v>
      </c>
      <c r="BL145" s="1"/>
      <c r="BM145" s="1" t="s">
        <v>211</v>
      </c>
      <c r="BN145" s="1" t="s">
        <v>2710</v>
      </c>
      <c r="BO145" s="1" t="s">
        <v>2711</v>
      </c>
      <c r="BP145" s="1">
        <v>7.62</v>
      </c>
      <c r="BQ145" s="1" t="s">
        <v>1003</v>
      </c>
      <c r="BR145" s="1">
        <v>23.85</v>
      </c>
      <c r="BS145" s="1">
        <v>120.82</v>
      </c>
      <c r="BT145" s="1">
        <v>8</v>
      </c>
      <c r="BU145" s="1" t="s">
        <v>734</v>
      </c>
      <c r="BV145" s="1" t="s">
        <v>2571</v>
      </c>
      <c r="BW145" s="1">
        <v>20</v>
      </c>
      <c r="BX145" s="1">
        <v>33</v>
      </c>
      <c r="BY145" s="1">
        <v>55</v>
      </c>
      <c r="BZ145" s="1"/>
      <c r="CA145" s="1"/>
      <c r="CB145" s="1"/>
      <c r="CC145" s="1" t="s">
        <v>2566</v>
      </c>
      <c r="CD145" s="1" t="s">
        <v>862</v>
      </c>
      <c r="CE145" s="1">
        <v>1</v>
      </c>
      <c r="CF145" s="1">
        <v>7.58</v>
      </c>
      <c r="CG145" s="1">
        <v>5.6364999999999998</v>
      </c>
      <c r="CH145" s="1">
        <v>7322.4000000000005</v>
      </c>
      <c r="CI145" s="1" t="s">
        <v>863</v>
      </c>
      <c r="CJ145" s="1" t="s">
        <v>167</v>
      </c>
      <c r="CK145" t="s">
        <v>1262</v>
      </c>
      <c r="CL145">
        <v>145</v>
      </c>
      <c r="CM145" t="s">
        <v>2716</v>
      </c>
    </row>
    <row r="146" spans="1:91" ht="19" customHeight="1">
      <c r="A146" s="1" t="s">
        <v>3388</v>
      </c>
      <c r="B146" s="1" t="s">
        <v>3093</v>
      </c>
      <c r="C146" s="1">
        <v>146</v>
      </c>
      <c r="D146" s="1" t="s">
        <v>860</v>
      </c>
      <c r="E146" s="1">
        <v>1999</v>
      </c>
      <c r="F146" s="1" t="s">
        <v>890</v>
      </c>
      <c r="G146" s="1" t="s">
        <v>2164</v>
      </c>
      <c r="H146" s="4">
        <v>24.158799999999999</v>
      </c>
      <c r="I146" s="4">
        <v>120.6238</v>
      </c>
      <c r="J146" s="1" t="s">
        <v>1396</v>
      </c>
      <c r="K146" s="1" t="s">
        <v>75</v>
      </c>
      <c r="L146" s="1" t="s">
        <v>2166</v>
      </c>
      <c r="M146" s="1" t="s">
        <v>3094</v>
      </c>
      <c r="N146" s="1"/>
      <c r="O146" s="1" t="s">
        <v>3095</v>
      </c>
      <c r="P146" s="1">
        <v>1496</v>
      </c>
      <c r="Q146" s="4">
        <v>7.6</v>
      </c>
      <c r="R146" s="4">
        <v>8.94</v>
      </c>
      <c r="S146" s="4"/>
      <c r="T146" s="4">
        <v>45.3</v>
      </c>
      <c r="U146" s="4">
        <v>10.5</v>
      </c>
      <c r="V146" s="4"/>
      <c r="W146" s="4">
        <v>40.5</v>
      </c>
      <c r="X146" s="4">
        <v>77</v>
      </c>
      <c r="Y146" s="4">
        <v>63</v>
      </c>
      <c r="Z146" s="4">
        <v>0</v>
      </c>
      <c r="AA146" s="4">
        <v>1</v>
      </c>
      <c r="AB146" s="4" t="s">
        <v>734</v>
      </c>
      <c r="AC146" s="4">
        <v>2.1905355891854228</v>
      </c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1"/>
      <c r="BJ146" s="1" t="s">
        <v>3389</v>
      </c>
      <c r="BK146" s="1">
        <v>1</v>
      </c>
      <c r="BL146" s="1"/>
      <c r="BM146" s="1" t="s">
        <v>211</v>
      </c>
      <c r="BN146" s="1" t="s">
        <v>2710</v>
      </c>
      <c r="BO146" s="1" t="s">
        <v>2711</v>
      </c>
      <c r="BP146" s="1">
        <v>7.62</v>
      </c>
      <c r="BQ146" s="1" t="s">
        <v>1003</v>
      </c>
      <c r="BR146" s="1">
        <v>23.85</v>
      </c>
      <c r="BS146" s="1">
        <v>120.82</v>
      </c>
      <c r="BT146" s="1">
        <v>8</v>
      </c>
      <c r="BU146" s="1" t="s">
        <v>734</v>
      </c>
      <c r="BV146" s="1" t="s">
        <v>2571</v>
      </c>
      <c r="BW146" s="1">
        <v>20</v>
      </c>
      <c r="BX146" s="1">
        <v>33</v>
      </c>
      <c r="BY146" s="1">
        <v>55</v>
      </c>
      <c r="BZ146" s="1"/>
      <c r="CA146" s="1"/>
      <c r="CB146" s="1"/>
      <c r="CC146" s="1" t="s">
        <v>2566</v>
      </c>
      <c r="CD146" s="1" t="s">
        <v>862</v>
      </c>
      <c r="CE146" s="1">
        <v>1</v>
      </c>
      <c r="CF146" s="1">
        <v>7.58</v>
      </c>
      <c r="CG146" s="1">
        <v>5.6364999999999998</v>
      </c>
      <c r="CH146" s="1">
        <v>7322.4000000000005</v>
      </c>
      <c r="CI146" s="1" t="s">
        <v>863</v>
      </c>
      <c r="CJ146" s="1" t="s">
        <v>167</v>
      </c>
      <c r="CK146" t="s">
        <v>1262</v>
      </c>
      <c r="CL146">
        <v>146</v>
      </c>
      <c r="CM146" t="s">
        <v>2716</v>
      </c>
    </row>
    <row r="147" spans="1:91" ht="19" customHeight="1">
      <c r="A147" s="1" t="s">
        <v>3390</v>
      </c>
      <c r="B147" s="1" t="s">
        <v>3093</v>
      </c>
      <c r="C147" s="1">
        <v>147</v>
      </c>
      <c r="D147" s="1" t="s">
        <v>860</v>
      </c>
      <c r="E147" s="1">
        <v>1999</v>
      </c>
      <c r="F147" s="1" t="s">
        <v>891</v>
      </c>
      <c r="G147" s="1" t="s">
        <v>2167</v>
      </c>
      <c r="H147" s="4">
        <v>24.268699999999999</v>
      </c>
      <c r="I147" s="4">
        <v>120.5637</v>
      </c>
      <c r="J147" s="1" t="s">
        <v>1396</v>
      </c>
      <c r="K147" s="1" t="s">
        <v>75</v>
      </c>
      <c r="L147" s="1" t="s">
        <v>2169</v>
      </c>
      <c r="M147" s="1" t="s">
        <v>3094</v>
      </c>
      <c r="N147" s="1"/>
      <c r="O147" s="1" t="s">
        <v>3095</v>
      </c>
      <c r="P147" s="1">
        <v>1498</v>
      </c>
      <c r="Q147" s="4">
        <v>7.6</v>
      </c>
      <c r="R147" s="4">
        <v>7.78</v>
      </c>
      <c r="S147" s="4"/>
      <c r="T147" s="4">
        <v>64.099999999999994</v>
      </c>
      <c r="U147" s="4">
        <v>17.100000000000001</v>
      </c>
      <c r="V147" s="4"/>
      <c r="W147" s="4">
        <v>54</v>
      </c>
      <c r="X147" s="4">
        <v>45</v>
      </c>
      <c r="Y147" s="4">
        <v>38</v>
      </c>
      <c r="Z147" s="4">
        <v>0</v>
      </c>
      <c r="AA147" s="4">
        <v>1</v>
      </c>
      <c r="AB147" s="4" t="s">
        <v>734</v>
      </c>
      <c r="AC147" s="4">
        <v>2.0515563381902999</v>
      </c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1"/>
      <c r="BJ147" s="1" t="s">
        <v>3391</v>
      </c>
      <c r="BK147" s="1">
        <v>1</v>
      </c>
      <c r="BL147" s="1"/>
      <c r="BM147" s="1" t="s">
        <v>211</v>
      </c>
      <c r="BN147" s="1" t="s">
        <v>2710</v>
      </c>
      <c r="BO147" s="1" t="s">
        <v>2711</v>
      </c>
      <c r="BP147" s="1">
        <v>7.62</v>
      </c>
      <c r="BQ147" s="1" t="s">
        <v>1003</v>
      </c>
      <c r="BR147" s="1">
        <v>23.85</v>
      </c>
      <c r="BS147" s="1">
        <v>120.82</v>
      </c>
      <c r="BT147" s="1">
        <v>8</v>
      </c>
      <c r="BU147" s="1" t="s">
        <v>734</v>
      </c>
      <c r="BV147" s="1" t="s">
        <v>2571</v>
      </c>
      <c r="BW147" s="1">
        <v>20</v>
      </c>
      <c r="BX147" s="1">
        <v>33</v>
      </c>
      <c r="BY147" s="1">
        <v>55</v>
      </c>
      <c r="BZ147" s="1"/>
      <c r="CA147" s="1"/>
      <c r="CB147" s="1"/>
      <c r="CC147" s="1" t="s">
        <v>2566</v>
      </c>
      <c r="CD147" s="1" t="s">
        <v>862</v>
      </c>
      <c r="CE147" s="1">
        <v>1</v>
      </c>
      <c r="CF147" s="1">
        <v>7.58</v>
      </c>
      <c r="CG147" s="1">
        <v>5.6364999999999998</v>
      </c>
      <c r="CH147" s="1">
        <v>7322.4000000000005</v>
      </c>
      <c r="CI147" s="1" t="s">
        <v>863</v>
      </c>
      <c r="CJ147" s="1" t="s">
        <v>167</v>
      </c>
      <c r="CK147" t="s">
        <v>1262</v>
      </c>
      <c r="CL147">
        <v>147</v>
      </c>
      <c r="CM147" t="s">
        <v>2716</v>
      </c>
    </row>
    <row r="148" spans="1:91" ht="19" customHeight="1">
      <c r="A148" s="1" t="s">
        <v>3392</v>
      </c>
      <c r="B148" s="1" t="s">
        <v>3093</v>
      </c>
      <c r="C148" s="1">
        <v>148</v>
      </c>
      <c r="D148" s="1" t="s">
        <v>860</v>
      </c>
      <c r="E148" s="1">
        <v>1999</v>
      </c>
      <c r="F148" s="1" t="s">
        <v>892</v>
      </c>
      <c r="G148" s="1" t="s">
        <v>2170</v>
      </c>
      <c r="H148" s="4">
        <v>24.1083</v>
      </c>
      <c r="I148" s="4">
        <v>120.61579999999999</v>
      </c>
      <c r="J148" s="1" t="s">
        <v>1396</v>
      </c>
      <c r="K148" s="1" t="s">
        <v>75</v>
      </c>
      <c r="L148" s="1" t="s">
        <v>2172</v>
      </c>
      <c r="M148" s="1" t="s">
        <v>3094</v>
      </c>
      <c r="N148" s="1"/>
      <c r="O148" s="1" t="s">
        <v>3095</v>
      </c>
      <c r="P148" s="1">
        <v>1501</v>
      </c>
      <c r="Q148" s="4">
        <v>7.6</v>
      </c>
      <c r="R148" s="4">
        <v>6.55</v>
      </c>
      <c r="S148" s="4"/>
      <c r="T148" s="4">
        <v>78.900000000000006</v>
      </c>
      <c r="U148" s="4">
        <v>9.8000000000000007</v>
      </c>
      <c r="V148" s="4"/>
      <c r="W148" s="4">
        <v>36.4</v>
      </c>
      <c r="X148" s="4">
        <v>136</v>
      </c>
      <c r="Y148" s="4">
        <v>43</v>
      </c>
      <c r="Z148" s="4">
        <v>0</v>
      </c>
      <c r="AA148" s="4">
        <v>1</v>
      </c>
      <c r="AB148" s="4" t="s">
        <v>734</v>
      </c>
      <c r="AC148" s="4">
        <v>1.879465049647161</v>
      </c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1"/>
      <c r="BJ148" s="1" t="s">
        <v>3393</v>
      </c>
      <c r="BK148" s="1">
        <v>1</v>
      </c>
      <c r="BL148" s="1"/>
      <c r="BM148" s="1" t="s">
        <v>211</v>
      </c>
      <c r="BN148" s="1" t="s">
        <v>2710</v>
      </c>
      <c r="BO148" s="1" t="s">
        <v>2711</v>
      </c>
      <c r="BP148" s="1">
        <v>7.62</v>
      </c>
      <c r="BQ148" s="1" t="s">
        <v>1003</v>
      </c>
      <c r="BR148" s="1">
        <v>23.85</v>
      </c>
      <c r="BS148" s="1">
        <v>120.82</v>
      </c>
      <c r="BT148" s="1">
        <v>8</v>
      </c>
      <c r="BU148" s="1" t="s">
        <v>734</v>
      </c>
      <c r="BV148" s="1" t="s">
        <v>2571</v>
      </c>
      <c r="BW148" s="1">
        <v>20</v>
      </c>
      <c r="BX148" s="1">
        <v>33</v>
      </c>
      <c r="BY148" s="1">
        <v>55</v>
      </c>
      <c r="BZ148" s="1"/>
      <c r="CA148" s="1"/>
      <c r="CB148" s="1"/>
      <c r="CC148" s="1" t="s">
        <v>2566</v>
      </c>
      <c r="CD148" s="1" t="s">
        <v>862</v>
      </c>
      <c r="CE148" s="1">
        <v>1</v>
      </c>
      <c r="CF148" s="1">
        <v>7.58</v>
      </c>
      <c r="CG148" s="1">
        <v>5.6364999999999998</v>
      </c>
      <c r="CH148" s="1">
        <v>7322.4000000000005</v>
      </c>
      <c r="CI148" s="1" t="s">
        <v>863</v>
      </c>
      <c r="CJ148" s="1" t="s">
        <v>167</v>
      </c>
      <c r="CK148" t="s">
        <v>1262</v>
      </c>
      <c r="CL148">
        <v>148</v>
      </c>
      <c r="CM148" t="s">
        <v>2716</v>
      </c>
    </row>
    <row r="149" spans="1:91" ht="19" customHeight="1">
      <c r="A149" s="1" t="s">
        <v>3394</v>
      </c>
      <c r="B149" s="1" t="s">
        <v>3093</v>
      </c>
      <c r="C149" s="1">
        <v>149</v>
      </c>
      <c r="D149" s="1" t="s">
        <v>860</v>
      </c>
      <c r="E149" s="1">
        <v>1999</v>
      </c>
      <c r="F149" s="1" t="s">
        <v>893</v>
      </c>
      <c r="G149" s="1" t="s">
        <v>2173</v>
      </c>
      <c r="H149" s="4">
        <v>24.345700000000001</v>
      </c>
      <c r="I149" s="4">
        <v>120.61</v>
      </c>
      <c r="J149" s="1" t="s">
        <v>1396</v>
      </c>
      <c r="K149" s="1" t="s">
        <v>75</v>
      </c>
      <c r="L149" s="1" t="s">
        <v>2175</v>
      </c>
      <c r="M149" s="1" t="s">
        <v>3094</v>
      </c>
      <c r="N149" s="1"/>
      <c r="O149" s="1" t="s">
        <v>3095</v>
      </c>
      <c r="P149" s="1">
        <v>1502</v>
      </c>
      <c r="Q149" s="4">
        <v>7.6</v>
      </c>
      <c r="R149" s="4">
        <v>8.4600000000000009</v>
      </c>
      <c r="S149" s="4"/>
      <c r="T149" s="4">
        <v>52.3</v>
      </c>
      <c r="U149" s="4">
        <v>16.600000000000001</v>
      </c>
      <c r="V149" s="4"/>
      <c r="W149" s="4">
        <v>59.7</v>
      </c>
      <c r="X149" s="4">
        <v>34</v>
      </c>
      <c r="Y149" s="4">
        <v>28</v>
      </c>
      <c r="Z149" s="4">
        <v>1</v>
      </c>
      <c r="AA149" s="4">
        <v>1</v>
      </c>
      <c r="AB149" s="4" t="s">
        <v>734</v>
      </c>
      <c r="AC149" s="4">
        <v>2.135349173618132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1"/>
      <c r="BJ149" s="1" t="s">
        <v>3395</v>
      </c>
      <c r="BK149" s="1">
        <v>1</v>
      </c>
      <c r="BL149" s="1"/>
      <c r="BM149" s="1" t="s">
        <v>211</v>
      </c>
      <c r="BN149" s="1" t="s">
        <v>2710</v>
      </c>
      <c r="BO149" s="1" t="s">
        <v>2711</v>
      </c>
      <c r="BP149" s="1">
        <v>7.62</v>
      </c>
      <c r="BQ149" s="1" t="s">
        <v>1003</v>
      </c>
      <c r="BR149" s="1">
        <v>23.85</v>
      </c>
      <c r="BS149" s="1">
        <v>120.82</v>
      </c>
      <c r="BT149" s="1">
        <v>8</v>
      </c>
      <c r="BU149" s="1" t="s">
        <v>734</v>
      </c>
      <c r="BV149" s="1" t="s">
        <v>2571</v>
      </c>
      <c r="BW149" s="1">
        <v>20</v>
      </c>
      <c r="BX149" s="1">
        <v>33</v>
      </c>
      <c r="BY149" s="1">
        <v>55</v>
      </c>
      <c r="BZ149" s="1"/>
      <c r="CA149" s="1"/>
      <c r="CB149" s="1"/>
      <c r="CC149" s="1" t="s">
        <v>2566</v>
      </c>
      <c r="CD149" s="1" t="s">
        <v>862</v>
      </c>
      <c r="CE149" s="1">
        <v>1</v>
      </c>
      <c r="CF149" s="1">
        <v>7.58</v>
      </c>
      <c r="CG149" s="1">
        <v>5.6364999999999998</v>
      </c>
      <c r="CH149" s="1">
        <v>7322.4000000000005</v>
      </c>
      <c r="CI149" s="1" t="s">
        <v>863</v>
      </c>
      <c r="CJ149" s="1" t="s">
        <v>167</v>
      </c>
      <c r="CK149" t="s">
        <v>1262</v>
      </c>
      <c r="CL149">
        <v>149</v>
      </c>
      <c r="CM149" t="s">
        <v>2716</v>
      </c>
    </row>
    <row r="150" spans="1:91" ht="19" customHeight="1">
      <c r="A150" s="1" t="s">
        <v>3396</v>
      </c>
      <c r="B150" s="1" t="s">
        <v>3093</v>
      </c>
      <c r="C150" s="1">
        <v>150</v>
      </c>
      <c r="D150" s="1" t="s">
        <v>860</v>
      </c>
      <c r="E150" s="1">
        <v>1999</v>
      </c>
      <c r="F150" s="1" t="s">
        <v>894</v>
      </c>
      <c r="G150" s="1" t="s">
        <v>2176</v>
      </c>
      <c r="H150" s="4">
        <v>24.058800000000002</v>
      </c>
      <c r="I150" s="4">
        <v>120.69119999999999</v>
      </c>
      <c r="J150" s="1" t="s">
        <v>1396</v>
      </c>
      <c r="K150" s="1" t="s">
        <v>75</v>
      </c>
      <c r="L150" s="1" t="s">
        <v>2180</v>
      </c>
      <c r="M150" s="1" t="s">
        <v>3094</v>
      </c>
      <c r="N150" s="1"/>
      <c r="O150" s="1" t="s">
        <v>3095</v>
      </c>
      <c r="P150" s="1">
        <v>1503</v>
      </c>
      <c r="Q150" s="4">
        <v>7.6</v>
      </c>
      <c r="R150" s="4">
        <v>5.74</v>
      </c>
      <c r="S150" s="4"/>
      <c r="T150" s="4">
        <v>136.5</v>
      </c>
      <c r="U150" s="4">
        <v>0.6</v>
      </c>
      <c r="V150" s="4"/>
      <c r="W150" s="4">
        <v>27.9</v>
      </c>
      <c r="X150" s="4">
        <v>113</v>
      </c>
      <c r="Y150" s="4">
        <v>66</v>
      </c>
      <c r="Z150" s="4">
        <v>1</v>
      </c>
      <c r="AA150" s="4">
        <v>1</v>
      </c>
      <c r="AB150" s="4" t="s">
        <v>734</v>
      </c>
      <c r="AC150" s="4">
        <v>1.747459210331475</v>
      </c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1"/>
      <c r="BJ150" s="1" t="s">
        <v>3397</v>
      </c>
      <c r="BK150" s="1">
        <v>1</v>
      </c>
      <c r="BL150" s="1"/>
      <c r="BM150" s="1" t="s">
        <v>211</v>
      </c>
      <c r="BN150" s="1" t="s">
        <v>2710</v>
      </c>
      <c r="BO150" s="1" t="s">
        <v>2711</v>
      </c>
      <c r="BP150" s="1">
        <v>7.62</v>
      </c>
      <c r="BQ150" s="1" t="s">
        <v>1003</v>
      </c>
      <c r="BR150" s="1">
        <v>23.85</v>
      </c>
      <c r="BS150" s="1">
        <v>120.82</v>
      </c>
      <c r="BT150" s="1">
        <v>8</v>
      </c>
      <c r="BU150" s="1" t="s">
        <v>734</v>
      </c>
      <c r="BV150" s="1" t="s">
        <v>2571</v>
      </c>
      <c r="BW150" s="1">
        <v>20</v>
      </c>
      <c r="BX150" s="1">
        <v>33</v>
      </c>
      <c r="BY150" s="1">
        <v>55</v>
      </c>
      <c r="BZ150" s="1"/>
      <c r="CA150" s="1"/>
      <c r="CB150" s="1"/>
      <c r="CC150" s="1" t="s">
        <v>2566</v>
      </c>
      <c r="CD150" s="1" t="s">
        <v>862</v>
      </c>
      <c r="CE150" s="1">
        <v>1</v>
      </c>
      <c r="CF150" s="1">
        <v>7.58</v>
      </c>
      <c r="CG150" s="1">
        <v>5.6364999999999998</v>
      </c>
      <c r="CH150" s="1">
        <v>7322.4000000000005</v>
      </c>
      <c r="CI150" s="1" t="s">
        <v>863</v>
      </c>
      <c r="CJ150" s="1" t="s">
        <v>167</v>
      </c>
      <c r="CK150" t="s">
        <v>1262</v>
      </c>
      <c r="CL150">
        <v>150</v>
      </c>
      <c r="CM150" t="s">
        <v>2716</v>
      </c>
    </row>
    <row r="151" spans="1:91" ht="19" customHeight="1">
      <c r="A151" s="1" t="s">
        <v>3398</v>
      </c>
      <c r="B151" s="1" t="s">
        <v>3093</v>
      </c>
      <c r="C151" s="1">
        <v>151</v>
      </c>
      <c r="D151" s="1" t="s">
        <v>860</v>
      </c>
      <c r="E151" s="1">
        <v>1999</v>
      </c>
      <c r="F151" s="1" t="s">
        <v>895</v>
      </c>
      <c r="G151" s="1" t="s">
        <v>2184</v>
      </c>
      <c r="H151" s="4">
        <v>24.277200000000001</v>
      </c>
      <c r="I151" s="4">
        <v>120.7658</v>
      </c>
      <c r="J151" s="1" t="s">
        <v>1396</v>
      </c>
      <c r="K151" s="1" t="s">
        <v>75</v>
      </c>
      <c r="L151" s="1" t="s">
        <v>2186</v>
      </c>
      <c r="M151" s="1" t="s">
        <v>3094</v>
      </c>
      <c r="N151" s="1"/>
      <c r="O151" s="1" t="s">
        <v>3095</v>
      </c>
      <c r="P151" s="1">
        <v>1505</v>
      </c>
      <c r="Q151" s="4">
        <v>7.6</v>
      </c>
      <c r="R151" s="4">
        <v>12.29</v>
      </c>
      <c r="S151" s="4"/>
      <c r="T151" s="4">
        <v>342.1</v>
      </c>
      <c r="U151" s="4">
        <v>0.3</v>
      </c>
      <c r="V151" s="4"/>
      <c r="W151" s="4">
        <v>48.5</v>
      </c>
      <c r="X151" s="4">
        <v>144</v>
      </c>
      <c r="Y151" s="4">
        <v>45</v>
      </c>
      <c r="Z151" s="4">
        <v>1</v>
      </c>
      <c r="AA151" s="4">
        <v>1</v>
      </c>
      <c r="AB151" s="4" t="s">
        <v>734</v>
      </c>
      <c r="AC151" s="4">
        <v>2.5087859235779431</v>
      </c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1"/>
      <c r="BJ151" s="1" t="s">
        <v>3399</v>
      </c>
      <c r="BK151" s="1">
        <v>1</v>
      </c>
      <c r="BL151" s="1"/>
      <c r="BM151" s="1" t="s">
        <v>211</v>
      </c>
      <c r="BN151" s="1" t="s">
        <v>2710</v>
      </c>
      <c r="BO151" s="1" t="s">
        <v>2711</v>
      </c>
      <c r="BP151" s="1">
        <v>7.62</v>
      </c>
      <c r="BQ151" s="1" t="s">
        <v>1003</v>
      </c>
      <c r="BR151" s="1">
        <v>23.85</v>
      </c>
      <c r="BS151" s="1">
        <v>120.82</v>
      </c>
      <c r="BT151" s="1">
        <v>8</v>
      </c>
      <c r="BU151" s="1" t="s">
        <v>734</v>
      </c>
      <c r="BV151" s="1" t="s">
        <v>2571</v>
      </c>
      <c r="BW151" s="1">
        <v>20</v>
      </c>
      <c r="BX151" s="1">
        <v>33</v>
      </c>
      <c r="BY151" s="1">
        <v>55</v>
      </c>
      <c r="BZ151" s="1"/>
      <c r="CA151" s="1"/>
      <c r="CB151" s="1"/>
      <c r="CC151" s="1" t="s">
        <v>2566</v>
      </c>
      <c r="CD151" s="1" t="s">
        <v>862</v>
      </c>
      <c r="CE151" s="1">
        <v>1</v>
      </c>
      <c r="CF151" s="1">
        <v>7.58</v>
      </c>
      <c r="CG151" s="1">
        <v>5.6364999999999998</v>
      </c>
      <c r="CH151" s="1">
        <v>7322.4000000000005</v>
      </c>
      <c r="CI151" s="1" t="s">
        <v>863</v>
      </c>
      <c r="CJ151" s="1" t="s">
        <v>167</v>
      </c>
      <c r="CK151" t="s">
        <v>1262</v>
      </c>
      <c r="CL151">
        <v>151</v>
      </c>
      <c r="CM151" t="s">
        <v>2716</v>
      </c>
    </row>
    <row r="152" spans="1:91" ht="19" customHeight="1">
      <c r="A152" s="1" t="s">
        <v>3400</v>
      </c>
      <c r="B152" s="1" t="s">
        <v>3093</v>
      </c>
      <c r="C152" s="1">
        <v>152</v>
      </c>
      <c r="D152" s="1" t="s">
        <v>860</v>
      </c>
      <c r="E152" s="1">
        <v>1999</v>
      </c>
      <c r="F152" s="1" t="s">
        <v>896</v>
      </c>
      <c r="G152" s="1" t="s">
        <v>2192</v>
      </c>
      <c r="H152" s="4">
        <v>23.982700000000001</v>
      </c>
      <c r="I152" s="4">
        <v>120.6778</v>
      </c>
      <c r="J152" s="1" t="s">
        <v>1396</v>
      </c>
      <c r="K152" s="1" t="s">
        <v>75</v>
      </c>
      <c r="L152" s="1" t="s">
        <v>2194</v>
      </c>
      <c r="M152" s="1" t="s">
        <v>3094</v>
      </c>
      <c r="N152" s="1"/>
      <c r="O152" s="1" t="s">
        <v>3095</v>
      </c>
      <c r="P152" s="1">
        <v>1510</v>
      </c>
      <c r="Q152" s="4">
        <v>7.6</v>
      </c>
      <c r="R152" s="4">
        <v>5</v>
      </c>
      <c r="S152" s="4"/>
      <c r="T152" s="4">
        <v>104.9</v>
      </c>
      <c r="U152" s="4">
        <v>0.9</v>
      </c>
      <c r="V152" s="4"/>
      <c r="W152" s="4">
        <v>22.2</v>
      </c>
      <c r="X152" s="4">
        <v>109</v>
      </c>
      <c r="Y152" s="4">
        <v>69</v>
      </c>
      <c r="Z152" s="4">
        <v>1</v>
      </c>
      <c r="AA152" s="4">
        <v>1</v>
      </c>
      <c r="AB152" s="4" t="s">
        <v>734</v>
      </c>
      <c r="AC152" s="4">
        <v>1.6094379124341001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1"/>
      <c r="BJ152" s="1" t="s">
        <v>3401</v>
      </c>
      <c r="BK152" s="1">
        <v>1</v>
      </c>
      <c r="BL152" s="1"/>
      <c r="BM152" s="1" t="s">
        <v>211</v>
      </c>
      <c r="BN152" s="1" t="s">
        <v>2710</v>
      </c>
      <c r="BO152" s="1" t="s">
        <v>2711</v>
      </c>
      <c r="BP152" s="1">
        <v>7.62</v>
      </c>
      <c r="BQ152" s="1" t="s">
        <v>1003</v>
      </c>
      <c r="BR152" s="1">
        <v>23.85</v>
      </c>
      <c r="BS152" s="1">
        <v>120.82</v>
      </c>
      <c r="BT152" s="1">
        <v>8</v>
      </c>
      <c r="BU152" s="1" t="s">
        <v>734</v>
      </c>
      <c r="BV152" s="1" t="s">
        <v>2571</v>
      </c>
      <c r="BW152" s="1">
        <v>20</v>
      </c>
      <c r="BX152" s="1">
        <v>33</v>
      </c>
      <c r="BY152" s="1">
        <v>55</v>
      </c>
      <c r="BZ152" s="1"/>
      <c r="CA152" s="1"/>
      <c r="CB152" s="1"/>
      <c r="CC152" s="1" t="s">
        <v>2566</v>
      </c>
      <c r="CD152" s="1" t="s">
        <v>862</v>
      </c>
      <c r="CE152" s="1">
        <v>1</v>
      </c>
      <c r="CF152" s="1">
        <v>7.58</v>
      </c>
      <c r="CG152" s="1">
        <v>5.6364999999999998</v>
      </c>
      <c r="CH152" s="1">
        <v>7322.4000000000005</v>
      </c>
      <c r="CI152" s="1" t="s">
        <v>863</v>
      </c>
      <c r="CJ152" s="1" t="s">
        <v>167</v>
      </c>
      <c r="CK152" t="s">
        <v>1262</v>
      </c>
      <c r="CL152">
        <v>152</v>
      </c>
      <c r="CM152" t="s">
        <v>2716</v>
      </c>
    </row>
    <row r="153" spans="1:91" ht="19" customHeight="1">
      <c r="A153" s="1" t="s">
        <v>3402</v>
      </c>
      <c r="B153" s="1" t="s">
        <v>3093</v>
      </c>
      <c r="C153" s="1">
        <v>153</v>
      </c>
      <c r="D153" s="1" t="s">
        <v>860</v>
      </c>
      <c r="E153" s="1">
        <v>1999</v>
      </c>
      <c r="F153" s="1" t="s">
        <v>897</v>
      </c>
      <c r="G153" s="1" t="s">
        <v>2195</v>
      </c>
      <c r="H153" s="4">
        <v>23.907699999999998</v>
      </c>
      <c r="I153" s="4">
        <v>120.67570000000001</v>
      </c>
      <c r="J153" s="1" t="s">
        <v>1396</v>
      </c>
      <c r="K153" s="1" t="s">
        <v>75</v>
      </c>
      <c r="L153" s="1" t="s">
        <v>2197</v>
      </c>
      <c r="M153" s="1" t="s">
        <v>3094</v>
      </c>
      <c r="N153" s="1"/>
      <c r="O153" s="1" t="s">
        <v>3095</v>
      </c>
      <c r="P153" s="1">
        <v>1511</v>
      </c>
      <c r="Q153" s="4">
        <v>7.6</v>
      </c>
      <c r="R153" s="4">
        <v>4.7300000000000004</v>
      </c>
      <c r="S153" s="4"/>
      <c r="T153" s="4">
        <v>71.2</v>
      </c>
      <c r="U153" s="4">
        <v>2.7</v>
      </c>
      <c r="V153" s="4"/>
      <c r="W153" s="4">
        <v>17.899999999999999</v>
      </c>
      <c r="X153" s="4">
        <v>125</v>
      </c>
      <c r="Y153" s="4">
        <v>56</v>
      </c>
      <c r="Z153" s="4">
        <v>1</v>
      </c>
      <c r="AA153" s="4">
        <v>1</v>
      </c>
      <c r="AB153" s="4" t="s">
        <v>734</v>
      </c>
      <c r="AC153" s="4">
        <v>1.5539252025038419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1"/>
      <c r="BJ153" s="1" t="s">
        <v>3403</v>
      </c>
      <c r="BK153" s="1">
        <v>1</v>
      </c>
      <c r="BL153" s="1"/>
      <c r="BM153" s="1" t="s">
        <v>211</v>
      </c>
      <c r="BN153" s="1" t="s">
        <v>2710</v>
      </c>
      <c r="BO153" s="1" t="s">
        <v>2711</v>
      </c>
      <c r="BP153" s="1">
        <v>7.62</v>
      </c>
      <c r="BQ153" s="1" t="s">
        <v>1003</v>
      </c>
      <c r="BR153" s="1">
        <v>23.85</v>
      </c>
      <c r="BS153" s="1">
        <v>120.82</v>
      </c>
      <c r="BT153" s="1">
        <v>8</v>
      </c>
      <c r="BU153" s="1" t="s">
        <v>734</v>
      </c>
      <c r="BV153" s="1" t="s">
        <v>2571</v>
      </c>
      <c r="BW153" s="1">
        <v>20</v>
      </c>
      <c r="BX153" s="1">
        <v>33</v>
      </c>
      <c r="BY153" s="1">
        <v>55</v>
      </c>
      <c r="BZ153" s="1"/>
      <c r="CA153" s="1"/>
      <c r="CB153" s="1"/>
      <c r="CC153" s="1" t="s">
        <v>2566</v>
      </c>
      <c r="CD153" s="1" t="s">
        <v>862</v>
      </c>
      <c r="CE153" s="1">
        <v>1</v>
      </c>
      <c r="CF153" s="1">
        <v>7.58</v>
      </c>
      <c r="CG153" s="1">
        <v>5.6364999999999998</v>
      </c>
      <c r="CH153" s="1">
        <v>7322.4000000000005</v>
      </c>
      <c r="CI153" s="1" t="s">
        <v>863</v>
      </c>
      <c r="CJ153" s="1" t="s">
        <v>167</v>
      </c>
      <c r="CK153" t="s">
        <v>1262</v>
      </c>
      <c r="CL153">
        <v>153</v>
      </c>
      <c r="CM153" t="s">
        <v>2716</v>
      </c>
    </row>
    <row r="154" spans="1:91" ht="19" customHeight="1">
      <c r="A154" s="1" t="s">
        <v>3404</v>
      </c>
      <c r="B154" s="1" t="s">
        <v>3093</v>
      </c>
      <c r="C154" s="1">
        <v>154</v>
      </c>
      <c r="D154" s="1" t="s">
        <v>860</v>
      </c>
      <c r="E154" s="1">
        <v>1999</v>
      </c>
      <c r="F154" s="1" t="s">
        <v>898</v>
      </c>
      <c r="G154" s="1" t="s">
        <v>2213</v>
      </c>
      <c r="H154" s="4">
        <v>24.802199999999999</v>
      </c>
      <c r="I154" s="4">
        <v>120.9695</v>
      </c>
      <c r="J154" s="1" t="s">
        <v>1396</v>
      </c>
      <c r="K154" s="1" t="s">
        <v>75</v>
      </c>
      <c r="L154" s="1" t="s">
        <v>2214</v>
      </c>
      <c r="M154" s="1" t="s">
        <v>3094</v>
      </c>
      <c r="N154" s="1"/>
      <c r="O154" s="1" t="s">
        <v>3095</v>
      </c>
      <c r="P154" s="1">
        <v>1514</v>
      </c>
      <c r="Q154" s="4">
        <v>7.6</v>
      </c>
      <c r="R154" s="4">
        <v>9.3800000000000008</v>
      </c>
      <c r="S154" s="4"/>
      <c r="T154" s="4">
        <v>42.5</v>
      </c>
      <c r="U154" s="4">
        <v>55.5</v>
      </c>
      <c r="V154" s="4"/>
      <c r="W154" s="4">
        <v>107.3</v>
      </c>
      <c r="X154" s="4">
        <v>65</v>
      </c>
      <c r="Y154" s="4">
        <v>29</v>
      </c>
      <c r="Z154" s="4">
        <v>0</v>
      </c>
      <c r="AA154" s="4">
        <v>0</v>
      </c>
      <c r="AB154" s="4" t="s">
        <v>734</v>
      </c>
      <c r="AC154" s="4">
        <v>2.2385797630181332</v>
      </c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1"/>
      <c r="BJ154" s="1" t="s">
        <v>3405</v>
      </c>
      <c r="BK154" s="1">
        <v>1</v>
      </c>
      <c r="BL154" s="1"/>
      <c r="BM154" s="1" t="s">
        <v>211</v>
      </c>
      <c r="BN154" s="1" t="s">
        <v>2710</v>
      </c>
      <c r="BO154" s="1" t="s">
        <v>2711</v>
      </c>
      <c r="BP154" s="1">
        <v>7.62</v>
      </c>
      <c r="BQ154" s="1" t="s">
        <v>1003</v>
      </c>
      <c r="BR154" s="1">
        <v>23.85</v>
      </c>
      <c r="BS154" s="1">
        <v>120.82</v>
      </c>
      <c r="BT154" s="1">
        <v>8</v>
      </c>
      <c r="BU154" s="1" t="s">
        <v>734</v>
      </c>
      <c r="BV154" s="1" t="s">
        <v>2571</v>
      </c>
      <c r="BW154" s="1">
        <v>20</v>
      </c>
      <c r="BX154" s="1">
        <v>33</v>
      </c>
      <c r="BY154" s="1">
        <v>55</v>
      </c>
      <c r="BZ154" s="1"/>
      <c r="CA154" s="1"/>
      <c r="CB154" s="1"/>
      <c r="CC154" s="1" t="s">
        <v>2566</v>
      </c>
      <c r="CD154" s="1" t="s">
        <v>862</v>
      </c>
      <c r="CE154" s="1">
        <v>1</v>
      </c>
      <c r="CF154" s="1">
        <v>7.58</v>
      </c>
      <c r="CG154" s="1">
        <v>5.6364999999999998</v>
      </c>
      <c r="CH154" s="1">
        <v>7322.4000000000005</v>
      </c>
      <c r="CI154" s="1" t="s">
        <v>863</v>
      </c>
      <c r="CJ154" s="1" t="s">
        <v>167</v>
      </c>
      <c r="CK154" t="s">
        <v>1262</v>
      </c>
      <c r="CL154">
        <v>154</v>
      </c>
      <c r="CM154" t="s">
        <v>2716</v>
      </c>
    </row>
    <row r="155" spans="1:91" ht="19" customHeight="1">
      <c r="A155" s="1" t="s">
        <v>3406</v>
      </c>
      <c r="B155" s="1" t="s">
        <v>3093</v>
      </c>
      <c r="C155" s="1">
        <v>155</v>
      </c>
      <c r="D155" s="1" t="s">
        <v>860</v>
      </c>
      <c r="E155" s="1">
        <v>1999</v>
      </c>
      <c r="F155" s="1" t="s">
        <v>899</v>
      </c>
      <c r="G155" s="1" t="s">
        <v>2216</v>
      </c>
      <c r="H155" s="4">
        <v>24.147500000000001</v>
      </c>
      <c r="I155" s="4">
        <v>120.676</v>
      </c>
      <c r="J155" s="1" t="s">
        <v>1396</v>
      </c>
      <c r="K155" s="1" t="s">
        <v>75</v>
      </c>
      <c r="L155" s="1" t="s">
        <v>2218</v>
      </c>
      <c r="M155" s="1" t="s">
        <v>3094</v>
      </c>
      <c r="N155" s="1"/>
      <c r="O155" s="1" t="s">
        <v>3095</v>
      </c>
      <c r="P155" s="1">
        <v>1515</v>
      </c>
      <c r="Q155" s="4">
        <v>7.6</v>
      </c>
      <c r="R155" s="4">
        <v>8.1</v>
      </c>
      <c r="S155" s="4"/>
      <c r="T155" s="4">
        <v>56.2</v>
      </c>
      <c r="U155" s="4">
        <v>5.2</v>
      </c>
      <c r="V155" s="4"/>
      <c r="W155" s="4">
        <v>37.1</v>
      </c>
      <c r="X155" s="4">
        <v>85</v>
      </c>
      <c r="Y155" s="4">
        <v>69</v>
      </c>
      <c r="Z155" s="4">
        <v>0</v>
      </c>
      <c r="AA155" s="4">
        <v>1</v>
      </c>
      <c r="AB155" s="4" t="s">
        <v>734</v>
      </c>
      <c r="AC155" s="4">
        <v>2.0918640616783928</v>
      </c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1"/>
      <c r="BJ155" s="1" t="s">
        <v>3407</v>
      </c>
      <c r="BK155" s="1">
        <v>1</v>
      </c>
      <c r="BL155" s="1"/>
      <c r="BM155" s="1" t="s">
        <v>211</v>
      </c>
      <c r="BN155" s="1" t="s">
        <v>2710</v>
      </c>
      <c r="BO155" s="1" t="s">
        <v>2711</v>
      </c>
      <c r="BP155" s="1">
        <v>7.62</v>
      </c>
      <c r="BQ155" s="1" t="s">
        <v>1003</v>
      </c>
      <c r="BR155" s="1">
        <v>23.85</v>
      </c>
      <c r="BS155" s="1">
        <v>120.82</v>
      </c>
      <c r="BT155" s="1">
        <v>8</v>
      </c>
      <c r="BU155" s="1" t="s">
        <v>734</v>
      </c>
      <c r="BV155" s="1" t="s">
        <v>2571</v>
      </c>
      <c r="BW155" s="1">
        <v>20</v>
      </c>
      <c r="BX155" s="1">
        <v>33</v>
      </c>
      <c r="BY155" s="1">
        <v>55</v>
      </c>
      <c r="BZ155" s="1"/>
      <c r="CA155" s="1"/>
      <c r="CB155" s="1"/>
      <c r="CC155" s="1" t="s">
        <v>2566</v>
      </c>
      <c r="CD155" s="1" t="s">
        <v>862</v>
      </c>
      <c r="CE155" s="1">
        <v>1</v>
      </c>
      <c r="CF155" s="1">
        <v>7.58</v>
      </c>
      <c r="CG155" s="1">
        <v>5.6364999999999998</v>
      </c>
      <c r="CH155" s="1">
        <v>7322.4000000000005</v>
      </c>
      <c r="CI155" s="1" t="s">
        <v>863</v>
      </c>
      <c r="CJ155" s="1" t="s">
        <v>167</v>
      </c>
      <c r="CK155" t="s">
        <v>1262</v>
      </c>
      <c r="CL155">
        <v>155</v>
      </c>
      <c r="CM155" t="s">
        <v>2716</v>
      </c>
    </row>
    <row r="156" spans="1:91" ht="19" customHeight="1">
      <c r="A156" s="1" t="s">
        <v>3408</v>
      </c>
      <c r="B156" s="1" t="s">
        <v>3093</v>
      </c>
      <c r="C156" s="1">
        <v>156</v>
      </c>
      <c r="D156" s="1" t="s">
        <v>860</v>
      </c>
      <c r="E156" s="1">
        <v>1999</v>
      </c>
      <c r="F156" s="1" t="s">
        <v>900</v>
      </c>
      <c r="G156" s="1" t="s">
        <v>2222</v>
      </c>
      <c r="H156" s="4">
        <v>24.348199999999999</v>
      </c>
      <c r="I156" s="4">
        <v>120.77330000000001</v>
      </c>
      <c r="J156" s="1" t="s">
        <v>1396</v>
      </c>
      <c r="K156" s="1" t="s">
        <v>75</v>
      </c>
      <c r="L156" s="1" t="s">
        <v>2224</v>
      </c>
      <c r="M156" s="1" t="s">
        <v>3094</v>
      </c>
      <c r="N156" s="1"/>
      <c r="O156" s="1" t="s">
        <v>3095</v>
      </c>
      <c r="P156" s="1">
        <v>1519</v>
      </c>
      <c r="Q156" s="4">
        <v>7.6</v>
      </c>
      <c r="R156" s="4">
        <v>10.4</v>
      </c>
      <c r="S156" s="4"/>
      <c r="T156" s="4">
        <v>45.5</v>
      </c>
      <c r="U156" s="4">
        <v>7</v>
      </c>
      <c r="V156" s="4"/>
      <c r="W156" s="4">
        <v>56.2</v>
      </c>
      <c r="X156" s="4">
        <v>91</v>
      </c>
      <c r="Y156" s="4">
        <v>55</v>
      </c>
      <c r="Z156" s="4">
        <v>1</v>
      </c>
      <c r="AA156" s="4">
        <v>1</v>
      </c>
      <c r="AB156" s="4" t="s">
        <v>734</v>
      </c>
      <c r="AC156" s="4">
        <v>2.341805806147327</v>
      </c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1"/>
      <c r="BJ156" s="1" t="s">
        <v>3409</v>
      </c>
      <c r="BK156" s="1">
        <v>1</v>
      </c>
      <c r="BL156" s="1"/>
      <c r="BM156" s="1" t="s">
        <v>211</v>
      </c>
      <c r="BN156" s="1" t="s">
        <v>2710</v>
      </c>
      <c r="BO156" s="1" t="s">
        <v>2711</v>
      </c>
      <c r="BP156" s="1">
        <v>7.62</v>
      </c>
      <c r="BQ156" s="1" t="s">
        <v>1003</v>
      </c>
      <c r="BR156" s="1">
        <v>23.85</v>
      </c>
      <c r="BS156" s="1">
        <v>120.82</v>
      </c>
      <c r="BT156" s="1">
        <v>8</v>
      </c>
      <c r="BU156" s="1" t="s">
        <v>734</v>
      </c>
      <c r="BV156" s="1" t="s">
        <v>2571</v>
      </c>
      <c r="BW156" s="1">
        <v>20</v>
      </c>
      <c r="BX156" s="1">
        <v>33</v>
      </c>
      <c r="BY156" s="1">
        <v>55</v>
      </c>
      <c r="BZ156" s="1"/>
      <c r="CA156" s="1"/>
      <c r="CB156" s="1"/>
      <c r="CC156" s="1" t="s">
        <v>2566</v>
      </c>
      <c r="CD156" s="1" t="s">
        <v>862</v>
      </c>
      <c r="CE156" s="1">
        <v>1</v>
      </c>
      <c r="CF156" s="1">
        <v>7.58</v>
      </c>
      <c r="CG156" s="1">
        <v>5.6364999999999998</v>
      </c>
      <c r="CH156" s="1">
        <v>7322.4000000000005</v>
      </c>
      <c r="CI156" s="1" t="s">
        <v>863</v>
      </c>
      <c r="CJ156" s="1" t="s">
        <v>167</v>
      </c>
      <c r="CK156" t="s">
        <v>1262</v>
      </c>
      <c r="CL156">
        <v>156</v>
      </c>
      <c r="CM156" t="s">
        <v>2716</v>
      </c>
    </row>
    <row r="157" spans="1:91" ht="19" customHeight="1">
      <c r="A157" s="1" t="s">
        <v>3410</v>
      </c>
      <c r="B157" s="1" t="s">
        <v>3093</v>
      </c>
      <c r="C157" s="1">
        <v>157</v>
      </c>
      <c r="D157" s="1" t="s">
        <v>860</v>
      </c>
      <c r="E157" s="1">
        <v>1999</v>
      </c>
      <c r="F157" s="1" t="s">
        <v>901</v>
      </c>
      <c r="G157" s="1" t="s">
        <v>2225</v>
      </c>
      <c r="H157" s="4">
        <v>24.253299999999999</v>
      </c>
      <c r="I157" s="4">
        <v>121.1758</v>
      </c>
      <c r="J157" s="1" t="s">
        <v>1396</v>
      </c>
      <c r="K157" s="1" t="s">
        <v>75</v>
      </c>
      <c r="L157" s="1" t="s">
        <v>2226</v>
      </c>
      <c r="M157" s="1" t="s">
        <v>3094</v>
      </c>
      <c r="N157" s="1"/>
      <c r="O157" s="1" t="s">
        <v>3095</v>
      </c>
      <c r="P157" s="1">
        <v>1520</v>
      </c>
      <c r="Q157" s="4">
        <v>7.6</v>
      </c>
      <c r="R157" s="4">
        <v>11.14</v>
      </c>
      <c r="S157" s="4"/>
      <c r="T157" s="4">
        <v>35.5</v>
      </c>
      <c r="U157" s="4">
        <v>18.2</v>
      </c>
      <c r="V157" s="4"/>
      <c r="W157" s="4">
        <v>58.2</v>
      </c>
      <c r="X157" s="4">
        <v>5</v>
      </c>
      <c r="Y157" s="4">
        <v>31</v>
      </c>
      <c r="Z157" s="4">
        <v>0</v>
      </c>
      <c r="AA157" s="4">
        <v>0</v>
      </c>
      <c r="AB157" s="4" t="s">
        <v>734</v>
      </c>
      <c r="AC157" s="4">
        <v>2.4105422344991378</v>
      </c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1"/>
      <c r="BJ157" s="1" t="s">
        <v>3411</v>
      </c>
      <c r="BK157" s="1">
        <v>1</v>
      </c>
      <c r="BL157" s="1"/>
      <c r="BM157" s="1" t="s">
        <v>211</v>
      </c>
      <c r="BN157" s="1" t="s">
        <v>2710</v>
      </c>
      <c r="BO157" s="1" t="s">
        <v>2711</v>
      </c>
      <c r="BP157" s="1">
        <v>7.62</v>
      </c>
      <c r="BQ157" s="1" t="s">
        <v>1003</v>
      </c>
      <c r="BR157" s="1">
        <v>23.85</v>
      </c>
      <c r="BS157" s="1">
        <v>120.82</v>
      </c>
      <c r="BT157" s="1">
        <v>8</v>
      </c>
      <c r="BU157" s="1" t="s">
        <v>734</v>
      </c>
      <c r="BV157" s="1" t="s">
        <v>2571</v>
      </c>
      <c r="BW157" s="1">
        <v>20</v>
      </c>
      <c r="BX157" s="1">
        <v>33</v>
      </c>
      <c r="BY157" s="1">
        <v>55</v>
      </c>
      <c r="BZ157" s="1"/>
      <c r="CA157" s="1"/>
      <c r="CB157" s="1"/>
      <c r="CC157" s="1" t="s">
        <v>2566</v>
      </c>
      <c r="CD157" s="1" t="s">
        <v>862</v>
      </c>
      <c r="CE157" s="1">
        <v>1</v>
      </c>
      <c r="CF157" s="1">
        <v>7.58</v>
      </c>
      <c r="CG157" s="1">
        <v>5.6364999999999998</v>
      </c>
      <c r="CH157" s="1">
        <v>7322.4000000000005</v>
      </c>
      <c r="CI157" s="1" t="s">
        <v>863</v>
      </c>
      <c r="CJ157" s="1" t="s">
        <v>167</v>
      </c>
      <c r="CK157" t="s">
        <v>1262</v>
      </c>
      <c r="CL157">
        <v>157</v>
      </c>
      <c r="CM157" t="s">
        <v>2716</v>
      </c>
    </row>
    <row r="158" spans="1:91" ht="19" customHeight="1">
      <c r="A158" s="1" t="s">
        <v>3412</v>
      </c>
      <c r="B158" s="1" t="s">
        <v>3093</v>
      </c>
      <c r="C158" s="1">
        <v>158</v>
      </c>
      <c r="D158" s="1" t="s">
        <v>860</v>
      </c>
      <c r="E158" s="1">
        <v>1999</v>
      </c>
      <c r="F158" s="1" t="s">
        <v>902</v>
      </c>
      <c r="G158" s="1" t="s">
        <v>2227</v>
      </c>
      <c r="H158" s="4">
        <v>24.769500000000001</v>
      </c>
      <c r="I158" s="4">
        <v>121.0488</v>
      </c>
      <c r="J158" s="1" t="s">
        <v>1396</v>
      </c>
      <c r="K158" s="1" t="s">
        <v>75</v>
      </c>
      <c r="L158" s="1" t="s">
        <v>2229</v>
      </c>
      <c r="M158" s="1" t="s">
        <v>3094</v>
      </c>
      <c r="N158" s="1"/>
      <c r="O158" s="1" t="s">
        <v>3095</v>
      </c>
      <c r="P158" s="1">
        <v>1523</v>
      </c>
      <c r="Q158" s="4">
        <v>7.6</v>
      </c>
      <c r="R158" s="4">
        <v>8.3000000000000007</v>
      </c>
      <c r="S158" s="4"/>
      <c r="T158" s="4">
        <v>39.6</v>
      </c>
      <c r="U158" s="4">
        <v>54.5</v>
      </c>
      <c r="V158" s="4"/>
      <c r="W158" s="4">
        <v>105.2</v>
      </c>
      <c r="X158" s="4">
        <v>66</v>
      </c>
      <c r="Y158" s="4">
        <v>30</v>
      </c>
      <c r="Z158" s="4">
        <v>0</v>
      </c>
      <c r="AA158" s="4">
        <v>0</v>
      </c>
      <c r="AB158" s="4" t="s">
        <v>734</v>
      </c>
      <c r="AC158" s="4">
        <v>2.1162555148025519</v>
      </c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1"/>
      <c r="BJ158" s="1" t="s">
        <v>3413</v>
      </c>
      <c r="BK158" s="1">
        <v>1</v>
      </c>
      <c r="BL158" s="1"/>
      <c r="BM158" s="1" t="s">
        <v>211</v>
      </c>
      <c r="BN158" s="1" t="s">
        <v>2710</v>
      </c>
      <c r="BO158" s="1" t="s">
        <v>2711</v>
      </c>
      <c r="BP158" s="1">
        <v>7.62</v>
      </c>
      <c r="BQ158" s="1" t="s">
        <v>1003</v>
      </c>
      <c r="BR158" s="1">
        <v>23.85</v>
      </c>
      <c r="BS158" s="1">
        <v>120.82</v>
      </c>
      <c r="BT158" s="1">
        <v>8</v>
      </c>
      <c r="BU158" s="1" t="s">
        <v>734</v>
      </c>
      <c r="BV158" s="1" t="s">
        <v>2571</v>
      </c>
      <c r="BW158" s="1">
        <v>20</v>
      </c>
      <c r="BX158" s="1">
        <v>33</v>
      </c>
      <c r="BY158" s="1">
        <v>55</v>
      </c>
      <c r="BZ158" s="1"/>
      <c r="CA158" s="1"/>
      <c r="CB158" s="1"/>
      <c r="CC158" s="1" t="s">
        <v>2566</v>
      </c>
      <c r="CD158" s="1" t="s">
        <v>862</v>
      </c>
      <c r="CE158" s="1">
        <v>1</v>
      </c>
      <c r="CF158" s="1">
        <v>7.58</v>
      </c>
      <c r="CG158" s="1">
        <v>5.6364999999999998</v>
      </c>
      <c r="CH158" s="1">
        <v>7322.4000000000005</v>
      </c>
      <c r="CI158" s="1" t="s">
        <v>863</v>
      </c>
      <c r="CJ158" s="1" t="s">
        <v>167</v>
      </c>
      <c r="CK158" t="s">
        <v>1262</v>
      </c>
      <c r="CL158">
        <v>158</v>
      </c>
      <c r="CM158" t="s">
        <v>2716</v>
      </c>
    </row>
    <row r="159" spans="1:91" ht="19" customHeight="1">
      <c r="A159" s="1" t="s">
        <v>3414</v>
      </c>
      <c r="B159" s="1" t="s">
        <v>3093</v>
      </c>
      <c r="C159" s="1">
        <v>159</v>
      </c>
      <c r="D159" s="1" t="s">
        <v>860</v>
      </c>
      <c r="E159" s="1">
        <v>1999</v>
      </c>
      <c r="F159" s="1" t="s">
        <v>903</v>
      </c>
      <c r="G159" s="1" t="s">
        <v>2230</v>
      </c>
      <c r="H159" s="4">
        <v>24.691700000000001</v>
      </c>
      <c r="I159" s="4">
        <v>121.01349999999999</v>
      </c>
      <c r="J159" s="1" t="s">
        <v>1396</v>
      </c>
      <c r="K159" s="1" t="s">
        <v>75</v>
      </c>
      <c r="L159" s="1" t="s">
        <v>2232</v>
      </c>
      <c r="M159" s="1" t="s">
        <v>3094</v>
      </c>
      <c r="N159" s="1"/>
      <c r="O159" s="1" t="s">
        <v>3095</v>
      </c>
      <c r="P159" s="1">
        <v>1524</v>
      </c>
      <c r="Q159" s="4">
        <v>7.6</v>
      </c>
      <c r="R159" s="4">
        <v>7.67</v>
      </c>
      <c r="S159" s="4"/>
      <c r="T159" s="4">
        <v>42.8</v>
      </c>
      <c r="U159" s="4">
        <v>45.2</v>
      </c>
      <c r="V159" s="4"/>
      <c r="W159" s="4">
        <v>96</v>
      </c>
      <c r="X159" s="4">
        <v>63</v>
      </c>
      <c r="Y159" s="4">
        <v>26</v>
      </c>
      <c r="Z159" s="4">
        <v>0</v>
      </c>
      <c r="AA159" s="4">
        <v>0</v>
      </c>
      <c r="AB159" s="4" t="s">
        <v>734</v>
      </c>
      <c r="AC159" s="4">
        <v>2.0373166153791651</v>
      </c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1"/>
      <c r="BJ159" s="1" t="s">
        <v>3415</v>
      </c>
      <c r="BK159" s="1">
        <v>1</v>
      </c>
      <c r="BL159" s="1"/>
      <c r="BM159" s="1" t="s">
        <v>211</v>
      </c>
      <c r="BN159" s="1" t="s">
        <v>2710</v>
      </c>
      <c r="BO159" s="1" t="s">
        <v>2711</v>
      </c>
      <c r="BP159" s="1">
        <v>7.62</v>
      </c>
      <c r="BQ159" s="1" t="s">
        <v>1003</v>
      </c>
      <c r="BR159" s="1">
        <v>23.85</v>
      </c>
      <c r="BS159" s="1">
        <v>120.82</v>
      </c>
      <c r="BT159" s="1">
        <v>8</v>
      </c>
      <c r="BU159" s="1" t="s">
        <v>734</v>
      </c>
      <c r="BV159" s="1" t="s">
        <v>2571</v>
      </c>
      <c r="BW159" s="1">
        <v>20</v>
      </c>
      <c r="BX159" s="1">
        <v>33</v>
      </c>
      <c r="BY159" s="1">
        <v>55</v>
      </c>
      <c r="BZ159" s="1"/>
      <c r="CA159" s="1"/>
      <c r="CB159" s="1"/>
      <c r="CC159" s="1" t="s">
        <v>2566</v>
      </c>
      <c r="CD159" s="1" t="s">
        <v>862</v>
      </c>
      <c r="CE159" s="1">
        <v>1</v>
      </c>
      <c r="CF159" s="1">
        <v>7.58</v>
      </c>
      <c r="CG159" s="1">
        <v>5.6364999999999998</v>
      </c>
      <c r="CH159" s="1">
        <v>7322.4000000000005</v>
      </c>
      <c r="CI159" s="1" t="s">
        <v>863</v>
      </c>
      <c r="CJ159" s="1" t="s">
        <v>167</v>
      </c>
      <c r="CK159" t="s">
        <v>1262</v>
      </c>
      <c r="CL159">
        <v>159</v>
      </c>
      <c r="CM159" t="s">
        <v>2716</v>
      </c>
    </row>
    <row r="160" spans="1:91" ht="19" customHeight="1">
      <c r="A160" s="1" t="s">
        <v>3416</v>
      </c>
      <c r="B160" s="1" t="s">
        <v>3093</v>
      </c>
      <c r="C160" s="1">
        <v>160</v>
      </c>
      <c r="D160" s="1" t="s">
        <v>860</v>
      </c>
      <c r="E160" s="1">
        <v>1999</v>
      </c>
      <c r="F160" s="1" t="s">
        <v>904</v>
      </c>
      <c r="G160" s="1" t="s">
        <v>2233</v>
      </c>
      <c r="H160" s="4">
        <v>24.7957</v>
      </c>
      <c r="I160" s="4">
        <v>120.9558</v>
      </c>
      <c r="J160" s="1" t="s">
        <v>1396</v>
      </c>
      <c r="K160" s="1" t="s">
        <v>75</v>
      </c>
      <c r="L160" s="1" t="s">
        <v>2235</v>
      </c>
      <c r="M160" s="1" t="s">
        <v>3094</v>
      </c>
      <c r="N160" s="1"/>
      <c r="O160" s="1" t="s">
        <v>3095</v>
      </c>
      <c r="P160" s="1">
        <v>1525</v>
      </c>
      <c r="Q160" s="4">
        <v>7.6</v>
      </c>
      <c r="R160" s="4">
        <v>9.4600000000000009</v>
      </c>
      <c r="S160" s="4"/>
      <c r="T160" s="4">
        <v>40.700000000000003</v>
      </c>
      <c r="U160" s="4">
        <v>54.5</v>
      </c>
      <c r="V160" s="4"/>
      <c r="W160" s="4">
        <v>106.4</v>
      </c>
      <c r="X160" s="4">
        <v>60</v>
      </c>
      <c r="Y160" s="4">
        <v>24</v>
      </c>
      <c r="Z160" s="4">
        <v>0</v>
      </c>
      <c r="AA160" s="4">
        <v>0</v>
      </c>
      <c r="AB160" s="4" t="s">
        <v>734</v>
      </c>
      <c r="AC160" s="4">
        <v>2.2470723830637871</v>
      </c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1"/>
      <c r="BJ160" s="1" t="s">
        <v>3417</v>
      </c>
      <c r="BK160" s="1">
        <v>1</v>
      </c>
      <c r="BL160" s="1"/>
      <c r="BM160" s="1" t="s">
        <v>211</v>
      </c>
      <c r="BN160" s="1" t="s">
        <v>2710</v>
      </c>
      <c r="BO160" s="1" t="s">
        <v>2711</v>
      </c>
      <c r="BP160" s="1">
        <v>7.62</v>
      </c>
      <c r="BQ160" s="1" t="s">
        <v>1003</v>
      </c>
      <c r="BR160" s="1">
        <v>23.85</v>
      </c>
      <c r="BS160" s="1">
        <v>120.82</v>
      </c>
      <c r="BT160" s="1">
        <v>8</v>
      </c>
      <c r="BU160" s="1" t="s">
        <v>734</v>
      </c>
      <c r="BV160" s="1" t="s">
        <v>2571</v>
      </c>
      <c r="BW160" s="1">
        <v>20</v>
      </c>
      <c r="BX160" s="1">
        <v>33</v>
      </c>
      <c r="BY160" s="1">
        <v>55</v>
      </c>
      <c r="BZ160" s="1"/>
      <c r="CA160" s="1"/>
      <c r="CB160" s="1"/>
      <c r="CC160" s="1" t="s">
        <v>2566</v>
      </c>
      <c r="CD160" s="1" t="s">
        <v>862</v>
      </c>
      <c r="CE160" s="1">
        <v>1</v>
      </c>
      <c r="CF160" s="1">
        <v>7.58</v>
      </c>
      <c r="CG160" s="1">
        <v>5.6364999999999998</v>
      </c>
      <c r="CH160" s="1">
        <v>7322.4000000000005</v>
      </c>
      <c r="CI160" s="1" t="s">
        <v>863</v>
      </c>
      <c r="CJ160" s="1" t="s">
        <v>167</v>
      </c>
      <c r="CK160" t="s">
        <v>1262</v>
      </c>
      <c r="CL160">
        <v>160</v>
      </c>
      <c r="CM160" t="s">
        <v>2716</v>
      </c>
    </row>
    <row r="161" spans="1:91" ht="19" customHeight="1">
      <c r="A161" s="1" t="s">
        <v>3418</v>
      </c>
      <c r="B161" s="1" t="s">
        <v>3093</v>
      </c>
      <c r="C161" s="1">
        <v>161</v>
      </c>
      <c r="D161" s="1" t="s">
        <v>860</v>
      </c>
      <c r="E161" s="1">
        <v>1999</v>
      </c>
      <c r="F161" s="1" t="s">
        <v>905</v>
      </c>
      <c r="G161" s="1" t="s">
        <v>2236</v>
      </c>
      <c r="H161" s="4">
        <v>24.743300000000001</v>
      </c>
      <c r="I161" s="4">
        <v>120.899</v>
      </c>
      <c r="J161" s="1" t="s">
        <v>1396</v>
      </c>
      <c r="K161" s="1" t="s">
        <v>75</v>
      </c>
      <c r="L161" s="1" t="s">
        <v>2238</v>
      </c>
      <c r="M161" s="1" t="s">
        <v>3094</v>
      </c>
      <c r="N161" s="1"/>
      <c r="O161" s="1" t="s">
        <v>3095</v>
      </c>
      <c r="P161" s="1">
        <v>1526</v>
      </c>
      <c r="Q161" s="4">
        <v>7.6</v>
      </c>
      <c r="R161" s="4">
        <v>9.2799999999999994</v>
      </c>
      <c r="S161" s="4"/>
      <c r="T161" s="4">
        <v>46.8</v>
      </c>
      <c r="U161" s="4">
        <v>47.7</v>
      </c>
      <c r="V161" s="4"/>
      <c r="W161" s="4">
        <v>100.1</v>
      </c>
      <c r="X161" s="4">
        <v>63</v>
      </c>
      <c r="Y161" s="4">
        <v>27</v>
      </c>
      <c r="Z161" s="4">
        <v>0</v>
      </c>
      <c r="AA161" s="4">
        <v>0</v>
      </c>
      <c r="AB161" s="4" t="s">
        <v>734</v>
      </c>
      <c r="AC161" s="4">
        <v>2.2278615467981089</v>
      </c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1"/>
      <c r="BJ161" s="1" t="s">
        <v>3419</v>
      </c>
      <c r="BK161" s="1">
        <v>1</v>
      </c>
      <c r="BL161" s="1"/>
      <c r="BM161" s="1" t="s">
        <v>211</v>
      </c>
      <c r="BN161" s="1" t="s">
        <v>2710</v>
      </c>
      <c r="BO161" s="1" t="s">
        <v>2711</v>
      </c>
      <c r="BP161" s="1">
        <v>7.62</v>
      </c>
      <c r="BQ161" s="1" t="s">
        <v>1003</v>
      </c>
      <c r="BR161" s="1">
        <v>23.85</v>
      </c>
      <c r="BS161" s="1">
        <v>120.82</v>
      </c>
      <c r="BT161" s="1">
        <v>8</v>
      </c>
      <c r="BU161" s="1" t="s">
        <v>734</v>
      </c>
      <c r="BV161" s="1" t="s">
        <v>2571</v>
      </c>
      <c r="BW161" s="1">
        <v>20</v>
      </c>
      <c r="BX161" s="1">
        <v>33</v>
      </c>
      <c r="BY161" s="1">
        <v>55</v>
      </c>
      <c r="BZ161" s="1"/>
      <c r="CA161" s="1"/>
      <c r="CB161" s="1"/>
      <c r="CC161" s="1" t="s">
        <v>2566</v>
      </c>
      <c r="CD161" s="1" t="s">
        <v>862</v>
      </c>
      <c r="CE161" s="1">
        <v>1</v>
      </c>
      <c r="CF161" s="1">
        <v>7.58</v>
      </c>
      <c r="CG161" s="1">
        <v>5.6364999999999998</v>
      </c>
      <c r="CH161" s="1">
        <v>7322.4000000000005</v>
      </c>
      <c r="CI161" s="1" t="s">
        <v>863</v>
      </c>
      <c r="CJ161" s="1" t="s">
        <v>167</v>
      </c>
      <c r="CK161" t="s">
        <v>1262</v>
      </c>
      <c r="CL161">
        <v>161</v>
      </c>
      <c r="CM161" t="s">
        <v>2716</v>
      </c>
    </row>
    <row r="162" spans="1:91" ht="19" customHeight="1">
      <c r="A162" s="1" t="s">
        <v>3420</v>
      </c>
      <c r="B162" s="1" t="s">
        <v>3093</v>
      </c>
      <c r="C162" s="1">
        <v>162</v>
      </c>
      <c r="D162" s="1" t="s">
        <v>860</v>
      </c>
      <c r="E162" s="1">
        <v>1999</v>
      </c>
      <c r="F162" s="1" t="s">
        <v>906</v>
      </c>
      <c r="G162" s="1" t="s">
        <v>2241</v>
      </c>
      <c r="H162" s="4">
        <v>24.242000000000001</v>
      </c>
      <c r="I162" s="4">
        <v>120.7092</v>
      </c>
      <c r="J162" s="1" t="s">
        <v>1396</v>
      </c>
      <c r="K162" s="1" t="s">
        <v>75</v>
      </c>
      <c r="L162" s="1" t="s">
        <v>2243</v>
      </c>
      <c r="M162" s="1" t="s">
        <v>3094</v>
      </c>
      <c r="N162" s="1"/>
      <c r="O162" s="1" t="s">
        <v>3095</v>
      </c>
      <c r="P162" s="1">
        <v>1528</v>
      </c>
      <c r="Q162" s="4">
        <v>7.6</v>
      </c>
      <c r="R162" s="4">
        <v>10.32</v>
      </c>
      <c r="S162" s="4"/>
      <c r="T162" s="4">
        <v>76.7</v>
      </c>
      <c r="U162" s="4">
        <v>2.1</v>
      </c>
      <c r="V162" s="4"/>
      <c r="W162" s="4">
        <v>45.8</v>
      </c>
      <c r="X162" s="4">
        <v>70</v>
      </c>
      <c r="Y162" s="4">
        <v>62</v>
      </c>
      <c r="Z162" s="4">
        <v>1</v>
      </c>
      <c r="AA162" s="4">
        <v>1</v>
      </c>
      <c r="AB162" s="4" t="s">
        <v>734</v>
      </c>
      <c r="AC162" s="4">
        <v>2.3340837600534168</v>
      </c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1"/>
      <c r="BJ162" s="1" t="s">
        <v>3421</v>
      </c>
      <c r="BK162" s="1">
        <v>1</v>
      </c>
      <c r="BL162" s="1"/>
      <c r="BM162" s="1" t="s">
        <v>211</v>
      </c>
      <c r="BN162" s="1" t="s">
        <v>2710</v>
      </c>
      <c r="BO162" s="1" t="s">
        <v>2711</v>
      </c>
      <c r="BP162" s="1">
        <v>7.62</v>
      </c>
      <c r="BQ162" s="1" t="s">
        <v>1003</v>
      </c>
      <c r="BR162" s="1">
        <v>23.85</v>
      </c>
      <c r="BS162" s="1">
        <v>120.82</v>
      </c>
      <c r="BT162" s="1">
        <v>8</v>
      </c>
      <c r="BU162" s="1" t="s">
        <v>734</v>
      </c>
      <c r="BV162" s="1" t="s">
        <v>2571</v>
      </c>
      <c r="BW162" s="1">
        <v>20</v>
      </c>
      <c r="BX162" s="1">
        <v>33</v>
      </c>
      <c r="BY162" s="1">
        <v>55</v>
      </c>
      <c r="BZ162" s="1"/>
      <c r="CA162" s="1"/>
      <c r="CB162" s="1"/>
      <c r="CC162" s="1" t="s">
        <v>2566</v>
      </c>
      <c r="CD162" s="1" t="s">
        <v>862</v>
      </c>
      <c r="CE162" s="1">
        <v>1</v>
      </c>
      <c r="CF162" s="1">
        <v>7.58</v>
      </c>
      <c r="CG162" s="1">
        <v>5.6364999999999998</v>
      </c>
      <c r="CH162" s="1">
        <v>7322.4000000000005</v>
      </c>
      <c r="CI162" s="1" t="s">
        <v>863</v>
      </c>
      <c r="CJ162" s="1" t="s">
        <v>167</v>
      </c>
      <c r="CK162" t="s">
        <v>1262</v>
      </c>
      <c r="CL162">
        <v>162</v>
      </c>
      <c r="CM162" t="s">
        <v>2716</v>
      </c>
    </row>
    <row r="163" spans="1:91" ht="19" customHeight="1">
      <c r="A163" s="1" t="s">
        <v>3422</v>
      </c>
      <c r="B163" s="1" t="s">
        <v>3093</v>
      </c>
      <c r="C163" s="1">
        <v>163</v>
      </c>
      <c r="D163" s="1" t="s">
        <v>860</v>
      </c>
      <c r="E163" s="1">
        <v>1999</v>
      </c>
      <c r="F163" s="1" t="s">
        <v>907</v>
      </c>
      <c r="G163" s="1" t="s">
        <v>2244</v>
      </c>
      <c r="H163" s="4">
        <v>24.249300000000002</v>
      </c>
      <c r="I163" s="4">
        <v>120.7208</v>
      </c>
      <c r="J163" s="1" t="s">
        <v>1396</v>
      </c>
      <c r="K163" s="1" t="s">
        <v>75</v>
      </c>
      <c r="L163" s="1" t="s">
        <v>2246</v>
      </c>
      <c r="M163" s="1" t="s">
        <v>3094</v>
      </c>
      <c r="N163" s="1"/>
      <c r="O163" s="1" t="s">
        <v>3095</v>
      </c>
      <c r="P163" s="1">
        <v>1529</v>
      </c>
      <c r="Q163" s="4">
        <v>7.6</v>
      </c>
      <c r="R163" s="4">
        <v>9.6300000000000008</v>
      </c>
      <c r="S163" s="4"/>
      <c r="T163" s="4">
        <v>104.8</v>
      </c>
      <c r="U163" s="4">
        <v>1.5</v>
      </c>
      <c r="V163" s="4"/>
      <c r="W163" s="4">
        <v>46.3</v>
      </c>
      <c r="X163" s="4">
        <v>76</v>
      </c>
      <c r="Y163" s="4">
        <v>68</v>
      </c>
      <c r="Z163" s="4">
        <v>1</v>
      </c>
      <c r="AA163" s="4">
        <v>1</v>
      </c>
      <c r="AB163" s="4" t="s">
        <v>734</v>
      </c>
      <c r="AC163" s="4">
        <v>2.264883225810034</v>
      </c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1"/>
      <c r="BJ163" s="1" t="s">
        <v>3423</v>
      </c>
      <c r="BK163" s="1">
        <v>1</v>
      </c>
      <c r="BL163" s="1"/>
      <c r="BM163" s="1" t="s">
        <v>211</v>
      </c>
      <c r="BN163" s="1" t="s">
        <v>2710</v>
      </c>
      <c r="BO163" s="1" t="s">
        <v>2711</v>
      </c>
      <c r="BP163" s="1">
        <v>7.62</v>
      </c>
      <c r="BQ163" s="1" t="s">
        <v>1003</v>
      </c>
      <c r="BR163" s="1">
        <v>23.85</v>
      </c>
      <c r="BS163" s="1">
        <v>120.82</v>
      </c>
      <c r="BT163" s="1">
        <v>8</v>
      </c>
      <c r="BU163" s="1" t="s">
        <v>734</v>
      </c>
      <c r="BV163" s="1" t="s">
        <v>2571</v>
      </c>
      <c r="BW163" s="1">
        <v>20</v>
      </c>
      <c r="BX163" s="1">
        <v>33</v>
      </c>
      <c r="BY163" s="1">
        <v>55</v>
      </c>
      <c r="BZ163" s="1"/>
      <c r="CA163" s="1"/>
      <c r="CB163" s="1"/>
      <c r="CC163" s="1" t="s">
        <v>2566</v>
      </c>
      <c r="CD163" s="1" t="s">
        <v>862</v>
      </c>
      <c r="CE163" s="1">
        <v>1</v>
      </c>
      <c r="CF163" s="1">
        <v>7.58</v>
      </c>
      <c r="CG163" s="1">
        <v>5.6364999999999998</v>
      </c>
      <c r="CH163" s="1">
        <v>7322.4000000000005</v>
      </c>
      <c r="CI163" s="1" t="s">
        <v>863</v>
      </c>
      <c r="CJ163" s="1" t="s">
        <v>167</v>
      </c>
      <c r="CK163" t="s">
        <v>1262</v>
      </c>
      <c r="CL163">
        <v>163</v>
      </c>
      <c r="CM163" t="s">
        <v>2716</v>
      </c>
    </row>
    <row r="164" spans="1:91" ht="19" customHeight="1">
      <c r="A164" s="1" t="s">
        <v>3424</v>
      </c>
      <c r="B164" s="1" t="s">
        <v>3093</v>
      </c>
      <c r="C164" s="1">
        <v>164</v>
      </c>
      <c r="D164" s="1" t="s">
        <v>860</v>
      </c>
      <c r="E164" s="1">
        <v>1999</v>
      </c>
      <c r="F164" s="1" t="s">
        <v>908</v>
      </c>
      <c r="G164" s="1" t="s">
        <v>2247</v>
      </c>
      <c r="H164" s="4">
        <v>24.309799999999999</v>
      </c>
      <c r="I164" s="4">
        <v>120.7072</v>
      </c>
      <c r="J164" s="1" t="s">
        <v>1396</v>
      </c>
      <c r="K164" s="1" t="s">
        <v>75</v>
      </c>
      <c r="L164" s="1" t="s">
        <v>2249</v>
      </c>
      <c r="M164" s="1" t="s">
        <v>3094</v>
      </c>
      <c r="N164" s="1"/>
      <c r="O164" s="1" t="s">
        <v>3095</v>
      </c>
      <c r="P164" s="1">
        <v>1530</v>
      </c>
      <c r="Q164" s="4">
        <v>7.6</v>
      </c>
      <c r="R164" s="4">
        <v>8.69</v>
      </c>
      <c r="S164" s="4"/>
      <c r="T164" s="4">
        <v>67.099999999999994</v>
      </c>
      <c r="U164" s="4">
        <v>6.1</v>
      </c>
      <c r="V164" s="4"/>
      <c r="W164" s="4">
        <v>53</v>
      </c>
      <c r="X164" s="4">
        <v>75</v>
      </c>
      <c r="Y164" s="4">
        <v>68</v>
      </c>
      <c r="Z164" s="4">
        <v>1</v>
      </c>
      <c r="AA164" s="4">
        <v>1</v>
      </c>
      <c r="AB164" s="4" t="s">
        <v>734</v>
      </c>
      <c r="AC164" s="4">
        <v>2.1621729392773008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1"/>
      <c r="BJ164" s="1" t="s">
        <v>3425</v>
      </c>
      <c r="BK164" s="1">
        <v>1</v>
      </c>
      <c r="BL164" s="1"/>
      <c r="BM164" s="1" t="s">
        <v>211</v>
      </c>
      <c r="BN164" s="1" t="s">
        <v>2710</v>
      </c>
      <c r="BO164" s="1" t="s">
        <v>2711</v>
      </c>
      <c r="BP164" s="1">
        <v>7.62</v>
      </c>
      <c r="BQ164" s="1" t="s">
        <v>1003</v>
      </c>
      <c r="BR164" s="1">
        <v>23.85</v>
      </c>
      <c r="BS164" s="1">
        <v>120.82</v>
      </c>
      <c r="BT164" s="1">
        <v>8</v>
      </c>
      <c r="BU164" s="1" t="s">
        <v>734</v>
      </c>
      <c r="BV164" s="1" t="s">
        <v>2571</v>
      </c>
      <c r="BW164" s="1">
        <v>20</v>
      </c>
      <c r="BX164" s="1">
        <v>33</v>
      </c>
      <c r="BY164" s="1">
        <v>55</v>
      </c>
      <c r="BZ164" s="1"/>
      <c r="CA164" s="1"/>
      <c r="CB164" s="1"/>
      <c r="CC164" s="1" t="s">
        <v>2566</v>
      </c>
      <c r="CD164" s="1" t="s">
        <v>862</v>
      </c>
      <c r="CE164" s="1">
        <v>1</v>
      </c>
      <c r="CF164" s="1">
        <v>7.58</v>
      </c>
      <c r="CG164" s="1">
        <v>5.6364999999999998</v>
      </c>
      <c r="CH164" s="1">
        <v>7322.4000000000005</v>
      </c>
      <c r="CI164" s="1" t="s">
        <v>863</v>
      </c>
      <c r="CJ164" s="1" t="s">
        <v>167</v>
      </c>
      <c r="CK164" t="s">
        <v>1262</v>
      </c>
      <c r="CL164">
        <v>164</v>
      </c>
      <c r="CM164" t="s">
        <v>2716</v>
      </c>
    </row>
    <row r="165" spans="1:91" ht="19" customHeight="1">
      <c r="A165" s="1" t="s">
        <v>3426</v>
      </c>
      <c r="B165" s="1" t="s">
        <v>3093</v>
      </c>
      <c r="C165" s="1">
        <v>165</v>
      </c>
      <c r="D165" s="1" t="s">
        <v>860</v>
      </c>
      <c r="E165" s="1">
        <v>1999</v>
      </c>
      <c r="F165" s="1" t="s">
        <v>909</v>
      </c>
      <c r="G165" s="1" t="s">
        <v>2250</v>
      </c>
      <c r="H165" s="4">
        <v>24.2455</v>
      </c>
      <c r="I165" s="4">
        <v>120.6018</v>
      </c>
      <c r="J165" s="1" t="s">
        <v>1396</v>
      </c>
      <c r="K165" s="1" t="s">
        <v>75</v>
      </c>
      <c r="L165" s="1" t="s">
        <v>2252</v>
      </c>
      <c r="M165" s="1" t="s">
        <v>3094</v>
      </c>
      <c r="N165" s="1"/>
      <c r="O165" s="1" t="s">
        <v>3095</v>
      </c>
      <c r="P165" s="1">
        <v>1531</v>
      </c>
      <c r="Q165" s="4">
        <v>7.6</v>
      </c>
      <c r="R165" s="4">
        <v>7.19</v>
      </c>
      <c r="S165" s="4"/>
      <c r="T165" s="4">
        <v>56.1</v>
      </c>
      <c r="U165" s="4">
        <v>12.9</v>
      </c>
      <c r="V165" s="4"/>
      <c r="W165" s="4">
        <v>49.9</v>
      </c>
      <c r="X165" s="4">
        <v>34</v>
      </c>
      <c r="Y165" s="4">
        <v>26</v>
      </c>
      <c r="Z165" s="4">
        <v>0</v>
      </c>
      <c r="AA165" s="4">
        <v>1</v>
      </c>
      <c r="AB165" s="4" t="s">
        <v>734</v>
      </c>
      <c r="AC165" s="4">
        <v>1.9726911717329549</v>
      </c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1"/>
      <c r="BJ165" s="1" t="s">
        <v>3427</v>
      </c>
      <c r="BK165" s="1">
        <v>1</v>
      </c>
      <c r="BL165" s="1"/>
      <c r="BM165" s="1" t="s">
        <v>211</v>
      </c>
      <c r="BN165" s="1" t="s">
        <v>2710</v>
      </c>
      <c r="BO165" s="1" t="s">
        <v>2711</v>
      </c>
      <c r="BP165" s="1">
        <v>7.62</v>
      </c>
      <c r="BQ165" s="1" t="s">
        <v>1003</v>
      </c>
      <c r="BR165" s="1">
        <v>23.85</v>
      </c>
      <c r="BS165" s="1">
        <v>120.82</v>
      </c>
      <c r="BT165" s="1">
        <v>8</v>
      </c>
      <c r="BU165" s="1" t="s">
        <v>734</v>
      </c>
      <c r="BV165" s="1" t="s">
        <v>2571</v>
      </c>
      <c r="BW165" s="1">
        <v>20</v>
      </c>
      <c r="BX165" s="1">
        <v>33</v>
      </c>
      <c r="BY165" s="1">
        <v>55</v>
      </c>
      <c r="BZ165" s="1"/>
      <c r="CA165" s="1"/>
      <c r="CB165" s="1"/>
      <c r="CC165" s="1" t="s">
        <v>2566</v>
      </c>
      <c r="CD165" s="1" t="s">
        <v>862</v>
      </c>
      <c r="CE165" s="1">
        <v>1</v>
      </c>
      <c r="CF165" s="1">
        <v>7.58</v>
      </c>
      <c r="CG165" s="1">
        <v>5.6364999999999998</v>
      </c>
      <c r="CH165" s="1">
        <v>7322.4000000000005</v>
      </c>
      <c r="CI165" s="1" t="s">
        <v>863</v>
      </c>
      <c r="CJ165" s="1" t="s">
        <v>167</v>
      </c>
      <c r="CK165" t="s">
        <v>1262</v>
      </c>
      <c r="CL165">
        <v>165</v>
      </c>
      <c r="CM165" t="s">
        <v>2716</v>
      </c>
    </row>
    <row r="166" spans="1:91" ht="19" customHeight="1">
      <c r="A166" s="1" t="s">
        <v>3428</v>
      </c>
      <c r="B166" s="1" t="s">
        <v>3093</v>
      </c>
      <c r="C166" s="1">
        <v>166</v>
      </c>
      <c r="D166" s="1" t="s">
        <v>860</v>
      </c>
      <c r="E166" s="1">
        <v>1999</v>
      </c>
      <c r="F166" s="1" t="s">
        <v>910</v>
      </c>
      <c r="G166" s="1" t="s">
        <v>2262</v>
      </c>
      <c r="H166" s="4">
        <v>24.4162</v>
      </c>
      <c r="I166" s="4">
        <v>120.7607</v>
      </c>
      <c r="J166" s="1" t="s">
        <v>1396</v>
      </c>
      <c r="K166" s="1" t="s">
        <v>75</v>
      </c>
      <c r="L166" s="1" t="s">
        <v>2264</v>
      </c>
      <c r="M166" s="1" t="s">
        <v>3094</v>
      </c>
      <c r="N166" s="1"/>
      <c r="O166" s="1" t="s">
        <v>3095</v>
      </c>
      <c r="P166" s="1">
        <v>1548</v>
      </c>
      <c r="Q166" s="4">
        <v>7.6</v>
      </c>
      <c r="R166" s="4">
        <v>9.02</v>
      </c>
      <c r="S166" s="4"/>
      <c r="T166" s="4">
        <v>60.7</v>
      </c>
      <c r="U166" s="4">
        <v>13.1</v>
      </c>
      <c r="V166" s="4"/>
      <c r="W166" s="4">
        <v>63.8</v>
      </c>
      <c r="X166" s="4">
        <v>84</v>
      </c>
      <c r="Y166" s="4">
        <v>48</v>
      </c>
      <c r="Z166" s="4">
        <v>1</v>
      </c>
      <c r="AA166" s="4">
        <v>1</v>
      </c>
      <c r="AB166" s="4" t="s">
        <v>734</v>
      </c>
      <c r="AC166" s="4">
        <v>2.1994443340745322</v>
      </c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1"/>
      <c r="BJ166" s="1" t="s">
        <v>3429</v>
      </c>
      <c r="BK166" s="1">
        <v>1</v>
      </c>
      <c r="BL166" s="1"/>
      <c r="BM166" s="1" t="s">
        <v>211</v>
      </c>
      <c r="BN166" s="1" t="s">
        <v>2710</v>
      </c>
      <c r="BO166" s="1" t="s">
        <v>2711</v>
      </c>
      <c r="BP166" s="1">
        <v>7.62</v>
      </c>
      <c r="BQ166" s="1" t="s">
        <v>1003</v>
      </c>
      <c r="BR166" s="1">
        <v>23.85</v>
      </c>
      <c r="BS166" s="1">
        <v>120.82</v>
      </c>
      <c r="BT166" s="1">
        <v>8</v>
      </c>
      <c r="BU166" s="1" t="s">
        <v>734</v>
      </c>
      <c r="BV166" s="1" t="s">
        <v>2571</v>
      </c>
      <c r="BW166" s="1">
        <v>20</v>
      </c>
      <c r="BX166" s="1">
        <v>33</v>
      </c>
      <c r="BY166" s="1">
        <v>55</v>
      </c>
      <c r="BZ166" s="1"/>
      <c r="CA166" s="1"/>
      <c r="CB166" s="1"/>
      <c r="CC166" s="1" t="s">
        <v>2566</v>
      </c>
      <c r="CD166" s="1" t="s">
        <v>862</v>
      </c>
      <c r="CE166" s="1">
        <v>1</v>
      </c>
      <c r="CF166" s="1">
        <v>7.58</v>
      </c>
      <c r="CG166" s="1">
        <v>5.6364999999999998</v>
      </c>
      <c r="CH166" s="1">
        <v>7322.4000000000005</v>
      </c>
      <c r="CI166" s="1" t="s">
        <v>863</v>
      </c>
      <c r="CJ166" s="1" t="s">
        <v>167</v>
      </c>
      <c r="CK166" t="s">
        <v>1262</v>
      </c>
      <c r="CL166">
        <v>166</v>
      </c>
      <c r="CM166" t="s">
        <v>2716</v>
      </c>
    </row>
    <row r="167" spans="1:91" ht="19" customHeight="1">
      <c r="A167" s="1" t="s">
        <v>3430</v>
      </c>
      <c r="B167" s="1" t="s">
        <v>3093</v>
      </c>
      <c r="C167" s="1">
        <v>167</v>
      </c>
      <c r="D167" s="1" t="s">
        <v>860</v>
      </c>
      <c r="E167" s="1">
        <v>1999</v>
      </c>
      <c r="F167" s="1" t="s">
        <v>911</v>
      </c>
      <c r="G167" s="1" t="s">
        <v>2269</v>
      </c>
      <c r="H167" s="4">
        <v>24.260300000000001</v>
      </c>
      <c r="I167" s="4">
        <v>120.65179999999999</v>
      </c>
      <c r="J167" s="1" t="s">
        <v>1396</v>
      </c>
      <c r="K167" s="1" t="s">
        <v>75</v>
      </c>
      <c r="L167" s="1" t="s">
        <v>2271</v>
      </c>
      <c r="M167" s="1" t="s">
        <v>3094</v>
      </c>
      <c r="N167" s="1"/>
      <c r="O167" s="1" t="s">
        <v>3095</v>
      </c>
      <c r="P167" s="1">
        <v>1550</v>
      </c>
      <c r="Q167" s="4">
        <v>7.6</v>
      </c>
      <c r="R167" s="4">
        <v>8.8800000000000008</v>
      </c>
      <c r="S167" s="4"/>
      <c r="T167" s="4">
        <v>61.5</v>
      </c>
      <c r="U167" s="4">
        <v>8.3000000000000007</v>
      </c>
      <c r="V167" s="4"/>
      <c r="W167" s="4">
        <v>49.4</v>
      </c>
      <c r="X167" s="4">
        <v>49</v>
      </c>
      <c r="Y167" s="4">
        <v>42</v>
      </c>
      <c r="Z167" s="4">
        <v>0</v>
      </c>
      <c r="AA167" s="4">
        <v>1</v>
      </c>
      <c r="AB167" s="4" t="s">
        <v>734</v>
      </c>
      <c r="AC167" s="4">
        <v>2.1838015570040792</v>
      </c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1"/>
      <c r="BJ167" s="1" t="s">
        <v>3431</v>
      </c>
      <c r="BK167" s="1">
        <v>1</v>
      </c>
      <c r="BL167" s="1"/>
      <c r="BM167" s="1" t="s">
        <v>211</v>
      </c>
      <c r="BN167" s="1" t="s">
        <v>2710</v>
      </c>
      <c r="BO167" s="1" t="s">
        <v>2711</v>
      </c>
      <c r="BP167" s="1">
        <v>7.62</v>
      </c>
      <c r="BQ167" s="1" t="s">
        <v>1003</v>
      </c>
      <c r="BR167" s="1">
        <v>23.85</v>
      </c>
      <c r="BS167" s="1">
        <v>120.82</v>
      </c>
      <c r="BT167" s="1">
        <v>8</v>
      </c>
      <c r="BU167" s="1" t="s">
        <v>734</v>
      </c>
      <c r="BV167" s="1" t="s">
        <v>2571</v>
      </c>
      <c r="BW167" s="1">
        <v>20</v>
      </c>
      <c r="BX167" s="1">
        <v>33</v>
      </c>
      <c r="BY167" s="1">
        <v>55</v>
      </c>
      <c r="BZ167" s="1"/>
      <c r="CA167" s="1"/>
      <c r="CB167" s="1"/>
      <c r="CC167" s="1" t="s">
        <v>2566</v>
      </c>
      <c r="CD167" s="1" t="s">
        <v>862</v>
      </c>
      <c r="CE167" s="1">
        <v>1</v>
      </c>
      <c r="CF167" s="1">
        <v>7.58</v>
      </c>
      <c r="CG167" s="1">
        <v>5.6364999999999998</v>
      </c>
      <c r="CH167" s="1">
        <v>7322.4000000000005</v>
      </c>
      <c r="CI167" s="1" t="s">
        <v>863</v>
      </c>
      <c r="CJ167" s="1" t="s">
        <v>167</v>
      </c>
      <c r="CK167" t="s">
        <v>1262</v>
      </c>
      <c r="CL167">
        <v>167</v>
      </c>
      <c r="CM167" t="s">
        <v>2716</v>
      </c>
    </row>
    <row r="168" spans="1:91" ht="19" customHeight="1">
      <c r="A168" s="1" t="s">
        <v>3432</v>
      </c>
      <c r="B168" s="1" t="s">
        <v>3093</v>
      </c>
      <c r="C168" s="1">
        <v>168</v>
      </c>
      <c r="D168" s="1" t="s">
        <v>860</v>
      </c>
      <c r="E168" s="1">
        <v>1999</v>
      </c>
      <c r="F168" s="1" t="s">
        <v>912</v>
      </c>
      <c r="G168" s="1" t="s">
        <v>2299</v>
      </c>
      <c r="H168" s="4">
        <v>23.686199999999999</v>
      </c>
      <c r="I168" s="4">
        <v>120.5622</v>
      </c>
      <c r="J168" s="1" t="s">
        <v>1396</v>
      </c>
      <c r="K168" s="1" t="s">
        <v>75</v>
      </c>
      <c r="L168" s="1" t="s">
        <v>2300</v>
      </c>
      <c r="M168" s="1" t="s">
        <v>3094</v>
      </c>
      <c r="N168" s="1"/>
      <c r="O168" s="1" t="s">
        <v>3095</v>
      </c>
      <c r="P168" s="1">
        <v>1595</v>
      </c>
      <c r="Q168" s="4">
        <v>7.6</v>
      </c>
      <c r="R168" s="4">
        <v>5.74</v>
      </c>
      <c r="S168" s="4"/>
      <c r="T168" s="4">
        <v>104.3</v>
      </c>
      <c r="U168" s="4">
        <v>9.9</v>
      </c>
      <c r="V168" s="4"/>
      <c r="W168" s="4">
        <v>33</v>
      </c>
      <c r="X168" s="4">
        <v>174</v>
      </c>
      <c r="Y168" s="4">
        <v>25</v>
      </c>
      <c r="Z168" s="4">
        <v>1</v>
      </c>
      <c r="AA168" s="4">
        <v>1</v>
      </c>
      <c r="AB168" s="4" t="s">
        <v>734</v>
      </c>
      <c r="AC168" s="4">
        <v>1.747459210331475</v>
      </c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1"/>
      <c r="BJ168" s="1" t="s">
        <v>3433</v>
      </c>
      <c r="BK168" s="1">
        <v>1</v>
      </c>
      <c r="BL168" s="1"/>
      <c r="BM168" s="1" t="s">
        <v>211</v>
      </c>
      <c r="BN168" s="1" t="s">
        <v>2710</v>
      </c>
      <c r="BO168" s="1" t="s">
        <v>2711</v>
      </c>
      <c r="BP168" s="1">
        <v>7.62</v>
      </c>
      <c r="BQ168" s="1" t="s">
        <v>1003</v>
      </c>
      <c r="BR168" s="1">
        <v>23.85</v>
      </c>
      <c r="BS168" s="1">
        <v>120.82</v>
      </c>
      <c r="BT168" s="1">
        <v>8</v>
      </c>
      <c r="BU168" s="1" t="s">
        <v>734</v>
      </c>
      <c r="BV168" s="1" t="s">
        <v>2571</v>
      </c>
      <c r="BW168" s="1">
        <v>20</v>
      </c>
      <c r="BX168" s="1">
        <v>33</v>
      </c>
      <c r="BY168" s="1">
        <v>55</v>
      </c>
      <c r="BZ168" s="1"/>
      <c r="CA168" s="1"/>
      <c r="CB168" s="1"/>
      <c r="CC168" s="1" t="s">
        <v>2566</v>
      </c>
      <c r="CD168" s="1" t="s">
        <v>862</v>
      </c>
      <c r="CE168" s="1">
        <v>1</v>
      </c>
      <c r="CF168" s="1">
        <v>7.58</v>
      </c>
      <c r="CG168" s="1">
        <v>5.6364999999999998</v>
      </c>
      <c r="CH168" s="1">
        <v>7322.4000000000005</v>
      </c>
      <c r="CI168" s="1" t="s">
        <v>863</v>
      </c>
      <c r="CJ168" s="1" t="s">
        <v>167</v>
      </c>
      <c r="CK168" t="s">
        <v>1262</v>
      </c>
      <c r="CL168">
        <v>168</v>
      </c>
      <c r="CM168" t="s">
        <v>2716</v>
      </c>
    </row>
    <row r="169" spans="1:91" ht="19" customHeight="1">
      <c r="A169" s="1" t="s">
        <v>3434</v>
      </c>
      <c r="B169" s="1" t="s">
        <v>3093</v>
      </c>
      <c r="C169" s="1">
        <v>169</v>
      </c>
      <c r="D169" s="1" t="s">
        <v>913</v>
      </c>
      <c r="E169" s="1">
        <v>1999</v>
      </c>
      <c r="F169" s="1" t="s">
        <v>864</v>
      </c>
      <c r="G169" s="1" t="s">
        <v>1799</v>
      </c>
      <c r="H169" s="4">
        <v>23.757000000000001</v>
      </c>
      <c r="I169" s="4">
        <v>120.6062</v>
      </c>
      <c r="J169" s="1" t="s">
        <v>1396</v>
      </c>
      <c r="K169" s="1" t="s">
        <v>75</v>
      </c>
      <c r="L169" s="1" t="s">
        <v>3435</v>
      </c>
      <c r="M169" s="1" t="s">
        <v>3094</v>
      </c>
      <c r="N169" s="1"/>
      <c r="O169" s="1" t="s">
        <v>3095</v>
      </c>
      <c r="P169" s="1">
        <v>2457</v>
      </c>
      <c r="Q169" s="4">
        <v>6.2</v>
      </c>
      <c r="R169" s="4">
        <v>3.19</v>
      </c>
      <c r="S169" s="4"/>
      <c r="T169" s="4">
        <v>32.700000000000003</v>
      </c>
      <c r="U169" s="4">
        <v>19.600000000000001</v>
      </c>
      <c r="V169" s="4"/>
      <c r="W169" s="4">
        <v>26.7</v>
      </c>
      <c r="X169" s="4">
        <v>274</v>
      </c>
      <c r="Y169" s="4">
        <v>86</v>
      </c>
      <c r="Z169" s="4">
        <v>1</v>
      </c>
      <c r="AA169" s="4">
        <v>0</v>
      </c>
      <c r="AB169" s="4" t="s">
        <v>734</v>
      </c>
      <c r="AC169" s="4">
        <v>1.160020916796753</v>
      </c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1"/>
      <c r="BJ169" s="1" t="s">
        <v>3436</v>
      </c>
      <c r="BK169" s="1">
        <v>1</v>
      </c>
      <c r="BL169" s="1"/>
      <c r="BM169" s="1" t="s">
        <v>463</v>
      </c>
      <c r="BN169" s="1" t="s">
        <v>2710</v>
      </c>
      <c r="BO169" s="1" t="s">
        <v>2718</v>
      </c>
      <c r="BP169" s="1">
        <v>6.2</v>
      </c>
      <c r="BQ169" s="1" t="s">
        <v>1003</v>
      </c>
      <c r="BR169" s="1">
        <v>23.81</v>
      </c>
      <c r="BS169" s="1">
        <v>120.85</v>
      </c>
      <c r="BT169" s="1">
        <v>7.8</v>
      </c>
      <c r="BU169" s="1" t="s">
        <v>734</v>
      </c>
      <c r="BV169" s="1" t="s">
        <v>2571</v>
      </c>
      <c r="BW169" s="1">
        <v>360</v>
      </c>
      <c r="BX169" s="1">
        <v>10</v>
      </c>
      <c r="BY169" s="1">
        <v>80</v>
      </c>
      <c r="BZ169" s="1"/>
      <c r="CA169" s="1"/>
      <c r="CB169" s="1"/>
      <c r="CC169" s="1" t="s">
        <v>2566</v>
      </c>
      <c r="CD169" s="1" t="s">
        <v>731</v>
      </c>
      <c r="CE169" s="1"/>
      <c r="CF169" s="1"/>
      <c r="CG169" s="1"/>
      <c r="CH169" s="1"/>
      <c r="CI169" s="1"/>
      <c r="CJ169" s="1" t="s">
        <v>167</v>
      </c>
      <c r="CK169" t="s">
        <v>1262</v>
      </c>
      <c r="CL169">
        <v>169</v>
      </c>
      <c r="CM169" t="s">
        <v>2720</v>
      </c>
    </row>
    <row r="170" spans="1:91" ht="19" customHeight="1">
      <c r="A170" s="1" t="s">
        <v>3437</v>
      </c>
      <c r="B170" s="1" t="s">
        <v>3093</v>
      </c>
      <c r="C170" s="1">
        <v>170</v>
      </c>
      <c r="D170" s="1" t="s">
        <v>913</v>
      </c>
      <c r="E170" s="1">
        <v>1999</v>
      </c>
      <c r="F170" s="1" t="s">
        <v>914</v>
      </c>
      <c r="G170" s="1" t="s">
        <v>1808</v>
      </c>
      <c r="H170" s="4">
        <v>23.52</v>
      </c>
      <c r="I170" s="4">
        <v>120.584</v>
      </c>
      <c r="J170" s="1" t="s">
        <v>1396</v>
      </c>
      <c r="K170" s="1" t="s">
        <v>75</v>
      </c>
      <c r="L170" s="1" t="s">
        <v>1810</v>
      </c>
      <c r="M170" s="1" t="s">
        <v>3094</v>
      </c>
      <c r="N170" s="1"/>
      <c r="O170" s="1" t="s">
        <v>3095</v>
      </c>
      <c r="P170" s="1">
        <v>2466</v>
      </c>
      <c r="Q170" s="4">
        <v>6.2</v>
      </c>
      <c r="R170" s="4">
        <v>1.06</v>
      </c>
      <c r="S170" s="4"/>
      <c r="T170" s="4">
        <v>30.1</v>
      </c>
      <c r="U170" s="4">
        <v>34.5</v>
      </c>
      <c r="V170" s="4"/>
      <c r="W170" s="4">
        <v>42.9</v>
      </c>
      <c r="X170" s="4">
        <v>74</v>
      </c>
      <c r="Y170" s="4">
        <v>74</v>
      </c>
      <c r="Z170" s="4">
        <v>0</v>
      </c>
      <c r="AA170" s="4">
        <v>0</v>
      </c>
      <c r="AB170" s="4" t="s">
        <v>734</v>
      </c>
      <c r="AC170" s="4">
        <v>5.8268908123975817E-2</v>
      </c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1"/>
      <c r="BJ170" s="1" t="s">
        <v>3438</v>
      </c>
      <c r="BK170" s="1">
        <v>1</v>
      </c>
      <c r="BL170" s="1"/>
      <c r="BM170" s="1" t="s">
        <v>463</v>
      </c>
      <c r="BN170" s="1" t="s">
        <v>2710</v>
      </c>
      <c r="BO170" s="1" t="s">
        <v>2718</v>
      </c>
      <c r="BP170" s="1">
        <v>6.2</v>
      </c>
      <c r="BQ170" s="1" t="s">
        <v>1003</v>
      </c>
      <c r="BR170" s="1">
        <v>23.81</v>
      </c>
      <c r="BS170" s="1">
        <v>120.85</v>
      </c>
      <c r="BT170" s="1">
        <v>7.8</v>
      </c>
      <c r="BU170" s="1" t="s">
        <v>734</v>
      </c>
      <c r="BV170" s="1" t="s">
        <v>2571</v>
      </c>
      <c r="BW170" s="1">
        <v>360</v>
      </c>
      <c r="BX170" s="1">
        <v>10</v>
      </c>
      <c r="BY170" s="1">
        <v>80</v>
      </c>
      <c r="BZ170" s="1"/>
      <c r="CA170" s="1"/>
      <c r="CB170" s="1"/>
      <c r="CC170" s="1" t="s">
        <v>2566</v>
      </c>
      <c r="CD170" s="1" t="s">
        <v>731</v>
      </c>
      <c r="CE170" s="1"/>
      <c r="CF170" s="1"/>
      <c r="CG170" s="1"/>
      <c r="CH170" s="1"/>
      <c r="CI170" s="1"/>
      <c r="CJ170" s="1" t="s">
        <v>167</v>
      </c>
      <c r="CK170" t="s">
        <v>1262</v>
      </c>
      <c r="CL170">
        <v>170</v>
      </c>
      <c r="CM170" t="s">
        <v>2720</v>
      </c>
    </row>
    <row r="171" spans="1:91" ht="19" customHeight="1">
      <c r="A171" s="1" t="s">
        <v>3439</v>
      </c>
      <c r="B171" s="1" t="s">
        <v>3093</v>
      </c>
      <c r="C171" s="1">
        <v>171</v>
      </c>
      <c r="D171" s="1" t="s">
        <v>913</v>
      </c>
      <c r="E171" s="1">
        <v>1999</v>
      </c>
      <c r="F171" s="1" t="s">
        <v>915</v>
      </c>
      <c r="G171" s="1" t="s">
        <v>1867</v>
      </c>
      <c r="H171" s="4">
        <v>23.597200000000001</v>
      </c>
      <c r="I171" s="4">
        <v>120.6777</v>
      </c>
      <c r="J171" s="1" t="s">
        <v>1396</v>
      </c>
      <c r="K171" s="1" t="s">
        <v>75</v>
      </c>
      <c r="L171" s="1" t="s">
        <v>1870</v>
      </c>
      <c r="M171" s="1" t="s">
        <v>3094</v>
      </c>
      <c r="N171" s="1"/>
      <c r="O171" s="1" t="s">
        <v>3095</v>
      </c>
      <c r="P171" s="1">
        <v>2495</v>
      </c>
      <c r="Q171" s="4">
        <v>6.2</v>
      </c>
      <c r="R171" s="4">
        <v>1.38</v>
      </c>
      <c r="S171" s="4"/>
      <c r="T171" s="4">
        <v>69.8</v>
      </c>
      <c r="U171" s="4">
        <v>22.4</v>
      </c>
      <c r="V171" s="4"/>
      <c r="W171" s="4">
        <v>30.5</v>
      </c>
      <c r="X171" s="4">
        <v>272</v>
      </c>
      <c r="Y171" s="4">
        <v>88</v>
      </c>
      <c r="Z171" s="4">
        <v>1</v>
      </c>
      <c r="AA171" s="4">
        <v>0</v>
      </c>
      <c r="AB171" s="4" t="s">
        <v>734</v>
      </c>
      <c r="AC171" s="4">
        <v>0.32208349916911322</v>
      </c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1"/>
      <c r="BJ171" s="1" t="s">
        <v>3440</v>
      </c>
      <c r="BK171" s="1">
        <v>1</v>
      </c>
      <c r="BL171" s="1"/>
      <c r="BM171" s="1" t="s">
        <v>463</v>
      </c>
      <c r="BN171" s="1" t="s">
        <v>2710</v>
      </c>
      <c r="BO171" s="1" t="s">
        <v>2718</v>
      </c>
      <c r="BP171" s="1">
        <v>6.2</v>
      </c>
      <c r="BQ171" s="1" t="s">
        <v>1003</v>
      </c>
      <c r="BR171" s="1">
        <v>23.81</v>
      </c>
      <c r="BS171" s="1">
        <v>120.85</v>
      </c>
      <c r="BT171" s="1">
        <v>7.8</v>
      </c>
      <c r="BU171" s="1" t="s">
        <v>734</v>
      </c>
      <c r="BV171" s="1" t="s">
        <v>2571</v>
      </c>
      <c r="BW171" s="1">
        <v>360</v>
      </c>
      <c r="BX171" s="1">
        <v>10</v>
      </c>
      <c r="BY171" s="1">
        <v>80</v>
      </c>
      <c r="BZ171" s="1"/>
      <c r="CA171" s="1"/>
      <c r="CB171" s="1"/>
      <c r="CC171" s="1" t="s">
        <v>2566</v>
      </c>
      <c r="CD171" s="1" t="s">
        <v>731</v>
      </c>
      <c r="CE171" s="1"/>
      <c r="CF171" s="1"/>
      <c r="CG171" s="1"/>
      <c r="CH171" s="1"/>
      <c r="CI171" s="1"/>
      <c r="CJ171" s="1" t="s">
        <v>167</v>
      </c>
      <c r="CK171" t="s">
        <v>1262</v>
      </c>
      <c r="CL171">
        <v>171</v>
      </c>
      <c r="CM171" t="s">
        <v>2720</v>
      </c>
    </row>
    <row r="172" spans="1:91" ht="19" customHeight="1">
      <c r="A172" s="1" t="s">
        <v>3441</v>
      </c>
      <c r="B172" s="1" t="s">
        <v>3093</v>
      </c>
      <c r="C172" s="1">
        <v>172</v>
      </c>
      <c r="D172" s="1" t="s">
        <v>913</v>
      </c>
      <c r="E172" s="1">
        <v>1999</v>
      </c>
      <c r="F172" s="1" t="s">
        <v>894</v>
      </c>
      <c r="G172" s="1" t="s">
        <v>2176</v>
      </c>
      <c r="H172" s="4">
        <v>24.058800000000002</v>
      </c>
      <c r="I172" s="4">
        <v>120.69119999999999</v>
      </c>
      <c r="J172" s="1" t="s">
        <v>1396</v>
      </c>
      <c r="K172" s="1" t="s">
        <v>75</v>
      </c>
      <c r="L172" s="1" t="s">
        <v>3442</v>
      </c>
      <c r="M172" s="1" t="s">
        <v>3094</v>
      </c>
      <c r="N172" s="1"/>
      <c r="O172" s="1" t="s">
        <v>3095</v>
      </c>
      <c r="P172" s="1">
        <v>2618</v>
      </c>
      <c r="Q172" s="4">
        <v>6.2</v>
      </c>
      <c r="R172" s="4">
        <v>1.53</v>
      </c>
      <c r="S172" s="4"/>
      <c r="T172" s="4">
        <v>35.4</v>
      </c>
      <c r="U172" s="4">
        <v>26.1</v>
      </c>
      <c r="V172" s="4"/>
      <c r="W172" s="4">
        <v>33</v>
      </c>
      <c r="X172" s="4">
        <v>305</v>
      </c>
      <c r="Y172" s="4">
        <v>55</v>
      </c>
      <c r="Z172" s="4">
        <v>0</v>
      </c>
      <c r="AA172" s="4">
        <v>0</v>
      </c>
      <c r="AB172" s="4" t="s">
        <v>734</v>
      </c>
      <c r="AC172" s="4">
        <v>0.42526773540434409</v>
      </c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1"/>
      <c r="BJ172" s="1" t="s">
        <v>3443</v>
      </c>
      <c r="BK172" s="1">
        <v>1</v>
      </c>
      <c r="BL172" s="1"/>
      <c r="BM172" s="1" t="s">
        <v>463</v>
      </c>
      <c r="BN172" s="1" t="s">
        <v>2710</v>
      </c>
      <c r="BO172" s="1" t="s">
        <v>2718</v>
      </c>
      <c r="BP172" s="1">
        <v>6.2</v>
      </c>
      <c r="BQ172" s="1" t="s">
        <v>1003</v>
      </c>
      <c r="BR172" s="1">
        <v>23.81</v>
      </c>
      <c r="BS172" s="1">
        <v>120.85</v>
      </c>
      <c r="BT172" s="1">
        <v>7.8</v>
      </c>
      <c r="BU172" s="1" t="s">
        <v>734</v>
      </c>
      <c r="BV172" s="1" t="s">
        <v>2571</v>
      </c>
      <c r="BW172" s="1">
        <v>360</v>
      </c>
      <c r="BX172" s="1">
        <v>10</v>
      </c>
      <c r="BY172" s="1">
        <v>80</v>
      </c>
      <c r="BZ172" s="1"/>
      <c r="CA172" s="1"/>
      <c r="CB172" s="1"/>
      <c r="CC172" s="1" t="s">
        <v>2566</v>
      </c>
      <c r="CD172" s="1" t="s">
        <v>731</v>
      </c>
      <c r="CE172" s="1"/>
      <c r="CF172" s="1"/>
      <c r="CG172" s="1"/>
      <c r="CH172" s="1"/>
      <c r="CI172" s="1"/>
      <c r="CJ172" s="1" t="s">
        <v>167</v>
      </c>
      <c r="CK172" t="s">
        <v>1262</v>
      </c>
      <c r="CL172">
        <v>172</v>
      </c>
      <c r="CM172" t="s">
        <v>2720</v>
      </c>
    </row>
    <row r="173" spans="1:91" ht="19" customHeight="1">
      <c r="A173" s="1" t="s">
        <v>3444</v>
      </c>
      <c r="B173" s="1" t="s">
        <v>3093</v>
      </c>
      <c r="C173" s="1">
        <v>173</v>
      </c>
      <c r="D173" s="1" t="s">
        <v>913</v>
      </c>
      <c r="E173" s="1">
        <v>1999</v>
      </c>
      <c r="F173" s="1" t="s">
        <v>897</v>
      </c>
      <c r="G173" s="1" t="s">
        <v>2195</v>
      </c>
      <c r="H173" s="4">
        <v>23.907699999999998</v>
      </c>
      <c r="I173" s="4">
        <v>120.67570000000001</v>
      </c>
      <c r="J173" s="1" t="s">
        <v>1396</v>
      </c>
      <c r="K173" s="1" t="s">
        <v>75</v>
      </c>
      <c r="L173" s="1" t="s">
        <v>3445</v>
      </c>
      <c r="M173" s="1" t="s">
        <v>3094</v>
      </c>
      <c r="N173" s="1"/>
      <c r="O173" s="1" t="s">
        <v>3095</v>
      </c>
      <c r="P173" s="1">
        <v>2627</v>
      </c>
      <c r="Q173" s="4">
        <v>6.2</v>
      </c>
      <c r="R173" s="4">
        <v>0.92</v>
      </c>
      <c r="S173" s="4"/>
      <c r="T173" s="4">
        <v>61.5</v>
      </c>
      <c r="U173" s="4">
        <v>14.7</v>
      </c>
      <c r="V173" s="4"/>
      <c r="W173" s="4">
        <v>22.2</v>
      </c>
      <c r="X173" s="4">
        <v>280</v>
      </c>
      <c r="Y173" s="4">
        <v>80</v>
      </c>
      <c r="Z173" s="4">
        <v>1</v>
      </c>
      <c r="AA173" s="4">
        <v>0</v>
      </c>
      <c r="AB173" s="4" t="s">
        <v>734</v>
      </c>
      <c r="AC173" s="4">
        <v>-8.3381608939051013E-2</v>
      </c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1"/>
      <c r="BJ173" s="1" t="s">
        <v>3446</v>
      </c>
      <c r="BK173" s="1">
        <v>1</v>
      </c>
      <c r="BL173" s="1"/>
      <c r="BM173" s="1" t="s">
        <v>463</v>
      </c>
      <c r="BN173" s="1" t="s">
        <v>2710</v>
      </c>
      <c r="BO173" s="1" t="s">
        <v>2718</v>
      </c>
      <c r="BP173" s="1">
        <v>6.2</v>
      </c>
      <c r="BQ173" s="1" t="s">
        <v>1003</v>
      </c>
      <c r="BR173" s="1">
        <v>23.81</v>
      </c>
      <c r="BS173" s="1">
        <v>120.85</v>
      </c>
      <c r="BT173" s="1">
        <v>7.8</v>
      </c>
      <c r="BU173" s="1" t="s">
        <v>734</v>
      </c>
      <c r="BV173" s="1" t="s">
        <v>2571</v>
      </c>
      <c r="BW173" s="1">
        <v>360</v>
      </c>
      <c r="BX173" s="1">
        <v>10</v>
      </c>
      <c r="BY173" s="1">
        <v>80</v>
      </c>
      <c r="BZ173" s="1"/>
      <c r="CA173" s="1"/>
      <c r="CB173" s="1"/>
      <c r="CC173" s="1" t="s">
        <v>2566</v>
      </c>
      <c r="CD173" s="1" t="s">
        <v>731</v>
      </c>
      <c r="CE173" s="1"/>
      <c r="CF173" s="1"/>
      <c r="CG173" s="1"/>
      <c r="CH173" s="1"/>
      <c r="CI173" s="1"/>
      <c r="CJ173" s="1" t="s">
        <v>167</v>
      </c>
      <c r="CK173" t="s">
        <v>1262</v>
      </c>
      <c r="CL173">
        <v>173</v>
      </c>
      <c r="CM173" t="s">
        <v>2720</v>
      </c>
    </row>
    <row r="174" spans="1:91" ht="19" customHeight="1">
      <c r="A174" s="1" t="s">
        <v>3447</v>
      </c>
      <c r="B174" s="1" t="s">
        <v>3093</v>
      </c>
      <c r="C174" s="1">
        <v>174</v>
      </c>
      <c r="D174" s="1" t="s">
        <v>913</v>
      </c>
      <c r="E174" s="1">
        <v>1999</v>
      </c>
      <c r="F174" s="1" t="s">
        <v>916</v>
      </c>
      <c r="G174" s="1" t="s">
        <v>2201</v>
      </c>
      <c r="H174" s="4">
        <v>23.812000000000001</v>
      </c>
      <c r="I174" s="4">
        <v>120.8455</v>
      </c>
      <c r="J174" s="1" t="s">
        <v>1396</v>
      </c>
      <c r="K174" s="1" t="s">
        <v>75</v>
      </c>
      <c r="L174" s="1" t="s">
        <v>2205</v>
      </c>
      <c r="M174" s="1" t="s">
        <v>3094</v>
      </c>
      <c r="N174" s="1"/>
      <c r="O174" s="1" t="s">
        <v>3095</v>
      </c>
      <c r="P174" s="1">
        <v>2628</v>
      </c>
      <c r="Q174" s="4">
        <v>6.2</v>
      </c>
      <c r="R174" s="4">
        <v>3.86</v>
      </c>
      <c r="S174" s="4"/>
      <c r="T174" s="4">
        <v>56.3</v>
      </c>
      <c r="U174" s="4">
        <v>7.6</v>
      </c>
      <c r="V174" s="4"/>
      <c r="W174" s="4">
        <v>7.8</v>
      </c>
      <c r="X174" s="4">
        <v>280</v>
      </c>
      <c r="Y174" s="4">
        <v>80</v>
      </c>
      <c r="Z174" s="4">
        <v>0</v>
      </c>
      <c r="AA174" s="4">
        <v>0</v>
      </c>
      <c r="AB174" s="4" t="s">
        <v>734</v>
      </c>
      <c r="AC174" s="4">
        <v>1.350667183476739</v>
      </c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1"/>
      <c r="BJ174" s="1" t="s">
        <v>3448</v>
      </c>
      <c r="BK174" s="1">
        <v>1</v>
      </c>
      <c r="BL174" s="1"/>
      <c r="BM174" s="1" t="s">
        <v>463</v>
      </c>
      <c r="BN174" s="1" t="s">
        <v>2710</v>
      </c>
      <c r="BO174" s="1" t="s">
        <v>2718</v>
      </c>
      <c r="BP174" s="1">
        <v>6.2</v>
      </c>
      <c r="BQ174" s="1" t="s">
        <v>1003</v>
      </c>
      <c r="BR174" s="1">
        <v>23.81</v>
      </c>
      <c r="BS174" s="1">
        <v>120.85</v>
      </c>
      <c r="BT174" s="1">
        <v>7.8</v>
      </c>
      <c r="BU174" s="1" t="s">
        <v>734</v>
      </c>
      <c r="BV174" s="1" t="s">
        <v>2571</v>
      </c>
      <c r="BW174" s="1">
        <v>360</v>
      </c>
      <c r="BX174" s="1">
        <v>10</v>
      </c>
      <c r="BY174" s="1">
        <v>80</v>
      </c>
      <c r="BZ174" s="1"/>
      <c r="CA174" s="1"/>
      <c r="CB174" s="1"/>
      <c r="CC174" s="1" t="s">
        <v>2566</v>
      </c>
      <c r="CD174" s="1" t="s">
        <v>731</v>
      </c>
      <c r="CE174" s="1"/>
      <c r="CF174" s="1"/>
      <c r="CG174" s="1"/>
      <c r="CH174" s="1"/>
      <c r="CI174" s="1"/>
      <c r="CJ174" s="1" t="s">
        <v>167</v>
      </c>
      <c r="CK174" t="s">
        <v>1262</v>
      </c>
      <c r="CL174">
        <v>174</v>
      </c>
      <c r="CM174" t="s">
        <v>2720</v>
      </c>
    </row>
    <row r="175" spans="1:91" ht="19" customHeight="1">
      <c r="A175" s="1" t="s">
        <v>3449</v>
      </c>
      <c r="B175" s="1" t="s">
        <v>3093</v>
      </c>
      <c r="C175" s="1">
        <v>175</v>
      </c>
      <c r="D175" s="1" t="s">
        <v>917</v>
      </c>
      <c r="E175" s="1">
        <v>1999</v>
      </c>
      <c r="F175" s="1" t="s">
        <v>865</v>
      </c>
      <c r="G175" s="1" t="s">
        <v>1885</v>
      </c>
      <c r="H175" s="4">
        <v>23.686199999999999</v>
      </c>
      <c r="I175" s="4">
        <v>120.5622</v>
      </c>
      <c r="J175" s="1" t="s">
        <v>1396</v>
      </c>
      <c r="K175" s="1" t="s">
        <v>75</v>
      </c>
      <c r="L175" s="1" t="s">
        <v>3450</v>
      </c>
      <c r="M175" s="1" t="s">
        <v>3094</v>
      </c>
      <c r="N175" s="1"/>
      <c r="O175" s="1" t="s">
        <v>3095</v>
      </c>
      <c r="P175" s="1">
        <v>3317</v>
      </c>
      <c r="Q175" s="4">
        <v>6.3</v>
      </c>
      <c r="R175" s="4">
        <v>3.26</v>
      </c>
      <c r="S175" s="4"/>
      <c r="T175" s="4">
        <v>34.1</v>
      </c>
      <c r="U175" s="4">
        <v>36</v>
      </c>
      <c r="V175" s="4"/>
      <c r="W175" s="4">
        <v>52.5</v>
      </c>
      <c r="X175" s="4">
        <v>275</v>
      </c>
      <c r="Y175" s="4">
        <v>90</v>
      </c>
      <c r="Z175" s="4">
        <v>1</v>
      </c>
      <c r="AA175" s="4">
        <v>0</v>
      </c>
      <c r="AB175" s="4" t="s">
        <v>734</v>
      </c>
      <c r="AC175" s="4">
        <v>1.1817271953786159</v>
      </c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1"/>
      <c r="BJ175" s="1" t="s">
        <v>3451</v>
      </c>
      <c r="BK175" s="1">
        <v>1</v>
      </c>
      <c r="BL175" s="1"/>
      <c r="BM175" s="1" t="s">
        <v>484</v>
      </c>
      <c r="BN175" s="1" t="s">
        <v>2722</v>
      </c>
      <c r="BO175" s="1" t="s">
        <v>2723</v>
      </c>
      <c r="BP175" s="1">
        <v>6.3</v>
      </c>
      <c r="BQ175" s="1" t="s">
        <v>1003</v>
      </c>
      <c r="BR175" s="1">
        <v>23.87</v>
      </c>
      <c r="BS175" s="1">
        <v>121.01</v>
      </c>
      <c r="BT175" s="1">
        <v>16</v>
      </c>
      <c r="BU175" s="1" t="s">
        <v>734</v>
      </c>
      <c r="BV175" s="1" t="s">
        <v>2571</v>
      </c>
      <c r="BW175" s="1">
        <v>5</v>
      </c>
      <c r="BX175" s="1">
        <v>30</v>
      </c>
      <c r="BY175" s="1">
        <v>100</v>
      </c>
      <c r="BZ175" s="1"/>
      <c r="CA175" s="1"/>
      <c r="CB175" s="1"/>
      <c r="CC175" s="1" t="s">
        <v>2566</v>
      </c>
      <c r="CD175" s="1" t="s">
        <v>731</v>
      </c>
      <c r="CE175" s="1"/>
      <c r="CF175" s="1"/>
      <c r="CG175" s="1"/>
      <c r="CH175" s="1"/>
      <c r="CI175" s="1"/>
      <c r="CJ175" s="1" t="s">
        <v>167</v>
      </c>
      <c r="CK175" t="s">
        <v>1262</v>
      </c>
      <c r="CL175">
        <v>175</v>
      </c>
      <c r="CM175" t="s">
        <v>2725</v>
      </c>
    </row>
    <row r="176" spans="1:91" ht="19" customHeight="1">
      <c r="A176" s="1" t="s">
        <v>3452</v>
      </c>
      <c r="B176" s="1" t="s">
        <v>3093</v>
      </c>
      <c r="C176" s="1">
        <v>176</v>
      </c>
      <c r="D176" s="1" t="s">
        <v>917</v>
      </c>
      <c r="E176" s="1">
        <v>1999</v>
      </c>
      <c r="F176" s="1" t="s">
        <v>916</v>
      </c>
      <c r="G176" s="1" t="s">
        <v>2201</v>
      </c>
      <c r="H176" s="4">
        <v>23.812000000000001</v>
      </c>
      <c r="I176" s="4">
        <v>120.8455</v>
      </c>
      <c r="J176" s="1" t="s">
        <v>1396</v>
      </c>
      <c r="K176" s="1" t="s">
        <v>75</v>
      </c>
      <c r="L176" s="1" t="s">
        <v>3453</v>
      </c>
      <c r="M176" s="1" t="s">
        <v>3094</v>
      </c>
      <c r="N176" s="1"/>
      <c r="O176" s="1" t="s">
        <v>3095</v>
      </c>
      <c r="P176" s="1">
        <v>3473</v>
      </c>
      <c r="Q176" s="4">
        <v>6.3</v>
      </c>
      <c r="R176" s="4">
        <v>4.1500000000000004</v>
      </c>
      <c r="S176" s="4"/>
      <c r="T176" s="4">
        <v>38.4</v>
      </c>
      <c r="U176" s="4">
        <v>11.5</v>
      </c>
      <c r="V176" s="4"/>
      <c r="W176" s="4">
        <v>24</v>
      </c>
      <c r="X176" s="4">
        <v>288</v>
      </c>
      <c r="Y176" s="4">
        <v>77</v>
      </c>
      <c r="Z176" s="4">
        <v>0</v>
      </c>
      <c r="AA176" s="4">
        <v>1</v>
      </c>
      <c r="AB176" s="4" t="s">
        <v>734</v>
      </c>
      <c r="AC176" s="4">
        <v>1.423108334242607</v>
      </c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1"/>
      <c r="BJ176" s="1" t="s">
        <v>3454</v>
      </c>
      <c r="BK176" s="1">
        <v>1</v>
      </c>
      <c r="BL176" s="1"/>
      <c r="BM176" s="1" t="s">
        <v>484</v>
      </c>
      <c r="BN176" s="1" t="s">
        <v>2722</v>
      </c>
      <c r="BO176" s="1" t="s">
        <v>2723</v>
      </c>
      <c r="BP176" s="1">
        <v>6.3</v>
      </c>
      <c r="BQ176" s="1" t="s">
        <v>1003</v>
      </c>
      <c r="BR176" s="1">
        <v>23.87</v>
      </c>
      <c r="BS176" s="1">
        <v>121.01</v>
      </c>
      <c r="BT176" s="1">
        <v>16</v>
      </c>
      <c r="BU176" s="1" t="s">
        <v>734</v>
      </c>
      <c r="BV176" s="1" t="s">
        <v>2571</v>
      </c>
      <c r="BW176" s="1">
        <v>5</v>
      </c>
      <c r="BX176" s="1">
        <v>30</v>
      </c>
      <c r="BY176" s="1">
        <v>100</v>
      </c>
      <c r="BZ176" s="1"/>
      <c r="CA176" s="1"/>
      <c r="CB176" s="1"/>
      <c r="CC176" s="1" t="s">
        <v>2566</v>
      </c>
      <c r="CD176" s="1" t="s">
        <v>731</v>
      </c>
      <c r="CE176" s="1"/>
      <c r="CF176" s="1"/>
      <c r="CG176" s="1"/>
      <c r="CH176" s="1"/>
      <c r="CI176" s="1"/>
      <c r="CJ176" s="1" t="s">
        <v>167</v>
      </c>
      <c r="CK176" t="s">
        <v>1262</v>
      </c>
      <c r="CL176">
        <v>176</v>
      </c>
      <c r="CM176" t="s">
        <v>2725</v>
      </c>
    </row>
    <row r="177" spans="1:91" ht="19" customHeight="1">
      <c r="A177" s="1" t="s">
        <v>3455</v>
      </c>
      <c r="B177" s="1" t="s">
        <v>3093</v>
      </c>
      <c r="C177" s="1">
        <v>177</v>
      </c>
      <c r="D177" s="1" t="s">
        <v>917</v>
      </c>
      <c r="E177" s="1">
        <v>1999</v>
      </c>
      <c r="F177" s="1" t="s">
        <v>918</v>
      </c>
      <c r="G177" s="1" t="s">
        <v>2210</v>
      </c>
      <c r="H177" s="4">
        <v>23.9</v>
      </c>
      <c r="I177" s="4">
        <v>120.93</v>
      </c>
      <c r="J177" s="1" t="s">
        <v>1396</v>
      </c>
      <c r="K177" s="1" t="s">
        <v>75</v>
      </c>
      <c r="L177" s="1" t="s">
        <v>2211</v>
      </c>
      <c r="M177" s="1" t="s">
        <v>3094</v>
      </c>
      <c r="N177" s="1"/>
      <c r="O177" s="1" t="s">
        <v>3095</v>
      </c>
      <c r="P177" s="1">
        <v>3475</v>
      </c>
      <c r="Q177" s="4">
        <v>6.3</v>
      </c>
      <c r="R177" s="4">
        <v>1.02</v>
      </c>
      <c r="S177" s="4"/>
      <c r="T177" s="4">
        <v>39.299999999999997</v>
      </c>
      <c r="U177" s="4">
        <v>10.199999999999999</v>
      </c>
      <c r="V177" s="4"/>
      <c r="W177" s="4">
        <v>18.3</v>
      </c>
      <c r="X177" s="4">
        <v>50</v>
      </c>
      <c r="Y177" s="4">
        <v>45</v>
      </c>
      <c r="Z177" s="4">
        <v>0</v>
      </c>
      <c r="AA177" s="4">
        <v>1</v>
      </c>
      <c r="AB177" s="4" t="s">
        <v>734</v>
      </c>
      <c r="AC177" s="4">
        <v>1.980262729617973E-2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1"/>
      <c r="BJ177" s="1" t="s">
        <v>3456</v>
      </c>
      <c r="BK177" s="1">
        <v>1</v>
      </c>
      <c r="BL177" s="1"/>
      <c r="BM177" s="1" t="s">
        <v>484</v>
      </c>
      <c r="BN177" s="1" t="s">
        <v>2722</v>
      </c>
      <c r="BO177" s="1" t="s">
        <v>2723</v>
      </c>
      <c r="BP177" s="1">
        <v>6.3</v>
      </c>
      <c r="BQ177" s="1" t="s">
        <v>1003</v>
      </c>
      <c r="BR177" s="1">
        <v>23.87</v>
      </c>
      <c r="BS177" s="1">
        <v>121.01</v>
      </c>
      <c r="BT177" s="1">
        <v>16</v>
      </c>
      <c r="BU177" s="1" t="s">
        <v>734</v>
      </c>
      <c r="BV177" s="1" t="s">
        <v>2571</v>
      </c>
      <c r="BW177" s="1">
        <v>5</v>
      </c>
      <c r="BX177" s="1">
        <v>30</v>
      </c>
      <c r="BY177" s="1">
        <v>100</v>
      </c>
      <c r="BZ177" s="1"/>
      <c r="CA177" s="1"/>
      <c r="CB177" s="1"/>
      <c r="CC177" s="1" t="s">
        <v>2566</v>
      </c>
      <c r="CD177" s="1" t="s">
        <v>731</v>
      </c>
      <c r="CE177" s="1"/>
      <c r="CF177" s="1"/>
      <c r="CG177" s="1"/>
      <c r="CH177" s="1"/>
      <c r="CI177" s="1"/>
      <c r="CJ177" s="1" t="s">
        <v>167</v>
      </c>
      <c r="CK177" t="s">
        <v>1262</v>
      </c>
      <c r="CL177">
        <v>177</v>
      </c>
      <c r="CM177" t="s">
        <v>2725</v>
      </c>
    </row>
    <row r="178" spans="1:91" ht="19" customHeight="1">
      <c r="A178" s="1" t="s">
        <v>3457</v>
      </c>
      <c r="B178" s="1" t="s">
        <v>3093</v>
      </c>
      <c r="C178" s="1">
        <v>178</v>
      </c>
      <c r="D178" s="1" t="s">
        <v>919</v>
      </c>
      <c r="E178" s="1">
        <v>1999</v>
      </c>
      <c r="F178" s="1" t="s">
        <v>920</v>
      </c>
      <c r="G178" s="1" t="s">
        <v>1864</v>
      </c>
      <c r="H178" s="4">
        <v>23.510300000000001</v>
      </c>
      <c r="I178" s="4">
        <v>120.8052</v>
      </c>
      <c r="J178" s="1" t="s">
        <v>1396</v>
      </c>
      <c r="K178" s="1" t="s">
        <v>75</v>
      </c>
      <c r="L178" s="1" t="s">
        <v>1866</v>
      </c>
      <c r="M178" s="1" t="s">
        <v>3094</v>
      </c>
      <c r="N178" s="1"/>
      <c r="O178" s="1" t="s">
        <v>3095</v>
      </c>
      <c r="P178" s="1">
        <v>2734</v>
      </c>
      <c r="Q178" s="4">
        <v>6.2</v>
      </c>
      <c r="R178" s="4">
        <v>2.44</v>
      </c>
      <c r="S178" s="4"/>
      <c r="T178" s="4">
        <v>44</v>
      </c>
      <c r="U178" s="4">
        <v>6.2</v>
      </c>
      <c r="V178" s="4"/>
      <c r="W178" s="4">
        <v>20.6</v>
      </c>
      <c r="X178" s="4">
        <v>355</v>
      </c>
      <c r="Y178" s="4">
        <v>25</v>
      </c>
      <c r="Z178" s="4">
        <v>0</v>
      </c>
      <c r="AA178" s="4">
        <v>1</v>
      </c>
      <c r="AB178" s="4" t="s">
        <v>730</v>
      </c>
      <c r="AC178" s="4">
        <v>0.89199803930511046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1"/>
      <c r="BJ178" s="1" t="s">
        <v>3458</v>
      </c>
      <c r="BK178" s="1">
        <v>1</v>
      </c>
      <c r="BL178" s="1"/>
      <c r="BM178" s="1" t="s">
        <v>469</v>
      </c>
      <c r="BN178" s="1" t="s">
        <v>2710</v>
      </c>
      <c r="BO178" s="1" t="s">
        <v>2727</v>
      </c>
      <c r="BP178" s="1">
        <v>6.2</v>
      </c>
      <c r="BQ178" s="1" t="s">
        <v>1003</v>
      </c>
      <c r="BR178" s="1">
        <v>23.6</v>
      </c>
      <c r="BS178" s="1">
        <v>120.82</v>
      </c>
      <c r="BT178" s="1">
        <v>18</v>
      </c>
      <c r="BU178" s="1" t="s">
        <v>730</v>
      </c>
      <c r="BV178" s="1" t="s">
        <v>2571</v>
      </c>
      <c r="BW178" s="1">
        <v>330</v>
      </c>
      <c r="BX178" s="1">
        <v>89</v>
      </c>
      <c r="BY178" s="1">
        <v>15</v>
      </c>
      <c r="BZ178" s="1"/>
      <c r="CA178" s="1"/>
      <c r="CB178" s="1"/>
      <c r="CC178" s="1" t="s">
        <v>2566</v>
      </c>
      <c r="CD178" s="1" t="s">
        <v>731</v>
      </c>
      <c r="CE178" s="1"/>
      <c r="CF178" s="1"/>
      <c r="CG178" s="1"/>
      <c r="CH178" s="1"/>
      <c r="CI178" s="1"/>
      <c r="CJ178" s="1" t="s">
        <v>167</v>
      </c>
      <c r="CK178" t="s">
        <v>1262</v>
      </c>
      <c r="CL178">
        <v>178</v>
      </c>
      <c r="CM178" t="s">
        <v>2729</v>
      </c>
    </row>
    <row r="179" spans="1:91" ht="19" customHeight="1">
      <c r="A179" s="1" t="s">
        <v>3459</v>
      </c>
      <c r="B179" s="1" t="s">
        <v>3093</v>
      </c>
      <c r="C179" s="1">
        <v>179</v>
      </c>
      <c r="D179" s="1" t="s">
        <v>921</v>
      </c>
      <c r="E179" s="1">
        <v>1999</v>
      </c>
      <c r="F179" s="1" t="s">
        <v>922</v>
      </c>
      <c r="G179" s="1" t="s">
        <v>1746</v>
      </c>
      <c r="H179" s="4">
        <v>40.744999999999997</v>
      </c>
      <c r="I179" s="4">
        <v>31.61</v>
      </c>
      <c r="J179" s="1" t="s">
        <v>1396</v>
      </c>
      <c r="K179" s="1" t="s">
        <v>75</v>
      </c>
      <c r="L179" s="1" t="s">
        <v>1747</v>
      </c>
      <c r="M179" s="1" t="s">
        <v>3094</v>
      </c>
      <c r="N179" s="1"/>
      <c r="O179" s="1" t="s">
        <v>3095</v>
      </c>
      <c r="P179" s="1">
        <v>1602</v>
      </c>
      <c r="Q179" s="4">
        <v>7.1</v>
      </c>
      <c r="R179" s="4">
        <v>0.88</v>
      </c>
      <c r="S179" s="4"/>
      <c r="T179" s="4">
        <v>65.8</v>
      </c>
      <c r="U179" s="4">
        <v>12</v>
      </c>
      <c r="V179" s="4"/>
      <c r="W179" s="4">
        <v>43.6</v>
      </c>
      <c r="X179" s="4">
        <v>88</v>
      </c>
      <c r="Y179" s="4">
        <v>10</v>
      </c>
      <c r="Z179" s="4">
        <v>0</v>
      </c>
      <c r="AA179" s="4">
        <v>1</v>
      </c>
      <c r="AB179" s="4" t="s">
        <v>730</v>
      </c>
      <c r="AC179" s="4">
        <v>-0.12783337150988491</v>
      </c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1"/>
      <c r="BJ179" s="1" t="s">
        <v>3460</v>
      </c>
      <c r="BK179" s="1">
        <v>1</v>
      </c>
      <c r="BL179" s="1"/>
      <c r="BM179" s="1" t="s">
        <v>491</v>
      </c>
      <c r="BN179" s="1" t="s">
        <v>2730</v>
      </c>
      <c r="BO179" s="1" t="s">
        <v>2731</v>
      </c>
      <c r="BP179" s="1">
        <v>7.14</v>
      </c>
      <c r="BQ179" s="1" t="s">
        <v>1003</v>
      </c>
      <c r="BR179" s="1">
        <v>40.834499999999998</v>
      </c>
      <c r="BS179" s="1">
        <v>31.134599999999999</v>
      </c>
      <c r="BT179" s="1">
        <v>14</v>
      </c>
      <c r="BU179" s="1" t="s">
        <v>730</v>
      </c>
      <c r="BV179" s="1" t="s">
        <v>2571</v>
      </c>
      <c r="BW179" s="1">
        <v>270</v>
      </c>
      <c r="BX179" s="1">
        <v>65</v>
      </c>
      <c r="BY179" s="1">
        <v>-178</v>
      </c>
      <c r="BZ179" s="1"/>
      <c r="CA179" s="1"/>
      <c r="CB179" s="1"/>
      <c r="CC179" s="1" t="s">
        <v>2566</v>
      </c>
      <c r="CD179" s="1" t="s">
        <v>731</v>
      </c>
      <c r="CE179" s="1"/>
      <c r="CF179" s="1"/>
      <c r="CG179" s="1"/>
      <c r="CH179" s="1"/>
      <c r="CI179" s="1"/>
      <c r="CJ179" s="1" t="s">
        <v>167</v>
      </c>
      <c r="CK179" t="s">
        <v>1262</v>
      </c>
      <c r="CL179">
        <v>179</v>
      </c>
      <c r="CM179" t="s">
        <v>2733</v>
      </c>
    </row>
    <row r="180" spans="1:91" ht="19" customHeight="1">
      <c r="A180" s="1" t="s">
        <v>3461</v>
      </c>
      <c r="B180" s="1" t="s">
        <v>3093</v>
      </c>
      <c r="C180" s="1">
        <v>180</v>
      </c>
      <c r="D180" s="1" t="s">
        <v>921</v>
      </c>
      <c r="E180" s="1">
        <v>1999</v>
      </c>
      <c r="F180" s="1" t="s">
        <v>685</v>
      </c>
      <c r="G180" s="1" t="s">
        <v>1749</v>
      </c>
      <c r="H180" s="4">
        <v>40.844000000000001</v>
      </c>
      <c r="I180" s="4">
        <v>31.149000000000001</v>
      </c>
      <c r="J180" s="1" t="s">
        <v>1396</v>
      </c>
      <c r="K180" s="1" t="s">
        <v>75</v>
      </c>
      <c r="L180" s="1" t="s">
        <v>1750</v>
      </c>
      <c r="M180" s="1" t="s">
        <v>3094</v>
      </c>
      <c r="N180" s="1"/>
      <c r="O180" s="1" t="s">
        <v>3095</v>
      </c>
      <c r="P180" s="1">
        <v>1605</v>
      </c>
      <c r="Q180" s="4">
        <v>7.1</v>
      </c>
      <c r="R180" s="4">
        <v>5.94</v>
      </c>
      <c r="S180" s="4"/>
      <c r="T180" s="4">
        <v>78.900000000000006</v>
      </c>
      <c r="U180" s="4">
        <v>6.6</v>
      </c>
      <c r="V180" s="4"/>
      <c r="W180" s="4">
        <v>14.1</v>
      </c>
      <c r="X180" s="4">
        <v>131</v>
      </c>
      <c r="Y180" s="4">
        <v>49</v>
      </c>
      <c r="Z180" s="4">
        <v>1</v>
      </c>
      <c r="AA180" s="4">
        <v>0</v>
      </c>
      <c r="AB180" s="4" t="s">
        <v>730</v>
      </c>
      <c r="AC180" s="4">
        <v>1.7817091333745541</v>
      </c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1"/>
      <c r="BJ180" s="1" t="s">
        <v>3462</v>
      </c>
      <c r="BK180" s="1">
        <v>1</v>
      </c>
      <c r="BL180" s="1"/>
      <c r="BM180" s="1" t="s">
        <v>491</v>
      </c>
      <c r="BN180" s="1" t="s">
        <v>2730</v>
      </c>
      <c r="BO180" s="1" t="s">
        <v>2731</v>
      </c>
      <c r="BP180" s="1">
        <v>7.14</v>
      </c>
      <c r="BQ180" s="1" t="s">
        <v>1003</v>
      </c>
      <c r="BR180" s="1">
        <v>40.834499999999998</v>
      </c>
      <c r="BS180" s="1">
        <v>31.134599999999999</v>
      </c>
      <c r="BT180" s="1">
        <v>14</v>
      </c>
      <c r="BU180" s="1" t="s">
        <v>730</v>
      </c>
      <c r="BV180" s="1" t="s">
        <v>2571</v>
      </c>
      <c r="BW180" s="1">
        <v>270</v>
      </c>
      <c r="BX180" s="1">
        <v>65</v>
      </c>
      <c r="BY180" s="1">
        <v>-178</v>
      </c>
      <c r="BZ180" s="1"/>
      <c r="CA180" s="1"/>
      <c r="CB180" s="1"/>
      <c r="CC180" s="1" t="s">
        <v>2566</v>
      </c>
      <c r="CD180" s="1" t="s">
        <v>731</v>
      </c>
      <c r="CE180" s="1"/>
      <c r="CF180" s="1"/>
      <c r="CG180" s="1"/>
      <c r="CH180" s="1"/>
      <c r="CI180" s="1"/>
      <c r="CJ180" s="1" t="s">
        <v>167</v>
      </c>
      <c r="CK180" t="s">
        <v>1262</v>
      </c>
      <c r="CL180">
        <v>180</v>
      </c>
      <c r="CM180" t="s">
        <v>2733</v>
      </c>
    </row>
    <row r="181" spans="1:91" ht="19" customHeight="1">
      <c r="A181" s="1" t="s">
        <v>3463</v>
      </c>
      <c r="B181" s="1" t="s">
        <v>3093</v>
      </c>
      <c r="C181" s="1">
        <v>181</v>
      </c>
      <c r="D181" s="1" t="s">
        <v>921</v>
      </c>
      <c r="E181" s="1">
        <v>1999</v>
      </c>
      <c r="F181" s="1" t="s">
        <v>923</v>
      </c>
      <c r="G181" s="1" t="s">
        <v>1754</v>
      </c>
      <c r="H181" s="4">
        <v>40.748930000000001</v>
      </c>
      <c r="I181" s="4">
        <v>30.889199999999999</v>
      </c>
      <c r="J181" s="1" t="s">
        <v>1396</v>
      </c>
      <c r="K181" s="1" t="s">
        <v>75</v>
      </c>
      <c r="L181" s="1" t="s">
        <v>1755</v>
      </c>
      <c r="M181" s="1" t="s">
        <v>3094</v>
      </c>
      <c r="N181" s="1"/>
      <c r="O181" s="1" t="s">
        <v>3095</v>
      </c>
      <c r="P181" s="1">
        <v>8164</v>
      </c>
      <c r="Q181" s="4">
        <v>7.1</v>
      </c>
      <c r="R181" s="4">
        <v>10.050000000000001</v>
      </c>
      <c r="S181" s="4"/>
      <c r="T181" s="4">
        <v>39.200000000000003</v>
      </c>
      <c r="U181" s="4">
        <v>2.6</v>
      </c>
      <c r="V181" s="4"/>
      <c r="W181" s="4">
        <v>26.7</v>
      </c>
      <c r="X181" s="4">
        <v>329</v>
      </c>
      <c r="Y181" s="4">
        <v>66</v>
      </c>
      <c r="Z181" s="4">
        <v>0</v>
      </c>
      <c r="AA181" s="4">
        <v>1</v>
      </c>
      <c r="AB181" s="4" t="s">
        <v>730</v>
      </c>
      <c r="AC181" s="4">
        <v>2.3075726345050849</v>
      </c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1"/>
      <c r="BJ181" s="1" t="s">
        <v>3464</v>
      </c>
      <c r="BK181" s="1">
        <v>1</v>
      </c>
      <c r="BL181" s="1"/>
      <c r="BM181" s="1" t="s">
        <v>491</v>
      </c>
      <c r="BN181" s="1" t="s">
        <v>2730</v>
      </c>
      <c r="BO181" s="1" t="s">
        <v>2731</v>
      </c>
      <c r="BP181" s="1">
        <v>7.14</v>
      </c>
      <c r="BQ181" s="1" t="s">
        <v>1003</v>
      </c>
      <c r="BR181" s="1">
        <v>40.834499999999998</v>
      </c>
      <c r="BS181" s="1">
        <v>31.134599999999999</v>
      </c>
      <c r="BT181" s="1">
        <v>14</v>
      </c>
      <c r="BU181" s="1" t="s">
        <v>730</v>
      </c>
      <c r="BV181" s="1" t="s">
        <v>2571</v>
      </c>
      <c r="BW181" s="1">
        <v>270</v>
      </c>
      <c r="BX181" s="1">
        <v>65</v>
      </c>
      <c r="BY181" s="1">
        <v>-178</v>
      </c>
      <c r="BZ181" s="1"/>
      <c r="CA181" s="1"/>
      <c r="CB181" s="1"/>
      <c r="CC181" s="1" t="s">
        <v>2566</v>
      </c>
      <c r="CD181" s="1" t="s">
        <v>731</v>
      </c>
      <c r="CE181" s="1"/>
      <c r="CF181" s="1"/>
      <c r="CG181" s="1"/>
      <c r="CH181" s="1"/>
      <c r="CI181" s="1"/>
      <c r="CJ181" s="1" t="s">
        <v>167</v>
      </c>
      <c r="CK181" t="s">
        <v>1262</v>
      </c>
      <c r="CL181">
        <v>181</v>
      </c>
      <c r="CM181" t="s">
        <v>2733</v>
      </c>
    </row>
    <row r="182" spans="1:91" ht="19" customHeight="1">
      <c r="A182" s="1" t="s">
        <v>3465</v>
      </c>
      <c r="B182" s="1" t="s">
        <v>3093</v>
      </c>
      <c r="C182" s="1">
        <v>182</v>
      </c>
      <c r="D182" s="1" t="s">
        <v>924</v>
      </c>
      <c r="E182" s="1">
        <v>1999</v>
      </c>
      <c r="F182" s="1" t="s">
        <v>925</v>
      </c>
      <c r="G182" s="1" t="s">
        <v>1743</v>
      </c>
      <c r="H182" s="4">
        <v>40.823599999999999</v>
      </c>
      <c r="I182" s="4">
        <v>29.360700000000001</v>
      </c>
      <c r="J182" s="1" t="s">
        <v>1396</v>
      </c>
      <c r="K182" s="1" t="s">
        <v>75</v>
      </c>
      <c r="L182" s="1" t="s">
        <v>1744</v>
      </c>
      <c r="M182" s="1" t="s">
        <v>3094</v>
      </c>
      <c r="N182" s="1"/>
      <c r="O182" s="1" t="s">
        <v>3095</v>
      </c>
      <c r="P182" s="1">
        <v>1148</v>
      </c>
      <c r="Q182" s="4">
        <v>7.5</v>
      </c>
      <c r="R182" s="4">
        <v>7.79</v>
      </c>
      <c r="S182" s="4"/>
      <c r="T182" s="4">
        <v>40.299999999999997</v>
      </c>
      <c r="U182" s="4">
        <v>13.5</v>
      </c>
      <c r="V182" s="4"/>
      <c r="W182" s="4">
        <v>56</v>
      </c>
      <c r="X182" s="4">
        <v>80</v>
      </c>
      <c r="Y182" s="4">
        <v>14</v>
      </c>
      <c r="Z182" s="4">
        <v>0</v>
      </c>
      <c r="AA182" s="4">
        <v>1</v>
      </c>
      <c r="AB182" s="4" t="s">
        <v>730</v>
      </c>
      <c r="AC182" s="4">
        <v>2.0528408598826569</v>
      </c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1"/>
      <c r="BJ182" s="1" t="s">
        <v>3466</v>
      </c>
      <c r="BK182" s="1">
        <v>1</v>
      </c>
      <c r="BL182" s="1"/>
      <c r="BM182" s="1" t="s">
        <v>208</v>
      </c>
      <c r="BN182" s="1" t="s">
        <v>2735</v>
      </c>
      <c r="BO182" s="1" t="s">
        <v>2736</v>
      </c>
      <c r="BP182" s="1">
        <v>7.51</v>
      </c>
      <c r="BQ182" s="1" t="s">
        <v>1003</v>
      </c>
      <c r="BR182" s="1">
        <v>40.747999999999998</v>
      </c>
      <c r="BS182" s="1">
        <v>29.99</v>
      </c>
      <c r="BT182" s="1">
        <v>16</v>
      </c>
      <c r="BU182" s="1" t="s">
        <v>730</v>
      </c>
      <c r="BV182" s="1" t="s">
        <v>2571</v>
      </c>
      <c r="BW182" s="1">
        <v>271</v>
      </c>
      <c r="BX182" s="1">
        <v>80</v>
      </c>
      <c r="BY182" s="1">
        <v>180</v>
      </c>
      <c r="BZ182" s="1"/>
      <c r="CA182" s="1"/>
      <c r="CB182" s="1"/>
      <c r="CC182" s="1" t="s">
        <v>2566</v>
      </c>
      <c r="CD182" s="1" t="s">
        <v>862</v>
      </c>
      <c r="CE182" s="1">
        <v>1</v>
      </c>
      <c r="CF182" s="1">
        <v>7.53</v>
      </c>
      <c r="CG182" s="1">
        <v>7.2274000000000003</v>
      </c>
      <c r="CH182" s="1">
        <v>5880</v>
      </c>
      <c r="CI182" s="1" t="s">
        <v>926</v>
      </c>
      <c r="CJ182" s="1" t="s">
        <v>167</v>
      </c>
      <c r="CK182" t="s">
        <v>1262</v>
      </c>
      <c r="CL182">
        <v>182</v>
      </c>
      <c r="CM182" t="s">
        <v>2740</v>
      </c>
    </row>
    <row r="183" spans="1:91" ht="19" customHeight="1">
      <c r="A183" s="1" t="s">
        <v>3467</v>
      </c>
      <c r="B183" s="1" t="s">
        <v>3093</v>
      </c>
      <c r="C183" s="1">
        <v>183</v>
      </c>
      <c r="D183" s="1" t="s">
        <v>924</v>
      </c>
      <c r="E183" s="1">
        <v>1999</v>
      </c>
      <c r="F183" s="1" t="s">
        <v>927</v>
      </c>
      <c r="G183" s="1" t="s">
        <v>1751</v>
      </c>
      <c r="H183" s="4">
        <v>40.82</v>
      </c>
      <c r="I183" s="4">
        <v>29.44</v>
      </c>
      <c r="J183" s="1" t="s">
        <v>1396</v>
      </c>
      <c r="K183" s="1" t="s">
        <v>75</v>
      </c>
      <c r="L183" s="1" t="s">
        <v>1752</v>
      </c>
      <c r="M183" s="1" t="s">
        <v>3094</v>
      </c>
      <c r="N183" s="1"/>
      <c r="O183" s="1" t="s">
        <v>3095</v>
      </c>
      <c r="P183" s="1">
        <v>1161</v>
      </c>
      <c r="Q183" s="4">
        <v>7.5</v>
      </c>
      <c r="R183" s="4">
        <v>5.99</v>
      </c>
      <c r="S183" s="4"/>
      <c r="T183" s="4">
        <v>53</v>
      </c>
      <c r="U183" s="4">
        <v>10.9</v>
      </c>
      <c r="V183" s="4"/>
      <c r="W183" s="4">
        <v>49.7</v>
      </c>
      <c r="X183" s="4">
        <v>33</v>
      </c>
      <c r="Y183" s="4">
        <v>61</v>
      </c>
      <c r="Z183" s="4">
        <v>1</v>
      </c>
      <c r="AA183" s="4">
        <v>1</v>
      </c>
      <c r="AB183" s="4" t="s">
        <v>730</v>
      </c>
      <c r="AC183" s="4">
        <v>1.7900914121273579</v>
      </c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1"/>
      <c r="BJ183" s="1" t="s">
        <v>3468</v>
      </c>
      <c r="BK183" s="1">
        <v>1</v>
      </c>
      <c r="BL183" s="1"/>
      <c r="BM183" s="1" t="s">
        <v>208</v>
      </c>
      <c r="BN183" s="1" t="s">
        <v>2735</v>
      </c>
      <c r="BO183" s="1" t="s">
        <v>2736</v>
      </c>
      <c r="BP183" s="1">
        <v>7.51</v>
      </c>
      <c r="BQ183" s="1" t="s">
        <v>1003</v>
      </c>
      <c r="BR183" s="1">
        <v>40.747999999999998</v>
      </c>
      <c r="BS183" s="1">
        <v>29.99</v>
      </c>
      <c r="BT183" s="1">
        <v>16</v>
      </c>
      <c r="BU183" s="1" t="s">
        <v>730</v>
      </c>
      <c r="BV183" s="1" t="s">
        <v>2571</v>
      </c>
      <c r="BW183" s="1">
        <v>271</v>
      </c>
      <c r="BX183" s="1">
        <v>80</v>
      </c>
      <c r="BY183" s="1">
        <v>180</v>
      </c>
      <c r="BZ183" s="1"/>
      <c r="CA183" s="1"/>
      <c r="CB183" s="1"/>
      <c r="CC183" s="1" t="s">
        <v>2566</v>
      </c>
      <c r="CD183" s="1" t="s">
        <v>862</v>
      </c>
      <c r="CE183" s="1">
        <v>1</v>
      </c>
      <c r="CF183" s="1">
        <v>7.53</v>
      </c>
      <c r="CG183" s="1">
        <v>7.2274000000000003</v>
      </c>
      <c r="CH183" s="1">
        <v>5880</v>
      </c>
      <c r="CI183" s="1" t="s">
        <v>926</v>
      </c>
      <c r="CJ183" s="1" t="s">
        <v>167</v>
      </c>
      <c r="CK183" t="s">
        <v>1262</v>
      </c>
      <c r="CL183">
        <v>183</v>
      </c>
      <c r="CM183" t="s">
        <v>2740</v>
      </c>
    </row>
    <row r="184" spans="1:91" ht="19" customHeight="1">
      <c r="A184" s="1" t="s">
        <v>3469</v>
      </c>
      <c r="B184" s="1" t="s">
        <v>3093</v>
      </c>
      <c r="C184" s="1">
        <v>184</v>
      </c>
      <c r="D184" s="1" t="s">
        <v>924</v>
      </c>
      <c r="E184" s="1">
        <v>1999</v>
      </c>
      <c r="F184" s="1" t="s">
        <v>928</v>
      </c>
      <c r="G184" s="1" t="s">
        <v>1757</v>
      </c>
      <c r="H184" s="4">
        <v>40.79</v>
      </c>
      <c r="I184" s="4">
        <v>29.96</v>
      </c>
      <c r="J184" s="1" t="s">
        <v>1396</v>
      </c>
      <c r="K184" s="1" t="s">
        <v>75</v>
      </c>
      <c r="L184" s="1" t="s">
        <v>1758</v>
      </c>
      <c r="M184" s="1" t="s">
        <v>3094</v>
      </c>
      <c r="N184" s="1"/>
      <c r="O184" s="1" t="s">
        <v>3095</v>
      </c>
      <c r="P184" s="1">
        <v>1165</v>
      </c>
      <c r="Q184" s="4">
        <v>7.5</v>
      </c>
      <c r="R184" s="4">
        <v>5.37</v>
      </c>
      <c r="S184" s="4"/>
      <c r="T184" s="4">
        <v>38.1</v>
      </c>
      <c r="U184" s="4">
        <v>7.2</v>
      </c>
      <c r="V184" s="4"/>
      <c r="W184" s="4">
        <v>16.899999999999999</v>
      </c>
      <c r="X184" s="4">
        <v>265</v>
      </c>
      <c r="Y184" s="4">
        <v>5</v>
      </c>
      <c r="Z184" s="4">
        <v>0</v>
      </c>
      <c r="AA184" s="4">
        <v>1</v>
      </c>
      <c r="AB184" s="4" t="s">
        <v>730</v>
      </c>
      <c r="AC184" s="4">
        <v>1.6808279085207729</v>
      </c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1"/>
      <c r="BJ184" s="1" t="s">
        <v>3470</v>
      </c>
      <c r="BK184" s="1">
        <v>1</v>
      </c>
      <c r="BL184" s="1"/>
      <c r="BM184" s="1" t="s">
        <v>208</v>
      </c>
      <c r="BN184" s="1" t="s">
        <v>2735</v>
      </c>
      <c r="BO184" s="1" t="s">
        <v>2736</v>
      </c>
      <c r="BP184" s="1">
        <v>7.51</v>
      </c>
      <c r="BQ184" s="1" t="s">
        <v>1003</v>
      </c>
      <c r="BR184" s="1">
        <v>40.747999999999998</v>
      </c>
      <c r="BS184" s="1">
        <v>29.99</v>
      </c>
      <c r="BT184" s="1">
        <v>16</v>
      </c>
      <c r="BU184" s="1" t="s">
        <v>730</v>
      </c>
      <c r="BV184" s="1" t="s">
        <v>2571</v>
      </c>
      <c r="BW184" s="1">
        <v>271</v>
      </c>
      <c r="BX184" s="1">
        <v>80</v>
      </c>
      <c r="BY184" s="1">
        <v>180</v>
      </c>
      <c r="BZ184" s="1"/>
      <c r="CA184" s="1"/>
      <c r="CB184" s="1"/>
      <c r="CC184" s="1" t="s">
        <v>2566</v>
      </c>
      <c r="CD184" s="1" t="s">
        <v>862</v>
      </c>
      <c r="CE184" s="1">
        <v>1</v>
      </c>
      <c r="CF184" s="1">
        <v>7.53</v>
      </c>
      <c r="CG184" s="1">
        <v>7.2274000000000003</v>
      </c>
      <c r="CH184" s="1">
        <v>5880</v>
      </c>
      <c r="CI184" s="1" t="s">
        <v>926</v>
      </c>
      <c r="CJ184" s="1" t="s">
        <v>167</v>
      </c>
      <c r="CK184" t="s">
        <v>1262</v>
      </c>
      <c r="CL184">
        <v>184</v>
      </c>
      <c r="CM184" t="s">
        <v>2740</v>
      </c>
    </row>
    <row r="185" spans="1:91" ht="19" customHeight="1">
      <c r="A185" s="1" t="s">
        <v>3471</v>
      </c>
      <c r="B185" s="1" t="s">
        <v>3093</v>
      </c>
      <c r="C185" s="1">
        <v>185</v>
      </c>
      <c r="D185" s="1" t="s">
        <v>924</v>
      </c>
      <c r="E185" s="1">
        <v>1999</v>
      </c>
      <c r="F185" s="1" t="s">
        <v>929</v>
      </c>
      <c r="G185" s="1" t="s">
        <v>1764</v>
      </c>
      <c r="H185" s="4">
        <v>40.764400000000002</v>
      </c>
      <c r="I185" s="4">
        <v>29.762</v>
      </c>
      <c r="J185" s="1" t="s">
        <v>1396</v>
      </c>
      <c r="K185" s="1" t="s">
        <v>75</v>
      </c>
      <c r="L185" s="1" t="s">
        <v>1765</v>
      </c>
      <c r="M185" s="1" t="s">
        <v>3094</v>
      </c>
      <c r="N185" s="1"/>
      <c r="O185" s="1" t="s">
        <v>3095</v>
      </c>
      <c r="P185" s="1">
        <v>1176</v>
      </c>
      <c r="Q185" s="4">
        <v>7.5</v>
      </c>
      <c r="R185" s="4">
        <v>4.95</v>
      </c>
      <c r="S185" s="4"/>
      <c r="T185" s="4">
        <v>90.6</v>
      </c>
      <c r="U185" s="4">
        <v>4.8</v>
      </c>
      <c r="V185" s="4"/>
      <c r="W185" s="4">
        <v>25.1</v>
      </c>
      <c r="X185" s="4">
        <v>25</v>
      </c>
      <c r="Y185" s="4">
        <v>64</v>
      </c>
      <c r="Z185" s="4">
        <v>1</v>
      </c>
      <c r="AA185" s="4">
        <v>1</v>
      </c>
      <c r="AB185" s="4" t="s">
        <v>730</v>
      </c>
      <c r="AC185" s="4">
        <v>1.5993875765805989</v>
      </c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1"/>
      <c r="BJ185" s="1" t="s">
        <v>3472</v>
      </c>
      <c r="BK185" s="1">
        <v>1</v>
      </c>
      <c r="BL185" s="1"/>
      <c r="BM185" s="1" t="s">
        <v>208</v>
      </c>
      <c r="BN185" s="1" t="s">
        <v>2735</v>
      </c>
      <c r="BO185" s="1" t="s">
        <v>2736</v>
      </c>
      <c r="BP185" s="1">
        <v>7.51</v>
      </c>
      <c r="BQ185" s="1" t="s">
        <v>1003</v>
      </c>
      <c r="BR185" s="1">
        <v>40.747999999999998</v>
      </c>
      <c r="BS185" s="1">
        <v>29.99</v>
      </c>
      <c r="BT185" s="1">
        <v>16</v>
      </c>
      <c r="BU185" s="1" t="s">
        <v>730</v>
      </c>
      <c r="BV185" s="1" t="s">
        <v>2571</v>
      </c>
      <c r="BW185" s="1">
        <v>271</v>
      </c>
      <c r="BX185" s="1">
        <v>80</v>
      </c>
      <c r="BY185" s="1">
        <v>180</v>
      </c>
      <c r="BZ185" s="1"/>
      <c r="CA185" s="1"/>
      <c r="CB185" s="1"/>
      <c r="CC185" s="1" t="s">
        <v>2566</v>
      </c>
      <c r="CD185" s="1" t="s">
        <v>862</v>
      </c>
      <c r="CE185" s="1">
        <v>1</v>
      </c>
      <c r="CF185" s="1">
        <v>7.53</v>
      </c>
      <c r="CG185" s="1">
        <v>7.2274000000000003</v>
      </c>
      <c r="CH185" s="1">
        <v>5880</v>
      </c>
      <c r="CI185" s="1" t="s">
        <v>926</v>
      </c>
      <c r="CJ185" s="1" t="s">
        <v>167</v>
      </c>
      <c r="CK185" t="s">
        <v>1262</v>
      </c>
      <c r="CL185">
        <v>185</v>
      </c>
      <c r="CM185" t="s">
        <v>2740</v>
      </c>
    </row>
    <row r="186" spans="1:91" ht="19" customHeight="1">
      <c r="A186" s="1" t="s">
        <v>3473</v>
      </c>
      <c r="B186" s="1" t="s">
        <v>3093</v>
      </c>
      <c r="C186" s="1">
        <v>186</v>
      </c>
      <c r="D186" s="1" t="s">
        <v>930</v>
      </c>
      <c r="E186" s="1">
        <v>2000</v>
      </c>
      <c r="F186" s="1" t="s">
        <v>931</v>
      </c>
      <c r="G186" s="1" t="s">
        <v>1564</v>
      </c>
      <c r="H186" s="4">
        <v>35.422699999999999</v>
      </c>
      <c r="I186" s="4">
        <v>133.33269999999999</v>
      </c>
      <c r="J186" s="1" t="s">
        <v>1396</v>
      </c>
      <c r="K186" s="1" t="s">
        <v>75</v>
      </c>
      <c r="L186" s="1" t="s">
        <v>1565</v>
      </c>
      <c r="M186" s="1" t="s">
        <v>3094</v>
      </c>
      <c r="N186" s="1"/>
      <c r="O186" s="1" t="s">
        <v>3095</v>
      </c>
      <c r="P186" s="1">
        <v>3965</v>
      </c>
      <c r="Q186" s="4">
        <v>6.6</v>
      </c>
      <c r="R186" s="4">
        <v>1.54</v>
      </c>
      <c r="S186" s="4"/>
      <c r="T186" s="4">
        <v>53.2</v>
      </c>
      <c r="U186" s="4">
        <v>6.9</v>
      </c>
      <c r="V186" s="4"/>
      <c r="W186" s="4">
        <v>20.7</v>
      </c>
      <c r="X186" s="4">
        <v>276</v>
      </c>
      <c r="Y186" s="4">
        <v>54</v>
      </c>
      <c r="Z186" s="4">
        <v>0</v>
      </c>
      <c r="AA186" s="4">
        <v>1</v>
      </c>
      <c r="AB186" s="4" t="s">
        <v>730</v>
      </c>
      <c r="AC186" s="4">
        <v>0.43178241642553777</v>
      </c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1"/>
      <c r="BJ186" s="1" t="s">
        <v>3474</v>
      </c>
      <c r="BK186" s="1">
        <v>1</v>
      </c>
      <c r="BL186" s="1"/>
      <c r="BM186" s="1" t="s">
        <v>506</v>
      </c>
      <c r="BN186" s="1" t="s">
        <v>2741</v>
      </c>
      <c r="BO186" s="1" t="s">
        <v>2742</v>
      </c>
      <c r="BP186" s="1">
        <v>6.61</v>
      </c>
      <c r="BQ186" s="1" t="s">
        <v>1003</v>
      </c>
      <c r="BR186" s="1">
        <v>35.274999999999999</v>
      </c>
      <c r="BS186" s="1">
        <v>133.35</v>
      </c>
      <c r="BT186" s="1">
        <v>12.5</v>
      </c>
      <c r="BU186" s="1" t="s">
        <v>730</v>
      </c>
      <c r="BV186" s="1" t="s">
        <v>2571</v>
      </c>
      <c r="BW186" s="1">
        <v>330</v>
      </c>
      <c r="BX186" s="1">
        <v>90</v>
      </c>
      <c r="BY186" s="1">
        <v>0</v>
      </c>
      <c r="BZ186" s="1"/>
      <c r="CA186" s="1"/>
      <c r="CB186" s="1"/>
      <c r="CC186" s="1" t="s">
        <v>2566</v>
      </c>
      <c r="CD186" s="1" t="s">
        <v>731</v>
      </c>
      <c r="CE186" s="1"/>
      <c r="CF186" s="1"/>
      <c r="CG186" s="1"/>
      <c r="CH186" s="1"/>
      <c r="CI186" s="1"/>
      <c r="CJ186" s="1" t="s">
        <v>167</v>
      </c>
      <c r="CK186" t="s">
        <v>1262</v>
      </c>
      <c r="CL186">
        <v>186</v>
      </c>
      <c r="CM186" t="s">
        <v>2744</v>
      </c>
    </row>
    <row r="187" spans="1:91" ht="19" customHeight="1">
      <c r="A187" s="1" t="s">
        <v>3475</v>
      </c>
      <c r="B187" s="1" t="s">
        <v>3093</v>
      </c>
      <c r="C187" s="1">
        <v>187</v>
      </c>
      <c r="D187" s="1" t="s">
        <v>514</v>
      </c>
      <c r="E187" s="1">
        <v>2000</v>
      </c>
      <c r="F187" s="1" t="s">
        <v>932</v>
      </c>
      <c r="G187" s="1" t="s">
        <v>2425</v>
      </c>
      <c r="H187" s="4">
        <v>38.33</v>
      </c>
      <c r="I187" s="4">
        <v>-122.318</v>
      </c>
      <c r="J187" s="1" t="s">
        <v>1396</v>
      </c>
      <c r="K187" s="1" t="s">
        <v>75</v>
      </c>
      <c r="L187" s="1" t="s">
        <v>2426</v>
      </c>
      <c r="M187" s="1" t="s">
        <v>3094</v>
      </c>
      <c r="N187" s="1"/>
      <c r="O187" s="1" t="s">
        <v>3095</v>
      </c>
      <c r="P187" s="1">
        <v>1853</v>
      </c>
      <c r="Q187" s="4">
        <v>5</v>
      </c>
      <c r="R187" s="4">
        <v>0.73</v>
      </c>
      <c r="S187" s="4"/>
      <c r="T187" s="4">
        <v>42.4</v>
      </c>
      <c r="U187" s="4">
        <v>11.5</v>
      </c>
      <c r="V187" s="4"/>
      <c r="W187" s="4">
        <v>14.2</v>
      </c>
      <c r="X187" s="4">
        <v>66</v>
      </c>
      <c r="Y187" s="4">
        <v>84</v>
      </c>
      <c r="Z187" s="4">
        <v>1</v>
      </c>
      <c r="AA187" s="4">
        <v>0</v>
      </c>
      <c r="AB187" s="4" t="s">
        <v>730</v>
      </c>
      <c r="AC187" s="4">
        <v>-0.31471074483970018</v>
      </c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1"/>
      <c r="BJ187" s="1" t="s">
        <v>3476</v>
      </c>
      <c r="BK187" s="1">
        <v>1</v>
      </c>
      <c r="BL187" s="1"/>
      <c r="BM187" s="1" t="s">
        <v>513</v>
      </c>
      <c r="BN187" s="1" t="s">
        <v>2745</v>
      </c>
      <c r="BO187" s="1" t="s">
        <v>2746</v>
      </c>
      <c r="BP187" s="1">
        <v>5</v>
      </c>
      <c r="BQ187" s="1" t="s">
        <v>1003</v>
      </c>
      <c r="BR187" s="1">
        <v>38.378799999999998</v>
      </c>
      <c r="BS187" s="1">
        <v>-122.4127</v>
      </c>
      <c r="BT187" s="1">
        <v>10.119999999999999</v>
      </c>
      <c r="BU187" s="1" t="s">
        <v>730</v>
      </c>
      <c r="BV187" s="1" t="s">
        <v>2571</v>
      </c>
      <c r="BW187" s="1">
        <v>150</v>
      </c>
      <c r="BX187" s="1">
        <v>90</v>
      </c>
      <c r="BY187" s="1">
        <v>170</v>
      </c>
      <c r="BZ187" s="1"/>
      <c r="CA187" s="1"/>
      <c r="CB187" s="1"/>
      <c r="CC187" s="1" t="s">
        <v>2566</v>
      </c>
      <c r="CD187" s="1" t="s">
        <v>731</v>
      </c>
      <c r="CE187" s="1"/>
      <c r="CF187" s="1"/>
      <c r="CG187" s="1"/>
      <c r="CH187" s="1"/>
      <c r="CI187" s="1"/>
      <c r="CJ187" s="1" t="s">
        <v>167</v>
      </c>
      <c r="CK187" t="s">
        <v>1262</v>
      </c>
      <c r="CL187">
        <v>187</v>
      </c>
      <c r="CM187" t="s">
        <v>2748</v>
      </c>
    </row>
    <row r="188" spans="1:91" ht="19" customHeight="1">
      <c r="A188" s="1" t="s">
        <v>3477</v>
      </c>
      <c r="B188" s="1" t="s">
        <v>3093</v>
      </c>
      <c r="C188" s="1">
        <v>188</v>
      </c>
      <c r="D188" s="1" t="s">
        <v>933</v>
      </c>
      <c r="E188" s="1">
        <v>2002</v>
      </c>
      <c r="F188" s="1" t="s">
        <v>934</v>
      </c>
      <c r="G188" s="1" t="s">
        <v>2521</v>
      </c>
      <c r="H188" s="4">
        <v>63.423900000000003</v>
      </c>
      <c r="I188" s="4">
        <v>-145.76580000000001</v>
      </c>
      <c r="J188" s="1" t="s">
        <v>1396</v>
      </c>
      <c r="K188" s="1" t="s">
        <v>75</v>
      </c>
      <c r="L188" s="1" t="s">
        <v>2522</v>
      </c>
      <c r="M188" s="1" t="s">
        <v>3094</v>
      </c>
      <c r="N188" s="1"/>
      <c r="O188" s="1" t="s">
        <v>3095</v>
      </c>
      <c r="P188" s="1">
        <v>2114</v>
      </c>
      <c r="Q188" s="4">
        <v>7.9</v>
      </c>
      <c r="R188" s="4">
        <v>3.16</v>
      </c>
      <c r="S188" s="4"/>
      <c r="T188" s="4">
        <v>121.4</v>
      </c>
      <c r="U188" s="4">
        <v>2.7</v>
      </c>
      <c r="V188" s="4"/>
      <c r="W188" s="4">
        <v>84.9</v>
      </c>
      <c r="X188" s="4">
        <v>56</v>
      </c>
      <c r="Y188" s="4">
        <v>13</v>
      </c>
      <c r="Z188" s="4">
        <v>0</v>
      </c>
      <c r="AA188" s="4">
        <v>1</v>
      </c>
      <c r="AB188" s="4" t="s">
        <v>730</v>
      </c>
      <c r="AC188" s="4">
        <v>1.1505720275988209</v>
      </c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1"/>
      <c r="BJ188" s="1" t="s">
        <v>3478</v>
      </c>
      <c r="BK188" s="1">
        <v>1</v>
      </c>
      <c r="BL188" s="1"/>
      <c r="BM188" s="1" t="s">
        <v>214</v>
      </c>
      <c r="BN188" s="1" t="s">
        <v>2750</v>
      </c>
      <c r="BO188" s="1" t="s">
        <v>2751</v>
      </c>
      <c r="BP188" s="1">
        <v>7.9</v>
      </c>
      <c r="BQ188" s="1" t="s">
        <v>1003</v>
      </c>
      <c r="BR188" s="1">
        <v>63.542000000000002</v>
      </c>
      <c r="BS188" s="1">
        <v>-147.4444</v>
      </c>
      <c r="BT188" s="1">
        <v>8.9026999999999994</v>
      </c>
      <c r="BU188" s="1" t="s">
        <v>730</v>
      </c>
      <c r="BV188" s="1" t="s">
        <v>2571</v>
      </c>
      <c r="BW188" s="1">
        <v>298</v>
      </c>
      <c r="BX188" s="1">
        <v>82</v>
      </c>
      <c r="BY188" s="1">
        <v>171</v>
      </c>
      <c r="BZ188" s="1"/>
      <c r="CA188" s="1"/>
      <c r="CB188" s="1"/>
      <c r="CC188" s="1" t="s">
        <v>2566</v>
      </c>
      <c r="CD188" s="1" t="s">
        <v>862</v>
      </c>
      <c r="CE188" s="1">
        <v>5</v>
      </c>
      <c r="CF188" s="1">
        <v>7.97</v>
      </c>
      <c r="CG188" s="1">
        <v>14.9975</v>
      </c>
      <c r="CH188" s="1">
        <v>11760</v>
      </c>
      <c r="CI188" s="1" t="s">
        <v>935</v>
      </c>
      <c r="CJ188" s="1" t="s">
        <v>167</v>
      </c>
      <c r="CK188" t="s">
        <v>1262</v>
      </c>
      <c r="CL188">
        <v>188</v>
      </c>
      <c r="CM188" t="s">
        <v>2756</v>
      </c>
    </row>
    <row r="189" spans="1:91" ht="19" customHeight="1">
      <c r="A189" s="1" t="s">
        <v>3479</v>
      </c>
      <c r="B189" s="1" t="s">
        <v>3093</v>
      </c>
      <c r="C189" s="1">
        <v>189</v>
      </c>
      <c r="D189" s="1" t="s">
        <v>936</v>
      </c>
      <c r="E189" s="1">
        <v>2003</v>
      </c>
      <c r="F189" s="1" t="s">
        <v>937</v>
      </c>
      <c r="G189" s="1" t="s">
        <v>1406</v>
      </c>
      <c r="H189" s="4">
        <v>29.097000000000001</v>
      </c>
      <c r="I189" s="4">
        <v>58.353000000000002</v>
      </c>
      <c r="J189" s="1" t="s">
        <v>1396</v>
      </c>
      <c r="K189" s="1" t="s">
        <v>75</v>
      </c>
      <c r="L189" s="1" t="s">
        <v>1407</v>
      </c>
      <c r="M189" s="1" t="s">
        <v>3094</v>
      </c>
      <c r="N189" s="1"/>
      <c r="O189" s="1" t="s">
        <v>3095</v>
      </c>
      <c r="P189" s="1">
        <v>4040</v>
      </c>
      <c r="Q189" s="4">
        <v>6.6</v>
      </c>
      <c r="R189" s="4">
        <v>2.02</v>
      </c>
      <c r="S189" s="4"/>
      <c r="T189" s="4">
        <v>124.2</v>
      </c>
      <c r="U189" s="4">
        <v>1.7</v>
      </c>
      <c r="V189" s="4"/>
      <c r="W189" s="4">
        <v>13.9</v>
      </c>
      <c r="X189" s="4">
        <v>277</v>
      </c>
      <c r="Y189" s="4">
        <v>78</v>
      </c>
      <c r="Z189" s="4">
        <v>1</v>
      </c>
      <c r="AA189" s="4">
        <v>1</v>
      </c>
      <c r="AB189" s="4" t="s">
        <v>730</v>
      </c>
      <c r="AC189" s="4">
        <v>0.70309751141311339</v>
      </c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1"/>
      <c r="BJ189" s="1" t="s">
        <v>3480</v>
      </c>
      <c r="BK189" s="1">
        <v>1</v>
      </c>
      <c r="BL189" s="1"/>
      <c r="BM189" s="1" t="s">
        <v>533</v>
      </c>
      <c r="BN189" s="1" t="s">
        <v>2757</v>
      </c>
      <c r="BO189" s="1" t="s">
        <v>2758</v>
      </c>
      <c r="BP189" s="1">
        <v>6.6</v>
      </c>
      <c r="BQ189" s="1" t="s">
        <v>1003</v>
      </c>
      <c r="BR189" s="1">
        <v>28.984000000000002</v>
      </c>
      <c r="BS189" s="1">
        <v>58.359000000000002</v>
      </c>
      <c r="BT189" s="1">
        <v>6</v>
      </c>
      <c r="BU189" s="1" t="s">
        <v>730</v>
      </c>
      <c r="BV189" s="1" t="s">
        <v>2571</v>
      </c>
      <c r="BW189" s="1">
        <v>354.6</v>
      </c>
      <c r="BX189" s="1">
        <v>85.5</v>
      </c>
      <c r="BY189" s="1">
        <v>-177</v>
      </c>
      <c r="BZ189" s="1"/>
      <c r="CA189" s="1"/>
      <c r="CB189" s="1"/>
      <c r="CC189" s="1" t="s">
        <v>2566</v>
      </c>
      <c r="CD189" s="1" t="s">
        <v>731</v>
      </c>
      <c r="CE189" s="1"/>
      <c r="CF189" s="1"/>
      <c r="CG189" s="1"/>
      <c r="CH189" s="1"/>
      <c r="CI189" s="1"/>
      <c r="CJ189" s="1" t="s">
        <v>167</v>
      </c>
      <c r="CK189" t="s">
        <v>1262</v>
      </c>
      <c r="CL189">
        <v>189</v>
      </c>
      <c r="CM189" t="s">
        <v>2761</v>
      </c>
    </row>
    <row r="190" spans="1:91" ht="19" customHeight="1">
      <c r="A190" s="1" t="s">
        <v>3481</v>
      </c>
      <c r="B190" s="1" t="s">
        <v>3093</v>
      </c>
      <c r="C190" s="1">
        <v>190</v>
      </c>
      <c r="D190" s="1" t="s">
        <v>938</v>
      </c>
      <c r="E190" s="1">
        <v>2004</v>
      </c>
      <c r="F190" s="1" t="s">
        <v>939</v>
      </c>
      <c r="G190" s="1" t="s">
        <v>1541</v>
      </c>
      <c r="H190" s="4">
        <v>37.128100000000003</v>
      </c>
      <c r="I190" s="4">
        <v>138.74680000000001</v>
      </c>
      <c r="J190" s="1" t="s">
        <v>1396</v>
      </c>
      <c r="K190" s="1" t="s">
        <v>75</v>
      </c>
      <c r="L190" s="1" t="s">
        <v>1542</v>
      </c>
      <c r="M190" s="1" t="s">
        <v>3094</v>
      </c>
      <c r="N190" s="1"/>
      <c r="O190" s="1" t="s">
        <v>3095</v>
      </c>
      <c r="P190" s="1">
        <v>4211</v>
      </c>
      <c r="Q190" s="4">
        <v>6.6</v>
      </c>
      <c r="R190" s="4">
        <v>0.32</v>
      </c>
      <c r="S190" s="4"/>
      <c r="T190" s="4">
        <v>66.900000000000006</v>
      </c>
      <c r="U190" s="4">
        <v>11.3</v>
      </c>
      <c r="V190" s="4"/>
      <c r="W190" s="4">
        <v>24</v>
      </c>
      <c r="X190" s="4">
        <v>40</v>
      </c>
      <c r="Y190" s="4">
        <v>8</v>
      </c>
      <c r="Z190" s="4">
        <v>0</v>
      </c>
      <c r="AA190" s="4">
        <v>1</v>
      </c>
      <c r="AB190" s="4" t="s">
        <v>734</v>
      </c>
      <c r="AC190" s="4">
        <v>-1.139434283188365</v>
      </c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1"/>
      <c r="BJ190" s="1" t="s">
        <v>3482</v>
      </c>
      <c r="BK190" s="1">
        <v>1</v>
      </c>
      <c r="BL190" s="1"/>
      <c r="BM190" s="1" t="s">
        <v>540</v>
      </c>
      <c r="BN190" s="1" t="s">
        <v>2762</v>
      </c>
      <c r="BO190" s="1" t="s">
        <v>2763</v>
      </c>
      <c r="BP190" s="1">
        <v>6.63</v>
      </c>
      <c r="BQ190" s="1" t="s">
        <v>1003</v>
      </c>
      <c r="BR190" s="1">
        <v>37.307000000000002</v>
      </c>
      <c r="BS190" s="1">
        <v>138.839</v>
      </c>
      <c r="BT190" s="1">
        <v>10.6</v>
      </c>
      <c r="BU190" s="1" t="s">
        <v>734</v>
      </c>
      <c r="BV190" s="1" t="s">
        <v>2571</v>
      </c>
      <c r="BW190" s="1">
        <v>212</v>
      </c>
      <c r="BX190" s="1">
        <v>47</v>
      </c>
      <c r="BY190" s="1">
        <v>93</v>
      </c>
      <c r="BZ190" s="1"/>
      <c r="CA190" s="1"/>
      <c r="CB190" s="1"/>
      <c r="CC190" s="1" t="s">
        <v>2566</v>
      </c>
      <c r="CD190" s="1" t="s">
        <v>731</v>
      </c>
      <c r="CE190" s="1"/>
      <c r="CF190" s="1"/>
      <c r="CG190" s="1"/>
      <c r="CH190" s="1"/>
      <c r="CI190" s="1"/>
      <c r="CJ190" s="1" t="s">
        <v>167</v>
      </c>
      <c r="CK190" t="s">
        <v>1262</v>
      </c>
      <c r="CL190">
        <v>190</v>
      </c>
      <c r="CM190" t="s">
        <v>2766</v>
      </c>
    </row>
    <row r="191" spans="1:91" ht="19" customHeight="1">
      <c r="A191" s="1" t="s">
        <v>3483</v>
      </c>
      <c r="B191" s="1" t="s">
        <v>3093</v>
      </c>
      <c r="C191" s="1">
        <v>191</v>
      </c>
      <c r="D191" s="1" t="s">
        <v>938</v>
      </c>
      <c r="E191" s="1">
        <v>2004</v>
      </c>
      <c r="F191" s="1" t="s">
        <v>940</v>
      </c>
      <c r="G191" s="1" t="s">
        <v>1544</v>
      </c>
      <c r="H191" s="4">
        <v>37.169699999999999</v>
      </c>
      <c r="I191" s="4">
        <v>138.74719999999999</v>
      </c>
      <c r="J191" s="1" t="s">
        <v>1396</v>
      </c>
      <c r="K191" s="1" t="s">
        <v>75</v>
      </c>
      <c r="L191" s="1" t="s">
        <v>1545</v>
      </c>
      <c r="M191" s="1" t="s">
        <v>3094</v>
      </c>
      <c r="N191" s="1"/>
      <c r="O191" s="1" t="s">
        <v>3095</v>
      </c>
      <c r="P191" s="1">
        <v>4228</v>
      </c>
      <c r="Q191" s="4">
        <v>6.6</v>
      </c>
      <c r="R191" s="4">
        <v>1.8</v>
      </c>
      <c r="S191" s="4"/>
      <c r="T191" s="4">
        <v>65.599999999999994</v>
      </c>
      <c r="U191" s="4">
        <v>8.9</v>
      </c>
      <c r="V191" s="4"/>
      <c r="W191" s="4">
        <v>20.3</v>
      </c>
      <c r="X191" s="4">
        <v>43</v>
      </c>
      <c r="Y191" s="4">
        <v>11</v>
      </c>
      <c r="Z191" s="4">
        <v>0</v>
      </c>
      <c r="AA191" s="4">
        <v>1</v>
      </c>
      <c r="AB191" s="4" t="s">
        <v>734</v>
      </c>
      <c r="AC191" s="4">
        <v>0.58778666490211906</v>
      </c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1"/>
      <c r="BJ191" s="1" t="s">
        <v>3484</v>
      </c>
      <c r="BK191" s="1">
        <v>1</v>
      </c>
      <c r="BL191" s="1"/>
      <c r="BM191" s="1" t="s">
        <v>540</v>
      </c>
      <c r="BN191" s="1" t="s">
        <v>2762</v>
      </c>
      <c r="BO191" s="1" t="s">
        <v>2763</v>
      </c>
      <c r="BP191" s="1">
        <v>6.63</v>
      </c>
      <c r="BQ191" s="1" t="s">
        <v>1003</v>
      </c>
      <c r="BR191" s="1">
        <v>37.307000000000002</v>
      </c>
      <c r="BS191" s="1">
        <v>138.839</v>
      </c>
      <c r="BT191" s="1">
        <v>10.6</v>
      </c>
      <c r="BU191" s="1" t="s">
        <v>734</v>
      </c>
      <c r="BV191" s="1" t="s">
        <v>2571</v>
      </c>
      <c r="BW191" s="1">
        <v>212</v>
      </c>
      <c r="BX191" s="1">
        <v>47</v>
      </c>
      <c r="BY191" s="1">
        <v>93</v>
      </c>
      <c r="BZ191" s="1"/>
      <c r="CA191" s="1"/>
      <c r="CB191" s="1"/>
      <c r="CC191" s="1" t="s">
        <v>2566</v>
      </c>
      <c r="CD191" s="1" t="s">
        <v>731</v>
      </c>
      <c r="CE191" s="1"/>
      <c r="CF191" s="1"/>
      <c r="CG191" s="1"/>
      <c r="CH191" s="1"/>
      <c r="CI191" s="1"/>
      <c r="CJ191" s="1" t="s">
        <v>167</v>
      </c>
      <c r="CK191" t="s">
        <v>1262</v>
      </c>
      <c r="CL191">
        <v>191</v>
      </c>
      <c r="CM191" t="s">
        <v>2766</v>
      </c>
    </row>
    <row r="192" spans="1:91" ht="19" customHeight="1">
      <c r="A192" s="1" t="s">
        <v>3485</v>
      </c>
      <c r="B192" s="1" t="s">
        <v>3093</v>
      </c>
      <c r="C192" s="1">
        <v>192</v>
      </c>
      <c r="D192" s="1" t="s">
        <v>941</v>
      </c>
      <c r="E192" s="1">
        <v>2004</v>
      </c>
      <c r="F192" s="1" t="s">
        <v>942</v>
      </c>
      <c r="G192" s="1" t="s">
        <v>2474</v>
      </c>
      <c r="H192" s="4">
        <v>35.893999999999998</v>
      </c>
      <c r="I192" s="4">
        <v>-120.42100000000001</v>
      </c>
      <c r="J192" s="1" t="s">
        <v>1396</v>
      </c>
      <c r="K192" s="1" t="s">
        <v>75</v>
      </c>
      <c r="L192" s="1" t="s">
        <v>2475</v>
      </c>
      <c r="M192" s="1" t="s">
        <v>3094</v>
      </c>
      <c r="N192" s="1"/>
      <c r="O192" s="1" t="s">
        <v>3095</v>
      </c>
      <c r="P192" s="1">
        <v>4065</v>
      </c>
      <c r="Q192" s="4">
        <v>6</v>
      </c>
      <c r="R192" s="4">
        <v>1.22</v>
      </c>
      <c r="S192" s="4"/>
      <c r="T192" s="4">
        <v>35.799999999999997</v>
      </c>
      <c r="U192" s="4">
        <v>2.9</v>
      </c>
      <c r="V192" s="4"/>
      <c r="W192" s="4">
        <v>12.8</v>
      </c>
      <c r="X192" s="4">
        <v>41</v>
      </c>
      <c r="Y192" s="4">
        <v>80</v>
      </c>
      <c r="Z192" s="4">
        <v>1</v>
      </c>
      <c r="AA192" s="4">
        <v>1</v>
      </c>
      <c r="AB192" s="4" t="s">
        <v>730</v>
      </c>
      <c r="AC192" s="4">
        <v>0.1988508587451652</v>
      </c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1"/>
      <c r="BJ192" s="1" t="s">
        <v>3486</v>
      </c>
      <c r="BK192" s="1">
        <v>1</v>
      </c>
      <c r="BL192" s="1"/>
      <c r="BM192" s="1" t="s">
        <v>547</v>
      </c>
      <c r="BN192" s="1" t="s">
        <v>2767</v>
      </c>
      <c r="BO192" s="1" t="s">
        <v>2768</v>
      </c>
      <c r="BP192" s="1">
        <v>6</v>
      </c>
      <c r="BQ192" s="1" t="s">
        <v>1003</v>
      </c>
      <c r="BR192" s="1">
        <v>35.817</v>
      </c>
      <c r="BS192" s="1">
        <v>-120.36499999999999</v>
      </c>
      <c r="BT192" s="1">
        <v>8.1</v>
      </c>
      <c r="BU192" s="1" t="s">
        <v>730</v>
      </c>
      <c r="BV192" s="1" t="s">
        <v>2571</v>
      </c>
      <c r="BW192" s="1">
        <v>141</v>
      </c>
      <c r="BX192" s="1">
        <v>89</v>
      </c>
      <c r="BY192" s="1">
        <v>-175</v>
      </c>
      <c r="BZ192" s="1"/>
      <c r="CA192" s="1"/>
      <c r="CB192" s="1"/>
      <c r="CC192" s="1" t="s">
        <v>2566</v>
      </c>
      <c r="CD192" s="1" t="s">
        <v>731</v>
      </c>
      <c r="CE192" s="1"/>
      <c r="CF192" s="1"/>
      <c r="CG192" s="1"/>
      <c r="CH192" s="1"/>
      <c r="CI192" s="1"/>
      <c r="CJ192" s="1" t="s">
        <v>167</v>
      </c>
      <c r="CK192" t="s">
        <v>1262</v>
      </c>
      <c r="CL192">
        <v>192</v>
      </c>
      <c r="CM192" t="s">
        <v>2771</v>
      </c>
    </row>
    <row r="193" spans="1:91" ht="19" customHeight="1">
      <c r="A193" s="1" t="s">
        <v>3487</v>
      </c>
      <c r="B193" s="1" t="s">
        <v>3093</v>
      </c>
      <c r="C193" s="1">
        <v>193</v>
      </c>
      <c r="D193" s="1" t="s">
        <v>941</v>
      </c>
      <c r="E193" s="1">
        <v>2004</v>
      </c>
      <c r="F193" s="1" t="s">
        <v>943</v>
      </c>
      <c r="G193" s="1" t="s">
        <v>2509</v>
      </c>
      <c r="H193" s="4">
        <v>36.033999999999999</v>
      </c>
      <c r="I193" s="4">
        <v>-120.59</v>
      </c>
      <c r="J193" s="1" t="s">
        <v>1396</v>
      </c>
      <c r="K193" s="1" t="s">
        <v>75</v>
      </c>
      <c r="L193" s="1" t="s">
        <v>2510</v>
      </c>
      <c r="M193" s="1" t="s">
        <v>3094</v>
      </c>
      <c r="N193" s="1"/>
      <c r="O193" s="1" t="s">
        <v>3095</v>
      </c>
      <c r="P193" s="1">
        <v>4097</v>
      </c>
      <c r="Q193" s="4">
        <v>6</v>
      </c>
      <c r="R193" s="4">
        <v>0.85</v>
      </c>
      <c r="S193" s="4"/>
      <c r="T193" s="4">
        <v>53.2</v>
      </c>
      <c r="U193" s="4">
        <v>3</v>
      </c>
      <c r="V193" s="4"/>
      <c r="W193" s="4">
        <v>32.5</v>
      </c>
      <c r="X193" s="4">
        <v>0</v>
      </c>
      <c r="Y193" s="4">
        <v>39</v>
      </c>
      <c r="Z193" s="4">
        <v>0</v>
      </c>
      <c r="AA193" s="4">
        <v>1</v>
      </c>
      <c r="AB193" s="4" t="s">
        <v>730</v>
      </c>
      <c r="AC193" s="4">
        <v>-0.16251892949777491</v>
      </c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1"/>
      <c r="BJ193" s="1" t="s">
        <v>3488</v>
      </c>
      <c r="BK193" s="1">
        <v>1</v>
      </c>
      <c r="BL193" s="1"/>
      <c r="BM193" s="1" t="s">
        <v>547</v>
      </c>
      <c r="BN193" s="1" t="s">
        <v>2767</v>
      </c>
      <c r="BO193" s="1" t="s">
        <v>2768</v>
      </c>
      <c r="BP193" s="1">
        <v>6</v>
      </c>
      <c r="BQ193" s="1" t="s">
        <v>1003</v>
      </c>
      <c r="BR193" s="1">
        <v>35.817</v>
      </c>
      <c r="BS193" s="1">
        <v>-120.36499999999999</v>
      </c>
      <c r="BT193" s="1">
        <v>8.1</v>
      </c>
      <c r="BU193" s="1" t="s">
        <v>730</v>
      </c>
      <c r="BV193" s="1" t="s">
        <v>2571</v>
      </c>
      <c r="BW193" s="1">
        <v>141</v>
      </c>
      <c r="BX193" s="1">
        <v>89</v>
      </c>
      <c r="BY193" s="1">
        <v>-175</v>
      </c>
      <c r="BZ193" s="1"/>
      <c r="CA193" s="1"/>
      <c r="CB193" s="1"/>
      <c r="CC193" s="1" t="s">
        <v>2566</v>
      </c>
      <c r="CD193" s="1" t="s">
        <v>731</v>
      </c>
      <c r="CE193" s="1"/>
      <c r="CF193" s="1"/>
      <c r="CG193" s="1"/>
      <c r="CH193" s="1"/>
      <c r="CI193" s="1"/>
      <c r="CJ193" s="1" t="s">
        <v>167</v>
      </c>
      <c r="CK193" t="s">
        <v>1262</v>
      </c>
      <c r="CL193">
        <v>193</v>
      </c>
      <c r="CM193" t="s">
        <v>2771</v>
      </c>
    </row>
    <row r="194" spans="1:91" ht="19" customHeight="1">
      <c r="A194" s="1" t="s">
        <v>3489</v>
      </c>
      <c r="B194" s="1" t="s">
        <v>3093</v>
      </c>
      <c r="C194" s="1">
        <v>194</v>
      </c>
      <c r="D194" s="1" t="s">
        <v>941</v>
      </c>
      <c r="E194" s="1">
        <v>2004</v>
      </c>
      <c r="F194" s="1" t="s">
        <v>944</v>
      </c>
      <c r="G194" s="1" t="s">
        <v>2459</v>
      </c>
      <c r="H194" s="4">
        <v>35.743000000000002</v>
      </c>
      <c r="I194" s="4">
        <v>-120.277</v>
      </c>
      <c r="J194" s="1" t="s">
        <v>1396</v>
      </c>
      <c r="K194" s="1" t="s">
        <v>75</v>
      </c>
      <c r="L194" s="1" t="s">
        <v>2460</v>
      </c>
      <c r="M194" s="1" t="s">
        <v>3094</v>
      </c>
      <c r="N194" s="1"/>
      <c r="O194" s="1" t="s">
        <v>3095</v>
      </c>
      <c r="P194" s="1">
        <v>4098</v>
      </c>
      <c r="Q194" s="4">
        <v>6</v>
      </c>
      <c r="R194" s="4">
        <v>1.33</v>
      </c>
      <c r="S194" s="4"/>
      <c r="T194" s="4">
        <v>51.6</v>
      </c>
      <c r="U194" s="4">
        <v>3</v>
      </c>
      <c r="V194" s="4"/>
      <c r="W194" s="4">
        <v>14</v>
      </c>
      <c r="X194" s="4">
        <v>58</v>
      </c>
      <c r="Y194" s="4">
        <v>83</v>
      </c>
      <c r="Z194" s="4">
        <v>1</v>
      </c>
      <c r="AA194" s="4">
        <v>1</v>
      </c>
      <c r="AB194" s="4" t="s">
        <v>730</v>
      </c>
      <c r="AC194" s="4">
        <v>0.28517894223366252</v>
      </c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1"/>
      <c r="BJ194" s="1" t="s">
        <v>3490</v>
      </c>
      <c r="BK194" s="1">
        <v>1</v>
      </c>
      <c r="BL194" s="1"/>
      <c r="BM194" s="1" t="s">
        <v>547</v>
      </c>
      <c r="BN194" s="1" t="s">
        <v>2767</v>
      </c>
      <c r="BO194" s="1" t="s">
        <v>2768</v>
      </c>
      <c r="BP194" s="1">
        <v>6</v>
      </c>
      <c r="BQ194" s="1" t="s">
        <v>1003</v>
      </c>
      <c r="BR194" s="1">
        <v>35.817</v>
      </c>
      <c r="BS194" s="1">
        <v>-120.36499999999999</v>
      </c>
      <c r="BT194" s="1">
        <v>8.1</v>
      </c>
      <c r="BU194" s="1" t="s">
        <v>730</v>
      </c>
      <c r="BV194" s="1" t="s">
        <v>2571</v>
      </c>
      <c r="BW194" s="1">
        <v>141</v>
      </c>
      <c r="BX194" s="1">
        <v>89</v>
      </c>
      <c r="BY194" s="1">
        <v>-175</v>
      </c>
      <c r="BZ194" s="1"/>
      <c r="CA194" s="1"/>
      <c r="CB194" s="1"/>
      <c r="CC194" s="1" t="s">
        <v>2566</v>
      </c>
      <c r="CD194" s="1" t="s">
        <v>731</v>
      </c>
      <c r="CE194" s="1"/>
      <c r="CF194" s="1"/>
      <c r="CG194" s="1"/>
      <c r="CH194" s="1"/>
      <c r="CI194" s="1"/>
      <c r="CJ194" s="1" t="s">
        <v>167</v>
      </c>
      <c r="CK194" t="s">
        <v>1262</v>
      </c>
      <c r="CL194">
        <v>194</v>
      </c>
      <c r="CM194" t="s">
        <v>2771</v>
      </c>
    </row>
    <row r="195" spans="1:91" ht="19" customHeight="1">
      <c r="A195" s="1" t="s">
        <v>3491</v>
      </c>
      <c r="B195" s="1" t="s">
        <v>3093</v>
      </c>
      <c r="C195" s="1">
        <v>195</v>
      </c>
      <c r="D195" s="1" t="s">
        <v>941</v>
      </c>
      <c r="E195" s="1">
        <v>2004</v>
      </c>
      <c r="F195" s="1" t="s">
        <v>945</v>
      </c>
      <c r="G195" s="1" t="s">
        <v>2462</v>
      </c>
      <c r="H195" s="4">
        <v>35.732999999999997</v>
      </c>
      <c r="I195" s="4">
        <v>-120.29</v>
      </c>
      <c r="J195" s="1" t="s">
        <v>1396</v>
      </c>
      <c r="K195" s="1" t="s">
        <v>75</v>
      </c>
      <c r="L195" s="1" t="s">
        <v>2463</v>
      </c>
      <c r="M195" s="1" t="s">
        <v>3094</v>
      </c>
      <c r="N195" s="1"/>
      <c r="O195" s="1" t="s">
        <v>3095</v>
      </c>
      <c r="P195" s="1">
        <v>4100</v>
      </c>
      <c r="Q195" s="4">
        <v>6</v>
      </c>
      <c r="R195" s="4">
        <v>1.08</v>
      </c>
      <c r="S195" s="4"/>
      <c r="T195" s="4">
        <v>57.9</v>
      </c>
      <c r="U195" s="4">
        <v>3</v>
      </c>
      <c r="V195" s="4"/>
      <c r="W195" s="4">
        <v>14.1</v>
      </c>
      <c r="X195" s="4">
        <v>67</v>
      </c>
      <c r="Y195" s="4">
        <v>74</v>
      </c>
      <c r="Z195" s="4">
        <v>1</v>
      </c>
      <c r="AA195" s="4">
        <v>1</v>
      </c>
      <c r="AB195" s="4" t="s">
        <v>730</v>
      </c>
      <c r="AC195" s="4">
        <v>7.6961041136128394E-2</v>
      </c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1"/>
      <c r="BJ195" s="1" t="s">
        <v>3492</v>
      </c>
      <c r="BK195" s="1">
        <v>1</v>
      </c>
      <c r="BL195" s="1"/>
      <c r="BM195" s="1" t="s">
        <v>547</v>
      </c>
      <c r="BN195" s="1" t="s">
        <v>2767</v>
      </c>
      <c r="BO195" s="1" t="s">
        <v>2768</v>
      </c>
      <c r="BP195" s="1">
        <v>6</v>
      </c>
      <c r="BQ195" s="1" t="s">
        <v>1003</v>
      </c>
      <c r="BR195" s="1">
        <v>35.817</v>
      </c>
      <c r="BS195" s="1">
        <v>-120.36499999999999</v>
      </c>
      <c r="BT195" s="1">
        <v>8.1</v>
      </c>
      <c r="BU195" s="1" t="s">
        <v>730</v>
      </c>
      <c r="BV195" s="1" t="s">
        <v>2571</v>
      </c>
      <c r="BW195" s="1">
        <v>141</v>
      </c>
      <c r="BX195" s="1">
        <v>89</v>
      </c>
      <c r="BY195" s="1">
        <v>-175</v>
      </c>
      <c r="BZ195" s="1"/>
      <c r="CA195" s="1"/>
      <c r="CB195" s="1"/>
      <c r="CC195" s="1" t="s">
        <v>2566</v>
      </c>
      <c r="CD195" s="1" t="s">
        <v>731</v>
      </c>
      <c r="CE195" s="1"/>
      <c r="CF195" s="1"/>
      <c r="CG195" s="1"/>
      <c r="CH195" s="1"/>
      <c r="CI195" s="1"/>
      <c r="CJ195" s="1" t="s">
        <v>167</v>
      </c>
      <c r="CK195" t="s">
        <v>1262</v>
      </c>
      <c r="CL195">
        <v>195</v>
      </c>
      <c r="CM195" t="s">
        <v>2771</v>
      </c>
    </row>
    <row r="196" spans="1:91" ht="19" customHeight="1">
      <c r="A196" s="1" t="s">
        <v>3493</v>
      </c>
      <c r="B196" s="1" t="s">
        <v>3093</v>
      </c>
      <c r="C196" s="1">
        <v>196</v>
      </c>
      <c r="D196" s="1" t="s">
        <v>941</v>
      </c>
      <c r="E196" s="1">
        <v>2004</v>
      </c>
      <c r="F196" s="1" t="s">
        <v>946</v>
      </c>
      <c r="G196" s="1" t="s">
        <v>2465</v>
      </c>
      <c r="H196" s="4">
        <v>35.770000000000003</v>
      </c>
      <c r="I196" s="4">
        <v>-120.247</v>
      </c>
      <c r="J196" s="1" t="s">
        <v>1396</v>
      </c>
      <c r="K196" s="1" t="s">
        <v>75</v>
      </c>
      <c r="L196" s="1" t="s">
        <v>2466</v>
      </c>
      <c r="M196" s="1" t="s">
        <v>3094</v>
      </c>
      <c r="N196" s="1"/>
      <c r="O196" s="1" t="s">
        <v>3095</v>
      </c>
      <c r="P196" s="1">
        <v>4101</v>
      </c>
      <c r="Q196" s="4">
        <v>6</v>
      </c>
      <c r="R196" s="4">
        <v>0.52</v>
      </c>
      <c r="S196" s="4"/>
      <c r="T196" s="4">
        <v>31</v>
      </c>
      <c r="U196" s="4">
        <v>5.5</v>
      </c>
      <c r="V196" s="4"/>
      <c r="W196" s="4">
        <v>14.4</v>
      </c>
      <c r="X196" s="4">
        <v>66</v>
      </c>
      <c r="Y196" s="4">
        <v>75</v>
      </c>
      <c r="Z196" s="4">
        <v>1</v>
      </c>
      <c r="AA196" s="4">
        <v>1</v>
      </c>
      <c r="AB196" s="4" t="s">
        <v>730</v>
      </c>
      <c r="AC196" s="4">
        <v>-0.65392646740666394</v>
      </c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1"/>
      <c r="BJ196" s="1" t="s">
        <v>3494</v>
      </c>
      <c r="BK196" s="1">
        <v>1</v>
      </c>
      <c r="BL196" s="1"/>
      <c r="BM196" s="1" t="s">
        <v>547</v>
      </c>
      <c r="BN196" s="1" t="s">
        <v>2767</v>
      </c>
      <c r="BO196" s="1" t="s">
        <v>2768</v>
      </c>
      <c r="BP196" s="1">
        <v>6</v>
      </c>
      <c r="BQ196" s="1" t="s">
        <v>1003</v>
      </c>
      <c r="BR196" s="1">
        <v>35.817</v>
      </c>
      <c r="BS196" s="1">
        <v>-120.36499999999999</v>
      </c>
      <c r="BT196" s="1">
        <v>8.1</v>
      </c>
      <c r="BU196" s="1" t="s">
        <v>730</v>
      </c>
      <c r="BV196" s="1" t="s">
        <v>2571</v>
      </c>
      <c r="BW196" s="1">
        <v>141</v>
      </c>
      <c r="BX196" s="1">
        <v>89</v>
      </c>
      <c r="BY196" s="1">
        <v>-175</v>
      </c>
      <c r="BZ196" s="1"/>
      <c r="CA196" s="1"/>
      <c r="CB196" s="1"/>
      <c r="CC196" s="1" t="s">
        <v>2566</v>
      </c>
      <c r="CD196" s="1" t="s">
        <v>731</v>
      </c>
      <c r="CE196" s="1"/>
      <c r="CF196" s="1"/>
      <c r="CG196" s="1"/>
      <c r="CH196" s="1"/>
      <c r="CI196" s="1"/>
      <c r="CJ196" s="1" t="s">
        <v>167</v>
      </c>
      <c r="CK196" t="s">
        <v>1262</v>
      </c>
      <c r="CL196">
        <v>196</v>
      </c>
      <c r="CM196" t="s">
        <v>2771</v>
      </c>
    </row>
    <row r="197" spans="1:91" ht="19" customHeight="1">
      <c r="A197" s="1" t="s">
        <v>3495</v>
      </c>
      <c r="B197" s="1" t="s">
        <v>3093</v>
      </c>
      <c r="C197" s="1">
        <v>197</v>
      </c>
      <c r="D197" s="1" t="s">
        <v>941</v>
      </c>
      <c r="E197" s="1">
        <v>2004</v>
      </c>
      <c r="F197" s="1" t="s">
        <v>947</v>
      </c>
      <c r="G197" s="1" t="s">
        <v>2468</v>
      </c>
      <c r="H197" s="4">
        <v>35.723999999999997</v>
      </c>
      <c r="I197" s="4">
        <v>-120.294</v>
      </c>
      <c r="J197" s="1" t="s">
        <v>1396</v>
      </c>
      <c r="K197" s="1" t="s">
        <v>75</v>
      </c>
      <c r="L197" s="1" t="s">
        <v>2469</v>
      </c>
      <c r="M197" s="1" t="s">
        <v>3094</v>
      </c>
      <c r="N197" s="1"/>
      <c r="O197" s="1" t="s">
        <v>3095</v>
      </c>
      <c r="P197" s="1">
        <v>4102</v>
      </c>
      <c r="Q197" s="4">
        <v>6</v>
      </c>
      <c r="R197" s="4">
        <v>1.02</v>
      </c>
      <c r="S197" s="4"/>
      <c r="T197" s="4">
        <v>43.5</v>
      </c>
      <c r="U197" s="4">
        <v>3.6</v>
      </c>
      <c r="V197" s="4"/>
      <c r="W197" s="4">
        <v>14.6</v>
      </c>
      <c r="X197" s="4">
        <v>27</v>
      </c>
      <c r="Y197" s="4">
        <v>66</v>
      </c>
      <c r="Z197" s="4">
        <v>1</v>
      </c>
      <c r="AA197" s="4">
        <v>1</v>
      </c>
      <c r="AB197" s="4" t="s">
        <v>730</v>
      </c>
      <c r="AC197" s="4">
        <v>1.980262729617973E-2</v>
      </c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1"/>
      <c r="BJ197" s="1" t="s">
        <v>3496</v>
      </c>
      <c r="BK197" s="1">
        <v>1</v>
      </c>
      <c r="BL197" s="1"/>
      <c r="BM197" s="1" t="s">
        <v>547</v>
      </c>
      <c r="BN197" s="1" t="s">
        <v>2767</v>
      </c>
      <c r="BO197" s="1" t="s">
        <v>2768</v>
      </c>
      <c r="BP197" s="1">
        <v>6</v>
      </c>
      <c r="BQ197" s="1" t="s">
        <v>1003</v>
      </c>
      <c r="BR197" s="1">
        <v>35.817</v>
      </c>
      <c r="BS197" s="1">
        <v>-120.36499999999999</v>
      </c>
      <c r="BT197" s="1">
        <v>8.1</v>
      </c>
      <c r="BU197" s="1" t="s">
        <v>730</v>
      </c>
      <c r="BV197" s="1" t="s">
        <v>2571</v>
      </c>
      <c r="BW197" s="1">
        <v>141</v>
      </c>
      <c r="BX197" s="1">
        <v>89</v>
      </c>
      <c r="BY197" s="1">
        <v>-175</v>
      </c>
      <c r="BZ197" s="1"/>
      <c r="CA197" s="1"/>
      <c r="CB197" s="1"/>
      <c r="CC197" s="1" t="s">
        <v>2566</v>
      </c>
      <c r="CD197" s="1" t="s">
        <v>731</v>
      </c>
      <c r="CE197" s="1"/>
      <c r="CF197" s="1"/>
      <c r="CG197" s="1"/>
      <c r="CH197" s="1"/>
      <c r="CI197" s="1"/>
      <c r="CJ197" s="1" t="s">
        <v>167</v>
      </c>
      <c r="CK197" t="s">
        <v>1262</v>
      </c>
      <c r="CL197">
        <v>197</v>
      </c>
      <c r="CM197" t="s">
        <v>2771</v>
      </c>
    </row>
    <row r="198" spans="1:91" ht="19" customHeight="1">
      <c r="A198" s="1" t="s">
        <v>3497</v>
      </c>
      <c r="B198" s="1" t="s">
        <v>3093</v>
      </c>
      <c r="C198" s="1">
        <v>198</v>
      </c>
      <c r="D198" s="1" t="s">
        <v>941</v>
      </c>
      <c r="E198" s="1">
        <v>2004</v>
      </c>
      <c r="F198" s="1" t="s">
        <v>948</v>
      </c>
      <c r="G198" s="1" t="s">
        <v>2471</v>
      </c>
      <c r="H198" s="4">
        <v>35.718000000000004</v>
      </c>
      <c r="I198" s="4">
        <v>-120.304</v>
      </c>
      <c r="J198" s="1" t="s">
        <v>1396</v>
      </c>
      <c r="K198" s="1" t="s">
        <v>75</v>
      </c>
      <c r="L198" s="1" t="s">
        <v>2472</v>
      </c>
      <c r="M198" s="1" t="s">
        <v>3094</v>
      </c>
      <c r="N198" s="1"/>
      <c r="O198" s="1" t="s">
        <v>3095</v>
      </c>
      <c r="P198" s="1">
        <v>4103</v>
      </c>
      <c r="Q198" s="4">
        <v>6</v>
      </c>
      <c r="R198" s="4">
        <v>0.7</v>
      </c>
      <c r="S198" s="4"/>
      <c r="T198" s="4">
        <v>38.299999999999997</v>
      </c>
      <c r="U198" s="4">
        <v>4.2</v>
      </c>
      <c r="V198" s="4"/>
      <c r="W198" s="4">
        <v>14.7</v>
      </c>
      <c r="X198" s="4">
        <v>43</v>
      </c>
      <c r="Y198" s="4">
        <v>82</v>
      </c>
      <c r="Z198" s="4">
        <v>1</v>
      </c>
      <c r="AA198" s="4">
        <v>1</v>
      </c>
      <c r="AB198" s="4" t="s">
        <v>730</v>
      </c>
      <c r="AC198" s="4">
        <v>-0.35667494393873239</v>
      </c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1"/>
      <c r="BJ198" s="1" t="s">
        <v>3498</v>
      </c>
      <c r="BK198" s="1">
        <v>1</v>
      </c>
      <c r="BL198" s="1"/>
      <c r="BM198" s="1" t="s">
        <v>547</v>
      </c>
      <c r="BN198" s="1" t="s">
        <v>2767</v>
      </c>
      <c r="BO198" s="1" t="s">
        <v>2768</v>
      </c>
      <c r="BP198" s="1">
        <v>6</v>
      </c>
      <c r="BQ198" s="1" t="s">
        <v>1003</v>
      </c>
      <c r="BR198" s="1">
        <v>35.817</v>
      </c>
      <c r="BS198" s="1">
        <v>-120.36499999999999</v>
      </c>
      <c r="BT198" s="1">
        <v>8.1</v>
      </c>
      <c r="BU198" s="1" t="s">
        <v>730</v>
      </c>
      <c r="BV198" s="1" t="s">
        <v>2571</v>
      </c>
      <c r="BW198" s="1">
        <v>141</v>
      </c>
      <c r="BX198" s="1">
        <v>89</v>
      </c>
      <c r="BY198" s="1">
        <v>-175</v>
      </c>
      <c r="BZ198" s="1"/>
      <c r="CA198" s="1"/>
      <c r="CB198" s="1"/>
      <c r="CC198" s="1" t="s">
        <v>2566</v>
      </c>
      <c r="CD198" s="1" t="s">
        <v>731</v>
      </c>
      <c r="CE198" s="1"/>
      <c r="CF198" s="1"/>
      <c r="CG198" s="1"/>
      <c r="CH198" s="1"/>
      <c r="CI198" s="1"/>
      <c r="CJ198" s="1" t="s">
        <v>167</v>
      </c>
      <c r="CK198" t="s">
        <v>1262</v>
      </c>
      <c r="CL198">
        <v>198</v>
      </c>
      <c r="CM198" t="s">
        <v>2771</v>
      </c>
    </row>
    <row r="199" spans="1:91" ht="19" customHeight="1">
      <c r="A199" s="1" t="s">
        <v>3499</v>
      </c>
      <c r="B199" s="1" t="s">
        <v>3093</v>
      </c>
      <c r="C199" s="1">
        <v>199</v>
      </c>
      <c r="D199" s="1" t="s">
        <v>941</v>
      </c>
      <c r="E199" s="1">
        <v>2004</v>
      </c>
      <c r="F199" s="1" t="s">
        <v>949</v>
      </c>
      <c r="G199" s="1" t="s">
        <v>2477</v>
      </c>
      <c r="H199" s="4">
        <v>35.758000000000003</v>
      </c>
      <c r="I199" s="4">
        <v>-120.307</v>
      </c>
      <c r="J199" s="1" t="s">
        <v>1396</v>
      </c>
      <c r="K199" s="1" t="s">
        <v>75</v>
      </c>
      <c r="L199" s="1" t="s">
        <v>2478</v>
      </c>
      <c r="M199" s="1" t="s">
        <v>3094</v>
      </c>
      <c r="N199" s="1"/>
      <c r="O199" s="1" t="s">
        <v>3095</v>
      </c>
      <c r="P199" s="1">
        <v>4107</v>
      </c>
      <c r="Q199" s="4">
        <v>6</v>
      </c>
      <c r="R199" s="4">
        <v>1.19</v>
      </c>
      <c r="S199" s="4"/>
      <c r="T199" s="4">
        <v>81.900000000000006</v>
      </c>
      <c r="U199" s="4">
        <v>2.5</v>
      </c>
      <c r="V199" s="4"/>
      <c r="W199" s="4">
        <v>11.7</v>
      </c>
      <c r="X199" s="4">
        <v>13</v>
      </c>
      <c r="Y199" s="4">
        <v>52</v>
      </c>
      <c r="Z199" s="4">
        <v>1</v>
      </c>
      <c r="AA199" s="4">
        <v>1</v>
      </c>
      <c r="AB199" s="4" t="s">
        <v>730</v>
      </c>
      <c r="AC199" s="4">
        <v>0.17395330712343801</v>
      </c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1"/>
      <c r="BJ199" s="1" t="s">
        <v>3500</v>
      </c>
      <c r="BK199" s="1">
        <v>1</v>
      </c>
      <c r="BL199" s="1"/>
      <c r="BM199" s="1" t="s">
        <v>547</v>
      </c>
      <c r="BN199" s="1" t="s">
        <v>2767</v>
      </c>
      <c r="BO199" s="1" t="s">
        <v>2768</v>
      </c>
      <c r="BP199" s="1">
        <v>6</v>
      </c>
      <c r="BQ199" s="1" t="s">
        <v>1003</v>
      </c>
      <c r="BR199" s="1">
        <v>35.817</v>
      </c>
      <c r="BS199" s="1">
        <v>-120.36499999999999</v>
      </c>
      <c r="BT199" s="1">
        <v>8.1</v>
      </c>
      <c r="BU199" s="1" t="s">
        <v>730</v>
      </c>
      <c r="BV199" s="1" t="s">
        <v>2571</v>
      </c>
      <c r="BW199" s="1">
        <v>141</v>
      </c>
      <c r="BX199" s="1">
        <v>89</v>
      </c>
      <c r="BY199" s="1">
        <v>-175</v>
      </c>
      <c r="BZ199" s="1"/>
      <c r="CA199" s="1"/>
      <c r="CB199" s="1"/>
      <c r="CC199" s="1" t="s">
        <v>2566</v>
      </c>
      <c r="CD199" s="1" t="s">
        <v>731</v>
      </c>
      <c r="CE199" s="1"/>
      <c r="CF199" s="1"/>
      <c r="CG199" s="1"/>
      <c r="CH199" s="1"/>
      <c r="CI199" s="1"/>
      <c r="CJ199" s="1" t="s">
        <v>167</v>
      </c>
      <c r="CK199" t="s">
        <v>1262</v>
      </c>
      <c r="CL199">
        <v>199</v>
      </c>
      <c r="CM199" t="s">
        <v>2771</v>
      </c>
    </row>
    <row r="200" spans="1:91" ht="19" customHeight="1">
      <c r="A200" s="1" t="s">
        <v>3501</v>
      </c>
      <c r="B200" s="1" t="s">
        <v>3093</v>
      </c>
      <c r="C200" s="1">
        <v>200</v>
      </c>
      <c r="D200" s="1" t="s">
        <v>941</v>
      </c>
      <c r="E200" s="1">
        <v>2004</v>
      </c>
      <c r="F200" s="1" t="s">
        <v>950</v>
      </c>
      <c r="G200" s="1" t="s">
        <v>2483</v>
      </c>
      <c r="H200" s="4">
        <v>35.878999999999998</v>
      </c>
      <c r="I200" s="4">
        <v>-120.44499999999999</v>
      </c>
      <c r="J200" s="1" t="s">
        <v>1396</v>
      </c>
      <c r="K200" s="1" t="s">
        <v>75</v>
      </c>
      <c r="L200" s="1" t="s">
        <v>2484</v>
      </c>
      <c r="M200" s="1" t="s">
        <v>3094</v>
      </c>
      <c r="N200" s="1"/>
      <c r="O200" s="1" t="s">
        <v>3095</v>
      </c>
      <c r="P200" s="1">
        <v>4113</v>
      </c>
      <c r="Q200" s="4">
        <v>6</v>
      </c>
      <c r="R200" s="4">
        <v>1.1299999999999999</v>
      </c>
      <c r="S200" s="4"/>
      <c r="T200" s="4">
        <v>27</v>
      </c>
      <c r="U200" s="4">
        <v>2.9</v>
      </c>
      <c r="V200" s="4"/>
      <c r="W200" s="4">
        <v>12.9</v>
      </c>
      <c r="X200" s="4">
        <v>63</v>
      </c>
      <c r="Y200" s="4">
        <v>78</v>
      </c>
      <c r="Z200" s="4">
        <v>1</v>
      </c>
      <c r="AA200" s="4">
        <v>1</v>
      </c>
      <c r="AB200" s="4" t="s">
        <v>730</v>
      </c>
      <c r="AC200" s="4">
        <v>0.1222176327242491</v>
      </c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1"/>
      <c r="BJ200" s="1" t="s">
        <v>3502</v>
      </c>
      <c r="BK200" s="1">
        <v>1</v>
      </c>
      <c r="BL200" s="1"/>
      <c r="BM200" s="1" t="s">
        <v>547</v>
      </c>
      <c r="BN200" s="1" t="s">
        <v>2767</v>
      </c>
      <c r="BO200" s="1" t="s">
        <v>2768</v>
      </c>
      <c r="BP200" s="1">
        <v>6</v>
      </c>
      <c r="BQ200" s="1" t="s">
        <v>1003</v>
      </c>
      <c r="BR200" s="1">
        <v>35.817</v>
      </c>
      <c r="BS200" s="1">
        <v>-120.36499999999999</v>
      </c>
      <c r="BT200" s="1">
        <v>8.1</v>
      </c>
      <c r="BU200" s="1" t="s">
        <v>730</v>
      </c>
      <c r="BV200" s="1" t="s">
        <v>2571</v>
      </c>
      <c r="BW200" s="1">
        <v>141</v>
      </c>
      <c r="BX200" s="1">
        <v>89</v>
      </c>
      <c r="BY200" s="1">
        <v>-175</v>
      </c>
      <c r="BZ200" s="1"/>
      <c r="CA200" s="1"/>
      <c r="CB200" s="1"/>
      <c r="CC200" s="1" t="s">
        <v>2566</v>
      </c>
      <c r="CD200" s="1" t="s">
        <v>731</v>
      </c>
      <c r="CE200" s="1"/>
      <c r="CF200" s="1"/>
      <c r="CG200" s="1"/>
      <c r="CH200" s="1"/>
      <c r="CI200" s="1"/>
      <c r="CJ200" s="1" t="s">
        <v>167</v>
      </c>
      <c r="CK200" t="s">
        <v>1262</v>
      </c>
      <c r="CL200">
        <v>200</v>
      </c>
      <c r="CM200" t="s">
        <v>2771</v>
      </c>
    </row>
    <row r="201" spans="1:91" ht="19" customHeight="1">
      <c r="A201" s="1" t="s">
        <v>3503</v>
      </c>
      <c r="B201" s="1" t="s">
        <v>3093</v>
      </c>
      <c r="C201" s="1">
        <v>201</v>
      </c>
      <c r="D201" s="1" t="s">
        <v>941</v>
      </c>
      <c r="E201" s="1">
        <v>2004</v>
      </c>
      <c r="F201" s="1" t="s">
        <v>951</v>
      </c>
      <c r="G201" s="1" t="s">
        <v>2480</v>
      </c>
      <c r="H201" s="4">
        <v>35.899000000000001</v>
      </c>
      <c r="I201" s="4">
        <v>-120.43300000000001</v>
      </c>
      <c r="J201" s="1" t="s">
        <v>1396</v>
      </c>
      <c r="K201" s="1" t="s">
        <v>75</v>
      </c>
      <c r="L201" s="1" t="s">
        <v>2481</v>
      </c>
      <c r="M201" s="1" t="s">
        <v>3094</v>
      </c>
      <c r="N201" s="1"/>
      <c r="O201" s="1" t="s">
        <v>3095</v>
      </c>
      <c r="P201" s="1">
        <v>4115</v>
      </c>
      <c r="Q201" s="4">
        <v>6</v>
      </c>
      <c r="R201" s="4">
        <v>1.19</v>
      </c>
      <c r="S201" s="4"/>
      <c r="T201" s="4">
        <v>56.5</v>
      </c>
      <c r="U201" s="4">
        <v>2.6</v>
      </c>
      <c r="V201" s="4"/>
      <c r="W201" s="4">
        <v>13.7</v>
      </c>
      <c r="X201" s="4">
        <v>49</v>
      </c>
      <c r="Y201" s="4">
        <v>88</v>
      </c>
      <c r="Z201" s="4">
        <v>1</v>
      </c>
      <c r="AA201" s="4">
        <v>1</v>
      </c>
      <c r="AB201" s="4" t="s">
        <v>730</v>
      </c>
      <c r="AC201" s="4">
        <v>0.17395330712343801</v>
      </c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1"/>
      <c r="BJ201" s="1" t="s">
        <v>3504</v>
      </c>
      <c r="BK201" s="1">
        <v>1</v>
      </c>
      <c r="BL201" s="1"/>
      <c r="BM201" s="1" t="s">
        <v>547</v>
      </c>
      <c r="BN201" s="1" t="s">
        <v>2767</v>
      </c>
      <c r="BO201" s="1" t="s">
        <v>2768</v>
      </c>
      <c r="BP201" s="1">
        <v>6</v>
      </c>
      <c r="BQ201" s="1" t="s">
        <v>1003</v>
      </c>
      <c r="BR201" s="1">
        <v>35.817</v>
      </c>
      <c r="BS201" s="1">
        <v>-120.36499999999999</v>
      </c>
      <c r="BT201" s="1">
        <v>8.1</v>
      </c>
      <c r="BU201" s="1" t="s">
        <v>730</v>
      </c>
      <c r="BV201" s="1" t="s">
        <v>2571</v>
      </c>
      <c r="BW201" s="1">
        <v>141</v>
      </c>
      <c r="BX201" s="1">
        <v>89</v>
      </c>
      <c r="BY201" s="1">
        <v>-175</v>
      </c>
      <c r="BZ201" s="1"/>
      <c r="CA201" s="1"/>
      <c r="CB201" s="1"/>
      <c r="CC201" s="1" t="s">
        <v>2566</v>
      </c>
      <c r="CD201" s="1" t="s">
        <v>731</v>
      </c>
      <c r="CE201" s="1"/>
      <c r="CF201" s="1"/>
      <c r="CG201" s="1"/>
      <c r="CH201" s="1"/>
      <c r="CI201" s="1"/>
      <c r="CJ201" s="1" t="s">
        <v>167</v>
      </c>
      <c r="CK201" t="s">
        <v>1262</v>
      </c>
      <c r="CL201">
        <v>201</v>
      </c>
      <c r="CM201" t="s">
        <v>2771</v>
      </c>
    </row>
    <row r="202" spans="1:91" ht="19" customHeight="1">
      <c r="A202" s="1" t="s">
        <v>3505</v>
      </c>
      <c r="B202" s="1" t="s">
        <v>3093</v>
      </c>
      <c r="C202" s="1">
        <v>202</v>
      </c>
      <c r="D202" s="1" t="s">
        <v>941</v>
      </c>
      <c r="E202" s="1">
        <v>2004</v>
      </c>
      <c r="F202" s="1" t="s">
        <v>952</v>
      </c>
      <c r="G202" s="1" t="s">
        <v>2489</v>
      </c>
      <c r="H202" s="4">
        <v>35.854999999999997</v>
      </c>
      <c r="I202" s="4">
        <v>-120.28100000000001</v>
      </c>
      <c r="J202" s="1" t="s">
        <v>1396</v>
      </c>
      <c r="K202" s="1" t="s">
        <v>75</v>
      </c>
      <c r="L202" s="1" t="s">
        <v>2490</v>
      </c>
      <c r="M202" s="1" t="s">
        <v>3506</v>
      </c>
      <c r="N202" s="1"/>
      <c r="O202" s="1" t="s">
        <v>3095</v>
      </c>
      <c r="P202" s="1">
        <v>4116</v>
      </c>
      <c r="Q202" s="4">
        <v>6</v>
      </c>
      <c r="R202" s="4">
        <v>0.6</v>
      </c>
      <c r="S202" s="4"/>
      <c r="T202" s="4">
        <v>84.3</v>
      </c>
      <c r="U202" s="4">
        <v>8.8000000000000007</v>
      </c>
      <c r="V202" s="4"/>
      <c r="W202" s="4">
        <v>11.9</v>
      </c>
      <c r="X202" s="4">
        <v>64</v>
      </c>
      <c r="Y202" s="4">
        <v>77</v>
      </c>
      <c r="Z202" s="4">
        <v>1</v>
      </c>
      <c r="AA202" s="4">
        <v>0</v>
      </c>
      <c r="AB202" s="4" t="s">
        <v>730</v>
      </c>
      <c r="AC202" s="4">
        <v>-0.51082562376599072</v>
      </c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1"/>
      <c r="BJ202" s="1" t="s">
        <v>3507</v>
      </c>
      <c r="BK202" s="1">
        <v>1</v>
      </c>
      <c r="BL202" s="1"/>
      <c r="BM202" s="1" t="s">
        <v>547</v>
      </c>
      <c r="BN202" s="1" t="s">
        <v>2767</v>
      </c>
      <c r="BO202" s="1" t="s">
        <v>2768</v>
      </c>
      <c r="BP202" s="1">
        <v>6</v>
      </c>
      <c r="BQ202" s="1" t="s">
        <v>1003</v>
      </c>
      <c r="BR202" s="1">
        <v>35.817</v>
      </c>
      <c r="BS202" s="1">
        <v>-120.36499999999999</v>
      </c>
      <c r="BT202" s="1">
        <v>8.1</v>
      </c>
      <c r="BU202" s="1" t="s">
        <v>730</v>
      </c>
      <c r="BV202" s="1" t="s">
        <v>2571</v>
      </c>
      <c r="BW202" s="1">
        <v>141</v>
      </c>
      <c r="BX202" s="1">
        <v>89</v>
      </c>
      <c r="BY202" s="1">
        <v>-175</v>
      </c>
      <c r="BZ202" s="1"/>
      <c r="CA202" s="1"/>
      <c r="CB202" s="1"/>
      <c r="CC202" s="1" t="s">
        <v>2566</v>
      </c>
      <c r="CD202" s="1" t="s">
        <v>731</v>
      </c>
      <c r="CE202" s="1"/>
      <c r="CF202" s="1"/>
      <c r="CG202" s="1"/>
      <c r="CH202" s="1"/>
      <c r="CI202" s="1"/>
      <c r="CJ202" s="1" t="s">
        <v>167</v>
      </c>
      <c r="CK202" t="s">
        <v>1262</v>
      </c>
      <c r="CL202">
        <v>202</v>
      </c>
      <c r="CM202" t="s">
        <v>2771</v>
      </c>
    </row>
    <row r="203" spans="1:91" ht="19" customHeight="1">
      <c r="A203" s="1" t="s">
        <v>3508</v>
      </c>
      <c r="B203" s="1" t="s">
        <v>3093</v>
      </c>
      <c r="C203" s="1">
        <v>203</v>
      </c>
      <c r="D203" s="1" t="s">
        <v>941</v>
      </c>
      <c r="E203" s="1">
        <v>2004</v>
      </c>
      <c r="F203" s="1" t="s">
        <v>953</v>
      </c>
      <c r="G203" s="1" t="s">
        <v>2486</v>
      </c>
      <c r="H203" s="4">
        <v>35.787999999999997</v>
      </c>
      <c r="I203" s="4">
        <v>-120.294</v>
      </c>
      <c r="J203" s="1" t="s">
        <v>1396</v>
      </c>
      <c r="K203" s="1" t="s">
        <v>75</v>
      </c>
      <c r="L203" s="1" t="s">
        <v>2487</v>
      </c>
      <c r="M203" s="1" t="s">
        <v>3094</v>
      </c>
      <c r="N203" s="1"/>
      <c r="O203" s="1" t="s">
        <v>3095</v>
      </c>
      <c r="P203" s="1">
        <v>4126</v>
      </c>
      <c r="Q203" s="4">
        <v>6</v>
      </c>
      <c r="R203" s="4">
        <v>0.56999999999999995</v>
      </c>
      <c r="S203" s="4"/>
      <c r="T203" s="4">
        <v>43.4</v>
      </c>
      <c r="U203" s="4">
        <v>3.8</v>
      </c>
      <c r="V203" s="4"/>
      <c r="W203" s="4">
        <v>10.8</v>
      </c>
      <c r="X203" s="4">
        <v>56</v>
      </c>
      <c r="Y203" s="4">
        <v>85</v>
      </c>
      <c r="Z203" s="4">
        <v>1</v>
      </c>
      <c r="AA203" s="4">
        <v>1</v>
      </c>
      <c r="AB203" s="4" t="s">
        <v>730</v>
      </c>
      <c r="AC203" s="4">
        <v>-0.56211891815354131</v>
      </c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1"/>
      <c r="BJ203" s="1" t="s">
        <v>3509</v>
      </c>
      <c r="BK203" s="1">
        <v>1</v>
      </c>
      <c r="BL203" s="1"/>
      <c r="BM203" s="1" t="s">
        <v>547</v>
      </c>
      <c r="BN203" s="1" t="s">
        <v>2767</v>
      </c>
      <c r="BO203" s="1" t="s">
        <v>2768</v>
      </c>
      <c r="BP203" s="1">
        <v>6</v>
      </c>
      <c r="BQ203" s="1" t="s">
        <v>1003</v>
      </c>
      <c r="BR203" s="1">
        <v>35.817</v>
      </c>
      <c r="BS203" s="1">
        <v>-120.36499999999999</v>
      </c>
      <c r="BT203" s="1">
        <v>8.1</v>
      </c>
      <c r="BU203" s="1" t="s">
        <v>730</v>
      </c>
      <c r="BV203" s="1" t="s">
        <v>2571</v>
      </c>
      <c r="BW203" s="1">
        <v>141</v>
      </c>
      <c r="BX203" s="1">
        <v>89</v>
      </c>
      <c r="BY203" s="1">
        <v>-175</v>
      </c>
      <c r="BZ203" s="1"/>
      <c r="CA203" s="1"/>
      <c r="CB203" s="1"/>
      <c r="CC203" s="1" t="s">
        <v>2566</v>
      </c>
      <c r="CD203" s="1" t="s">
        <v>731</v>
      </c>
      <c r="CE203" s="1"/>
      <c r="CF203" s="1"/>
      <c r="CG203" s="1"/>
      <c r="CH203" s="1"/>
      <c r="CI203" s="1"/>
      <c r="CJ203" s="1" t="s">
        <v>167</v>
      </c>
      <c r="CK203" t="s">
        <v>1262</v>
      </c>
      <c r="CL203">
        <v>203</v>
      </c>
      <c r="CM203" t="s">
        <v>2771</v>
      </c>
    </row>
    <row r="204" spans="1:91" ht="19" customHeight="1">
      <c r="A204" s="1" t="s">
        <v>3510</v>
      </c>
      <c r="B204" s="1" t="s">
        <v>3093</v>
      </c>
      <c r="C204" s="1">
        <v>204</v>
      </c>
      <c r="D204" s="1" t="s">
        <v>954</v>
      </c>
      <c r="E204" s="1">
        <v>2007</v>
      </c>
      <c r="F204" s="1" t="s">
        <v>955</v>
      </c>
      <c r="G204" s="1" t="s">
        <v>1509</v>
      </c>
      <c r="H204" s="4">
        <v>37.273600000000002</v>
      </c>
      <c r="I204" s="4">
        <v>138.39439999999999</v>
      </c>
      <c r="J204" s="1" t="s">
        <v>1396</v>
      </c>
      <c r="K204" s="1" t="s">
        <v>75</v>
      </c>
      <c r="L204" s="1" t="s">
        <v>1510</v>
      </c>
      <c r="M204" s="1" t="s">
        <v>3094</v>
      </c>
      <c r="N204" s="1"/>
      <c r="O204" s="1" t="s">
        <v>3095</v>
      </c>
      <c r="P204" s="1">
        <v>4847</v>
      </c>
      <c r="Q204" s="4">
        <v>6.8</v>
      </c>
      <c r="R204" s="4">
        <v>1.4</v>
      </c>
      <c r="S204" s="4"/>
      <c r="T204" s="4">
        <v>91.1</v>
      </c>
      <c r="U204" s="4">
        <v>11.9</v>
      </c>
      <c r="V204" s="4"/>
      <c r="W204" s="4">
        <v>36.6</v>
      </c>
      <c r="X204" s="4">
        <v>86</v>
      </c>
      <c r="Y204" s="4">
        <v>52</v>
      </c>
      <c r="Z204" s="4">
        <v>0</v>
      </c>
      <c r="AA204" s="4">
        <v>1</v>
      </c>
      <c r="AB204" s="4" t="s">
        <v>734</v>
      </c>
      <c r="AC204" s="4">
        <v>0.33647223662121289</v>
      </c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1"/>
      <c r="BJ204" s="1" t="s">
        <v>3511</v>
      </c>
      <c r="BK204" s="1">
        <v>1</v>
      </c>
      <c r="BL204" s="1"/>
      <c r="BM204" s="1" t="s">
        <v>581</v>
      </c>
      <c r="BN204" s="1" t="s">
        <v>2773</v>
      </c>
      <c r="BO204" s="1" t="s">
        <v>2774</v>
      </c>
      <c r="BP204" s="1">
        <v>6.8</v>
      </c>
      <c r="BQ204" s="1" t="s">
        <v>1003</v>
      </c>
      <c r="BR204" s="1">
        <v>37.538200000000003</v>
      </c>
      <c r="BS204" s="1">
        <v>138.6174</v>
      </c>
      <c r="BT204" s="1">
        <v>9</v>
      </c>
      <c r="BU204" s="1" t="s">
        <v>734</v>
      </c>
      <c r="BV204" s="1" t="s">
        <v>2571</v>
      </c>
      <c r="BW204" s="1">
        <v>34</v>
      </c>
      <c r="BX204" s="1">
        <v>36</v>
      </c>
      <c r="BY204" s="1">
        <v>90</v>
      </c>
      <c r="BZ204" s="1"/>
      <c r="CA204" s="1"/>
      <c r="CB204" s="1"/>
      <c r="CC204" s="1" t="s">
        <v>2566</v>
      </c>
      <c r="CD204" s="1" t="s">
        <v>731</v>
      </c>
      <c r="CE204" s="1"/>
      <c r="CF204" s="1"/>
      <c r="CG204" s="1"/>
      <c r="CH204" s="1"/>
      <c r="CI204" s="1"/>
      <c r="CJ204" s="1" t="s">
        <v>167</v>
      </c>
      <c r="CK204" t="s">
        <v>1262</v>
      </c>
      <c r="CL204">
        <v>204</v>
      </c>
      <c r="CM204" t="s">
        <v>2776</v>
      </c>
    </row>
    <row r="205" spans="1:91" ht="19" customHeight="1">
      <c r="A205" s="1" t="s">
        <v>3512</v>
      </c>
      <c r="B205" s="1" t="s">
        <v>3093</v>
      </c>
      <c r="C205" s="1">
        <v>205</v>
      </c>
      <c r="D205" s="1" t="s">
        <v>954</v>
      </c>
      <c r="E205" s="1">
        <v>2007</v>
      </c>
      <c r="F205" s="1" t="s">
        <v>956</v>
      </c>
      <c r="G205" s="1" t="s">
        <v>1569</v>
      </c>
      <c r="H205" s="4">
        <v>37.220300000000002</v>
      </c>
      <c r="I205" s="4">
        <v>138.40809999999999</v>
      </c>
      <c r="J205" s="1" t="s">
        <v>1396</v>
      </c>
      <c r="K205" s="1" t="s">
        <v>75</v>
      </c>
      <c r="L205" s="1" t="s">
        <v>1570</v>
      </c>
      <c r="M205" s="1" t="s">
        <v>3094</v>
      </c>
      <c r="N205" s="1"/>
      <c r="O205" s="1" t="s">
        <v>3095</v>
      </c>
      <c r="P205" s="1">
        <v>4850</v>
      </c>
      <c r="Q205" s="4">
        <v>6.8</v>
      </c>
      <c r="R205" s="4">
        <v>1.33</v>
      </c>
      <c r="S205" s="4"/>
      <c r="T205" s="4">
        <v>63.8</v>
      </c>
      <c r="U205" s="4">
        <v>16.899999999999999</v>
      </c>
      <c r="V205" s="4"/>
      <c r="W205" s="4">
        <v>40.9</v>
      </c>
      <c r="X205" s="4">
        <v>52</v>
      </c>
      <c r="Y205" s="4">
        <v>18</v>
      </c>
      <c r="Z205" s="4">
        <v>0</v>
      </c>
      <c r="AA205" s="4">
        <v>0</v>
      </c>
      <c r="AB205" s="4" t="s">
        <v>734</v>
      </c>
      <c r="AC205" s="4">
        <v>0.28517894223366252</v>
      </c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1"/>
      <c r="BJ205" s="1" t="s">
        <v>3513</v>
      </c>
      <c r="BK205" s="1">
        <v>1</v>
      </c>
      <c r="BL205" s="1"/>
      <c r="BM205" s="1" t="s">
        <v>581</v>
      </c>
      <c r="BN205" s="1" t="s">
        <v>2773</v>
      </c>
      <c r="BO205" s="1" t="s">
        <v>2774</v>
      </c>
      <c r="BP205" s="1">
        <v>6.8</v>
      </c>
      <c r="BQ205" s="1" t="s">
        <v>1003</v>
      </c>
      <c r="BR205" s="1">
        <v>37.538200000000003</v>
      </c>
      <c r="BS205" s="1">
        <v>138.6174</v>
      </c>
      <c r="BT205" s="1">
        <v>9</v>
      </c>
      <c r="BU205" s="1" t="s">
        <v>734</v>
      </c>
      <c r="BV205" s="1" t="s">
        <v>2571</v>
      </c>
      <c r="BW205" s="1">
        <v>34</v>
      </c>
      <c r="BX205" s="1">
        <v>36</v>
      </c>
      <c r="BY205" s="1">
        <v>90</v>
      </c>
      <c r="BZ205" s="1"/>
      <c r="CA205" s="1"/>
      <c r="CB205" s="1"/>
      <c r="CC205" s="1" t="s">
        <v>2566</v>
      </c>
      <c r="CD205" s="1" t="s">
        <v>731</v>
      </c>
      <c r="CE205" s="1"/>
      <c r="CF205" s="1"/>
      <c r="CG205" s="1"/>
      <c r="CH205" s="1"/>
      <c r="CI205" s="1"/>
      <c r="CJ205" s="1" t="s">
        <v>167</v>
      </c>
      <c r="CK205" t="s">
        <v>1262</v>
      </c>
      <c r="CL205">
        <v>205</v>
      </c>
      <c r="CM205" t="s">
        <v>2776</v>
      </c>
    </row>
    <row r="206" spans="1:91" ht="19" customHeight="1">
      <c r="A206" s="1" t="s">
        <v>3514</v>
      </c>
      <c r="B206" s="1" t="s">
        <v>3093</v>
      </c>
      <c r="C206" s="1">
        <v>206</v>
      </c>
      <c r="D206" s="1" t="s">
        <v>954</v>
      </c>
      <c r="E206" s="1">
        <v>2007</v>
      </c>
      <c r="F206" s="1" t="s">
        <v>957</v>
      </c>
      <c r="G206" s="1" t="s">
        <v>1516</v>
      </c>
      <c r="H206" s="4">
        <v>37.368600000000001</v>
      </c>
      <c r="I206" s="4">
        <v>138.56190000000001</v>
      </c>
      <c r="J206" s="1" t="s">
        <v>1396</v>
      </c>
      <c r="K206" s="1" t="s">
        <v>75</v>
      </c>
      <c r="L206" s="1" t="s">
        <v>1517</v>
      </c>
      <c r="M206" s="1" t="s">
        <v>3094</v>
      </c>
      <c r="N206" s="1"/>
      <c r="O206" s="1" t="s">
        <v>3095</v>
      </c>
      <c r="P206" s="1">
        <v>4856</v>
      </c>
      <c r="Q206" s="4">
        <v>6.8</v>
      </c>
      <c r="R206" s="4">
        <v>2.93</v>
      </c>
      <c r="S206" s="4"/>
      <c r="T206" s="4">
        <v>126</v>
      </c>
      <c r="U206" s="4">
        <v>11.1</v>
      </c>
      <c r="V206" s="4"/>
      <c r="W206" s="4">
        <v>21.5</v>
      </c>
      <c r="X206" s="4">
        <v>317</v>
      </c>
      <c r="Y206" s="4">
        <v>77</v>
      </c>
      <c r="Z206" s="4">
        <v>1</v>
      </c>
      <c r="AA206" s="4">
        <v>0</v>
      </c>
      <c r="AB206" s="4" t="s">
        <v>734</v>
      </c>
      <c r="AC206" s="4">
        <v>1.0750024230289761</v>
      </c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1"/>
      <c r="BJ206" s="1" t="s">
        <v>3515</v>
      </c>
      <c r="BK206" s="1">
        <v>1</v>
      </c>
      <c r="BL206" s="1"/>
      <c r="BM206" s="1" t="s">
        <v>581</v>
      </c>
      <c r="BN206" s="1" t="s">
        <v>2773</v>
      </c>
      <c r="BO206" s="1" t="s">
        <v>2774</v>
      </c>
      <c r="BP206" s="1">
        <v>6.8</v>
      </c>
      <c r="BQ206" s="1" t="s">
        <v>1003</v>
      </c>
      <c r="BR206" s="1">
        <v>37.538200000000003</v>
      </c>
      <c r="BS206" s="1">
        <v>138.6174</v>
      </c>
      <c r="BT206" s="1">
        <v>9</v>
      </c>
      <c r="BU206" s="1" t="s">
        <v>734</v>
      </c>
      <c r="BV206" s="1" t="s">
        <v>2571</v>
      </c>
      <c r="BW206" s="1">
        <v>34</v>
      </c>
      <c r="BX206" s="1">
        <v>36</v>
      </c>
      <c r="BY206" s="1">
        <v>90</v>
      </c>
      <c r="BZ206" s="1"/>
      <c r="CA206" s="1"/>
      <c r="CB206" s="1"/>
      <c r="CC206" s="1" t="s">
        <v>2566</v>
      </c>
      <c r="CD206" s="1" t="s">
        <v>731</v>
      </c>
      <c r="CE206" s="1"/>
      <c r="CF206" s="1"/>
      <c r="CG206" s="1"/>
      <c r="CH206" s="1"/>
      <c r="CI206" s="1"/>
      <c r="CJ206" s="1" t="s">
        <v>167</v>
      </c>
      <c r="CK206" t="s">
        <v>1262</v>
      </c>
      <c r="CL206">
        <v>206</v>
      </c>
      <c r="CM206" t="s">
        <v>2776</v>
      </c>
    </row>
    <row r="207" spans="1:91" ht="19" customHeight="1">
      <c r="A207" s="1" t="s">
        <v>3516</v>
      </c>
      <c r="B207" s="1" t="s">
        <v>3093</v>
      </c>
      <c r="C207" s="1">
        <v>207</v>
      </c>
      <c r="D207" s="1" t="s">
        <v>954</v>
      </c>
      <c r="E207" s="1">
        <v>2007</v>
      </c>
      <c r="F207" s="1" t="s">
        <v>958</v>
      </c>
      <c r="G207" s="1" t="s">
        <v>1547</v>
      </c>
      <c r="H207" s="4">
        <v>37.302199999999999</v>
      </c>
      <c r="I207" s="4">
        <v>138.7122</v>
      </c>
      <c r="J207" s="1" t="s">
        <v>1396</v>
      </c>
      <c r="K207" s="1" t="s">
        <v>75</v>
      </c>
      <c r="L207" s="1" t="s">
        <v>1548</v>
      </c>
      <c r="M207" s="1" t="s">
        <v>3094</v>
      </c>
      <c r="N207" s="1"/>
      <c r="O207" s="1" t="s">
        <v>3095</v>
      </c>
      <c r="P207" s="1">
        <v>4874</v>
      </c>
      <c r="Q207" s="4">
        <v>6.8</v>
      </c>
      <c r="R207" s="4">
        <v>0.8</v>
      </c>
      <c r="S207" s="4"/>
      <c r="T207" s="4">
        <v>80.3</v>
      </c>
      <c r="U207" s="4">
        <v>20</v>
      </c>
      <c r="V207" s="4"/>
      <c r="W207" s="4">
        <v>29</v>
      </c>
      <c r="X207" s="4">
        <v>306</v>
      </c>
      <c r="Y207" s="4">
        <v>88</v>
      </c>
      <c r="Z207" s="4">
        <v>1</v>
      </c>
      <c r="AA207" s="4">
        <v>0</v>
      </c>
      <c r="AB207" s="4" t="s">
        <v>734</v>
      </c>
      <c r="AC207" s="4">
        <v>-0.22314355131420971</v>
      </c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1"/>
      <c r="BJ207" s="1" t="s">
        <v>3517</v>
      </c>
      <c r="BK207" s="1">
        <v>1</v>
      </c>
      <c r="BL207" s="1"/>
      <c r="BM207" s="1" t="s">
        <v>581</v>
      </c>
      <c r="BN207" s="1" t="s">
        <v>2773</v>
      </c>
      <c r="BO207" s="1" t="s">
        <v>2774</v>
      </c>
      <c r="BP207" s="1">
        <v>6.8</v>
      </c>
      <c r="BQ207" s="1" t="s">
        <v>1003</v>
      </c>
      <c r="BR207" s="1">
        <v>37.538200000000003</v>
      </c>
      <c r="BS207" s="1">
        <v>138.6174</v>
      </c>
      <c r="BT207" s="1">
        <v>9</v>
      </c>
      <c r="BU207" s="1" t="s">
        <v>734</v>
      </c>
      <c r="BV207" s="1" t="s">
        <v>2571</v>
      </c>
      <c r="BW207" s="1">
        <v>34</v>
      </c>
      <c r="BX207" s="1">
        <v>36</v>
      </c>
      <c r="BY207" s="1">
        <v>90</v>
      </c>
      <c r="BZ207" s="1"/>
      <c r="CA207" s="1"/>
      <c r="CB207" s="1"/>
      <c r="CC207" s="1" t="s">
        <v>2566</v>
      </c>
      <c r="CD207" s="1" t="s">
        <v>731</v>
      </c>
      <c r="CE207" s="1"/>
      <c r="CF207" s="1"/>
      <c r="CG207" s="1"/>
      <c r="CH207" s="1"/>
      <c r="CI207" s="1"/>
      <c r="CJ207" s="1" t="s">
        <v>167</v>
      </c>
      <c r="CK207" t="s">
        <v>1262</v>
      </c>
      <c r="CL207">
        <v>207</v>
      </c>
      <c r="CM207" t="s">
        <v>2776</v>
      </c>
    </row>
    <row r="208" spans="1:91" ht="19" customHeight="1">
      <c r="A208" s="1" t="s">
        <v>3518</v>
      </c>
      <c r="B208" s="1" t="s">
        <v>3093</v>
      </c>
      <c r="C208" s="1">
        <v>208</v>
      </c>
      <c r="D208" s="1" t="s">
        <v>954</v>
      </c>
      <c r="E208" s="1">
        <v>2007</v>
      </c>
      <c r="F208" s="1" t="s">
        <v>959</v>
      </c>
      <c r="G208" s="1" t="s">
        <v>1514</v>
      </c>
      <c r="H208" s="4">
        <v>37.418900000000001</v>
      </c>
      <c r="I208" s="4">
        <v>138.6258</v>
      </c>
      <c r="J208" s="1" t="s">
        <v>1396</v>
      </c>
      <c r="K208" s="1" t="s">
        <v>75</v>
      </c>
      <c r="L208" s="1" t="s">
        <v>1515</v>
      </c>
      <c r="M208" s="1" t="s">
        <v>3094</v>
      </c>
      <c r="N208" s="1"/>
      <c r="O208" s="1" t="s">
        <v>3095</v>
      </c>
      <c r="P208" s="1">
        <v>4875</v>
      </c>
      <c r="Q208" s="4">
        <v>6.8</v>
      </c>
      <c r="R208" s="4">
        <v>3.08</v>
      </c>
      <c r="S208" s="4"/>
      <c r="T208" s="4">
        <v>154.5</v>
      </c>
      <c r="U208" s="4">
        <v>12</v>
      </c>
      <c r="V208" s="4"/>
      <c r="W208" s="4">
        <v>16.100000000000001</v>
      </c>
      <c r="X208" s="4">
        <v>319</v>
      </c>
      <c r="Y208" s="4">
        <v>75</v>
      </c>
      <c r="Z208" s="4">
        <v>1</v>
      </c>
      <c r="AA208" s="4">
        <v>0</v>
      </c>
      <c r="AB208" s="4" t="s">
        <v>734</v>
      </c>
      <c r="AC208" s="4">
        <v>1.1249295969854829</v>
      </c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1"/>
      <c r="BJ208" s="1" t="s">
        <v>3519</v>
      </c>
      <c r="BK208" s="1">
        <v>1</v>
      </c>
      <c r="BL208" s="1"/>
      <c r="BM208" s="1" t="s">
        <v>581</v>
      </c>
      <c r="BN208" s="1" t="s">
        <v>2773</v>
      </c>
      <c r="BO208" s="1" t="s">
        <v>2774</v>
      </c>
      <c r="BP208" s="1">
        <v>6.8</v>
      </c>
      <c r="BQ208" s="1" t="s">
        <v>1003</v>
      </c>
      <c r="BR208" s="1">
        <v>37.538200000000003</v>
      </c>
      <c r="BS208" s="1">
        <v>138.6174</v>
      </c>
      <c r="BT208" s="1">
        <v>9</v>
      </c>
      <c r="BU208" s="1" t="s">
        <v>734</v>
      </c>
      <c r="BV208" s="1" t="s">
        <v>2571</v>
      </c>
      <c r="BW208" s="1">
        <v>34</v>
      </c>
      <c r="BX208" s="1">
        <v>36</v>
      </c>
      <c r="BY208" s="1">
        <v>90</v>
      </c>
      <c r="BZ208" s="1"/>
      <c r="CA208" s="1"/>
      <c r="CB208" s="1"/>
      <c r="CC208" s="1" t="s">
        <v>2566</v>
      </c>
      <c r="CD208" s="1" t="s">
        <v>731</v>
      </c>
      <c r="CE208" s="1"/>
      <c r="CF208" s="1"/>
      <c r="CG208" s="1"/>
      <c r="CH208" s="1"/>
      <c r="CI208" s="1"/>
      <c r="CJ208" s="1" t="s">
        <v>167</v>
      </c>
      <c r="CK208" t="s">
        <v>1262</v>
      </c>
      <c r="CL208">
        <v>208</v>
      </c>
      <c r="CM208" t="s">
        <v>2776</v>
      </c>
    </row>
    <row r="209" spans="1:91" ht="19" customHeight="1">
      <c r="A209" s="1" t="s">
        <v>3520</v>
      </c>
      <c r="B209" s="1" t="s">
        <v>3093</v>
      </c>
      <c r="C209" s="1">
        <v>209</v>
      </c>
      <c r="D209" s="1" t="s">
        <v>954</v>
      </c>
      <c r="E209" s="1">
        <v>2007</v>
      </c>
      <c r="F209" s="1" t="s">
        <v>960</v>
      </c>
      <c r="G209" s="1" t="s">
        <v>1567</v>
      </c>
      <c r="H209" s="4">
        <v>37.6233</v>
      </c>
      <c r="I209" s="4">
        <v>138.84280000000001</v>
      </c>
      <c r="J209" s="1" t="s">
        <v>1396</v>
      </c>
      <c r="K209" s="1" t="s">
        <v>75</v>
      </c>
      <c r="L209" s="1" t="s">
        <v>1568</v>
      </c>
      <c r="M209" s="1" t="s">
        <v>3094</v>
      </c>
      <c r="N209" s="1"/>
      <c r="O209" s="1" t="s">
        <v>3095</v>
      </c>
      <c r="P209" s="1">
        <v>4879</v>
      </c>
      <c r="Q209" s="4">
        <v>6.8</v>
      </c>
      <c r="R209" s="4">
        <v>1.41</v>
      </c>
      <c r="S209" s="4"/>
      <c r="T209" s="4">
        <v>39.4</v>
      </c>
      <c r="U209" s="4">
        <v>19</v>
      </c>
      <c r="V209" s="4"/>
      <c r="W209" s="4">
        <v>23.8</v>
      </c>
      <c r="X209" s="4">
        <v>304</v>
      </c>
      <c r="Y209" s="4">
        <v>90</v>
      </c>
      <c r="Z209" s="4">
        <v>1</v>
      </c>
      <c r="AA209" s="4">
        <v>0</v>
      </c>
      <c r="AB209" s="4" t="s">
        <v>734</v>
      </c>
      <c r="AC209" s="4">
        <v>0.34358970439007691</v>
      </c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1"/>
      <c r="BJ209" s="1" t="s">
        <v>3521</v>
      </c>
      <c r="BK209" s="1">
        <v>1</v>
      </c>
      <c r="BL209" s="1"/>
      <c r="BM209" s="1" t="s">
        <v>581</v>
      </c>
      <c r="BN209" s="1" t="s">
        <v>2773</v>
      </c>
      <c r="BO209" s="1" t="s">
        <v>2774</v>
      </c>
      <c r="BP209" s="1">
        <v>6.8</v>
      </c>
      <c r="BQ209" s="1" t="s">
        <v>1003</v>
      </c>
      <c r="BR209" s="1">
        <v>37.538200000000003</v>
      </c>
      <c r="BS209" s="1">
        <v>138.6174</v>
      </c>
      <c r="BT209" s="1">
        <v>9</v>
      </c>
      <c r="BU209" s="1" t="s">
        <v>734</v>
      </c>
      <c r="BV209" s="1" t="s">
        <v>2571</v>
      </c>
      <c r="BW209" s="1">
        <v>34</v>
      </c>
      <c r="BX209" s="1">
        <v>36</v>
      </c>
      <c r="BY209" s="1">
        <v>90</v>
      </c>
      <c r="BZ209" s="1"/>
      <c r="CA209" s="1"/>
      <c r="CB209" s="1"/>
      <c r="CC209" s="1" t="s">
        <v>2566</v>
      </c>
      <c r="CD209" s="1" t="s">
        <v>731</v>
      </c>
      <c r="CE209" s="1"/>
      <c r="CF209" s="1"/>
      <c r="CG209" s="1"/>
      <c r="CH209" s="1"/>
      <c r="CI209" s="1"/>
      <c r="CJ209" s="1" t="s">
        <v>167</v>
      </c>
      <c r="CK209" t="s">
        <v>1262</v>
      </c>
      <c r="CL209">
        <v>209</v>
      </c>
      <c r="CM209" t="s">
        <v>2776</v>
      </c>
    </row>
    <row r="210" spans="1:91" ht="19" customHeight="1">
      <c r="A210" s="1" t="s">
        <v>3522</v>
      </c>
      <c r="B210" s="1" t="s">
        <v>3093</v>
      </c>
      <c r="C210" s="1">
        <v>210</v>
      </c>
      <c r="D210" s="1" t="s">
        <v>954</v>
      </c>
      <c r="E210" s="1">
        <v>2007</v>
      </c>
      <c r="F210" s="1" t="s">
        <v>961</v>
      </c>
      <c r="G210" s="1" t="s">
        <v>1512</v>
      </c>
      <c r="H210" s="4">
        <v>37.104999999999997</v>
      </c>
      <c r="I210" s="4">
        <v>138.25</v>
      </c>
      <c r="J210" s="1" t="s">
        <v>1396</v>
      </c>
      <c r="K210" s="1" t="s">
        <v>75</v>
      </c>
      <c r="L210" s="1" t="s">
        <v>1513</v>
      </c>
      <c r="M210" s="1" t="s">
        <v>3094</v>
      </c>
      <c r="N210" s="1"/>
      <c r="O210" s="1" t="s">
        <v>3095</v>
      </c>
      <c r="P210" s="1">
        <v>4889</v>
      </c>
      <c r="Q210" s="4">
        <v>6.8</v>
      </c>
      <c r="R210" s="4">
        <v>0.55000000000000004</v>
      </c>
      <c r="S210" s="4"/>
      <c r="T210" s="4">
        <v>34.9</v>
      </c>
      <c r="U210" s="4">
        <v>32.9</v>
      </c>
      <c r="V210" s="4"/>
      <c r="W210" s="4">
        <v>58.8</v>
      </c>
      <c r="X210" s="4">
        <v>51</v>
      </c>
      <c r="Y210" s="4">
        <v>17</v>
      </c>
      <c r="Z210" s="4">
        <v>0</v>
      </c>
      <c r="AA210" s="4">
        <v>0</v>
      </c>
      <c r="AB210" s="4" t="s">
        <v>734</v>
      </c>
      <c r="AC210" s="4">
        <v>-0.59783700075562041</v>
      </c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1"/>
      <c r="BJ210" s="1" t="s">
        <v>3523</v>
      </c>
      <c r="BK210" s="1">
        <v>1</v>
      </c>
      <c r="BL210" s="1"/>
      <c r="BM210" s="1" t="s">
        <v>581</v>
      </c>
      <c r="BN210" s="1" t="s">
        <v>2773</v>
      </c>
      <c r="BO210" s="1" t="s">
        <v>2774</v>
      </c>
      <c r="BP210" s="1">
        <v>6.8</v>
      </c>
      <c r="BQ210" s="1" t="s">
        <v>1003</v>
      </c>
      <c r="BR210" s="1">
        <v>37.538200000000003</v>
      </c>
      <c r="BS210" s="1">
        <v>138.6174</v>
      </c>
      <c r="BT210" s="1">
        <v>9</v>
      </c>
      <c r="BU210" s="1" t="s">
        <v>734</v>
      </c>
      <c r="BV210" s="1" t="s">
        <v>2571</v>
      </c>
      <c r="BW210" s="1">
        <v>34</v>
      </c>
      <c r="BX210" s="1">
        <v>36</v>
      </c>
      <c r="BY210" s="1">
        <v>90</v>
      </c>
      <c r="BZ210" s="1"/>
      <c r="CA210" s="1"/>
      <c r="CB210" s="1"/>
      <c r="CC210" s="1" t="s">
        <v>2566</v>
      </c>
      <c r="CD210" s="1" t="s">
        <v>731</v>
      </c>
      <c r="CE210" s="1"/>
      <c r="CF210" s="1"/>
      <c r="CG210" s="1"/>
      <c r="CH210" s="1"/>
      <c r="CI210" s="1"/>
      <c r="CJ210" s="1" t="s">
        <v>167</v>
      </c>
      <c r="CK210" t="s">
        <v>1262</v>
      </c>
      <c r="CL210">
        <v>210</v>
      </c>
      <c r="CM210" t="s">
        <v>2776</v>
      </c>
    </row>
    <row r="211" spans="1:91" ht="19" customHeight="1">
      <c r="A211" s="1" t="s">
        <v>3524</v>
      </c>
      <c r="B211" s="1" t="s">
        <v>3093</v>
      </c>
      <c r="C211" s="1">
        <v>211</v>
      </c>
      <c r="D211" s="1" t="s">
        <v>954</v>
      </c>
      <c r="E211" s="1">
        <v>2007</v>
      </c>
      <c r="F211" s="1" t="s">
        <v>962</v>
      </c>
      <c r="G211" s="1" t="s">
        <v>1505</v>
      </c>
      <c r="H211" s="4">
        <v>36.764200000000002</v>
      </c>
      <c r="I211" s="4">
        <v>138.255</v>
      </c>
      <c r="J211" s="1" t="s">
        <v>1396</v>
      </c>
      <c r="K211" s="1" t="s">
        <v>75</v>
      </c>
      <c r="L211" s="1" t="s">
        <v>1506</v>
      </c>
      <c r="M211" s="1" t="s">
        <v>3094</v>
      </c>
      <c r="N211" s="1"/>
      <c r="O211" s="1" t="s">
        <v>3095</v>
      </c>
      <c r="P211" s="1">
        <v>4891</v>
      </c>
      <c r="Q211" s="4">
        <v>6.8</v>
      </c>
      <c r="R211" s="4">
        <v>0.92</v>
      </c>
      <c r="S211" s="4"/>
      <c r="T211" s="4">
        <v>81.5</v>
      </c>
      <c r="U211" s="4">
        <v>66.400000000000006</v>
      </c>
      <c r="V211" s="4"/>
      <c r="W211" s="4">
        <v>92.4</v>
      </c>
      <c r="X211" s="4">
        <v>23</v>
      </c>
      <c r="Y211" s="4">
        <v>11</v>
      </c>
      <c r="Z211" s="4">
        <v>0</v>
      </c>
      <c r="AA211" s="4">
        <v>0</v>
      </c>
      <c r="AB211" s="4" t="s">
        <v>734</v>
      </c>
      <c r="AC211" s="4">
        <v>-8.3381608939051013E-2</v>
      </c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1"/>
      <c r="BJ211" s="1" t="s">
        <v>3525</v>
      </c>
      <c r="BK211" s="1">
        <v>1</v>
      </c>
      <c r="BL211" s="1"/>
      <c r="BM211" s="1" t="s">
        <v>581</v>
      </c>
      <c r="BN211" s="1" t="s">
        <v>2773</v>
      </c>
      <c r="BO211" s="1" t="s">
        <v>2774</v>
      </c>
      <c r="BP211" s="1">
        <v>6.8</v>
      </c>
      <c r="BQ211" s="1" t="s">
        <v>1003</v>
      </c>
      <c r="BR211" s="1">
        <v>37.538200000000003</v>
      </c>
      <c r="BS211" s="1">
        <v>138.6174</v>
      </c>
      <c r="BT211" s="1">
        <v>9</v>
      </c>
      <c r="BU211" s="1" t="s">
        <v>734</v>
      </c>
      <c r="BV211" s="1" t="s">
        <v>2571</v>
      </c>
      <c r="BW211" s="1">
        <v>34</v>
      </c>
      <c r="BX211" s="1">
        <v>36</v>
      </c>
      <c r="BY211" s="1">
        <v>90</v>
      </c>
      <c r="BZ211" s="1"/>
      <c r="CA211" s="1"/>
      <c r="CB211" s="1"/>
      <c r="CC211" s="1" t="s">
        <v>2566</v>
      </c>
      <c r="CD211" s="1" t="s">
        <v>731</v>
      </c>
      <c r="CE211" s="1"/>
      <c r="CF211" s="1"/>
      <c r="CG211" s="1"/>
      <c r="CH211" s="1"/>
      <c r="CI211" s="1"/>
      <c r="CJ211" s="1" t="s">
        <v>167</v>
      </c>
      <c r="CK211" t="s">
        <v>1262</v>
      </c>
      <c r="CL211">
        <v>211</v>
      </c>
      <c r="CM211" t="s">
        <v>2776</v>
      </c>
    </row>
    <row r="212" spans="1:91" ht="19" customHeight="1">
      <c r="A212" s="1" t="s">
        <v>3526</v>
      </c>
      <c r="B212" s="1" t="s">
        <v>3093</v>
      </c>
      <c r="C212" s="1">
        <v>212</v>
      </c>
      <c r="D212" s="1" t="s">
        <v>954</v>
      </c>
      <c r="E212" s="1">
        <v>2007</v>
      </c>
      <c r="F212" s="1" t="s">
        <v>963</v>
      </c>
      <c r="G212" s="1" t="s">
        <v>1555</v>
      </c>
      <c r="H212" s="4">
        <v>37.426699999999997</v>
      </c>
      <c r="I212" s="4">
        <v>138.60830000000001</v>
      </c>
      <c r="J212" s="1" t="s">
        <v>1396</v>
      </c>
      <c r="K212" s="1" t="s">
        <v>75</v>
      </c>
      <c r="L212" s="1" t="s">
        <v>1556</v>
      </c>
      <c r="M212" s="1" t="s">
        <v>3094</v>
      </c>
      <c r="N212" s="1"/>
      <c r="O212" s="1" t="s">
        <v>3095</v>
      </c>
      <c r="P212" s="1">
        <v>4896</v>
      </c>
      <c r="Q212" s="4">
        <v>6.8</v>
      </c>
      <c r="R212" s="4">
        <v>2.39</v>
      </c>
      <c r="S212" s="4"/>
      <c r="T212" s="4">
        <v>126</v>
      </c>
      <c r="U212" s="4">
        <v>11</v>
      </c>
      <c r="V212" s="4"/>
      <c r="W212" s="4">
        <v>16.3</v>
      </c>
      <c r="X212" s="4">
        <v>78</v>
      </c>
      <c r="Y212" s="4">
        <v>44</v>
      </c>
      <c r="Z212" s="4">
        <v>0</v>
      </c>
      <c r="AA212" s="4">
        <v>0</v>
      </c>
      <c r="AB212" s="4" t="s">
        <v>734</v>
      </c>
      <c r="AC212" s="4">
        <v>0.87129336594341933</v>
      </c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1"/>
      <c r="BJ212" s="1" t="s">
        <v>3527</v>
      </c>
      <c r="BK212" s="1">
        <v>1</v>
      </c>
      <c r="BL212" s="1"/>
      <c r="BM212" s="1" t="s">
        <v>581</v>
      </c>
      <c r="BN212" s="1" t="s">
        <v>2773</v>
      </c>
      <c r="BO212" s="1" t="s">
        <v>2774</v>
      </c>
      <c r="BP212" s="1">
        <v>6.8</v>
      </c>
      <c r="BQ212" s="1" t="s">
        <v>1003</v>
      </c>
      <c r="BR212" s="1">
        <v>37.538200000000003</v>
      </c>
      <c r="BS212" s="1">
        <v>138.6174</v>
      </c>
      <c r="BT212" s="1">
        <v>9</v>
      </c>
      <c r="BU212" s="1" t="s">
        <v>734</v>
      </c>
      <c r="BV212" s="1" t="s">
        <v>2571</v>
      </c>
      <c r="BW212" s="1">
        <v>34</v>
      </c>
      <c r="BX212" s="1">
        <v>36</v>
      </c>
      <c r="BY212" s="1">
        <v>90</v>
      </c>
      <c r="BZ212" s="1"/>
      <c r="CA212" s="1"/>
      <c r="CB212" s="1"/>
      <c r="CC212" s="1" t="s">
        <v>2566</v>
      </c>
      <c r="CD212" s="1" t="s">
        <v>731</v>
      </c>
      <c r="CE212" s="1"/>
      <c r="CF212" s="1"/>
      <c r="CG212" s="1"/>
      <c r="CH212" s="1"/>
      <c r="CI212" s="1"/>
      <c r="CJ212" s="1" t="s">
        <v>167</v>
      </c>
      <c r="CK212" t="s">
        <v>1262</v>
      </c>
      <c r="CL212">
        <v>212</v>
      </c>
      <c r="CM212" t="s">
        <v>2776</v>
      </c>
    </row>
    <row r="213" spans="1:91" ht="19" customHeight="1">
      <c r="A213" s="1" t="s">
        <v>3528</v>
      </c>
      <c r="B213" s="1" t="s">
        <v>3093</v>
      </c>
      <c r="C213" s="1">
        <v>213</v>
      </c>
      <c r="D213" s="1" t="s">
        <v>954</v>
      </c>
      <c r="E213" s="1">
        <v>2007</v>
      </c>
      <c r="F213" s="1" t="s">
        <v>964</v>
      </c>
      <c r="G213" s="1" t="s">
        <v>1557</v>
      </c>
      <c r="H213" s="4"/>
      <c r="I213" s="4"/>
      <c r="J213" s="1" t="s">
        <v>1553</v>
      </c>
      <c r="K213" s="1"/>
      <c r="L213" s="1"/>
      <c r="M213" s="1"/>
      <c r="N213" s="1" t="s">
        <v>1554</v>
      </c>
      <c r="O213" s="1" t="s">
        <v>3095</v>
      </c>
      <c r="P213" s="1">
        <v>4897</v>
      </c>
      <c r="Q213" s="4">
        <v>6.8</v>
      </c>
      <c r="R213" s="4">
        <v>2.98</v>
      </c>
      <c r="S213" s="4"/>
      <c r="T213" s="4">
        <v>85.3</v>
      </c>
      <c r="U213" s="4">
        <v>11</v>
      </c>
      <c r="V213" s="4"/>
      <c r="W213" s="4">
        <v>16.3</v>
      </c>
      <c r="X213" s="4">
        <v>66</v>
      </c>
      <c r="Y213" s="4">
        <v>32</v>
      </c>
      <c r="Z213" s="4">
        <v>0</v>
      </c>
      <c r="AA213" s="4">
        <v>0</v>
      </c>
      <c r="AB213" s="4" t="s">
        <v>734</v>
      </c>
      <c r="AC213" s="4">
        <v>1.091923300517313</v>
      </c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1"/>
      <c r="BJ213" s="1" t="s">
        <v>3529</v>
      </c>
      <c r="BK213" s="1">
        <v>1</v>
      </c>
      <c r="BL213" s="1"/>
      <c r="BM213" s="1" t="s">
        <v>581</v>
      </c>
      <c r="BN213" s="1" t="s">
        <v>2773</v>
      </c>
      <c r="BO213" s="1" t="s">
        <v>2774</v>
      </c>
      <c r="BP213" s="1">
        <v>6.8</v>
      </c>
      <c r="BQ213" s="1" t="s">
        <v>1003</v>
      </c>
      <c r="BR213" s="1">
        <v>37.538200000000003</v>
      </c>
      <c r="BS213" s="1">
        <v>138.6174</v>
      </c>
      <c r="BT213" s="1">
        <v>9</v>
      </c>
      <c r="BU213" s="1" t="s">
        <v>734</v>
      </c>
      <c r="BV213" s="1" t="s">
        <v>2571</v>
      </c>
      <c r="BW213" s="1">
        <v>34</v>
      </c>
      <c r="BX213" s="1">
        <v>36</v>
      </c>
      <c r="BY213" s="1">
        <v>90</v>
      </c>
      <c r="BZ213" s="1"/>
      <c r="CA213" s="1"/>
      <c r="CB213" s="1"/>
      <c r="CC213" s="1" t="s">
        <v>2566</v>
      </c>
      <c r="CD213" s="1" t="s">
        <v>731</v>
      </c>
      <c r="CE213" s="1"/>
      <c r="CF213" s="1"/>
      <c r="CG213" s="1"/>
      <c r="CH213" s="1"/>
      <c r="CI213" s="1"/>
      <c r="CJ213" s="1" t="s">
        <v>167</v>
      </c>
      <c r="CK213" t="s">
        <v>1262</v>
      </c>
      <c r="CL213">
        <v>213</v>
      </c>
      <c r="CM213" t="s">
        <v>2776</v>
      </c>
    </row>
    <row r="214" spans="1:91" ht="19" customHeight="1">
      <c r="A214" s="1" t="s">
        <v>3530</v>
      </c>
      <c r="B214" s="1" t="s">
        <v>3093</v>
      </c>
      <c r="C214" s="1">
        <v>214</v>
      </c>
      <c r="D214" s="1" t="s">
        <v>595</v>
      </c>
      <c r="E214" s="1">
        <v>2008</v>
      </c>
      <c r="F214" s="1" t="s">
        <v>965</v>
      </c>
      <c r="G214" s="1" t="s">
        <v>1507</v>
      </c>
      <c r="H214" s="4">
        <v>38.966099999999997</v>
      </c>
      <c r="I214" s="4">
        <v>141.00470000000001</v>
      </c>
      <c r="J214" s="1" t="s">
        <v>1396</v>
      </c>
      <c r="K214" s="1" t="s">
        <v>75</v>
      </c>
      <c r="L214" s="1" t="s">
        <v>1508</v>
      </c>
      <c r="M214" s="1" t="s">
        <v>3094</v>
      </c>
      <c r="N214" s="1"/>
      <c r="O214" s="1" t="s">
        <v>3095</v>
      </c>
      <c r="P214" s="1">
        <v>5658</v>
      </c>
      <c r="Q214" s="4">
        <v>6.9</v>
      </c>
      <c r="R214" s="4">
        <v>4</v>
      </c>
      <c r="S214" s="4"/>
      <c r="T214" s="4">
        <v>56.9</v>
      </c>
      <c r="U214" s="4">
        <v>6</v>
      </c>
      <c r="V214" s="4"/>
      <c r="W214" s="4">
        <v>14.4</v>
      </c>
      <c r="X214" s="4">
        <v>9</v>
      </c>
      <c r="Y214" s="4">
        <v>20</v>
      </c>
      <c r="Z214" s="4">
        <v>0</v>
      </c>
      <c r="AA214" s="4">
        <v>0</v>
      </c>
      <c r="AB214" s="4" t="s">
        <v>734</v>
      </c>
      <c r="AC214" s="4">
        <v>1.386294361119891</v>
      </c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1"/>
      <c r="BJ214" s="1" t="s">
        <v>3531</v>
      </c>
      <c r="BK214" s="1">
        <v>1</v>
      </c>
      <c r="BL214" s="1"/>
      <c r="BM214" s="1" t="s">
        <v>594</v>
      </c>
      <c r="BN214" s="1" t="s">
        <v>2777</v>
      </c>
      <c r="BO214" s="1" t="s">
        <v>2778</v>
      </c>
      <c r="BP214" s="1">
        <v>6.9</v>
      </c>
      <c r="BQ214" s="1" t="s">
        <v>1003</v>
      </c>
      <c r="BR214" s="1">
        <v>39.027000000000001</v>
      </c>
      <c r="BS214" s="1">
        <v>140.87799999999999</v>
      </c>
      <c r="BT214" s="1">
        <v>6.5</v>
      </c>
      <c r="BU214" s="1" t="s">
        <v>734</v>
      </c>
      <c r="BV214" s="1" t="s">
        <v>2571</v>
      </c>
      <c r="BW214" s="1">
        <v>209</v>
      </c>
      <c r="BX214" s="1">
        <v>40</v>
      </c>
      <c r="BY214" s="1">
        <v>104</v>
      </c>
      <c r="BZ214" s="1"/>
      <c r="CA214" s="1"/>
      <c r="CB214" s="1"/>
      <c r="CC214" s="1" t="s">
        <v>2566</v>
      </c>
      <c r="CD214" s="1" t="s">
        <v>731</v>
      </c>
      <c r="CE214" s="1"/>
      <c r="CF214" s="1"/>
      <c r="CG214" s="1"/>
      <c r="CH214" s="1"/>
      <c r="CI214" s="1"/>
      <c r="CJ214" s="1" t="s">
        <v>167</v>
      </c>
      <c r="CK214" t="s">
        <v>1262</v>
      </c>
      <c r="CL214">
        <v>214</v>
      </c>
      <c r="CM214" t="s">
        <v>2780</v>
      </c>
    </row>
    <row r="215" spans="1:91" ht="19" customHeight="1">
      <c r="A215" s="1" t="s">
        <v>3532</v>
      </c>
      <c r="B215" s="1" t="s">
        <v>3093</v>
      </c>
      <c r="C215" s="1">
        <v>215</v>
      </c>
      <c r="D215" s="1" t="s">
        <v>595</v>
      </c>
      <c r="E215" s="1">
        <v>2008</v>
      </c>
      <c r="F215" s="1" t="s">
        <v>966</v>
      </c>
      <c r="G215" s="1" t="s">
        <v>1539</v>
      </c>
      <c r="H215" s="4">
        <v>38.755000000000003</v>
      </c>
      <c r="I215" s="4">
        <v>140.52279999999999</v>
      </c>
      <c r="J215" s="1" t="s">
        <v>1396</v>
      </c>
      <c r="K215" s="1" t="s">
        <v>75</v>
      </c>
      <c r="L215" s="1" t="s">
        <v>1540</v>
      </c>
      <c r="M215" s="1" t="s">
        <v>3094</v>
      </c>
      <c r="N215" s="1"/>
      <c r="O215" s="1" t="s">
        <v>3095</v>
      </c>
      <c r="P215" s="1">
        <v>5810</v>
      </c>
      <c r="Q215" s="4">
        <v>6.9</v>
      </c>
      <c r="R215" s="4">
        <v>4.16</v>
      </c>
      <c r="S215" s="4"/>
      <c r="T215" s="4">
        <v>40</v>
      </c>
      <c r="U215" s="4">
        <v>24.1</v>
      </c>
      <c r="V215" s="4"/>
      <c r="W215" s="4">
        <v>43.6</v>
      </c>
      <c r="X215" s="4">
        <v>276</v>
      </c>
      <c r="Y215" s="4">
        <v>67</v>
      </c>
      <c r="Z215" s="4">
        <v>1</v>
      </c>
      <c r="AA215" s="4">
        <v>0</v>
      </c>
      <c r="AB215" s="4" t="s">
        <v>734</v>
      </c>
      <c r="AC215" s="4">
        <v>1.4255150742731719</v>
      </c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1"/>
      <c r="BJ215" s="1" t="s">
        <v>3533</v>
      </c>
      <c r="BK215" s="1">
        <v>1</v>
      </c>
      <c r="BL215" s="1"/>
      <c r="BM215" s="1" t="s">
        <v>594</v>
      </c>
      <c r="BN215" s="1" t="s">
        <v>2777</v>
      </c>
      <c r="BO215" s="1" t="s">
        <v>2778</v>
      </c>
      <c r="BP215" s="1">
        <v>6.9</v>
      </c>
      <c r="BQ215" s="1" t="s">
        <v>1003</v>
      </c>
      <c r="BR215" s="1">
        <v>39.027000000000001</v>
      </c>
      <c r="BS215" s="1">
        <v>140.87799999999999</v>
      </c>
      <c r="BT215" s="1">
        <v>6.5</v>
      </c>
      <c r="BU215" s="1" t="s">
        <v>734</v>
      </c>
      <c r="BV215" s="1" t="s">
        <v>2571</v>
      </c>
      <c r="BW215" s="1">
        <v>209</v>
      </c>
      <c r="BX215" s="1">
        <v>40</v>
      </c>
      <c r="BY215" s="1">
        <v>104</v>
      </c>
      <c r="BZ215" s="1"/>
      <c r="CA215" s="1"/>
      <c r="CB215" s="1"/>
      <c r="CC215" s="1" t="s">
        <v>2566</v>
      </c>
      <c r="CD215" s="1" t="s">
        <v>731</v>
      </c>
      <c r="CE215" s="1"/>
      <c r="CF215" s="1"/>
      <c r="CG215" s="1"/>
      <c r="CH215" s="1"/>
      <c r="CI215" s="1"/>
      <c r="CJ215" s="1" t="s">
        <v>167</v>
      </c>
      <c r="CK215" t="s">
        <v>1262</v>
      </c>
      <c r="CL215">
        <v>215</v>
      </c>
      <c r="CM215" t="s">
        <v>2780</v>
      </c>
    </row>
    <row r="216" spans="1:91" ht="19" customHeight="1">
      <c r="A216" s="1" t="s">
        <v>3534</v>
      </c>
      <c r="B216" s="1" t="s">
        <v>3093</v>
      </c>
      <c r="C216" s="1">
        <v>216</v>
      </c>
      <c r="D216" s="1" t="s">
        <v>967</v>
      </c>
      <c r="E216" s="1">
        <v>2008</v>
      </c>
      <c r="F216" s="1" t="s">
        <v>968</v>
      </c>
      <c r="G216" s="1" t="s">
        <v>1395</v>
      </c>
      <c r="H216" s="4">
        <v>31.3</v>
      </c>
      <c r="I216" s="4">
        <v>104.5</v>
      </c>
      <c r="J216" s="1" t="s">
        <v>1396</v>
      </c>
      <c r="K216" s="1" t="s">
        <v>75</v>
      </c>
      <c r="L216" s="1" t="s">
        <v>1397</v>
      </c>
      <c r="M216" s="1" t="s">
        <v>3094</v>
      </c>
      <c r="N216" s="1"/>
      <c r="O216" s="1" t="s">
        <v>3095</v>
      </c>
      <c r="P216" s="1">
        <v>4716</v>
      </c>
      <c r="Q216" s="4">
        <v>7.9</v>
      </c>
      <c r="R216" s="4">
        <v>6.75</v>
      </c>
      <c r="S216" s="4"/>
      <c r="T216" s="4">
        <v>36</v>
      </c>
      <c r="U216" s="4">
        <v>30.5</v>
      </c>
      <c r="V216" s="4"/>
      <c r="W216" s="4">
        <v>111.4</v>
      </c>
      <c r="X216" s="4">
        <v>11</v>
      </c>
      <c r="Y216" s="4">
        <v>37</v>
      </c>
      <c r="Z216" s="4">
        <v>0</v>
      </c>
      <c r="AA216" s="4">
        <v>1</v>
      </c>
      <c r="AB216" s="4" t="s">
        <v>734</v>
      </c>
      <c r="AC216" s="4">
        <v>1.909542504884439</v>
      </c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1"/>
      <c r="BJ216" s="1" t="s">
        <v>3535</v>
      </c>
      <c r="BK216" s="1">
        <v>1</v>
      </c>
      <c r="BL216" s="1"/>
      <c r="BM216" s="1" t="s">
        <v>217</v>
      </c>
      <c r="BN216" s="1" t="s">
        <v>2781</v>
      </c>
      <c r="BO216" s="1" t="s">
        <v>2782</v>
      </c>
      <c r="BP216" s="1">
        <v>7.9</v>
      </c>
      <c r="BQ216" s="1" t="s">
        <v>1003</v>
      </c>
      <c r="BR216" s="1">
        <v>30.986000000000001</v>
      </c>
      <c r="BS216" s="1">
        <v>103.364</v>
      </c>
      <c r="BT216" s="1">
        <v>10.039999999999999</v>
      </c>
      <c r="BU216" s="1" t="s">
        <v>734</v>
      </c>
      <c r="BV216" s="1" t="s">
        <v>2571</v>
      </c>
      <c r="BW216" s="1">
        <v>230</v>
      </c>
      <c r="BX216" s="1">
        <v>50</v>
      </c>
      <c r="BY216" s="1">
        <v>138</v>
      </c>
      <c r="BZ216" s="1"/>
      <c r="CA216" s="1"/>
      <c r="CB216" s="1"/>
      <c r="CC216" s="1" t="s">
        <v>2566</v>
      </c>
      <c r="CD216" s="1" t="s">
        <v>862</v>
      </c>
      <c r="CE216" s="1">
        <v>3</v>
      </c>
      <c r="CF216" s="1">
        <v>7.88</v>
      </c>
      <c r="CG216" s="1">
        <v>10.6006</v>
      </c>
      <c r="CH216" s="1">
        <v>15220.939999999997</v>
      </c>
      <c r="CI216" s="1" t="s">
        <v>969</v>
      </c>
      <c r="CJ216" s="1" t="s">
        <v>167</v>
      </c>
      <c r="CK216" t="s">
        <v>1262</v>
      </c>
      <c r="CL216">
        <v>216</v>
      </c>
      <c r="CM216" t="s">
        <v>2786</v>
      </c>
    </row>
    <row r="217" spans="1:91" ht="19" customHeight="1">
      <c r="A217" s="1" t="s">
        <v>3536</v>
      </c>
      <c r="B217" s="1" t="s">
        <v>3093</v>
      </c>
      <c r="C217" s="1">
        <v>217</v>
      </c>
      <c r="D217" s="1" t="s">
        <v>967</v>
      </c>
      <c r="E217" s="1">
        <v>2008</v>
      </c>
      <c r="F217" s="1" t="s">
        <v>970</v>
      </c>
      <c r="G217" s="1" t="s">
        <v>1400</v>
      </c>
      <c r="H217" s="4">
        <v>31.5</v>
      </c>
      <c r="I217" s="4">
        <v>104.1</v>
      </c>
      <c r="J217" s="1" t="s">
        <v>1396</v>
      </c>
      <c r="K217" s="1" t="s">
        <v>75</v>
      </c>
      <c r="L217" s="1" t="s">
        <v>1401</v>
      </c>
      <c r="M217" s="1" t="s">
        <v>3094</v>
      </c>
      <c r="N217" s="1"/>
      <c r="O217" s="1" t="s">
        <v>3095</v>
      </c>
      <c r="P217" s="1">
        <v>4816</v>
      </c>
      <c r="Q217" s="4">
        <v>7.9</v>
      </c>
      <c r="R217" s="4">
        <v>9.3699999999999992</v>
      </c>
      <c r="S217" s="4"/>
      <c r="T217" s="4">
        <v>144.5</v>
      </c>
      <c r="U217" s="4">
        <v>6.6</v>
      </c>
      <c r="V217" s="4"/>
      <c r="W217" s="4">
        <v>90.3</v>
      </c>
      <c r="X217" s="4">
        <v>295</v>
      </c>
      <c r="Y217" s="4">
        <v>67</v>
      </c>
      <c r="Z217" s="4">
        <v>1</v>
      </c>
      <c r="AA217" s="4">
        <v>1</v>
      </c>
      <c r="AB217" s="4" t="s">
        <v>734</v>
      </c>
      <c r="AC217" s="4">
        <v>2.2375130962503311</v>
      </c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1"/>
      <c r="BJ217" s="1" t="s">
        <v>3537</v>
      </c>
      <c r="BK217" s="1">
        <v>1</v>
      </c>
      <c r="BL217" s="1"/>
      <c r="BM217" s="1" t="s">
        <v>217</v>
      </c>
      <c r="BN217" s="1" t="s">
        <v>2781</v>
      </c>
      <c r="BO217" s="1" t="s">
        <v>2782</v>
      </c>
      <c r="BP217" s="1">
        <v>7.9</v>
      </c>
      <c r="BQ217" s="1" t="s">
        <v>1003</v>
      </c>
      <c r="BR217" s="1">
        <v>30.986000000000001</v>
      </c>
      <c r="BS217" s="1">
        <v>103.364</v>
      </c>
      <c r="BT217" s="1">
        <v>10.039999999999999</v>
      </c>
      <c r="BU217" s="1" t="s">
        <v>734</v>
      </c>
      <c r="BV217" s="1" t="s">
        <v>2571</v>
      </c>
      <c r="BW217" s="1">
        <v>230</v>
      </c>
      <c r="BX217" s="1">
        <v>50</v>
      </c>
      <c r="BY217" s="1">
        <v>138</v>
      </c>
      <c r="BZ217" s="1"/>
      <c r="CA217" s="1"/>
      <c r="CB217" s="1"/>
      <c r="CC217" s="1" t="s">
        <v>2566</v>
      </c>
      <c r="CD217" s="1" t="s">
        <v>862</v>
      </c>
      <c r="CE217" s="1">
        <v>3</v>
      </c>
      <c r="CF217" s="1">
        <v>7.88</v>
      </c>
      <c r="CG217" s="1">
        <v>10.6006</v>
      </c>
      <c r="CH217" s="1">
        <v>15220.939999999997</v>
      </c>
      <c r="CI217" s="1" t="s">
        <v>969</v>
      </c>
      <c r="CJ217" s="1" t="s">
        <v>167</v>
      </c>
      <c r="CK217" t="s">
        <v>1262</v>
      </c>
      <c r="CL217">
        <v>217</v>
      </c>
      <c r="CM217" t="s">
        <v>2786</v>
      </c>
    </row>
    <row r="218" spans="1:91" ht="19" customHeight="1">
      <c r="A218" s="1" t="s">
        <v>3538</v>
      </c>
      <c r="B218" s="1" t="s">
        <v>3093</v>
      </c>
      <c r="C218" s="1">
        <v>218</v>
      </c>
      <c r="D218" s="1" t="s">
        <v>971</v>
      </c>
      <c r="E218" s="1">
        <v>2009</v>
      </c>
      <c r="F218" s="1" t="s">
        <v>972</v>
      </c>
      <c r="G218" s="1" t="s">
        <v>1418</v>
      </c>
      <c r="H218" s="4">
        <v>42.377000000000002</v>
      </c>
      <c r="I218" s="4">
        <v>13.343999999999999</v>
      </c>
      <c r="J218" s="1" t="s">
        <v>1396</v>
      </c>
      <c r="K218" s="1" t="s">
        <v>75</v>
      </c>
      <c r="L218" s="1" t="s">
        <v>1419</v>
      </c>
      <c r="M218" s="1" t="s">
        <v>3094</v>
      </c>
      <c r="N218" s="1"/>
      <c r="O218" s="1" t="s">
        <v>3095</v>
      </c>
      <c r="P218" s="1">
        <v>4480</v>
      </c>
      <c r="Q218" s="4">
        <v>6.3</v>
      </c>
      <c r="R218" s="4">
        <v>1.07</v>
      </c>
      <c r="S218" s="4"/>
      <c r="T218" s="4">
        <v>42.1</v>
      </c>
      <c r="U218" s="4">
        <v>6.3</v>
      </c>
      <c r="V218" s="4"/>
      <c r="W218" s="4">
        <v>10.3</v>
      </c>
      <c r="X218" s="4">
        <v>110</v>
      </c>
      <c r="Y218" s="4">
        <v>29</v>
      </c>
      <c r="Z218" s="4">
        <v>0</v>
      </c>
      <c r="AA218" s="4">
        <v>1</v>
      </c>
      <c r="AB218" s="4" t="s">
        <v>760</v>
      </c>
      <c r="AC218" s="4">
        <v>6.7658648473814864E-2</v>
      </c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1"/>
      <c r="BJ218" s="1" t="s">
        <v>3539</v>
      </c>
      <c r="BK218" s="1">
        <v>1</v>
      </c>
      <c r="BL218" s="1"/>
      <c r="BM218" s="1" t="s">
        <v>608</v>
      </c>
      <c r="BN218" s="1" t="s">
        <v>2787</v>
      </c>
      <c r="BO218" s="1" t="s">
        <v>2788</v>
      </c>
      <c r="BP218" s="1">
        <v>6.3</v>
      </c>
      <c r="BQ218" s="1" t="s">
        <v>1003</v>
      </c>
      <c r="BR218" s="1">
        <v>42.3476</v>
      </c>
      <c r="BS218" s="1">
        <v>13.38</v>
      </c>
      <c r="BT218" s="1">
        <v>9.27</v>
      </c>
      <c r="BU218" s="1" t="s">
        <v>760</v>
      </c>
      <c r="BV218" s="1" t="s">
        <v>2571</v>
      </c>
      <c r="BW218" s="1">
        <v>139</v>
      </c>
      <c r="BX218" s="1">
        <v>48</v>
      </c>
      <c r="BY218" s="1">
        <v>-98</v>
      </c>
      <c r="BZ218" s="1"/>
      <c r="CA218" s="1"/>
      <c r="CB218" s="1"/>
      <c r="CC218" s="1" t="s">
        <v>2566</v>
      </c>
      <c r="CD218" s="1" t="s">
        <v>731</v>
      </c>
      <c r="CE218" s="1"/>
      <c r="CF218" s="1"/>
      <c r="CG218" s="1"/>
      <c r="CH218" s="1"/>
      <c r="CI218" s="1"/>
      <c r="CJ218" s="1" t="s">
        <v>167</v>
      </c>
      <c r="CK218" t="s">
        <v>1262</v>
      </c>
      <c r="CL218">
        <v>218</v>
      </c>
      <c r="CM218" t="s">
        <v>2790</v>
      </c>
    </row>
    <row r="219" spans="1:91" ht="19" customHeight="1">
      <c r="A219" s="1" t="s">
        <v>3540</v>
      </c>
      <c r="B219" s="1" t="s">
        <v>3093</v>
      </c>
      <c r="C219" s="1">
        <v>219</v>
      </c>
      <c r="D219" s="1" t="s">
        <v>971</v>
      </c>
      <c r="E219" s="1">
        <v>2009</v>
      </c>
      <c r="F219" s="1" t="s">
        <v>973</v>
      </c>
      <c r="G219" s="1" t="s">
        <v>1421</v>
      </c>
      <c r="H219" s="4">
        <v>42.375999999999998</v>
      </c>
      <c r="I219" s="4">
        <v>13.339</v>
      </c>
      <c r="J219" s="1" t="s">
        <v>1396</v>
      </c>
      <c r="K219" s="1" t="s">
        <v>75</v>
      </c>
      <c r="L219" s="1" t="s">
        <v>1422</v>
      </c>
      <c r="M219" s="1" t="s">
        <v>3094</v>
      </c>
      <c r="N219" s="1"/>
      <c r="O219" s="1" t="s">
        <v>3095</v>
      </c>
      <c r="P219" s="1">
        <v>4482</v>
      </c>
      <c r="Q219" s="4">
        <v>6.3</v>
      </c>
      <c r="R219" s="4">
        <v>1.18</v>
      </c>
      <c r="S219" s="4"/>
      <c r="T219" s="4">
        <v>31.6</v>
      </c>
      <c r="U219" s="4">
        <v>6.5</v>
      </c>
      <c r="V219" s="4"/>
      <c r="W219" s="4">
        <v>10.4</v>
      </c>
      <c r="X219" s="4">
        <v>69</v>
      </c>
      <c r="Y219" s="4">
        <v>70</v>
      </c>
      <c r="Z219" s="4">
        <v>0</v>
      </c>
      <c r="AA219" s="4">
        <v>1</v>
      </c>
      <c r="AB219" s="4" t="s">
        <v>760</v>
      </c>
      <c r="AC219" s="4">
        <v>0.1655144384775733</v>
      </c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1"/>
      <c r="BJ219" s="1" t="s">
        <v>3541</v>
      </c>
      <c r="BK219" s="1">
        <v>1</v>
      </c>
      <c r="BL219" s="1"/>
      <c r="BM219" s="1" t="s">
        <v>608</v>
      </c>
      <c r="BN219" s="1" t="s">
        <v>2787</v>
      </c>
      <c r="BO219" s="1" t="s">
        <v>2788</v>
      </c>
      <c r="BP219" s="1">
        <v>6.3</v>
      </c>
      <c r="BQ219" s="1" t="s">
        <v>1003</v>
      </c>
      <c r="BR219" s="1">
        <v>42.3476</v>
      </c>
      <c r="BS219" s="1">
        <v>13.38</v>
      </c>
      <c r="BT219" s="1">
        <v>9.27</v>
      </c>
      <c r="BU219" s="1" t="s">
        <v>760</v>
      </c>
      <c r="BV219" s="1" t="s">
        <v>2571</v>
      </c>
      <c r="BW219" s="1">
        <v>139</v>
      </c>
      <c r="BX219" s="1">
        <v>48</v>
      </c>
      <c r="BY219" s="1">
        <v>-98</v>
      </c>
      <c r="BZ219" s="1"/>
      <c r="CA219" s="1"/>
      <c r="CB219" s="1"/>
      <c r="CC219" s="1" t="s">
        <v>2566</v>
      </c>
      <c r="CD219" s="1" t="s">
        <v>731</v>
      </c>
      <c r="CE219" s="1"/>
      <c r="CF219" s="1"/>
      <c r="CG219" s="1"/>
      <c r="CH219" s="1"/>
      <c r="CI219" s="1"/>
      <c r="CJ219" s="1" t="s">
        <v>167</v>
      </c>
      <c r="CK219" t="s">
        <v>1262</v>
      </c>
      <c r="CL219">
        <v>219</v>
      </c>
      <c r="CM219" t="s">
        <v>2790</v>
      </c>
    </row>
    <row r="220" spans="1:91" ht="19" customHeight="1">
      <c r="A220" s="1" t="s">
        <v>3542</v>
      </c>
      <c r="B220" s="1" t="s">
        <v>3093</v>
      </c>
      <c r="C220" s="1">
        <v>220</v>
      </c>
      <c r="D220" s="1" t="s">
        <v>971</v>
      </c>
      <c r="E220" s="1">
        <v>2009</v>
      </c>
      <c r="F220" s="1" t="s">
        <v>974</v>
      </c>
      <c r="G220" s="1" t="s">
        <v>1415</v>
      </c>
      <c r="H220" s="4">
        <v>42.344999999999999</v>
      </c>
      <c r="I220" s="4">
        <v>13.401</v>
      </c>
      <c r="J220" s="1" t="s">
        <v>1396</v>
      </c>
      <c r="K220" s="1" t="s">
        <v>75</v>
      </c>
      <c r="L220" s="1" t="s">
        <v>1416</v>
      </c>
      <c r="M220" s="1" t="s">
        <v>3094</v>
      </c>
      <c r="N220" s="1"/>
      <c r="O220" s="1" t="s">
        <v>3095</v>
      </c>
      <c r="P220" s="1">
        <v>4483</v>
      </c>
      <c r="Q220" s="4">
        <v>6.3</v>
      </c>
      <c r="R220" s="4">
        <v>1.98</v>
      </c>
      <c r="S220" s="4"/>
      <c r="T220" s="4">
        <v>46.3</v>
      </c>
      <c r="U220" s="4">
        <v>5.4</v>
      </c>
      <c r="V220" s="4"/>
      <c r="W220" s="4">
        <v>9.4</v>
      </c>
      <c r="X220" s="4">
        <v>38</v>
      </c>
      <c r="Y220" s="4">
        <v>79</v>
      </c>
      <c r="Z220" s="4">
        <v>1</v>
      </c>
      <c r="AA220" s="4">
        <v>1</v>
      </c>
      <c r="AB220" s="4" t="s">
        <v>760</v>
      </c>
      <c r="AC220" s="4">
        <v>0.68309684470644383</v>
      </c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1"/>
      <c r="BJ220" s="1" t="s">
        <v>3543</v>
      </c>
      <c r="BK220" s="1">
        <v>1</v>
      </c>
      <c r="BL220" s="1"/>
      <c r="BM220" s="1" t="s">
        <v>608</v>
      </c>
      <c r="BN220" s="1" t="s">
        <v>2787</v>
      </c>
      <c r="BO220" s="1" t="s">
        <v>2788</v>
      </c>
      <c r="BP220" s="1">
        <v>6.3</v>
      </c>
      <c r="BQ220" s="1" t="s">
        <v>1003</v>
      </c>
      <c r="BR220" s="1">
        <v>42.3476</v>
      </c>
      <c r="BS220" s="1">
        <v>13.38</v>
      </c>
      <c r="BT220" s="1">
        <v>9.27</v>
      </c>
      <c r="BU220" s="1" t="s">
        <v>760</v>
      </c>
      <c r="BV220" s="1" t="s">
        <v>2571</v>
      </c>
      <c r="BW220" s="1">
        <v>139</v>
      </c>
      <c r="BX220" s="1">
        <v>48</v>
      </c>
      <c r="BY220" s="1">
        <v>-98</v>
      </c>
      <c r="BZ220" s="1"/>
      <c r="CA220" s="1"/>
      <c r="CB220" s="1"/>
      <c r="CC220" s="1" t="s">
        <v>2566</v>
      </c>
      <c r="CD220" s="1" t="s">
        <v>731</v>
      </c>
      <c r="CE220" s="1"/>
      <c r="CF220" s="1"/>
      <c r="CG220" s="1"/>
      <c r="CH220" s="1"/>
      <c r="CI220" s="1"/>
      <c r="CJ220" s="1" t="s">
        <v>167</v>
      </c>
      <c r="CK220" t="s">
        <v>1262</v>
      </c>
      <c r="CL220">
        <v>220</v>
      </c>
      <c r="CM220" t="s">
        <v>2790</v>
      </c>
    </row>
    <row r="221" spans="1:91" ht="19" customHeight="1">
      <c r="A221" s="1" t="s">
        <v>3544</v>
      </c>
      <c r="B221" s="1" t="s">
        <v>3093</v>
      </c>
      <c r="C221" s="1">
        <v>221</v>
      </c>
      <c r="D221" s="1" t="s">
        <v>975</v>
      </c>
      <c r="E221" s="1">
        <v>2010</v>
      </c>
      <c r="F221" s="1" t="s">
        <v>976</v>
      </c>
      <c r="G221" s="1" t="s">
        <v>1587</v>
      </c>
      <c r="H221" s="4">
        <v>-43.530999999999999</v>
      </c>
      <c r="I221" s="4">
        <v>172.61969999999999</v>
      </c>
      <c r="J221" s="1" t="s">
        <v>1396</v>
      </c>
      <c r="K221" s="1" t="s">
        <v>75</v>
      </c>
      <c r="L221" s="1" t="s">
        <v>1588</v>
      </c>
      <c r="M221" s="1" t="s">
        <v>3545</v>
      </c>
      <c r="N221" s="1"/>
      <c r="O221" s="1" t="s">
        <v>3095</v>
      </c>
      <c r="P221" s="1">
        <v>6887</v>
      </c>
      <c r="Q221" s="4">
        <v>7</v>
      </c>
      <c r="R221" s="4">
        <v>12.62</v>
      </c>
      <c r="S221" s="4"/>
      <c r="T221" s="4">
        <v>59.9</v>
      </c>
      <c r="U221" s="4">
        <v>18.100000000000001</v>
      </c>
      <c r="V221" s="4"/>
      <c r="W221" s="4">
        <v>48.2</v>
      </c>
      <c r="X221" s="4">
        <v>346</v>
      </c>
      <c r="Y221" s="4">
        <v>81</v>
      </c>
      <c r="Z221" s="4">
        <v>1</v>
      </c>
      <c r="AA221" s="4">
        <v>1</v>
      </c>
      <c r="AB221" s="4" t="s">
        <v>730</v>
      </c>
      <c r="AC221" s="4">
        <v>2.5352828571130668</v>
      </c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1"/>
      <c r="BJ221" s="1" t="s">
        <v>3546</v>
      </c>
      <c r="BK221" s="1">
        <v>1</v>
      </c>
      <c r="BL221" s="1"/>
      <c r="BM221" s="1" t="s">
        <v>620</v>
      </c>
      <c r="BN221" s="1" t="s">
        <v>2792</v>
      </c>
      <c r="BO221" s="1" t="s">
        <v>2793</v>
      </c>
      <c r="BP221" s="1">
        <v>7</v>
      </c>
      <c r="BQ221" s="1" t="s">
        <v>1003</v>
      </c>
      <c r="BR221" s="1">
        <v>-43.615000000000002</v>
      </c>
      <c r="BS221" s="1">
        <v>172.04900000000001</v>
      </c>
      <c r="BT221" s="1">
        <v>10.9</v>
      </c>
      <c r="BU221" s="1" t="s">
        <v>730</v>
      </c>
      <c r="BV221" s="1" t="s">
        <v>2571</v>
      </c>
      <c r="BW221" s="1">
        <v>85.1</v>
      </c>
      <c r="BX221" s="1">
        <v>82.2</v>
      </c>
      <c r="BY221" s="1">
        <v>180</v>
      </c>
      <c r="BZ221" s="1"/>
      <c r="CA221" s="1"/>
      <c r="CB221" s="1"/>
      <c r="CC221" s="1" t="s">
        <v>2566</v>
      </c>
      <c r="CD221" s="1" t="s">
        <v>731</v>
      </c>
      <c r="CE221" s="1"/>
      <c r="CF221" s="1"/>
      <c r="CG221" s="1"/>
      <c r="CH221" s="1"/>
      <c r="CI221" s="1"/>
      <c r="CJ221" s="1" t="s">
        <v>167</v>
      </c>
      <c r="CK221" t="s">
        <v>1262</v>
      </c>
      <c r="CL221">
        <v>221</v>
      </c>
      <c r="CM221" t="s">
        <v>2797</v>
      </c>
    </row>
    <row r="222" spans="1:91" ht="19" customHeight="1">
      <c r="A222" s="1" t="s">
        <v>3547</v>
      </c>
      <c r="B222" s="1" t="s">
        <v>3093</v>
      </c>
      <c r="C222" s="1">
        <v>222</v>
      </c>
      <c r="D222" s="1" t="s">
        <v>975</v>
      </c>
      <c r="E222" s="1">
        <v>2010</v>
      </c>
      <c r="F222" s="1" t="s">
        <v>977</v>
      </c>
      <c r="G222" s="1" t="s">
        <v>1600</v>
      </c>
      <c r="H222" s="4">
        <v>-43.669199999999996</v>
      </c>
      <c r="I222" s="4">
        <v>172.1978</v>
      </c>
      <c r="J222" s="1" t="s">
        <v>1396</v>
      </c>
      <c r="K222" s="1" t="s">
        <v>75</v>
      </c>
      <c r="L222" s="1" t="s">
        <v>1604</v>
      </c>
      <c r="M222" s="1" t="s">
        <v>3094</v>
      </c>
      <c r="N222" s="1"/>
      <c r="O222" s="1" t="s">
        <v>3095</v>
      </c>
      <c r="P222" s="1">
        <v>6897</v>
      </c>
      <c r="Q222" s="4">
        <v>7</v>
      </c>
      <c r="R222" s="4">
        <v>7.83</v>
      </c>
      <c r="S222" s="4"/>
      <c r="T222" s="4">
        <v>65.900000000000006</v>
      </c>
      <c r="U222" s="4">
        <v>8.5</v>
      </c>
      <c r="V222" s="4"/>
      <c r="W222" s="4">
        <v>17.3</v>
      </c>
      <c r="X222" s="4">
        <v>44</v>
      </c>
      <c r="Y222" s="4">
        <v>41</v>
      </c>
      <c r="Z222" s="4">
        <v>1</v>
      </c>
      <c r="AA222" s="4">
        <v>1</v>
      </c>
      <c r="AB222" s="4" t="s">
        <v>730</v>
      </c>
      <c r="AC222" s="4">
        <v>2.0579625100027119</v>
      </c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1"/>
      <c r="BJ222" s="1" t="s">
        <v>3548</v>
      </c>
      <c r="BK222" s="1">
        <v>1</v>
      </c>
      <c r="BL222" s="1"/>
      <c r="BM222" s="1" t="s">
        <v>620</v>
      </c>
      <c r="BN222" s="1" t="s">
        <v>2792</v>
      </c>
      <c r="BO222" s="1" t="s">
        <v>2793</v>
      </c>
      <c r="BP222" s="1">
        <v>7</v>
      </c>
      <c r="BQ222" s="1" t="s">
        <v>1003</v>
      </c>
      <c r="BR222" s="1">
        <v>-43.615000000000002</v>
      </c>
      <c r="BS222" s="1">
        <v>172.04900000000001</v>
      </c>
      <c r="BT222" s="1">
        <v>10.9</v>
      </c>
      <c r="BU222" s="1" t="s">
        <v>730</v>
      </c>
      <c r="BV222" s="1" t="s">
        <v>2571</v>
      </c>
      <c r="BW222" s="1">
        <v>85.1</v>
      </c>
      <c r="BX222" s="1">
        <v>82.2</v>
      </c>
      <c r="BY222" s="1">
        <v>180</v>
      </c>
      <c r="BZ222" s="1"/>
      <c r="CA222" s="1"/>
      <c r="CB222" s="1"/>
      <c r="CC222" s="1" t="s">
        <v>2566</v>
      </c>
      <c r="CD222" s="1" t="s">
        <v>731</v>
      </c>
      <c r="CE222" s="1"/>
      <c r="CF222" s="1"/>
      <c r="CG222" s="1"/>
      <c r="CH222" s="1"/>
      <c r="CI222" s="1"/>
      <c r="CJ222" s="1" t="s">
        <v>167</v>
      </c>
      <c r="CK222" t="s">
        <v>1262</v>
      </c>
      <c r="CL222">
        <v>222</v>
      </c>
      <c r="CM222" t="s">
        <v>2797</v>
      </c>
    </row>
    <row r="223" spans="1:91" ht="19" customHeight="1">
      <c r="A223" s="1" t="s">
        <v>3549</v>
      </c>
      <c r="B223" s="1" t="s">
        <v>3093</v>
      </c>
      <c r="C223" s="1">
        <v>223</v>
      </c>
      <c r="D223" s="1" t="s">
        <v>975</v>
      </c>
      <c r="E223" s="1">
        <v>2010</v>
      </c>
      <c r="F223" s="1" t="s">
        <v>978</v>
      </c>
      <c r="G223" s="1" t="s">
        <v>1606</v>
      </c>
      <c r="H223" s="4">
        <v>-43.588000000000001</v>
      </c>
      <c r="I223" s="4">
        <v>172.08930000000001</v>
      </c>
      <c r="J223" s="1" t="s">
        <v>1396</v>
      </c>
      <c r="K223" s="1" t="s">
        <v>75</v>
      </c>
      <c r="L223" s="1" t="s">
        <v>1607</v>
      </c>
      <c r="M223" s="1" t="s">
        <v>3094</v>
      </c>
      <c r="N223" s="1"/>
      <c r="O223" s="1" t="s">
        <v>3095</v>
      </c>
      <c r="P223" s="1">
        <v>6906</v>
      </c>
      <c r="Q223" s="4">
        <v>7</v>
      </c>
      <c r="R223" s="4">
        <v>6.23</v>
      </c>
      <c r="S223" s="4"/>
      <c r="T223" s="4">
        <v>128.5</v>
      </c>
      <c r="U223" s="4">
        <v>1.2</v>
      </c>
      <c r="V223" s="4"/>
      <c r="W223" s="4">
        <v>11.8</v>
      </c>
      <c r="X223" s="4">
        <v>295</v>
      </c>
      <c r="Y223" s="4">
        <v>30</v>
      </c>
      <c r="Z223" s="4">
        <v>0</v>
      </c>
      <c r="AA223" s="4">
        <v>1</v>
      </c>
      <c r="AB223" s="4" t="s">
        <v>730</v>
      </c>
      <c r="AC223" s="4">
        <v>1.829376332799362</v>
      </c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1"/>
      <c r="BJ223" s="1" t="s">
        <v>3550</v>
      </c>
      <c r="BK223" s="1">
        <v>1</v>
      </c>
      <c r="BL223" s="1"/>
      <c r="BM223" s="1" t="s">
        <v>620</v>
      </c>
      <c r="BN223" s="1" t="s">
        <v>2792</v>
      </c>
      <c r="BO223" s="1" t="s">
        <v>2793</v>
      </c>
      <c r="BP223" s="1">
        <v>7</v>
      </c>
      <c r="BQ223" s="1" t="s">
        <v>1003</v>
      </c>
      <c r="BR223" s="1">
        <v>-43.615000000000002</v>
      </c>
      <c r="BS223" s="1">
        <v>172.04900000000001</v>
      </c>
      <c r="BT223" s="1">
        <v>10.9</v>
      </c>
      <c r="BU223" s="1" t="s">
        <v>730</v>
      </c>
      <c r="BV223" s="1" t="s">
        <v>2571</v>
      </c>
      <c r="BW223" s="1">
        <v>85.1</v>
      </c>
      <c r="BX223" s="1">
        <v>82.2</v>
      </c>
      <c r="BY223" s="1">
        <v>180</v>
      </c>
      <c r="BZ223" s="1"/>
      <c r="CA223" s="1"/>
      <c r="CB223" s="1"/>
      <c r="CC223" s="1" t="s">
        <v>2566</v>
      </c>
      <c r="CD223" s="1" t="s">
        <v>731</v>
      </c>
      <c r="CE223" s="1"/>
      <c r="CF223" s="1"/>
      <c r="CG223" s="1"/>
      <c r="CH223" s="1"/>
      <c r="CI223" s="1"/>
      <c r="CJ223" s="1" t="s">
        <v>167</v>
      </c>
      <c r="CK223" t="s">
        <v>1262</v>
      </c>
      <c r="CL223">
        <v>223</v>
      </c>
      <c r="CM223" t="s">
        <v>2797</v>
      </c>
    </row>
    <row r="224" spans="1:91" ht="19" customHeight="1">
      <c r="A224" s="1" t="s">
        <v>3551</v>
      </c>
      <c r="B224" s="1" t="s">
        <v>3093</v>
      </c>
      <c r="C224" s="1">
        <v>224</v>
      </c>
      <c r="D224" s="1" t="s">
        <v>975</v>
      </c>
      <c r="E224" s="1">
        <v>2010</v>
      </c>
      <c r="F224" s="1" t="s">
        <v>979</v>
      </c>
      <c r="G224" s="1" t="s">
        <v>1609</v>
      </c>
      <c r="H224" s="4">
        <v>-43.5413</v>
      </c>
      <c r="I224" s="4">
        <v>171.9598</v>
      </c>
      <c r="J224" s="1" t="s">
        <v>1396</v>
      </c>
      <c r="K224" s="1" t="s">
        <v>75</v>
      </c>
      <c r="L224" s="1" t="s">
        <v>1610</v>
      </c>
      <c r="M224" s="1" t="s">
        <v>3094</v>
      </c>
      <c r="N224" s="1"/>
      <c r="O224" s="1" t="s">
        <v>3095</v>
      </c>
      <c r="P224" s="1">
        <v>6911</v>
      </c>
      <c r="Q224" s="4">
        <v>7</v>
      </c>
      <c r="R224" s="4">
        <v>9.92</v>
      </c>
      <c r="S224" s="4"/>
      <c r="T224" s="4">
        <v>106.1</v>
      </c>
      <c r="U224" s="4">
        <v>7.3</v>
      </c>
      <c r="V224" s="4"/>
      <c r="W224" s="4">
        <v>15.4</v>
      </c>
      <c r="X224" s="4">
        <v>16</v>
      </c>
      <c r="Y224" s="4">
        <v>69</v>
      </c>
      <c r="Z224" s="4">
        <v>1</v>
      </c>
      <c r="AA224" s="4">
        <v>1</v>
      </c>
      <c r="AB224" s="4" t="s">
        <v>730</v>
      </c>
      <c r="AC224" s="4">
        <v>2.294552921296781</v>
      </c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1"/>
      <c r="BJ224" s="1" t="s">
        <v>3552</v>
      </c>
      <c r="BK224" s="1">
        <v>1</v>
      </c>
      <c r="BL224" s="1"/>
      <c r="BM224" s="1" t="s">
        <v>620</v>
      </c>
      <c r="BN224" s="1" t="s">
        <v>2792</v>
      </c>
      <c r="BO224" s="1" t="s">
        <v>2793</v>
      </c>
      <c r="BP224" s="1">
        <v>7</v>
      </c>
      <c r="BQ224" s="1" t="s">
        <v>1003</v>
      </c>
      <c r="BR224" s="1">
        <v>-43.615000000000002</v>
      </c>
      <c r="BS224" s="1">
        <v>172.04900000000001</v>
      </c>
      <c r="BT224" s="1">
        <v>10.9</v>
      </c>
      <c r="BU224" s="1" t="s">
        <v>730</v>
      </c>
      <c r="BV224" s="1" t="s">
        <v>2571</v>
      </c>
      <c r="BW224" s="1">
        <v>85.1</v>
      </c>
      <c r="BX224" s="1">
        <v>82.2</v>
      </c>
      <c r="BY224" s="1">
        <v>180</v>
      </c>
      <c r="BZ224" s="1"/>
      <c r="CA224" s="1"/>
      <c r="CB224" s="1"/>
      <c r="CC224" s="1" t="s">
        <v>2566</v>
      </c>
      <c r="CD224" s="1" t="s">
        <v>731</v>
      </c>
      <c r="CE224" s="1"/>
      <c r="CF224" s="1"/>
      <c r="CG224" s="1"/>
      <c r="CH224" s="1"/>
      <c r="CI224" s="1"/>
      <c r="CJ224" s="1" t="s">
        <v>167</v>
      </c>
      <c r="CK224" t="s">
        <v>1262</v>
      </c>
      <c r="CL224">
        <v>224</v>
      </c>
      <c r="CM224" t="s">
        <v>2797</v>
      </c>
    </row>
    <row r="225" spans="1:91" ht="19" customHeight="1">
      <c r="A225" s="1" t="s">
        <v>3553</v>
      </c>
      <c r="B225" s="1" t="s">
        <v>3093</v>
      </c>
      <c r="C225" s="1">
        <v>225</v>
      </c>
      <c r="D225" s="1" t="s">
        <v>975</v>
      </c>
      <c r="E225" s="1">
        <v>2010</v>
      </c>
      <c r="F225" s="1" t="s">
        <v>980</v>
      </c>
      <c r="G225" s="1" t="s">
        <v>1616</v>
      </c>
      <c r="H225" s="4">
        <v>-43.6248</v>
      </c>
      <c r="I225" s="4">
        <v>172.46789999999999</v>
      </c>
      <c r="J225" s="1" t="s">
        <v>1396</v>
      </c>
      <c r="K225" s="1" t="s">
        <v>75</v>
      </c>
      <c r="L225" s="1" t="s">
        <v>1617</v>
      </c>
      <c r="M225" s="1" t="s">
        <v>3094</v>
      </c>
      <c r="N225" s="1"/>
      <c r="O225" s="1" t="s">
        <v>3095</v>
      </c>
      <c r="P225" s="1">
        <v>6927</v>
      </c>
      <c r="Q225" s="4">
        <v>7</v>
      </c>
      <c r="R225" s="4">
        <v>7.37</v>
      </c>
      <c r="S225" s="4"/>
      <c r="T225" s="4">
        <v>116.5</v>
      </c>
      <c r="U225" s="4">
        <v>7.1</v>
      </c>
      <c r="V225" s="4"/>
      <c r="W225" s="4">
        <v>35.5</v>
      </c>
      <c r="X225" s="4">
        <v>359</v>
      </c>
      <c r="Y225" s="4">
        <v>86</v>
      </c>
      <c r="Z225" s="4">
        <v>1</v>
      </c>
      <c r="AA225" s="4">
        <v>1</v>
      </c>
      <c r="AB225" s="4" t="s">
        <v>730</v>
      </c>
      <c r="AC225" s="4">
        <v>1.997417706201245</v>
      </c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1"/>
      <c r="BJ225" s="1" t="s">
        <v>3554</v>
      </c>
      <c r="BK225" s="1">
        <v>1</v>
      </c>
      <c r="BL225" s="1"/>
      <c r="BM225" s="1" t="s">
        <v>620</v>
      </c>
      <c r="BN225" s="1" t="s">
        <v>2792</v>
      </c>
      <c r="BO225" s="1" t="s">
        <v>2793</v>
      </c>
      <c r="BP225" s="1">
        <v>7</v>
      </c>
      <c r="BQ225" s="1" t="s">
        <v>1003</v>
      </c>
      <c r="BR225" s="1">
        <v>-43.615000000000002</v>
      </c>
      <c r="BS225" s="1">
        <v>172.04900000000001</v>
      </c>
      <c r="BT225" s="1">
        <v>10.9</v>
      </c>
      <c r="BU225" s="1" t="s">
        <v>730</v>
      </c>
      <c r="BV225" s="1" t="s">
        <v>2571</v>
      </c>
      <c r="BW225" s="1">
        <v>85.1</v>
      </c>
      <c r="BX225" s="1">
        <v>82.2</v>
      </c>
      <c r="BY225" s="1">
        <v>180</v>
      </c>
      <c r="BZ225" s="1"/>
      <c r="CA225" s="1"/>
      <c r="CB225" s="1"/>
      <c r="CC225" s="1" t="s">
        <v>2566</v>
      </c>
      <c r="CD225" s="1" t="s">
        <v>731</v>
      </c>
      <c r="CE225" s="1"/>
      <c r="CF225" s="1"/>
      <c r="CG225" s="1"/>
      <c r="CH225" s="1"/>
      <c r="CI225" s="1"/>
      <c r="CJ225" s="1" t="s">
        <v>167</v>
      </c>
      <c r="CK225" t="s">
        <v>1262</v>
      </c>
      <c r="CL225">
        <v>225</v>
      </c>
      <c r="CM225" t="s">
        <v>2797</v>
      </c>
    </row>
    <row r="226" spans="1:91" ht="19" customHeight="1">
      <c r="A226" s="1" t="s">
        <v>3555</v>
      </c>
      <c r="B226" s="1" t="s">
        <v>3093</v>
      </c>
      <c r="C226" s="1">
        <v>226</v>
      </c>
      <c r="D226" s="1" t="s">
        <v>975</v>
      </c>
      <c r="E226" s="1">
        <v>2010</v>
      </c>
      <c r="F226" s="1" t="s">
        <v>981</v>
      </c>
      <c r="G226" s="1" t="s">
        <v>1619</v>
      </c>
      <c r="H226" s="4">
        <v>-43.605600000000003</v>
      </c>
      <c r="I226" s="4">
        <v>172.72229999999999</v>
      </c>
      <c r="J226" s="1" t="s">
        <v>1396</v>
      </c>
      <c r="K226" s="1" t="s">
        <v>75</v>
      </c>
      <c r="L226" s="1" t="s">
        <v>1621</v>
      </c>
      <c r="M226" s="1" t="s">
        <v>3094</v>
      </c>
      <c r="N226" s="1"/>
      <c r="O226" s="1" t="s">
        <v>3095</v>
      </c>
      <c r="P226" s="1">
        <v>6928</v>
      </c>
      <c r="Q226" s="4">
        <v>7</v>
      </c>
      <c r="R226" s="4">
        <v>10.63</v>
      </c>
      <c r="S226" s="4"/>
      <c r="T226" s="4">
        <v>30.2</v>
      </c>
      <c r="U226" s="4">
        <v>25.7</v>
      </c>
      <c r="V226" s="4"/>
      <c r="W226" s="4">
        <v>55.3</v>
      </c>
      <c r="X226" s="4">
        <v>358</v>
      </c>
      <c r="Y226" s="4">
        <v>87</v>
      </c>
      <c r="Z226" s="4">
        <v>1</v>
      </c>
      <c r="AA226" s="4">
        <v>1</v>
      </c>
      <c r="AB226" s="4" t="s">
        <v>730</v>
      </c>
      <c r="AC226" s="4">
        <v>2.3636801923538568</v>
      </c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1"/>
      <c r="BJ226" s="1" t="s">
        <v>3556</v>
      </c>
      <c r="BK226" s="1">
        <v>1</v>
      </c>
      <c r="BL226" s="1"/>
      <c r="BM226" s="1" t="s">
        <v>620</v>
      </c>
      <c r="BN226" s="1" t="s">
        <v>2792</v>
      </c>
      <c r="BO226" s="1" t="s">
        <v>2793</v>
      </c>
      <c r="BP226" s="1">
        <v>7</v>
      </c>
      <c r="BQ226" s="1" t="s">
        <v>1003</v>
      </c>
      <c r="BR226" s="1">
        <v>-43.615000000000002</v>
      </c>
      <c r="BS226" s="1">
        <v>172.04900000000001</v>
      </c>
      <c r="BT226" s="1">
        <v>10.9</v>
      </c>
      <c r="BU226" s="1" t="s">
        <v>730</v>
      </c>
      <c r="BV226" s="1" t="s">
        <v>2571</v>
      </c>
      <c r="BW226" s="1">
        <v>85.1</v>
      </c>
      <c r="BX226" s="1">
        <v>82.2</v>
      </c>
      <c r="BY226" s="1">
        <v>180</v>
      </c>
      <c r="BZ226" s="1"/>
      <c r="CA226" s="1"/>
      <c r="CB226" s="1"/>
      <c r="CC226" s="1" t="s">
        <v>2566</v>
      </c>
      <c r="CD226" s="1" t="s">
        <v>731</v>
      </c>
      <c r="CE226" s="1"/>
      <c r="CF226" s="1"/>
      <c r="CG226" s="1"/>
      <c r="CH226" s="1"/>
      <c r="CI226" s="1"/>
      <c r="CJ226" s="1" t="s">
        <v>167</v>
      </c>
      <c r="CK226" t="s">
        <v>1262</v>
      </c>
      <c r="CL226">
        <v>226</v>
      </c>
      <c r="CM226" t="s">
        <v>2797</v>
      </c>
    </row>
    <row r="227" spans="1:91" ht="19" customHeight="1">
      <c r="A227" s="1" t="s">
        <v>3557</v>
      </c>
      <c r="B227" s="1" t="s">
        <v>3093</v>
      </c>
      <c r="C227" s="1">
        <v>227</v>
      </c>
      <c r="D227" s="1" t="s">
        <v>975</v>
      </c>
      <c r="E227" s="1">
        <v>2010</v>
      </c>
      <c r="F227" s="1" t="s">
        <v>982</v>
      </c>
      <c r="G227" s="1" t="s">
        <v>1623</v>
      </c>
      <c r="H227" s="4">
        <v>-43.497100000000003</v>
      </c>
      <c r="I227" s="4">
        <v>172.71789999999999</v>
      </c>
      <c r="J227" s="1" t="s">
        <v>1396</v>
      </c>
      <c r="K227" s="1" t="s">
        <v>75</v>
      </c>
      <c r="L227" s="1" t="s">
        <v>1624</v>
      </c>
      <c r="M227" s="1" t="s">
        <v>3545</v>
      </c>
      <c r="N227" s="1"/>
      <c r="O227" s="1" t="s">
        <v>3095</v>
      </c>
      <c r="P227" s="1">
        <v>6942</v>
      </c>
      <c r="Q227" s="4">
        <v>7</v>
      </c>
      <c r="R227" s="4">
        <v>8.0399999999999991</v>
      </c>
      <c r="S227" s="4"/>
      <c r="T227" s="4">
        <v>56.5</v>
      </c>
      <c r="U227" s="4">
        <v>26.8</v>
      </c>
      <c r="V227" s="4"/>
      <c r="W227" s="4">
        <v>56.6</v>
      </c>
      <c r="X227" s="4">
        <v>154</v>
      </c>
      <c r="Y227" s="4">
        <v>69</v>
      </c>
      <c r="Z227" s="4">
        <v>1</v>
      </c>
      <c r="AA227" s="4">
        <v>1</v>
      </c>
      <c r="AB227" s="4" t="s">
        <v>730</v>
      </c>
      <c r="AC227" s="4">
        <v>2.0844290831908752</v>
      </c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1"/>
      <c r="BJ227" s="1" t="s">
        <v>3558</v>
      </c>
      <c r="BK227" s="1">
        <v>1</v>
      </c>
      <c r="BL227" s="1"/>
      <c r="BM227" s="1" t="s">
        <v>620</v>
      </c>
      <c r="BN227" s="1" t="s">
        <v>2792</v>
      </c>
      <c r="BO227" s="1" t="s">
        <v>2793</v>
      </c>
      <c r="BP227" s="1">
        <v>7</v>
      </c>
      <c r="BQ227" s="1" t="s">
        <v>1003</v>
      </c>
      <c r="BR227" s="1">
        <v>-43.615000000000002</v>
      </c>
      <c r="BS227" s="1">
        <v>172.04900000000001</v>
      </c>
      <c r="BT227" s="1">
        <v>10.9</v>
      </c>
      <c r="BU227" s="1" t="s">
        <v>730</v>
      </c>
      <c r="BV227" s="1" t="s">
        <v>2571</v>
      </c>
      <c r="BW227" s="1">
        <v>85.1</v>
      </c>
      <c r="BX227" s="1">
        <v>82.2</v>
      </c>
      <c r="BY227" s="1">
        <v>180</v>
      </c>
      <c r="BZ227" s="1"/>
      <c r="CA227" s="1"/>
      <c r="CB227" s="1"/>
      <c r="CC227" s="1" t="s">
        <v>2566</v>
      </c>
      <c r="CD227" s="1" t="s">
        <v>731</v>
      </c>
      <c r="CE227" s="1"/>
      <c r="CF227" s="1"/>
      <c r="CG227" s="1"/>
      <c r="CH227" s="1"/>
      <c r="CI227" s="1"/>
      <c r="CJ227" s="1" t="s">
        <v>167</v>
      </c>
      <c r="CK227" t="s">
        <v>1262</v>
      </c>
      <c r="CL227">
        <v>227</v>
      </c>
      <c r="CM227" t="s">
        <v>2797</v>
      </c>
    </row>
    <row r="228" spans="1:91" ht="19" customHeight="1">
      <c r="A228" s="1" t="s">
        <v>3559</v>
      </c>
      <c r="B228" s="1" t="s">
        <v>3093</v>
      </c>
      <c r="C228" s="1">
        <v>228</v>
      </c>
      <c r="D228" s="1" t="s">
        <v>975</v>
      </c>
      <c r="E228" s="1">
        <v>2010</v>
      </c>
      <c r="F228" s="1" t="s">
        <v>983</v>
      </c>
      <c r="G228" s="1" t="s">
        <v>1631</v>
      </c>
      <c r="H228" s="4">
        <v>-43.523600000000002</v>
      </c>
      <c r="I228" s="4">
        <v>172.63499999999999</v>
      </c>
      <c r="J228" s="1" t="s">
        <v>1396</v>
      </c>
      <c r="K228" s="1" t="s">
        <v>75</v>
      </c>
      <c r="L228" s="1" t="s">
        <v>1633</v>
      </c>
      <c r="M228" s="1" t="s">
        <v>3545</v>
      </c>
      <c r="N228" s="1"/>
      <c r="O228" s="1" t="s">
        <v>3095</v>
      </c>
      <c r="P228" s="1">
        <v>6959</v>
      </c>
      <c r="Q228" s="4">
        <v>7</v>
      </c>
      <c r="R228" s="4">
        <v>12.02</v>
      </c>
      <c r="S228" s="4"/>
      <c r="T228" s="4">
        <v>65.3</v>
      </c>
      <c r="U228" s="4">
        <v>19.5</v>
      </c>
      <c r="V228" s="4"/>
      <c r="W228" s="4">
        <v>49.5</v>
      </c>
      <c r="X228" s="4">
        <v>342</v>
      </c>
      <c r="Y228" s="4">
        <v>77</v>
      </c>
      <c r="Z228" s="4">
        <v>0</v>
      </c>
      <c r="AA228" s="4">
        <v>1</v>
      </c>
      <c r="AB228" s="4" t="s">
        <v>730</v>
      </c>
      <c r="AC228" s="4">
        <v>2.486571929107062</v>
      </c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1"/>
      <c r="BJ228" s="1" t="s">
        <v>3560</v>
      </c>
      <c r="BK228" s="1">
        <v>1</v>
      </c>
      <c r="BL228" s="1"/>
      <c r="BM228" s="1" t="s">
        <v>620</v>
      </c>
      <c r="BN228" s="1" t="s">
        <v>2792</v>
      </c>
      <c r="BO228" s="1" t="s">
        <v>2793</v>
      </c>
      <c r="BP228" s="1">
        <v>7</v>
      </c>
      <c r="BQ228" s="1" t="s">
        <v>1003</v>
      </c>
      <c r="BR228" s="1">
        <v>-43.615000000000002</v>
      </c>
      <c r="BS228" s="1">
        <v>172.04900000000001</v>
      </c>
      <c r="BT228" s="1">
        <v>10.9</v>
      </c>
      <c r="BU228" s="1" t="s">
        <v>730</v>
      </c>
      <c r="BV228" s="1" t="s">
        <v>2571</v>
      </c>
      <c r="BW228" s="1">
        <v>85.1</v>
      </c>
      <c r="BX228" s="1">
        <v>82.2</v>
      </c>
      <c r="BY228" s="1">
        <v>180</v>
      </c>
      <c r="BZ228" s="1"/>
      <c r="CA228" s="1"/>
      <c r="CB228" s="1"/>
      <c r="CC228" s="1" t="s">
        <v>2566</v>
      </c>
      <c r="CD228" s="1" t="s">
        <v>731</v>
      </c>
      <c r="CE228" s="1"/>
      <c r="CF228" s="1"/>
      <c r="CG228" s="1"/>
      <c r="CH228" s="1"/>
      <c r="CI228" s="1"/>
      <c r="CJ228" s="1" t="s">
        <v>167</v>
      </c>
      <c r="CK228" t="s">
        <v>1262</v>
      </c>
      <c r="CL228">
        <v>228</v>
      </c>
      <c r="CM228" t="s">
        <v>2797</v>
      </c>
    </row>
    <row r="229" spans="1:91" ht="19" customHeight="1">
      <c r="A229" s="1" t="s">
        <v>3561</v>
      </c>
      <c r="B229" s="1" t="s">
        <v>3093</v>
      </c>
      <c r="C229" s="1">
        <v>229</v>
      </c>
      <c r="D229" s="1" t="s">
        <v>975</v>
      </c>
      <c r="E229" s="1">
        <v>2010</v>
      </c>
      <c r="F229" s="1" t="s">
        <v>984</v>
      </c>
      <c r="G229" s="1" t="s">
        <v>1634</v>
      </c>
      <c r="H229" s="4">
        <v>-43.536200000000001</v>
      </c>
      <c r="I229" s="4">
        <v>172.56440000000001</v>
      </c>
      <c r="J229" s="1" t="s">
        <v>1396</v>
      </c>
      <c r="K229" s="1" t="s">
        <v>75</v>
      </c>
      <c r="L229" s="1" t="s">
        <v>1635</v>
      </c>
      <c r="M229" s="1" t="s">
        <v>3545</v>
      </c>
      <c r="N229" s="1"/>
      <c r="O229" s="1" t="s">
        <v>3095</v>
      </c>
      <c r="P229" s="1">
        <v>6960</v>
      </c>
      <c r="Q229" s="4">
        <v>7</v>
      </c>
      <c r="R229" s="4">
        <v>9.39</v>
      </c>
      <c r="S229" s="4"/>
      <c r="T229" s="4">
        <v>63.8</v>
      </c>
      <c r="U229" s="4">
        <v>13.6</v>
      </c>
      <c r="V229" s="4"/>
      <c r="W229" s="4">
        <v>43.8</v>
      </c>
      <c r="X229" s="4">
        <v>356</v>
      </c>
      <c r="Y229" s="4">
        <v>90</v>
      </c>
      <c r="Z229" s="4">
        <v>1</v>
      </c>
      <c r="AA229" s="4">
        <v>1</v>
      </c>
      <c r="AB229" s="4" t="s">
        <v>730</v>
      </c>
      <c r="AC229" s="4">
        <v>2.239645293220172</v>
      </c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1"/>
      <c r="BJ229" s="1" t="s">
        <v>3562</v>
      </c>
      <c r="BK229" s="1">
        <v>1</v>
      </c>
      <c r="BL229" s="1"/>
      <c r="BM229" s="1" t="s">
        <v>620</v>
      </c>
      <c r="BN229" s="1" t="s">
        <v>2792</v>
      </c>
      <c r="BO229" s="1" t="s">
        <v>2793</v>
      </c>
      <c r="BP229" s="1">
        <v>7</v>
      </c>
      <c r="BQ229" s="1" t="s">
        <v>1003</v>
      </c>
      <c r="BR229" s="1">
        <v>-43.615000000000002</v>
      </c>
      <c r="BS229" s="1">
        <v>172.04900000000001</v>
      </c>
      <c r="BT229" s="1">
        <v>10.9</v>
      </c>
      <c r="BU229" s="1" t="s">
        <v>730</v>
      </c>
      <c r="BV229" s="1" t="s">
        <v>2571</v>
      </c>
      <c r="BW229" s="1">
        <v>85.1</v>
      </c>
      <c r="BX229" s="1">
        <v>82.2</v>
      </c>
      <c r="BY229" s="1">
        <v>180</v>
      </c>
      <c r="BZ229" s="1"/>
      <c r="CA229" s="1"/>
      <c r="CB229" s="1"/>
      <c r="CC229" s="1" t="s">
        <v>2566</v>
      </c>
      <c r="CD229" s="1" t="s">
        <v>731</v>
      </c>
      <c r="CE229" s="1"/>
      <c r="CF229" s="1"/>
      <c r="CG229" s="1"/>
      <c r="CH229" s="1"/>
      <c r="CI229" s="1"/>
      <c r="CJ229" s="1" t="s">
        <v>167</v>
      </c>
      <c r="CK229" t="s">
        <v>1262</v>
      </c>
      <c r="CL229">
        <v>229</v>
      </c>
      <c r="CM229" t="s">
        <v>2797</v>
      </c>
    </row>
    <row r="230" spans="1:91" ht="19" customHeight="1">
      <c r="A230" s="1" t="s">
        <v>3563</v>
      </c>
      <c r="B230" s="1" t="s">
        <v>3093</v>
      </c>
      <c r="C230" s="1">
        <v>230</v>
      </c>
      <c r="D230" s="1" t="s">
        <v>975</v>
      </c>
      <c r="E230" s="1">
        <v>2010</v>
      </c>
      <c r="F230" s="1" t="s">
        <v>985</v>
      </c>
      <c r="G230" s="1" t="s">
        <v>1638</v>
      </c>
      <c r="H230" s="4">
        <v>-43.594499999999996</v>
      </c>
      <c r="I230" s="4">
        <v>172.381</v>
      </c>
      <c r="J230" s="1" t="s">
        <v>1396</v>
      </c>
      <c r="K230" s="1" t="s">
        <v>75</v>
      </c>
      <c r="L230" s="1" t="s">
        <v>1639</v>
      </c>
      <c r="M230" s="1" t="s">
        <v>3094</v>
      </c>
      <c r="N230" s="1"/>
      <c r="O230" s="1" t="s">
        <v>3095</v>
      </c>
      <c r="P230" s="1">
        <v>6962</v>
      </c>
      <c r="Q230" s="4">
        <v>7</v>
      </c>
      <c r="R230" s="4">
        <v>7.14</v>
      </c>
      <c r="S230" s="4"/>
      <c r="T230" s="4">
        <v>85.7</v>
      </c>
      <c r="U230" s="4">
        <v>1.5</v>
      </c>
      <c r="V230" s="4"/>
      <c r="W230" s="4">
        <v>29</v>
      </c>
      <c r="X230" s="4">
        <v>151</v>
      </c>
      <c r="Y230" s="4">
        <v>66</v>
      </c>
      <c r="Z230" s="4">
        <v>1</v>
      </c>
      <c r="AA230" s="4">
        <v>1</v>
      </c>
      <c r="AB230" s="4" t="s">
        <v>730</v>
      </c>
      <c r="AC230" s="4">
        <v>1.965712776351493</v>
      </c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1"/>
      <c r="BJ230" s="1" t="s">
        <v>3564</v>
      </c>
      <c r="BK230" s="1">
        <v>1</v>
      </c>
      <c r="BL230" s="1"/>
      <c r="BM230" s="1" t="s">
        <v>620</v>
      </c>
      <c r="BN230" s="1" t="s">
        <v>2792</v>
      </c>
      <c r="BO230" s="1" t="s">
        <v>2793</v>
      </c>
      <c r="BP230" s="1">
        <v>7</v>
      </c>
      <c r="BQ230" s="1" t="s">
        <v>1003</v>
      </c>
      <c r="BR230" s="1">
        <v>-43.615000000000002</v>
      </c>
      <c r="BS230" s="1">
        <v>172.04900000000001</v>
      </c>
      <c r="BT230" s="1">
        <v>10.9</v>
      </c>
      <c r="BU230" s="1" t="s">
        <v>730</v>
      </c>
      <c r="BV230" s="1" t="s">
        <v>2571</v>
      </c>
      <c r="BW230" s="1">
        <v>85.1</v>
      </c>
      <c r="BX230" s="1">
        <v>82.2</v>
      </c>
      <c r="BY230" s="1">
        <v>180</v>
      </c>
      <c r="BZ230" s="1"/>
      <c r="CA230" s="1"/>
      <c r="CB230" s="1"/>
      <c r="CC230" s="1" t="s">
        <v>2566</v>
      </c>
      <c r="CD230" s="1" t="s">
        <v>731</v>
      </c>
      <c r="CE230" s="1"/>
      <c r="CF230" s="1"/>
      <c r="CG230" s="1"/>
      <c r="CH230" s="1"/>
      <c r="CI230" s="1"/>
      <c r="CJ230" s="1" t="s">
        <v>167</v>
      </c>
      <c r="CK230" t="s">
        <v>1262</v>
      </c>
      <c r="CL230">
        <v>230</v>
      </c>
      <c r="CM230" t="s">
        <v>2797</v>
      </c>
    </row>
    <row r="231" spans="1:91" ht="19" customHeight="1">
      <c r="A231" s="1" t="s">
        <v>3565</v>
      </c>
      <c r="B231" s="1" t="s">
        <v>3093</v>
      </c>
      <c r="C231" s="1">
        <v>231</v>
      </c>
      <c r="D231" s="1" t="s">
        <v>975</v>
      </c>
      <c r="E231" s="1">
        <v>2010</v>
      </c>
      <c r="F231" s="1" t="s">
        <v>986</v>
      </c>
      <c r="G231" s="1" t="s">
        <v>1645</v>
      </c>
      <c r="H231" s="4">
        <v>-43.505299999999998</v>
      </c>
      <c r="I231" s="4">
        <v>172.6634</v>
      </c>
      <c r="J231" s="1" t="s">
        <v>1396</v>
      </c>
      <c r="K231" s="1" t="s">
        <v>75</v>
      </c>
      <c r="L231" s="1" t="s">
        <v>1646</v>
      </c>
      <c r="M231" s="1" t="s">
        <v>3545</v>
      </c>
      <c r="N231" s="1"/>
      <c r="O231" s="1" t="s">
        <v>3095</v>
      </c>
      <c r="P231" s="1">
        <v>6966</v>
      </c>
      <c r="Q231" s="4">
        <v>7</v>
      </c>
      <c r="R231" s="4">
        <v>8.76</v>
      </c>
      <c r="S231" s="4"/>
      <c r="T231" s="4">
        <v>65.7</v>
      </c>
      <c r="U231" s="4">
        <v>22.3</v>
      </c>
      <c r="V231" s="4"/>
      <c r="W231" s="4">
        <v>52.2</v>
      </c>
      <c r="X231" s="4">
        <v>157</v>
      </c>
      <c r="Y231" s="4">
        <v>72</v>
      </c>
      <c r="Z231" s="4">
        <v>1</v>
      </c>
      <c r="AA231" s="4">
        <v>1</v>
      </c>
      <c r="AB231" s="4" t="s">
        <v>730</v>
      </c>
      <c r="AC231" s="4">
        <v>2.1701959049482999</v>
      </c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1"/>
      <c r="BJ231" s="1" t="s">
        <v>3566</v>
      </c>
      <c r="BK231" s="1">
        <v>1</v>
      </c>
      <c r="BL231" s="1"/>
      <c r="BM231" s="1" t="s">
        <v>620</v>
      </c>
      <c r="BN231" s="1" t="s">
        <v>2792</v>
      </c>
      <c r="BO231" s="1" t="s">
        <v>2793</v>
      </c>
      <c r="BP231" s="1">
        <v>7</v>
      </c>
      <c r="BQ231" s="1" t="s">
        <v>1003</v>
      </c>
      <c r="BR231" s="1">
        <v>-43.615000000000002</v>
      </c>
      <c r="BS231" s="1">
        <v>172.04900000000001</v>
      </c>
      <c r="BT231" s="1">
        <v>10.9</v>
      </c>
      <c r="BU231" s="1" t="s">
        <v>730</v>
      </c>
      <c r="BV231" s="1" t="s">
        <v>2571</v>
      </c>
      <c r="BW231" s="1">
        <v>85.1</v>
      </c>
      <c r="BX231" s="1">
        <v>82.2</v>
      </c>
      <c r="BY231" s="1">
        <v>180</v>
      </c>
      <c r="BZ231" s="1"/>
      <c r="CA231" s="1"/>
      <c r="CB231" s="1"/>
      <c r="CC231" s="1" t="s">
        <v>2566</v>
      </c>
      <c r="CD231" s="1" t="s">
        <v>731</v>
      </c>
      <c r="CE231" s="1"/>
      <c r="CF231" s="1"/>
      <c r="CG231" s="1"/>
      <c r="CH231" s="1"/>
      <c r="CI231" s="1"/>
      <c r="CJ231" s="1" t="s">
        <v>167</v>
      </c>
      <c r="CK231" t="s">
        <v>1262</v>
      </c>
      <c r="CL231">
        <v>231</v>
      </c>
      <c r="CM231" t="s">
        <v>2797</v>
      </c>
    </row>
    <row r="232" spans="1:91" ht="19" customHeight="1">
      <c r="A232" s="1" t="s">
        <v>3567</v>
      </c>
      <c r="B232" s="1" t="s">
        <v>3093</v>
      </c>
      <c r="C232" s="1">
        <v>232</v>
      </c>
      <c r="D232" s="1" t="s">
        <v>975</v>
      </c>
      <c r="E232" s="1">
        <v>2010</v>
      </c>
      <c r="F232" s="1" t="s">
        <v>987</v>
      </c>
      <c r="G232" s="1" t="s">
        <v>1647</v>
      </c>
      <c r="H232" s="4">
        <v>-43.467500000000001</v>
      </c>
      <c r="I232" s="4">
        <v>172.6139</v>
      </c>
      <c r="J232" s="1" t="s">
        <v>1396</v>
      </c>
      <c r="K232" s="1" t="s">
        <v>75</v>
      </c>
      <c r="L232" s="1" t="s">
        <v>1648</v>
      </c>
      <c r="M232" s="1" t="s">
        <v>3545</v>
      </c>
      <c r="N232" s="1"/>
      <c r="O232" s="1" t="s">
        <v>3095</v>
      </c>
      <c r="P232" s="1">
        <v>6969</v>
      </c>
      <c r="Q232" s="4">
        <v>7</v>
      </c>
      <c r="R232" s="4">
        <v>9.35</v>
      </c>
      <c r="S232" s="4"/>
      <c r="T232" s="4">
        <v>64.400000000000006</v>
      </c>
      <c r="U232" s="4">
        <v>20.9</v>
      </c>
      <c r="V232" s="4"/>
      <c r="W232" s="4">
        <v>49.6</v>
      </c>
      <c r="X232" s="4">
        <v>334</v>
      </c>
      <c r="Y232" s="4">
        <v>68</v>
      </c>
      <c r="Z232" s="4">
        <v>1</v>
      </c>
      <c r="AA232" s="4">
        <v>1</v>
      </c>
      <c r="AB232" s="4" t="s">
        <v>730</v>
      </c>
      <c r="AC232" s="4">
        <v>2.235376343300596</v>
      </c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1"/>
      <c r="BJ232" s="1" t="s">
        <v>3568</v>
      </c>
      <c r="BK232" s="1">
        <v>1</v>
      </c>
      <c r="BL232" s="1"/>
      <c r="BM232" s="1" t="s">
        <v>620</v>
      </c>
      <c r="BN232" s="1" t="s">
        <v>2792</v>
      </c>
      <c r="BO232" s="1" t="s">
        <v>2793</v>
      </c>
      <c r="BP232" s="1">
        <v>7</v>
      </c>
      <c r="BQ232" s="1" t="s">
        <v>1003</v>
      </c>
      <c r="BR232" s="1">
        <v>-43.615000000000002</v>
      </c>
      <c r="BS232" s="1">
        <v>172.04900000000001</v>
      </c>
      <c r="BT232" s="1">
        <v>10.9</v>
      </c>
      <c r="BU232" s="1" t="s">
        <v>730</v>
      </c>
      <c r="BV232" s="1" t="s">
        <v>2571</v>
      </c>
      <c r="BW232" s="1">
        <v>85.1</v>
      </c>
      <c r="BX232" s="1">
        <v>82.2</v>
      </c>
      <c r="BY232" s="1">
        <v>180</v>
      </c>
      <c r="BZ232" s="1"/>
      <c r="CA232" s="1"/>
      <c r="CB232" s="1"/>
      <c r="CC232" s="1" t="s">
        <v>2566</v>
      </c>
      <c r="CD232" s="1" t="s">
        <v>731</v>
      </c>
      <c r="CE232" s="1"/>
      <c r="CF232" s="1"/>
      <c r="CG232" s="1"/>
      <c r="CH232" s="1"/>
      <c r="CI232" s="1"/>
      <c r="CJ232" s="1" t="s">
        <v>167</v>
      </c>
      <c r="CK232" t="s">
        <v>1262</v>
      </c>
      <c r="CL232">
        <v>232</v>
      </c>
      <c r="CM232" t="s">
        <v>2797</v>
      </c>
    </row>
    <row r="233" spans="1:91" ht="19" customHeight="1">
      <c r="A233" s="1" t="s">
        <v>3569</v>
      </c>
      <c r="B233" s="1" t="s">
        <v>3093</v>
      </c>
      <c r="C233" s="1">
        <v>233</v>
      </c>
      <c r="D233" s="1" t="s">
        <v>975</v>
      </c>
      <c r="E233" s="1">
        <v>2010</v>
      </c>
      <c r="F233" s="1" t="s">
        <v>988</v>
      </c>
      <c r="G233" s="1" t="s">
        <v>1651</v>
      </c>
      <c r="H233" s="4">
        <v>-43.551699999999997</v>
      </c>
      <c r="I233" s="4">
        <v>172.4718</v>
      </c>
      <c r="J233" s="1" t="s">
        <v>1396</v>
      </c>
      <c r="K233" s="1" t="s">
        <v>75</v>
      </c>
      <c r="L233" s="1" t="s">
        <v>1652</v>
      </c>
      <c r="M233" s="1" t="s">
        <v>3094</v>
      </c>
      <c r="N233" s="1"/>
      <c r="O233" s="1" t="s">
        <v>3095</v>
      </c>
      <c r="P233" s="1">
        <v>6975</v>
      </c>
      <c r="Q233" s="4">
        <v>7</v>
      </c>
      <c r="R233" s="4">
        <v>8.93</v>
      </c>
      <c r="S233" s="4"/>
      <c r="T233" s="4">
        <v>74.099999999999994</v>
      </c>
      <c r="U233" s="4">
        <v>6.1</v>
      </c>
      <c r="V233" s="4"/>
      <c r="W233" s="4">
        <v>36.5</v>
      </c>
      <c r="X233" s="4">
        <v>354</v>
      </c>
      <c r="Y233" s="4">
        <v>89</v>
      </c>
      <c r="Z233" s="4">
        <v>1</v>
      </c>
      <c r="AA233" s="4">
        <v>1</v>
      </c>
      <c r="AB233" s="4" t="s">
        <v>730</v>
      </c>
      <c r="AC233" s="4">
        <v>2.1894163948884078</v>
      </c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1"/>
      <c r="BJ233" s="1" t="s">
        <v>3570</v>
      </c>
      <c r="BK233" s="1">
        <v>1</v>
      </c>
      <c r="BL233" s="1"/>
      <c r="BM233" s="1" t="s">
        <v>620</v>
      </c>
      <c r="BN233" s="1" t="s">
        <v>2792</v>
      </c>
      <c r="BO233" s="1" t="s">
        <v>2793</v>
      </c>
      <c r="BP233" s="1">
        <v>7</v>
      </c>
      <c r="BQ233" s="1" t="s">
        <v>1003</v>
      </c>
      <c r="BR233" s="1">
        <v>-43.615000000000002</v>
      </c>
      <c r="BS233" s="1">
        <v>172.04900000000001</v>
      </c>
      <c r="BT233" s="1">
        <v>10.9</v>
      </c>
      <c r="BU233" s="1" t="s">
        <v>730</v>
      </c>
      <c r="BV233" s="1" t="s">
        <v>2571</v>
      </c>
      <c r="BW233" s="1">
        <v>85.1</v>
      </c>
      <c r="BX233" s="1">
        <v>82.2</v>
      </c>
      <c r="BY233" s="1">
        <v>180</v>
      </c>
      <c r="BZ233" s="1"/>
      <c r="CA233" s="1"/>
      <c r="CB233" s="1"/>
      <c r="CC233" s="1" t="s">
        <v>2566</v>
      </c>
      <c r="CD233" s="1" t="s">
        <v>731</v>
      </c>
      <c r="CE233" s="1"/>
      <c r="CF233" s="1"/>
      <c r="CG233" s="1"/>
      <c r="CH233" s="1"/>
      <c r="CI233" s="1"/>
      <c r="CJ233" s="1" t="s">
        <v>167</v>
      </c>
      <c r="CK233" t="s">
        <v>1262</v>
      </c>
      <c r="CL233">
        <v>233</v>
      </c>
      <c r="CM233" t="s">
        <v>2797</v>
      </c>
    </row>
    <row r="234" spans="1:91" ht="19" customHeight="1">
      <c r="A234" s="1" t="s">
        <v>3571</v>
      </c>
      <c r="B234" s="1" t="s">
        <v>3093</v>
      </c>
      <c r="C234" s="1">
        <v>234</v>
      </c>
      <c r="D234" s="1" t="s">
        <v>989</v>
      </c>
      <c r="E234" s="1">
        <v>2010</v>
      </c>
      <c r="F234" s="1" t="s">
        <v>990</v>
      </c>
      <c r="G234" s="1" t="s">
        <v>1580</v>
      </c>
      <c r="H234" s="4">
        <v>32.549500000000002</v>
      </c>
      <c r="I234" s="4">
        <v>-115.23569999999999</v>
      </c>
      <c r="J234" s="1" t="s">
        <v>1396</v>
      </c>
      <c r="K234" s="1" t="s">
        <v>75</v>
      </c>
      <c r="L234" s="1" t="s">
        <v>1581</v>
      </c>
      <c r="M234" s="1" t="s">
        <v>3094</v>
      </c>
      <c r="N234" s="1"/>
      <c r="O234" s="1" t="s">
        <v>3095</v>
      </c>
      <c r="P234" s="1">
        <v>5832</v>
      </c>
      <c r="Q234" s="4">
        <v>7.2</v>
      </c>
      <c r="R234" s="4">
        <v>8.43</v>
      </c>
      <c r="S234" s="4"/>
      <c r="T234" s="4">
        <v>56.3</v>
      </c>
      <c r="U234" s="4">
        <v>26.6</v>
      </c>
      <c r="V234" s="4"/>
      <c r="W234" s="4">
        <v>28.4</v>
      </c>
      <c r="X234" s="4">
        <v>284</v>
      </c>
      <c r="Y234" s="4">
        <v>71</v>
      </c>
      <c r="Z234" s="4">
        <v>0</v>
      </c>
      <c r="AA234" s="4">
        <v>0</v>
      </c>
      <c r="AB234" s="4" t="s">
        <v>730</v>
      </c>
      <c r="AC234" s="4">
        <v>2.1317967720137641</v>
      </c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1"/>
      <c r="BJ234" s="1" t="s">
        <v>3572</v>
      </c>
      <c r="BK234" s="1">
        <v>1</v>
      </c>
      <c r="BL234" s="1"/>
      <c r="BM234" s="1" t="s">
        <v>626</v>
      </c>
      <c r="BN234" s="1" t="s">
        <v>2799</v>
      </c>
      <c r="BO234" s="1" t="s">
        <v>2800</v>
      </c>
      <c r="BP234" s="1">
        <v>7.2</v>
      </c>
      <c r="BQ234" s="1" t="s">
        <v>1003</v>
      </c>
      <c r="BR234" s="1">
        <v>32.299999999999997</v>
      </c>
      <c r="BS234" s="1">
        <v>-115.267</v>
      </c>
      <c r="BT234" s="1">
        <v>5.45</v>
      </c>
      <c r="BU234" s="1" t="s">
        <v>730</v>
      </c>
      <c r="BV234" s="1" t="s">
        <v>2571</v>
      </c>
      <c r="BW234" s="1">
        <v>236</v>
      </c>
      <c r="BX234" s="1">
        <v>63</v>
      </c>
      <c r="BY234" s="1">
        <v>-164</v>
      </c>
      <c r="BZ234" s="1"/>
      <c r="CA234" s="1"/>
      <c r="CB234" s="1"/>
      <c r="CC234" s="1" t="s">
        <v>2566</v>
      </c>
      <c r="CD234" s="1" t="s">
        <v>731</v>
      </c>
      <c r="CE234" s="1"/>
      <c r="CF234" s="1"/>
      <c r="CG234" s="1"/>
      <c r="CH234" s="1"/>
      <c r="CI234" s="1"/>
      <c r="CJ234" s="1" t="s">
        <v>167</v>
      </c>
      <c r="CK234" t="s">
        <v>1262</v>
      </c>
      <c r="CL234">
        <v>234</v>
      </c>
      <c r="CM234" t="s">
        <v>2802</v>
      </c>
    </row>
    <row r="235" spans="1:91" ht="19" customHeight="1">
      <c r="A235" s="1" t="s">
        <v>3573</v>
      </c>
      <c r="B235" s="1" t="s">
        <v>3093</v>
      </c>
      <c r="C235" s="1">
        <v>235</v>
      </c>
      <c r="D235" s="1" t="s">
        <v>989</v>
      </c>
      <c r="E235" s="1">
        <v>2010</v>
      </c>
      <c r="F235" s="1" t="s">
        <v>991</v>
      </c>
      <c r="G235" s="1" t="s">
        <v>1577</v>
      </c>
      <c r="H235" s="4">
        <v>32.718000000000004</v>
      </c>
      <c r="I235" s="4">
        <v>-115.637</v>
      </c>
      <c r="J235" s="1" t="s">
        <v>1396</v>
      </c>
      <c r="K235" s="1" t="s">
        <v>75</v>
      </c>
      <c r="L235" s="1" t="s">
        <v>1578</v>
      </c>
      <c r="M235" s="1" t="s">
        <v>3094</v>
      </c>
      <c r="N235" s="1"/>
      <c r="O235" s="1" t="s">
        <v>3095</v>
      </c>
      <c r="P235" s="1">
        <v>8161</v>
      </c>
      <c r="Q235" s="4">
        <v>7.2</v>
      </c>
      <c r="R235" s="4">
        <v>8.7200000000000006</v>
      </c>
      <c r="S235" s="4"/>
      <c r="T235" s="4">
        <v>72.599999999999994</v>
      </c>
      <c r="U235" s="4">
        <v>11.3</v>
      </c>
      <c r="V235" s="4"/>
      <c r="W235" s="4">
        <v>58.3</v>
      </c>
      <c r="X235" s="4">
        <v>83</v>
      </c>
      <c r="Y235" s="4">
        <v>48</v>
      </c>
      <c r="Z235" s="4">
        <v>1</v>
      </c>
      <c r="AA235" s="4">
        <v>1</v>
      </c>
      <c r="AB235" s="4" t="s">
        <v>730</v>
      </c>
      <c r="AC235" s="4">
        <v>2.1656192379208878</v>
      </c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1"/>
      <c r="BJ235" s="1" t="s">
        <v>3574</v>
      </c>
      <c r="BK235" s="1">
        <v>1</v>
      </c>
      <c r="BL235" s="1"/>
      <c r="BM235" s="1" t="s">
        <v>626</v>
      </c>
      <c r="BN235" s="1" t="s">
        <v>2799</v>
      </c>
      <c r="BO235" s="1" t="s">
        <v>2800</v>
      </c>
      <c r="BP235" s="1">
        <v>7.2</v>
      </c>
      <c r="BQ235" s="1" t="s">
        <v>1003</v>
      </c>
      <c r="BR235" s="1">
        <v>32.299999999999997</v>
      </c>
      <c r="BS235" s="1">
        <v>-115.267</v>
      </c>
      <c r="BT235" s="1">
        <v>5.45</v>
      </c>
      <c r="BU235" s="1" t="s">
        <v>730</v>
      </c>
      <c r="BV235" s="1" t="s">
        <v>2571</v>
      </c>
      <c r="BW235" s="1">
        <v>236</v>
      </c>
      <c r="BX235" s="1">
        <v>63</v>
      </c>
      <c r="BY235" s="1">
        <v>-164</v>
      </c>
      <c r="BZ235" s="1"/>
      <c r="CA235" s="1"/>
      <c r="CB235" s="1"/>
      <c r="CC235" s="1" t="s">
        <v>2566</v>
      </c>
      <c r="CD235" s="1" t="s">
        <v>731</v>
      </c>
      <c r="CE235" s="1"/>
      <c r="CF235" s="1"/>
      <c r="CG235" s="1"/>
      <c r="CH235" s="1"/>
      <c r="CI235" s="1"/>
      <c r="CJ235" s="1" t="s">
        <v>167</v>
      </c>
      <c r="CK235" t="s">
        <v>1262</v>
      </c>
      <c r="CL235">
        <v>235</v>
      </c>
      <c r="CM235" t="s">
        <v>2802</v>
      </c>
    </row>
    <row r="236" spans="1:91" ht="19" customHeight="1">
      <c r="A236" s="1" t="s">
        <v>3575</v>
      </c>
      <c r="B236" s="1" t="s">
        <v>3093</v>
      </c>
      <c r="C236" s="1">
        <v>236</v>
      </c>
      <c r="D236" s="1" t="s">
        <v>989</v>
      </c>
      <c r="E236" s="1">
        <v>2010</v>
      </c>
      <c r="F236" s="1" t="s">
        <v>992</v>
      </c>
      <c r="G236" s="1" t="s">
        <v>1582</v>
      </c>
      <c r="H236" s="4">
        <v>32.759039999999999</v>
      </c>
      <c r="I236" s="4">
        <v>-115.7316</v>
      </c>
      <c r="J236" s="1" t="s">
        <v>1396</v>
      </c>
      <c r="K236" s="1" t="s">
        <v>75</v>
      </c>
      <c r="L236" s="1" t="s">
        <v>1583</v>
      </c>
      <c r="M236" s="1" t="s">
        <v>3094</v>
      </c>
      <c r="N236" s="1"/>
      <c r="O236" s="1" t="s">
        <v>3095</v>
      </c>
      <c r="P236" s="1">
        <v>8606</v>
      </c>
      <c r="Q236" s="4">
        <v>7.2</v>
      </c>
      <c r="R236" s="4">
        <v>7.08</v>
      </c>
      <c r="S236" s="4"/>
      <c r="T236" s="4">
        <v>60.7</v>
      </c>
      <c r="U236" s="4">
        <v>11.4</v>
      </c>
      <c r="V236" s="4"/>
      <c r="W236" s="4">
        <v>67.400000000000006</v>
      </c>
      <c r="X236" s="4">
        <v>311</v>
      </c>
      <c r="Y236" s="4">
        <v>0</v>
      </c>
      <c r="Z236" s="4">
        <v>0</v>
      </c>
      <c r="AA236" s="4">
        <v>1</v>
      </c>
      <c r="AB236" s="4" t="s">
        <v>730</v>
      </c>
      <c r="AC236" s="4">
        <v>1.957273907705628</v>
      </c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1"/>
      <c r="BJ236" s="1" t="s">
        <v>3576</v>
      </c>
      <c r="BK236" s="1">
        <v>1</v>
      </c>
      <c r="BL236" s="1"/>
      <c r="BM236" s="1" t="s">
        <v>626</v>
      </c>
      <c r="BN236" s="1" t="s">
        <v>2799</v>
      </c>
      <c r="BO236" s="1" t="s">
        <v>2800</v>
      </c>
      <c r="BP236" s="1">
        <v>7.2</v>
      </c>
      <c r="BQ236" s="1" t="s">
        <v>1003</v>
      </c>
      <c r="BR236" s="1">
        <v>32.299999999999997</v>
      </c>
      <c r="BS236" s="1">
        <v>-115.267</v>
      </c>
      <c r="BT236" s="1">
        <v>5.45</v>
      </c>
      <c r="BU236" s="1" t="s">
        <v>730</v>
      </c>
      <c r="BV236" s="1" t="s">
        <v>2571</v>
      </c>
      <c r="BW236" s="1">
        <v>236</v>
      </c>
      <c r="BX236" s="1">
        <v>63</v>
      </c>
      <c r="BY236" s="1">
        <v>-164</v>
      </c>
      <c r="BZ236" s="1"/>
      <c r="CA236" s="1"/>
      <c r="CB236" s="1"/>
      <c r="CC236" s="1" t="s">
        <v>2566</v>
      </c>
      <c r="CD236" s="1" t="s">
        <v>731</v>
      </c>
      <c r="CE236" s="1"/>
      <c r="CF236" s="1"/>
      <c r="CG236" s="1"/>
      <c r="CH236" s="1"/>
      <c r="CI236" s="1"/>
      <c r="CJ236" s="1" t="s">
        <v>167</v>
      </c>
      <c r="CK236" t="s">
        <v>1262</v>
      </c>
      <c r="CL236">
        <v>236</v>
      </c>
      <c r="CM236" t="s">
        <v>2802</v>
      </c>
    </row>
    <row r="237" spans="1:91" ht="19" customHeight="1">
      <c r="A237" s="1" t="s">
        <v>3577</v>
      </c>
      <c r="B237" s="1" t="s">
        <v>3093</v>
      </c>
      <c r="C237" s="1">
        <v>237</v>
      </c>
      <c r="D237" s="1" t="s">
        <v>993</v>
      </c>
      <c r="E237" s="1">
        <v>2011</v>
      </c>
      <c r="F237" s="1" t="s">
        <v>994</v>
      </c>
      <c r="G237" s="1" t="s">
        <v>1589</v>
      </c>
      <c r="H237" s="4">
        <v>-43.539499999999997</v>
      </c>
      <c r="I237" s="4">
        <v>172.6464</v>
      </c>
      <c r="J237" s="1" t="s">
        <v>1396</v>
      </c>
      <c r="K237" s="1" t="s">
        <v>75</v>
      </c>
      <c r="L237" s="1" t="s">
        <v>1590</v>
      </c>
      <c r="M237" s="1" t="s">
        <v>3545</v>
      </c>
      <c r="N237" s="1"/>
      <c r="O237" s="1" t="s">
        <v>3095</v>
      </c>
      <c r="P237" s="1">
        <v>8064</v>
      </c>
      <c r="Q237" s="4">
        <v>6.1</v>
      </c>
      <c r="R237" s="4">
        <v>1.72</v>
      </c>
      <c r="S237" s="4"/>
      <c r="T237" s="4">
        <v>66.900000000000006</v>
      </c>
      <c r="U237" s="4">
        <v>3.3</v>
      </c>
      <c r="V237" s="4"/>
      <c r="W237" s="4">
        <v>8.3000000000000007</v>
      </c>
      <c r="X237" s="4">
        <v>266</v>
      </c>
      <c r="Y237" s="4">
        <v>27</v>
      </c>
      <c r="Z237" s="4">
        <v>0</v>
      </c>
      <c r="AA237" s="4">
        <v>0</v>
      </c>
      <c r="AB237" s="4" t="s">
        <v>734</v>
      </c>
      <c r="AC237" s="4">
        <v>0.54232429082536171</v>
      </c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1"/>
      <c r="BJ237" s="1" t="s">
        <v>3578</v>
      </c>
      <c r="BK237" s="1">
        <v>1</v>
      </c>
      <c r="BL237" s="1"/>
      <c r="BM237" s="1" t="s">
        <v>638</v>
      </c>
      <c r="BN237" s="1" t="s">
        <v>2804</v>
      </c>
      <c r="BO237" s="1" t="s">
        <v>2805</v>
      </c>
      <c r="BP237" s="1">
        <v>6.2</v>
      </c>
      <c r="BQ237" s="1" t="s">
        <v>1003</v>
      </c>
      <c r="BR237" s="1">
        <v>-43.570999999999998</v>
      </c>
      <c r="BS237" s="1">
        <v>172.703</v>
      </c>
      <c r="BT237" s="1">
        <v>6</v>
      </c>
      <c r="BU237" s="1" t="s">
        <v>734</v>
      </c>
      <c r="BV237" s="1" t="s">
        <v>2571</v>
      </c>
      <c r="BW237" s="1">
        <v>59</v>
      </c>
      <c r="BX237" s="1">
        <v>67</v>
      </c>
      <c r="BY237" s="1">
        <v>135</v>
      </c>
      <c r="BZ237" s="1"/>
      <c r="CA237" s="1"/>
      <c r="CB237" s="1"/>
      <c r="CC237" s="1" t="s">
        <v>2566</v>
      </c>
      <c r="CD237" s="1" t="s">
        <v>731</v>
      </c>
      <c r="CE237" s="1"/>
      <c r="CF237" s="1"/>
      <c r="CG237" s="1"/>
      <c r="CH237" s="1"/>
      <c r="CI237" s="1"/>
      <c r="CJ237" s="1" t="s">
        <v>167</v>
      </c>
      <c r="CK237" t="s">
        <v>1262</v>
      </c>
      <c r="CL237">
        <v>237</v>
      </c>
      <c r="CM237" t="s">
        <v>2807</v>
      </c>
    </row>
    <row r="238" spans="1:91" ht="19" customHeight="1">
      <c r="A238" s="1" t="s">
        <v>3579</v>
      </c>
      <c r="B238" s="1" t="s">
        <v>3093</v>
      </c>
      <c r="C238" s="1">
        <v>238</v>
      </c>
      <c r="D238" s="1" t="s">
        <v>993</v>
      </c>
      <c r="E238" s="1">
        <v>2011</v>
      </c>
      <c r="F238" s="1" t="s">
        <v>995</v>
      </c>
      <c r="G238" s="1" t="s">
        <v>1591</v>
      </c>
      <c r="H238" s="4">
        <v>-43.535499999999999</v>
      </c>
      <c r="I238" s="4">
        <v>172.62610000000001</v>
      </c>
      <c r="J238" s="1" t="s">
        <v>1396</v>
      </c>
      <c r="K238" s="1" t="s">
        <v>75</v>
      </c>
      <c r="L238" s="1" t="s">
        <v>1592</v>
      </c>
      <c r="M238" s="1" t="s">
        <v>3545</v>
      </c>
      <c r="N238" s="1"/>
      <c r="O238" s="1" t="s">
        <v>3095</v>
      </c>
      <c r="P238" s="1">
        <v>8066</v>
      </c>
      <c r="Q238" s="4">
        <v>6.1</v>
      </c>
      <c r="R238" s="4">
        <v>1.96</v>
      </c>
      <c r="S238" s="4"/>
      <c r="T238" s="4">
        <v>81.3</v>
      </c>
      <c r="U238" s="4">
        <v>4.8</v>
      </c>
      <c r="V238" s="4"/>
      <c r="W238" s="4">
        <v>9.5</v>
      </c>
      <c r="X238" s="4">
        <v>57</v>
      </c>
      <c r="Y238" s="4">
        <v>2</v>
      </c>
      <c r="Z238" s="4">
        <v>0</v>
      </c>
      <c r="AA238" s="4">
        <v>0</v>
      </c>
      <c r="AB238" s="4" t="s">
        <v>734</v>
      </c>
      <c r="AC238" s="4">
        <v>0.67294447324242579</v>
      </c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1"/>
      <c r="BJ238" s="1" t="s">
        <v>3580</v>
      </c>
      <c r="BK238" s="1">
        <v>1</v>
      </c>
      <c r="BL238" s="1"/>
      <c r="BM238" s="1" t="s">
        <v>638</v>
      </c>
      <c r="BN238" s="1" t="s">
        <v>2804</v>
      </c>
      <c r="BO238" s="1" t="s">
        <v>2805</v>
      </c>
      <c r="BP238" s="1">
        <v>6.2</v>
      </c>
      <c r="BQ238" s="1" t="s">
        <v>1003</v>
      </c>
      <c r="BR238" s="1">
        <v>-43.570999999999998</v>
      </c>
      <c r="BS238" s="1">
        <v>172.703</v>
      </c>
      <c r="BT238" s="1">
        <v>6</v>
      </c>
      <c r="BU238" s="1" t="s">
        <v>734</v>
      </c>
      <c r="BV238" s="1" t="s">
        <v>2571</v>
      </c>
      <c r="BW238" s="1">
        <v>59</v>
      </c>
      <c r="BX238" s="1">
        <v>67</v>
      </c>
      <c r="BY238" s="1">
        <v>135</v>
      </c>
      <c r="BZ238" s="1"/>
      <c r="CA238" s="1"/>
      <c r="CB238" s="1"/>
      <c r="CC238" s="1" t="s">
        <v>2566</v>
      </c>
      <c r="CD238" s="1" t="s">
        <v>731</v>
      </c>
      <c r="CE238" s="1"/>
      <c r="CF238" s="1"/>
      <c r="CG238" s="1"/>
      <c r="CH238" s="1"/>
      <c r="CI238" s="1"/>
      <c r="CJ238" s="1" t="s">
        <v>167</v>
      </c>
      <c r="CK238" t="s">
        <v>1262</v>
      </c>
      <c r="CL238">
        <v>238</v>
      </c>
      <c r="CM238" t="s">
        <v>2807</v>
      </c>
    </row>
    <row r="239" spans="1:91" ht="19" customHeight="1">
      <c r="A239" s="1" t="s">
        <v>3581</v>
      </c>
      <c r="B239" s="1" t="s">
        <v>3093</v>
      </c>
      <c r="C239" s="1">
        <v>239</v>
      </c>
      <c r="D239" s="1" t="s">
        <v>993</v>
      </c>
      <c r="E239" s="1">
        <v>2011</v>
      </c>
      <c r="F239" s="1" t="s">
        <v>996</v>
      </c>
      <c r="G239" s="1" t="s">
        <v>1598</v>
      </c>
      <c r="H239" s="4">
        <v>-43.567300000000003</v>
      </c>
      <c r="I239" s="4">
        <v>172.6241</v>
      </c>
      <c r="J239" s="1" t="s">
        <v>1396</v>
      </c>
      <c r="K239" s="1" t="s">
        <v>75</v>
      </c>
      <c r="L239" s="1" t="s">
        <v>1599</v>
      </c>
      <c r="M239" s="1" t="s">
        <v>3545</v>
      </c>
      <c r="N239" s="1"/>
      <c r="O239" s="1" t="s">
        <v>3095</v>
      </c>
      <c r="P239" s="1">
        <v>8067</v>
      </c>
      <c r="Q239" s="4">
        <v>6.1</v>
      </c>
      <c r="R239" s="4">
        <v>2.04</v>
      </c>
      <c r="S239" s="4"/>
      <c r="T239" s="4">
        <v>48.1</v>
      </c>
      <c r="U239" s="4">
        <v>4.5</v>
      </c>
      <c r="V239" s="4"/>
      <c r="W239" s="4">
        <v>8.8000000000000007</v>
      </c>
      <c r="X239" s="4">
        <v>21</v>
      </c>
      <c r="Y239" s="4">
        <v>38</v>
      </c>
      <c r="Z239" s="4">
        <v>0</v>
      </c>
      <c r="AA239" s="4">
        <v>0</v>
      </c>
      <c r="AB239" s="4" t="s">
        <v>734</v>
      </c>
      <c r="AC239" s="4">
        <v>0.71294980785612505</v>
      </c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1"/>
      <c r="BJ239" s="1" t="s">
        <v>3582</v>
      </c>
      <c r="BK239" s="1">
        <v>1</v>
      </c>
      <c r="BL239" s="1"/>
      <c r="BM239" s="1" t="s">
        <v>638</v>
      </c>
      <c r="BN239" s="1" t="s">
        <v>2804</v>
      </c>
      <c r="BO239" s="1" t="s">
        <v>2805</v>
      </c>
      <c r="BP239" s="1">
        <v>6.2</v>
      </c>
      <c r="BQ239" s="1" t="s">
        <v>1003</v>
      </c>
      <c r="BR239" s="1">
        <v>-43.570999999999998</v>
      </c>
      <c r="BS239" s="1">
        <v>172.703</v>
      </c>
      <c r="BT239" s="1">
        <v>6</v>
      </c>
      <c r="BU239" s="1" t="s">
        <v>734</v>
      </c>
      <c r="BV239" s="1" t="s">
        <v>2571</v>
      </c>
      <c r="BW239" s="1">
        <v>59</v>
      </c>
      <c r="BX239" s="1">
        <v>67</v>
      </c>
      <c r="BY239" s="1">
        <v>135</v>
      </c>
      <c r="BZ239" s="1"/>
      <c r="CA239" s="1"/>
      <c r="CB239" s="1"/>
      <c r="CC239" s="1" t="s">
        <v>2566</v>
      </c>
      <c r="CD239" s="1" t="s">
        <v>731</v>
      </c>
      <c r="CE239" s="1"/>
      <c r="CF239" s="1"/>
      <c r="CG239" s="1"/>
      <c r="CH239" s="1"/>
      <c r="CI239" s="1"/>
      <c r="CJ239" s="1" t="s">
        <v>167</v>
      </c>
      <c r="CK239" t="s">
        <v>1262</v>
      </c>
      <c r="CL239">
        <v>239</v>
      </c>
      <c r="CM239" t="s">
        <v>2807</v>
      </c>
    </row>
    <row r="240" spans="1:91" ht="19" customHeight="1">
      <c r="A240" s="1" t="s">
        <v>3583</v>
      </c>
      <c r="B240" s="1" t="s">
        <v>3093</v>
      </c>
      <c r="C240" s="1">
        <v>240</v>
      </c>
      <c r="D240" s="1" t="s">
        <v>993</v>
      </c>
      <c r="E240" s="1">
        <v>2011</v>
      </c>
      <c r="F240" s="1" t="s">
        <v>997</v>
      </c>
      <c r="G240" s="1" t="s">
        <v>1612</v>
      </c>
      <c r="H240" s="4">
        <v>-43.501600000000003</v>
      </c>
      <c r="I240" s="4">
        <v>172.7022</v>
      </c>
      <c r="J240" s="1" t="s">
        <v>1396</v>
      </c>
      <c r="K240" s="1" t="s">
        <v>75</v>
      </c>
      <c r="L240" s="1" t="s">
        <v>1613</v>
      </c>
      <c r="M240" s="1" t="s">
        <v>3545</v>
      </c>
      <c r="N240" s="1"/>
      <c r="O240" s="1" t="s">
        <v>3095</v>
      </c>
      <c r="P240" s="1">
        <v>8090</v>
      </c>
      <c r="Q240" s="4">
        <v>6.1</v>
      </c>
      <c r="R240" s="4">
        <v>6.85</v>
      </c>
      <c r="S240" s="4"/>
      <c r="T240" s="4">
        <v>48.3</v>
      </c>
      <c r="U240" s="4">
        <v>4.3</v>
      </c>
      <c r="V240" s="4"/>
      <c r="W240" s="4">
        <v>9.8000000000000007</v>
      </c>
      <c r="X240" s="4">
        <v>291</v>
      </c>
      <c r="Y240" s="4">
        <v>52</v>
      </c>
      <c r="Z240" s="4">
        <v>0</v>
      </c>
      <c r="AA240" s="4">
        <v>0</v>
      </c>
      <c r="AB240" s="4" t="s">
        <v>734</v>
      </c>
      <c r="AC240" s="4">
        <v>1.924248652274134</v>
      </c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1"/>
      <c r="BJ240" s="1" t="s">
        <v>3584</v>
      </c>
      <c r="BK240" s="1">
        <v>1</v>
      </c>
      <c r="BL240" s="1"/>
      <c r="BM240" s="1" t="s">
        <v>638</v>
      </c>
      <c r="BN240" s="1" t="s">
        <v>2804</v>
      </c>
      <c r="BO240" s="1" t="s">
        <v>2805</v>
      </c>
      <c r="BP240" s="1">
        <v>6.2</v>
      </c>
      <c r="BQ240" s="1" t="s">
        <v>1003</v>
      </c>
      <c r="BR240" s="1">
        <v>-43.570999999999998</v>
      </c>
      <c r="BS240" s="1">
        <v>172.703</v>
      </c>
      <c r="BT240" s="1">
        <v>6</v>
      </c>
      <c r="BU240" s="1" t="s">
        <v>734</v>
      </c>
      <c r="BV240" s="1" t="s">
        <v>2571</v>
      </c>
      <c r="BW240" s="1">
        <v>59</v>
      </c>
      <c r="BX240" s="1">
        <v>67</v>
      </c>
      <c r="BY240" s="1">
        <v>135</v>
      </c>
      <c r="BZ240" s="1"/>
      <c r="CA240" s="1"/>
      <c r="CB240" s="1"/>
      <c r="CC240" s="1" t="s">
        <v>2566</v>
      </c>
      <c r="CD240" s="1" t="s">
        <v>731</v>
      </c>
      <c r="CE240" s="1"/>
      <c r="CF240" s="1"/>
      <c r="CG240" s="1"/>
      <c r="CH240" s="1"/>
      <c r="CI240" s="1"/>
      <c r="CJ240" s="1" t="s">
        <v>167</v>
      </c>
      <c r="CK240" t="s">
        <v>1262</v>
      </c>
      <c r="CL240">
        <v>240</v>
      </c>
      <c r="CM240" t="s">
        <v>2807</v>
      </c>
    </row>
    <row r="241" spans="1:91" ht="19" customHeight="1">
      <c r="A241" s="1" t="s">
        <v>3585</v>
      </c>
      <c r="B241" s="1" t="s">
        <v>3093</v>
      </c>
      <c r="C241" s="1">
        <v>241</v>
      </c>
      <c r="D241" s="1" t="s">
        <v>993</v>
      </c>
      <c r="E241" s="1">
        <v>2011</v>
      </c>
      <c r="F241" s="1" t="s">
        <v>998</v>
      </c>
      <c r="G241" s="1" t="s">
        <v>1629</v>
      </c>
      <c r="H241" s="4">
        <v>-43.527000000000001</v>
      </c>
      <c r="I241" s="4">
        <v>172.70169999999999</v>
      </c>
      <c r="J241" s="1" t="s">
        <v>1396</v>
      </c>
      <c r="K241" s="1" t="s">
        <v>75</v>
      </c>
      <c r="L241" s="1" t="s">
        <v>1630</v>
      </c>
      <c r="M241" s="1" t="s">
        <v>3545</v>
      </c>
      <c r="N241" s="1"/>
      <c r="O241" s="1" t="s">
        <v>3095</v>
      </c>
      <c r="P241" s="1">
        <v>8119</v>
      </c>
      <c r="Q241" s="4">
        <v>6.1</v>
      </c>
      <c r="R241" s="4">
        <v>4.82</v>
      </c>
      <c r="S241" s="4"/>
      <c r="T241" s="4">
        <v>123.1</v>
      </c>
      <c r="U241" s="4">
        <v>2</v>
      </c>
      <c r="V241" s="4"/>
      <c r="W241" s="4">
        <v>7.7</v>
      </c>
      <c r="X241" s="4">
        <v>135</v>
      </c>
      <c r="Y241" s="4">
        <v>76</v>
      </c>
      <c r="Z241" s="4">
        <v>1</v>
      </c>
      <c r="AA241" s="4">
        <v>1</v>
      </c>
      <c r="AB241" s="4" t="s">
        <v>734</v>
      </c>
      <c r="AC241" s="4">
        <v>1.572773928062509</v>
      </c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1"/>
      <c r="BJ241" s="1" t="s">
        <v>3586</v>
      </c>
      <c r="BK241" s="1">
        <v>1</v>
      </c>
      <c r="BL241" s="1"/>
      <c r="BM241" s="1" t="s">
        <v>638</v>
      </c>
      <c r="BN241" s="1" t="s">
        <v>2804</v>
      </c>
      <c r="BO241" s="1" t="s">
        <v>2805</v>
      </c>
      <c r="BP241" s="1">
        <v>6.2</v>
      </c>
      <c r="BQ241" s="1" t="s">
        <v>1003</v>
      </c>
      <c r="BR241" s="1">
        <v>-43.570999999999998</v>
      </c>
      <c r="BS241" s="1">
        <v>172.703</v>
      </c>
      <c r="BT241" s="1">
        <v>6</v>
      </c>
      <c r="BU241" s="1" t="s">
        <v>734</v>
      </c>
      <c r="BV241" s="1" t="s">
        <v>2571</v>
      </c>
      <c r="BW241" s="1">
        <v>59</v>
      </c>
      <c r="BX241" s="1">
        <v>67</v>
      </c>
      <c r="BY241" s="1">
        <v>135</v>
      </c>
      <c r="BZ241" s="1"/>
      <c r="CA241" s="1"/>
      <c r="CB241" s="1"/>
      <c r="CC241" s="1" t="s">
        <v>2566</v>
      </c>
      <c r="CD241" s="1" t="s">
        <v>731</v>
      </c>
      <c r="CE241" s="1"/>
      <c r="CF241" s="1"/>
      <c r="CG241" s="1"/>
      <c r="CH241" s="1"/>
      <c r="CI241" s="1"/>
      <c r="CJ241" s="1" t="s">
        <v>167</v>
      </c>
      <c r="CK241" t="s">
        <v>1262</v>
      </c>
      <c r="CL241">
        <v>241</v>
      </c>
      <c r="CM241" t="s">
        <v>2807</v>
      </c>
    </row>
    <row r="242" spans="1:91" ht="19" customHeight="1">
      <c r="A242" s="1" t="s">
        <v>3587</v>
      </c>
      <c r="B242" s="1" t="s">
        <v>3093</v>
      </c>
      <c r="C242" s="1">
        <v>242</v>
      </c>
      <c r="D242" s="1" t="s">
        <v>993</v>
      </c>
      <c r="E242" s="1">
        <v>2011</v>
      </c>
      <c r="F242" s="1" t="s">
        <v>983</v>
      </c>
      <c r="G242" s="1" t="s">
        <v>1631</v>
      </c>
      <c r="H242" s="4">
        <v>-43.523600000000002</v>
      </c>
      <c r="I242" s="4">
        <v>172.63499999999999</v>
      </c>
      <c r="J242" s="1" t="s">
        <v>1396</v>
      </c>
      <c r="K242" s="1" t="s">
        <v>75</v>
      </c>
      <c r="L242" s="1" t="s">
        <v>3588</v>
      </c>
      <c r="M242" s="1" t="s">
        <v>3545</v>
      </c>
      <c r="N242" s="1"/>
      <c r="O242" s="1" t="s">
        <v>3095</v>
      </c>
      <c r="P242" s="1">
        <v>8123</v>
      </c>
      <c r="Q242" s="4">
        <v>6.1</v>
      </c>
      <c r="R242" s="4">
        <v>1.55</v>
      </c>
      <c r="S242" s="4"/>
      <c r="T242" s="4">
        <v>97.5</v>
      </c>
      <c r="U242" s="4">
        <v>5.0999999999999996</v>
      </c>
      <c r="V242" s="4"/>
      <c r="W242" s="4">
        <v>9.6999999999999993</v>
      </c>
      <c r="X242" s="4">
        <v>71</v>
      </c>
      <c r="Y242" s="4">
        <v>12</v>
      </c>
      <c r="Z242" s="4">
        <v>0</v>
      </c>
      <c r="AA242" s="4">
        <v>1</v>
      </c>
      <c r="AB242" s="4" t="s">
        <v>734</v>
      </c>
      <c r="AC242" s="4">
        <v>0.43825493093115531</v>
      </c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1"/>
      <c r="BJ242" s="1" t="s">
        <v>3589</v>
      </c>
      <c r="BK242" s="1">
        <v>1</v>
      </c>
      <c r="BL242" s="1"/>
      <c r="BM242" s="1" t="s">
        <v>638</v>
      </c>
      <c r="BN242" s="1" t="s">
        <v>2804</v>
      </c>
      <c r="BO242" s="1" t="s">
        <v>2805</v>
      </c>
      <c r="BP242" s="1">
        <v>6.2</v>
      </c>
      <c r="BQ242" s="1" t="s">
        <v>1003</v>
      </c>
      <c r="BR242" s="1">
        <v>-43.570999999999998</v>
      </c>
      <c r="BS242" s="1">
        <v>172.703</v>
      </c>
      <c r="BT242" s="1">
        <v>6</v>
      </c>
      <c r="BU242" s="1" t="s">
        <v>734</v>
      </c>
      <c r="BV242" s="1" t="s">
        <v>2571</v>
      </c>
      <c r="BW242" s="1">
        <v>59</v>
      </c>
      <c r="BX242" s="1">
        <v>67</v>
      </c>
      <c r="BY242" s="1">
        <v>135</v>
      </c>
      <c r="BZ242" s="1"/>
      <c r="CA242" s="1"/>
      <c r="CB242" s="1"/>
      <c r="CC242" s="1" t="s">
        <v>2566</v>
      </c>
      <c r="CD242" s="1" t="s">
        <v>731</v>
      </c>
      <c r="CE242" s="1"/>
      <c r="CF242" s="1"/>
      <c r="CG242" s="1"/>
      <c r="CH242" s="1"/>
      <c r="CI242" s="1"/>
      <c r="CJ242" s="1" t="s">
        <v>167</v>
      </c>
      <c r="CK242" t="s">
        <v>1262</v>
      </c>
      <c r="CL242">
        <v>242</v>
      </c>
      <c r="CM242" t="s">
        <v>2807</v>
      </c>
    </row>
    <row r="243" spans="1:91" ht="19" customHeight="1">
      <c r="A243" s="1" t="s">
        <v>3590</v>
      </c>
      <c r="B243" s="1" t="s">
        <v>3093</v>
      </c>
      <c r="C243" s="1">
        <v>243</v>
      </c>
      <c r="D243" s="1" t="s">
        <v>993</v>
      </c>
      <c r="E243" s="1">
        <v>2011</v>
      </c>
      <c r="F243" s="1" t="s">
        <v>986</v>
      </c>
      <c r="G243" s="1" t="s">
        <v>1645</v>
      </c>
      <c r="H243" s="4">
        <v>-43.505299999999998</v>
      </c>
      <c r="I243" s="4">
        <v>172.6634</v>
      </c>
      <c r="J243" s="1" t="s">
        <v>1396</v>
      </c>
      <c r="K243" s="1" t="s">
        <v>75</v>
      </c>
      <c r="L243" s="1" t="s">
        <v>3591</v>
      </c>
      <c r="M243" s="1" t="s">
        <v>3545</v>
      </c>
      <c r="N243" s="1"/>
      <c r="O243" s="1" t="s">
        <v>3095</v>
      </c>
      <c r="P243" s="1">
        <v>8130</v>
      </c>
      <c r="Q243" s="4">
        <v>6.1</v>
      </c>
      <c r="R243" s="4">
        <v>3.58</v>
      </c>
      <c r="S243" s="4"/>
      <c r="T243" s="4">
        <v>72.400000000000006</v>
      </c>
      <c r="U243" s="4">
        <v>5.6</v>
      </c>
      <c r="V243" s="4"/>
      <c r="W243" s="4">
        <v>10</v>
      </c>
      <c r="X243" s="4">
        <v>295</v>
      </c>
      <c r="Y243" s="4">
        <v>56</v>
      </c>
      <c r="Z243" s="4">
        <v>0</v>
      </c>
      <c r="AA243" s="4">
        <v>0</v>
      </c>
      <c r="AB243" s="4" t="s">
        <v>734</v>
      </c>
      <c r="AC243" s="4">
        <v>1.275362800412609</v>
      </c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1"/>
      <c r="BJ243" s="1" t="s">
        <v>3592</v>
      </c>
      <c r="BK243" s="1">
        <v>1</v>
      </c>
      <c r="BL243" s="1"/>
      <c r="BM243" s="1" t="s">
        <v>638</v>
      </c>
      <c r="BN243" s="1" t="s">
        <v>2804</v>
      </c>
      <c r="BO243" s="1" t="s">
        <v>2805</v>
      </c>
      <c r="BP243" s="1">
        <v>6.2</v>
      </c>
      <c r="BQ243" s="1" t="s">
        <v>1003</v>
      </c>
      <c r="BR243" s="1">
        <v>-43.570999999999998</v>
      </c>
      <c r="BS243" s="1">
        <v>172.703</v>
      </c>
      <c r="BT243" s="1">
        <v>6</v>
      </c>
      <c r="BU243" s="1" t="s">
        <v>734</v>
      </c>
      <c r="BV243" s="1" t="s">
        <v>2571</v>
      </c>
      <c r="BW243" s="1">
        <v>59</v>
      </c>
      <c r="BX243" s="1">
        <v>67</v>
      </c>
      <c r="BY243" s="1">
        <v>135</v>
      </c>
      <c r="BZ243" s="1"/>
      <c r="CA243" s="1"/>
      <c r="CB243" s="1"/>
      <c r="CC243" s="1" t="s">
        <v>2566</v>
      </c>
      <c r="CD243" s="1" t="s">
        <v>731</v>
      </c>
      <c r="CE243" s="1"/>
      <c r="CF243" s="1"/>
      <c r="CG243" s="1"/>
      <c r="CH243" s="1"/>
      <c r="CI243" s="1"/>
      <c r="CJ243" s="1" t="s">
        <v>167</v>
      </c>
      <c r="CK243" t="s">
        <v>1262</v>
      </c>
      <c r="CL243">
        <v>243</v>
      </c>
      <c r="CM243" t="s">
        <v>2807</v>
      </c>
    </row>
    <row r="244" spans="1:91" ht="19" customHeight="1">
      <c r="A244" s="1" t="s">
        <v>3593</v>
      </c>
      <c r="B244" s="1" t="s">
        <v>3093</v>
      </c>
      <c r="C244" s="1">
        <v>244</v>
      </c>
      <c r="D244" s="1" t="s">
        <v>993</v>
      </c>
      <c r="E244" s="1">
        <v>2011</v>
      </c>
      <c r="F244" s="1" t="s">
        <v>981</v>
      </c>
      <c r="G244" s="1" t="s">
        <v>1619</v>
      </c>
      <c r="H244" s="4">
        <v>-43.605600000000003</v>
      </c>
      <c r="I244" s="4">
        <v>172.72229999999999</v>
      </c>
      <c r="J244" s="1" t="s">
        <v>1396</v>
      </c>
      <c r="K244" s="1" t="s">
        <v>75</v>
      </c>
      <c r="L244" s="1" t="s">
        <v>3594</v>
      </c>
      <c r="M244" s="1" t="s">
        <v>3094</v>
      </c>
      <c r="N244" s="1"/>
      <c r="O244" s="1" t="s">
        <v>3095</v>
      </c>
      <c r="P244" s="1">
        <v>8158</v>
      </c>
      <c r="Q244" s="4">
        <v>6.1</v>
      </c>
      <c r="R244" s="4">
        <v>3.8</v>
      </c>
      <c r="S244" s="4"/>
      <c r="T244" s="4">
        <v>44.7</v>
      </c>
      <c r="U244" s="4">
        <v>6.1</v>
      </c>
      <c r="V244" s="4"/>
      <c r="W244" s="4">
        <v>7.3</v>
      </c>
      <c r="X244" s="4">
        <v>19</v>
      </c>
      <c r="Y244" s="4">
        <v>40</v>
      </c>
      <c r="Z244" s="4">
        <v>0</v>
      </c>
      <c r="AA244" s="4">
        <v>0</v>
      </c>
      <c r="AB244" s="4" t="s">
        <v>734</v>
      </c>
      <c r="AC244" s="4">
        <v>1.33500106673234</v>
      </c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1"/>
      <c r="BJ244" s="1" t="s">
        <v>3595</v>
      </c>
      <c r="BK244" s="1">
        <v>1</v>
      </c>
      <c r="BL244" s="1"/>
      <c r="BM244" s="1" t="s">
        <v>638</v>
      </c>
      <c r="BN244" s="1" t="s">
        <v>2804</v>
      </c>
      <c r="BO244" s="1" t="s">
        <v>2805</v>
      </c>
      <c r="BP244" s="1">
        <v>6.2</v>
      </c>
      <c r="BQ244" s="1" t="s">
        <v>1003</v>
      </c>
      <c r="BR244" s="1">
        <v>-43.570999999999998</v>
      </c>
      <c r="BS244" s="1">
        <v>172.703</v>
      </c>
      <c r="BT244" s="1">
        <v>6</v>
      </c>
      <c r="BU244" s="1" t="s">
        <v>734</v>
      </c>
      <c r="BV244" s="1" t="s">
        <v>2571</v>
      </c>
      <c r="BW244" s="1">
        <v>59</v>
      </c>
      <c r="BX244" s="1">
        <v>67</v>
      </c>
      <c r="BY244" s="1">
        <v>135</v>
      </c>
      <c r="BZ244" s="1"/>
      <c r="CA244" s="1"/>
      <c r="CB244" s="1"/>
      <c r="CC244" s="1" t="s">
        <v>2566</v>
      </c>
      <c r="CD244" s="1" t="s">
        <v>731</v>
      </c>
      <c r="CE244" s="1"/>
      <c r="CF244" s="1"/>
      <c r="CG244" s="1"/>
      <c r="CH244" s="1"/>
      <c r="CI244" s="1"/>
      <c r="CJ244" s="1" t="s">
        <v>167</v>
      </c>
      <c r="CK244" t="s">
        <v>1262</v>
      </c>
      <c r="CL244">
        <v>244</v>
      </c>
      <c r="CM244" t="s">
        <v>2807</v>
      </c>
    </row>
    <row r="245" spans="1:91" ht="19" customHeight="1">
      <c r="A245" s="1" t="s">
        <v>3596</v>
      </c>
      <c r="B245" s="1" t="s">
        <v>3597</v>
      </c>
      <c r="C245" s="1">
        <v>2</v>
      </c>
      <c r="D245" s="1" t="s">
        <v>1027</v>
      </c>
      <c r="E245" s="1">
        <v>1971</v>
      </c>
      <c r="F245" s="1" t="s">
        <v>733</v>
      </c>
      <c r="G245" s="1" t="s">
        <v>2445</v>
      </c>
      <c r="H245" s="4">
        <v>34.334000000000003</v>
      </c>
      <c r="I245" s="4">
        <v>-118.396</v>
      </c>
      <c r="J245" s="1" t="s">
        <v>1404</v>
      </c>
      <c r="K245" s="1" t="s">
        <v>70</v>
      </c>
      <c r="L245" s="1" t="s">
        <v>2447</v>
      </c>
      <c r="M245" s="1" t="s">
        <v>3598</v>
      </c>
      <c r="N245" s="1"/>
      <c r="O245" s="1" t="s">
        <v>3095</v>
      </c>
      <c r="P245" s="1"/>
      <c r="Q245" s="4">
        <v>6.6</v>
      </c>
      <c r="R245" s="4"/>
      <c r="S245" s="4"/>
      <c r="T245" s="4"/>
      <c r="U245" s="4"/>
      <c r="V245" s="4">
        <v>0.9</v>
      </c>
      <c r="W245" s="4"/>
      <c r="X245" s="4"/>
      <c r="Y245" s="4"/>
      <c r="Z245" s="4"/>
      <c r="AA245" s="4"/>
      <c r="AB245" s="4" t="s">
        <v>1028</v>
      </c>
      <c r="AC245" s="4"/>
      <c r="AD245" s="4">
        <v>34.44</v>
      </c>
      <c r="AE245" s="4">
        <v>-118.41</v>
      </c>
      <c r="AF245" s="4">
        <v>13</v>
      </c>
      <c r="AG245" s="4">
        <v>2016.13</v>
      </c>
      <c r="AH245" s="27" t="b">
        <v>1</v>
      </c>
      <c r="AI245" s="4">
        <v>1.6379999999999999</v>
      </c>
      <c r="AJ245" s="27" t="b">
        <v>0</v>
      </c>
      <c r="AK245" s="4"/>
      <c r="AL245" s="27" t="b">
        <v>0</v>
      </c>
      <c r="AM245" s="4">
        <v>1195.8800000000001</v>
      </c>
      <c r="AN245" s="4">
        <v>1214.79</v>
      </c>
      <c r="AO245" s="4">
        <v>674.36900000000003</v>
      </c>
      <c r="AP245" s="4">
        <v>114.503</v>
      </c>
      <c r="AQ245" s="4">
        <v>57.432000000000002</v>
      </c>
      <c r="AR245" s="4">
        <v>59.396599999999999</v>
      </c>
      <c r="AS245" s="4">
        <v>39.043999999999997</v>
      </c>
      <c r="AT245" s="4">
        <v>12.8284</v>
      </c>
      <c r="AU245" s="4">
        <v>29.293299999999999</v>
      </c>
      <c r="AV245" s="4">
        <v>8.2780000000000006E-3</v>
      </c>
      <c r="AW245" s="4">
        <v>0.10465000000000001</v>
      </c>
      <c r="AX245" s="4">
        <v>0.50456900000000005</v>
      </c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1" t="s">
        <v>3599</v>
      </c>
      <c r="BJ245" s="1" t="s">
        <v>3600</v>
      </c>
      <c r="BK245" s="1">
        <v>1</v>
      </c>
      <c r="BL245" s="1"/>
      <c r="BM245" s="1" t="s">
        <v>262</v>
      </c>
      <c r="BN245" s="1" t="s">
        <v>2578</v>
      </c>
      <c r="BO245" s="1" t="s">
        <v>2579</v>
      </c>
      <c r="BP245" s="1">
        <v>6.6</v>
      </c>
      <c r="BQ245" s="1" t="s">
        <v>1003</v>
      </c>
      <c r="BR245" s="1">
        <v>34.44</v>
      </c>
      <c r="BS245" s="1">
        <v>-118.41</v>
      </c>
      <c r="BT245" s="1">
        <v>13</v>
      </c>
      <c r="BU245" s="1" t="s">
        <v>1028</v>
      </c>
      <c r="BV245" s="1" t="s">
        <v>2809</v>
      </c>
      <c r="BW245" s="1">
        <v>288</v>
      </c>
      <c r="BX245" s="1">
        <v>50</v>
      </c>
      <c r="BY245" s="1">
        <v>83</v>
      </c>
      <c r="BZ245" s="1"/>
      <c r="CA245" s="1"/>
      <c r="CB245" s="1"/>
      <c r="CC245" s="1" t="s">
        <v>2808</v>
      </c>
      <c r="CD245" s="1" t="s">
        <v>731</v>
      </c>
      <c r="CE245" s="1"/>
      <c r="CF245" s="1"/>
      <c r="CG245" s="1"/>
      <c r="CH245" s="1"/>
      <c r="CI245" s="1"/>
      <c r="CJ245" s="1" t="s">
        <v>2812</v>
      </c>
      <c r="CK245" t="s">
        <v>1263</v>
      </c>
      <c r="CL245">
        <v>2</v>
      </c>
      <c r="CM245" t="s">
        <v>2814</v>
      </c>
    </row>
    <row r="246" spans="1:91" ht="19" customHeight="1">
      <c r="A246" s="1" t="s">
        <v>3601</v>
      </c>
      <c r="B246" s="1" t="s">
        <v>3597</v>
      </c>
      <c r="C246" s="1">
        <v>3</v>
      </c>
      <c r="D246" s="1" t="s">
        <v>1030</v>
      </c>
      <c r="E246" s="1">
        <v>1978</v>
      </c>
      <c r="F246" s="1" t="s">
        <v>736</v>
      </c>
      <c r="G246" s="1" t="s">
        <v>1409</v>
      </c>
      <c r="H246" s="4">
        <v>33.58</v>
      </c>
      <c r="I246" s="4">
        <v>56.92</v>
      </c>
      <c r="J246" s="1" t="s">
        <v>1404</v>
      </c>
      <c r="K246" s="1" t="s">
        <v>70</v>
      </c>
      <c r="L246" s="1" t="s">
        <v>1411</v>
      </c>
      <c r="M246" s="1" t="s">
        <v>3598</v>
      </c>
      <c r="N246" s="1"/>
      <c r="O246" s="1" t="s">
        <v>3095</v>
      </c>
      <c r="P246" s="1"/>
      <c r="Q246" s="4">
        <v>7.4</v>
      </c>
      <c r="R246" s="4"/>
      <c r="S246" s="4"/>
      <c r="T246" s="4"/>
      <c r="U246" s="4"/>
      <c r="V246" s="4">
        <v>2.0499999999999998</v>
      </c>
      <c r="W246" s="4"/>
      <c r="X246" s="4"/>
      <c r="Y246" s="4"/>
      <c r="Z246" s="4"/>
      <c r="AA246" s="4"/>
      <c r="AB246" s="4" t="s">
        <v>1028</v>
      </c>
      <c r="AC246" s="4"/>
      <c r="AD246" s="4">
        <v>33.215000000000003</v>
      </c>
      <c r="AE246" s="4">
        <v>57.323</v>
      </c>
      <c r="AF246" s="4">
        <v>5.75</v>
      </c>
      <c r="AG246" s="4">
        <v>766.77</v>
      </c>
      <c r="AH246" s="27" t="b">
        <v>1</v>
      </c>
      <c r="AI246" s="4">
        <v>6.1879999999999997</v>
      </c>
      <c r="AJ246" s="27" t="b">
        <v>0</v>
      </c>
      <c r="AK246" s="4"/>
      <c r="AL246" s="27" t="b">
        <v>0</v>
      </c>
      <c r="AM246" s="4">
        <v>837.75599999999997</v>
      </c>
      <c r="AN246" s="4">
        <v>845.38599999999997</v>
      </c>
      <c r="AO246" s="4">
        <v>629.30600000000004</v>
      </c>
      <c r="AP246" s="4">
        <v>99.0501</v>
      </c>
      <c r="AQ246" s="4">
        <v>123.589</v>
      </c>
      <c r="AR246" s="4">
        <v>42.110300000000002</v>
      </c>
      <c r="AS246" s="4">
        <v>38.557299999999998</v>
      </c>
      <c r="AT246" s="4">
        <v>93.284800000000004</v>
      </c>
      <c r="AU246" s="4">
        <v>11.5922</v>
      </c>
      <c r="AV246" s="4">
        <v>-0.34270099999999998</v>
      </c>
      <c r="AW246" s="4">
        <v>0.198547</v>
      </c>
      <c r="AX246" s="4">
        <v>0.29435699999999998</v>
      </c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1" t="s">
        <v>3599</v>
      </c>
      <c r="BJ246" s="1" t="s">
        <v>3602</v>
      </c>
      <c r="BK246" s="1">
        <v>1</v>
      </c>
      <c r="BL246" s="1"/>
      <c r="BM246" s="1" t="s">
        <v>269</v>
      </c>
      <c r="BN246" s="1" t="s">
        <v>2584</v>
      </c>
      <c r="BO246" s="1" t="s">
        <v>2585</v>
      </c>
      <c r="BP246" s="1">
        <v>7.4</v>
      </c>
      <c r="BQ246" s="1" t="s">
        <v>1003</v>
      </c>
      <c r="BR246" s="1">
        <v>33.215000000000003</v>
      </c>
      <c r="BS246" s="1">
        <v>57.323</v>
      </c>
      <c r="BT246" s="1">
        <v>5.75</v>
      </c>
      <c r="BU246" s="1" t="s">
        <v>1028</v>
      </c>
      <c r="BV246" s="1" t="s">
        <v>2809</v>
      </c>
      <c r="BW246" s="1">
        <v>330</v>
      </c>
      <c r="BX246" s="1">
        <v>25</v>
      </c>
      <c r="BY246" s="1">
        <v>110</v>
      </c>
      <c r="BZ246" s="1"/>
      <c r="CA246" s="1"/>
      <c r="CB246" s="1"/>
      <c r="CC246" s="1" t="s">
        <v>2808</v>
      </c>
      <c r="CD246" s="1" t="s">
        <v>731</v>
      </c>
      <c r="CE246" s="1"/>
      <c r="CF246" s="1"/>
      <c r="CG246" s="1"/>
      <c r="CH246" s="1"/>
      <c r="CI246" s="1"/>
      <c r="CJ246" s="1" t="s">
        <v>2812</v>
      </c>
      <c r="CK246" t="s">
        <v>1263</v>
      </c>
      <c r="CL246">
        <v>3</v>
      </c>
      <c r="CM246" t="s">
        <v>2815</v>
      </c>
    </row>
    <row r="247" spans="1:91" ht="19" customHeight="1">
      <c r="A247" s="1" t="s">
        <v>3603</v>
      </c>
      <c r="B247" s="1" t="s">
        <v>3597</v>
      </c>
      <c r="C247" s="1">
        <v>4</v>
      </c>
      <c r="D247" s="1" t="s">
        <v>1031</v>
      </c>
      <c r="E247" s="1">
        <v>1979</v>
      </c>
      <c r="F247" s="1" t="s">
        <v>1033</v>
      </c>
      <c r="G247" s="1" t="s">
        <v>2370</v>
      </c>
      <c r="H247" s="4">
        <v>36.981999999999999</v>
      </c>
      <c r="I247" s="4">
        <v>-121.556</v>
      </c>
      <c r="J247" s="1" t="s">
        <v>1404</v>
      </c>
      <c r="K247" s="1" t="s">
        <v>70</v>
      </c>
      <c r="L247" s="1" t="s">
        <v>2374</v>
      </c>
      <c r="M247" s="1" t="s">
        <v>3598</v>
      </c>
      <c r="N247" s="1"/>
      <c r="O247" s="1" t="s">
        <v>3095</v>
      </c>
      <c r="P247" s="1"/>
      <c r="Q247" s="4">
        <v>5.7</v>
      </c>
      <c r="R247" s="4"/>
      <c r="S247" s="4"/>
      <c r="T247" s="4"/>
      <c r="U247" s="4"/>
      <c r="V247" s="4">
        <v>9.02</v>
      </c>
      <c r="W247" s="4"/>
      <c r="X247" s="4"/>
      <c r="Y247" s="4"/>
      <c r="Z247" s="4"/>
      <c r="AA247" s="4"/>
      <c r="AB247" s="4" t="s">
        <v>1032</v>
      </c>
      <c r="AC247" s="4"/>
      <c r="AD247" s="4">
        <v>37.064999999999998</v>
      </c>
      <c r="AE247" s="4">
        <v>-121.49</v>
      </c>
      <c r="AF247" s="4">
        <v>8</v>
      </c>
      <c r="AG247" s="4">
        <v>270.83999999999997</v>
      </c>
      <c r="AH247" s="27" t="b">
        <v>1</v>
      </c>
      <c r="AI247" s="4">
        <v>1.4630000000000001</v>
      </c>
      <c r="AJ247" s="27" t="b">
        <v>0</v>
      </c>
      <c r="AK247" s="4"/>
      <c r="AL247" s="27" t="b">
        <v>0</v>
      </c>
      <c r="AM247" s="4">
        <v>187.19499999999999</v>
      </c>
      <c r="AN247" s="4">
        <v>250.69399999999999</v>
      </c>
      <c r="AO247" s="4">
        <v>164.92</v>
      </c>
      <c r="AP247" s="4">
        <v>10.293200000000001</v>
      </c>
      <c r="AQ247" s="4">
        <v>31.9756</v>
      </c>
      <c r="AR247" s="4">
        <v>6.8508899999999997</v>
      </c>
      <c r="AS247" s="4">
        <v>2.9148499999999999</v>
      </c>
      <c r="AT247" s="4">
        <v>5.7215199999999999</v>
      </c>
      <c r="AU247" s="4">
        <v>1.1308199999999999</v>
      </c>
      <c r="AV247" s="4">
        <v>5.3255999999999998E-2</v>
      </c>
      <c r="AW247" s="4">
        <v>6.2310000000000004E-3</v>
      </c>
      <c r="AX247" s="4">
        <v>-3.8252000000000001E-2</v>
      </c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1" t="s">
        <v>3599</v>
      </c>
      <c r="BJ247" s="1" t="s">
        <v>3604</v>
      </c>
      <c r="BK247" s="1">
        <v>1</v>
      </c>
      <c r="BL247" s="1"/>
      <c r="BM247" s="1" t="s">
        <v>277</v>
      </c>
      <c r="BN247" s="1" t="s">
        <v>2594</v>
      </c>
      <c r="BO247" s="1" t="s">
        <v>2595</v>
      </c>
      <c r="BP247" s="1">
        <v>5.7</v>
      </c>
      <c r="BQ247" s="1" t="s">
        <v>1003</v>
      </c>
      <c r="BR247" s="1">
        <v>37.064999999999998</v>
      </c>
      <c r="BS247" s="1">
        <v>-121.49</v>
      </c>
      <c r="BT247" s="1">
        <v>8</v>
      </c>
      <c r="BU247" s="1" t="s">
        <v>1032</v>
      </c>
      <c r="BV247" s="1" t="s">
        <v>2809</v>
      </c>
      <c r="BW247" s="1">
        <v>336</v>
      </c>
      <c r="BX247" s="1">
        <v>80</v>
      </c>
      <c r="BY247" s="1">
        <v>176</v>
      </c>
      <c r="BZ247" s="1"/>
      <c r="CA247" s="1"/>
      <c r="CB247" s="1"/>
      <c r="CC247" s="1" t="s">
        <v>2808</v>
      </c>
      <c r="CD247" s="1" t="s">
        <v>731</v>
      </c>
      <c r="CE247" s="1"/>
      <c r="CF247" s="1"/>
      <c r="CG247" s="1"/>
      <c r="CH247" s="1"/>
      <c r="CI247" s="1"/>
      <c r="CJ247" s="1" t="s">
        <v>2812</v>
      </c>
      <c r="CK247" t="s">
        <v>1263</v>
      </c>
      <c r="CL247">
        <v>4</v>
      </c>
      <c r="CM247" t="s">
        <v>2816</v>
      </c>
    </row>
    <row r="248" spans="1:91" ht="19" customHeight="1">
      <c r="A248" s="1" t="s">
        <v>3605</v>
      </c>
      <c r="B248" s="1" t="s">
        <v>3597</v>
      </c>
      <c r="C248" s="1">
        <v>5</v>
      </c>
      <c r="D248" s="1" t="s">
        <v>1031</v>
      </c>
      <c r="E248" s="1">
        <v>1979</v>
      </c>
      <c r="F248" s="1" t="s">
        <v>1034</v>
      </c>
      <c r="G248" s="1" t="s">
        <v>2375</v>
      </c>
      <c r="H248" s="4">
        <v>36.987000000000002</v>
      </c>
      <c r="I248" s="4">
        <v>-121.536</v>
      </c>
      <c r="J248" s="1" t="s">
        <v>1404</v>
      </c>
      <c r="K248" s="1" t="s">
        <v>70</v>
      </c>
      <c r="L248" s="1" t="s">
        <v>2377</v>
      </c>
      <c r="M248" s="1" t="s">
        <v>3598</v>
      </c>
      <c r="N248" s="1"/>
      <c r="O248" s="1" t="s">
        <v>3095</v>
      </c>
      <c r="P248" s="1"/>
      <c r="Q248" s="4">
        <v>5.7</v>
      </c>
      <c r="R248" s="4"/>
      <c r="S248" s="4"/>
      <c r="T248" s="4"/>
      <c r="U248" s="4"/>
      <c r="V248" s="4">
        <v>7.42</v>
      </c>
      <c r="W248" s="4"/>
      <c r="X248" s="4"/>
      <c r="Y248" s="4"/>
      <c r="Z248" s="4"/>
      <c r="AA248" s="4"/>
      <c r="AB248" s="4" t="s">
        <v>1032</v>
      </c>
      <c r="AC248" s="4"/>
      <c r="AD248" s="4">
        <v>37.064999999999998</v>
      </c>
      <c r="AE248" s="4">
        <v>-121.49</v>
      </c>
      <c r="AF248" s="4">
        <v>8</v>
      </c>
      <c r="AG248" s="4">
        <v>349.85</v>
      </c>
      <c r="AH248" s="27" t="b">
        <v>1</v>
      </c>
      <c r="AI248" s="4">
        <v>1.155</v>
      </c>
      <c r="AJ248" s="27" t="b">
        <v>0</v>
      </c>
      <c r="AK248" s="4"/>
      <c r="AL248" s="27" t="b">
        <v>0</v>
      </c>
      <c r="AM248" s="4">
        <v>247.03899999999999</v>
      </c>
      <c r="AN248" s="4">
        <v>251.49700000000001</v>
      </c>
      <c r="AO248" s="4">
        <v>150.97300000000001</v>
      </c>
      <c r="AP248" s="4">
        <v>17.636199999999999</v>
      </c>
      <c r="AQ248" s="4">
        <v>29.589700000000001</v>
      </c>
      <c r="AR248" s="4">
        <v>7.2060899999999997</v>
      </c>
      <c r="AS248" s="4">
        <v>4.7073400000000003</v>
      </c>
      <c r="AT248" s="4">
        <v>6.34009</v>
      </c>
      <c r="AU248" s="4">
        <v>1.23038</v>
      </c>
      <c r="AV248" s="4">
        <v>0.194076</v>
      </c>
      <c r="AW248" s="4">
        <v>-1.0602E-2</v>
      </c>
      <c r="AX248" s="4">
        <v>-2.8103E-2</v>
      </c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1" t="s">
        <v>3599</v>
      </c>
      <c r="BJ248" s="1" t="s">
        <v>3606</v>
      </c>
      <c r="BK248" s="1">
        <v>1</v>
      </c>
      <c r="BL248" s="1"/>
      <c r="BM248" s="1" t="s">
        <v>277</v>
      </c>
      <c r="BN248" s="1" t="s">
        <v>2594</v>
      </c>
      <c r="BO248" s="1" t="s">
        <v>2595</v>
      </c>
      <c r="BP248" s="1">
        <v>5.7</v>
      </c>
      <c r="BQ248" s="1" t="s">
        <v>1003</v>
      </c>
      <c r="BR248" s="1">
        <v>37.064999999999998</v>
      </c>
      <c r="BS248" s="1">
        <v>-121.49</v>
      </c>
      <c r="BT248" s="1">
        <v>8</v>
      </c>
      <c r="BU248" s="1" t="s">
        <v>1032</v>
      </c>
      <c r="BV248" s="1" t="s">
        <v>2809</v>
      </c>
      <c r="BW248" s="1">
        <v>336</v>
      </c>
      <c r="BX248" s="1">
        <v>80</v>
      </c>
      <c r="BY248" s="1">
        <v>176</v>
      </c>
      <c r="BZ248" s="1"/>
      <c r="CA248" s="1"/>
      <c r="CB248" s="1"/>
      <c r="CC248" s="1" t="s">
        <v>2808</v>
      </c>
      <c r="CD248" s="1" t="s">
        <v>731</v>
      </c>
      <c r="CE248" s="1"/>
      <c r="CF248" s="1"/>
      <c r="CG248" s="1"/>
      <c r="CH248" s="1"/>
      <c r="CI248" s="1"/>
      <c r="CJ248" s="1" t="s">
        <v>2812</v>
      </c>
      <c r="CK248" t="s">
        <v>1263</v>
      </c>
      <c r="CL248">
        <v>5</v>
      </c>
      <c r="CM248" t="s">
        <v>2816</v>
      </c>
    </row>
    <row r="249" spans="1:91" ht="19" customHeight="1">
      <c r="A249" s="1" t="s">
        <v>3607</v>
      </c>
      <c r="B249" s="1" t="s">
        <v>3597</v>
      </c>
      <c r="C249" s="1">
        <v>6</v>
      </c>
      <c r="D249" s="1" t="s">
        <v>1031</v>
      </c>
      <c r="E249" s="1">
        <v>1979</v>
      </c>
      <c r="F249" s="1" t="s">
        <v>1035</v>
      </c>
      <c r="G249" s="1" t="s">
        <v>2378</v>
      </c>
      <c r="H249" s="4">
        <v>37.000999999999998</v>
      </c>
      <c r="I249" s="4">
        <v>-121.52200000000001</v>
      </c>
      <c r="J249" s="1" t="s">
        <v>1404</v>
      </c>
      <c r="K249" s="1" t="s">
        <v>70</v>
      </c>
      <c r="L249" s="1" t="s">
        <v>2380</v>
      </c>
      <c r="M249" s="1" t="s">
        <v>3598</v>
      </c>
      <c r="N249" s="1"/>
      <c r="O249" s="1" t="s">
        <v>3095</v>
      </c>
      <c r="P249" s="1"/>
      <c r="Q249" s="4">
        <v>5.7</v>
      </c>
      <c r="R249" s="4"/>
      <c r="S249" s="4"/>
      <c r="T249" s="4"/>
      <c r="U249" s="4"/>
      <c r="V249" s="4">
        <v>5.7</v>
      </c>
      <c r="W249" s="4"/>
      <c r="X249" s="4"/>
      <c r="Y249" s="4"/>
      <c r="Z249" s="4"/>
      <c r="AA249" s="4"/>
      <c r="AB249" s="4" t="s">
        <v>1032</v>
      </c>
      <c r="AC249" s="4"/>
      <c r="AD249" s="4">
        <v>37.064999999999998</v>
      </c>
      <c r="AE249" s="4">
        <v>-121.49</v>
      </c>
      <c r="AF249" s="4">
        <v>8</v>
      </c>
      <c r="AG249" s="4">
        <v>221.78</v>
      </c>
      <c r="AH249" s="27" t="b">
        <v>1</v>
      </c>
      <c r="AI249" s="4">
        <v>1.351</v>
      </c>
      <c r="AJ249" s="27" t="b">
        <v>0</v>
      </c>
      <c r="AK249" s="4"/>
      <c r="AL249" s="27" t="b">
        <v>0</v>
      </c>
      <c r="AM249" s="4">
        <v>228.48699999999999</v>
      </c>
      <c r="AN249" s="4">
        <v>246.88900000000001</v>
      </c>
      <c r="AO249" s="4">
        <v>413.78800000000001</v>
      </c>
      <c r="AP249" s="4">
        <v>25.8126</v>
      </c>
      <c r="AQ249" s="4">
        <v>31.857800000000001</v>
      </c>
      <c r="AR249" s="4">
        <v>15.3505</v>
      </c>
      <c r="AS249" s="4">
        <v>3.56134</v>
      </c>
      <c r="AT249" s="4">
        <v>5.2507599999999996</v>
      </c>
      <c r="AU249" s="4">
        <v>2.7667899999999999</v>
      </c>
      <c r="AV249" s="4">
        <v>5.3233999999999997E-2</v>
      </c>
      <c r="AW249" s="4">
        <v>7.4064000000000005E-2</v>
      </c>
      <c r="AX249" s="4">
        <v>-7.7673000000000006E-2</v>
      </c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1" t="s">
        <v>3599</v>
      </c>
      <c r="BJ249" s="1" t="s">
        <v>3608</v>
      </c>
      <c r="BK249" s="1">
        <v>1</v>
      </c>
      <c r="BL249" s="1"/>
      <c r="BM249" s="1" t="s">
        <v>277</v>
      </c>
      <c r="BN249" s="1" t="s">
        <v>2594</v>
      </c>
      <c r="BO249" s="1" t="s">
        <v>2595</v>
      </c>
      <c r="BP249" s="1">
        <v>5.7</v>
      </c>
      <c r="BQ249" s="1" t="s">
        <v>1003</v>
      </c>
      <c r="BR249" s="1">
        <v>37.064999999999998</v>
      </c>
      <c r="BS249" s="1">
        <v>-121.49</v>
      </c>
      <c r="BT249" s="1">
        <v>8</v>
      </c>
      <c r="BU249" s="1" t="s">
        <v>1032</v>
      </c>
      <c r="BV249" s="1" t="s">
        <v>2809</v>
      </c>
      <c r="BW249" s="1">
        <v>336</v>
      </c>
      <c r="BX249" s="1">
        <v>80</v>
      </c>
      <c r="BY249" s="1">
        <v>176</v>
      </c>
      <c r="BZ249" s="1"/>
      <c r="CA249" s="1"/>
      <c r="CB249" s="1"/>
      <c r="CC249" s="1" t="s">
        <v>2808</v>
      </c>
      <c r="CD249" s="1" t="s">
        <v>731</v>
      </c>
      <c r="CE249" s="1"/>
      <c r="CF249" s="1"/>
      <c r="CG249" s="1"/>
      <c r="CH249" s="1"/>
      <c r="CI249" s="1"/>
      <c r="CJ249" s="1" t="s">
        <v>2812</v>
      </c>
      <c r="CK249" t="s">
        <v>1263</v>
      </c>
      <c r="CL249">
        <v>6</v>
      </c>
      <c r="CM249" t="s">
        <v>2816</v>
      </c>
    </row>
    <row r="250" spans="1:91" ht="19" customHeight="1">
      <c r="A250" s="1" t="s">
        <v>3609</v>
      </c>
      <c r="B250" s="1" t="s">
        <v>3597</v>
      </c>
      <c r="C250" s="1">
        <v>7</v>
      </c>
      <c r="D250" s="1" t="s">
        <v>1031</v>
      </c>
      <c r="E250" s="1">
        <v>1979</v>
      </c>
      <c r="F250" s="1" t="s">
        <v>1036</v>
      </c>
      <c r="G250" s="1" t="s">
        <v>2381</v>
      </c>
      <c r="H250" s="4">
        <v>37.026000000000003</v>
      </c>
      <c r="I250" s="4">
        <v>-121.48399999999999</v>
      </c>
      <c r="J250" s="1" t="s">
        <v>1404</v>
      </c>
      <c r="K250" s="1" t="s">
        <v>70</v>
      </c>
      <c r="L250" s="1" t="s">
        <v>2385</v>
      </c>
      <c r="M250" s="1" t="s">
        <v>3598</v>
      </c>
      <c r="N250" s="1"/>
      <c r="O250" s="1" t="s">
        <v>3095</v>
      </c>
      <c r="P250" s="1"/>
      <c r="Q250" s="4">
        <v>5.7</v>
      </c>
      <c r="R250" s="4"/>
      <c r="S250" s="4"/>
      <c r="T250" s="4"/>
      <c r="U250" s="4"/>
      <c r="V250" s="4">
        <v>3.11</v>
      </c>
      <c r="W250" s="4"/>
      <c r="X250" s="4"/>
      <c r="Y250" s="4"/>
      <c r="Z250" s="4"/>
      <c r="AA250" s="4"/>
      <c r="AB250" s="4" t="s">
        <v>1032</v>
      </c>
      <c r="AC250" s="4"/>
      <c r="AD250" s="4">
        <v>37.064999999999998</v>
      </c>
      <c r="AE250" s="4">
        <v>-121.49</v>
      </c>
      <c r="AF250" s="4">
        <v>8</v>
      </c>
      <c r="AG250" s="4">
        <v>663.31</v>
      </c>
      <c r="AH250" s="27" t="b">
        <v>1</v>
      </c>
      <c r="AI250" s="4">
        <v>1.232</v>
      </c>
      <c r="AJ250" s="27" t="b">
        <v>0</v>
      </c>
      <c r="AK250" s="4"/>
      <c r="AL250" s="27" t="b">
        <v>0</v>
      </c>
      <c r="AM250" s="4">
        <v>413.76799999999997</v>
      </c>
      <c r="AN250" s="4">
        <v>312.78100000000001</v>
      </c>
      <c r="AO250" s="4">
        <v>146.61099999999999</v>
      </c>
      <c r="AP250" s="4">
        <v>44.359000000000002</v>
      </c>
      <c r="AQ250" s="4">
        <v>25.412199999999999</v>
      </c>
      <c r="AR250" s="4">
        <v>16.822199999999999</v>
      </c>
      <c r="AS250" s="4">
        <v>12.4397</v>
      </c>
      <c r="AT250" s="4">
        <v>4.3830200000000001</v>
      </c>
      <c r="AU250" s="4">
        <v>4.3103499999999997</v>
      </c>
      <c r="AV250" s="4">
        <v>0.14954799999999999</v>
      </c>
      <c r="AW250" s="4">
        <v>-2.4799999999999999E-2</v>
      </c>
      <c r="AX250" s="4">
        <v>-0.14769099999999999</v>
      </c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1" t="s">
        <v>3599</v>
      </c>
      <c r="BJ250" s="1" t="s">
        <v>3610</v>
      </c>
      <c r="BK250" s="1">
        <v>1</v>
      </c>
      <c r="BL250" s="1"/>
      <c r="BM250" s="1" t="s">
        <v>277</v>
      </c>
      <c r="BN250" s="1" t="s">
        <v>2594</v>
      </c>
      <c r="BO250" s="1" t="s">
        <v>2595</v>
      </c>
      <c r="BP250" s="1">
        <v>5.7</v>
      </c>
      <c r="BQ250" s="1" t="s">
        <v>1003</v>
      </c>
      <c r="BR250" s="1">
        <v>37.064999999999998</v>
      </c>
      <c r="BS250" s="1">
        <v>-121.49</v>
      </c>
      <c r="BT250" s="1">
        <v>8</v>
      </c>
      <c r="BU250" s="1" t="s">
        <v>1032</v>
      </c>
      <c r="BV250" s="1" t="s">
        <v>2809</v>
      </c>
      <c r="BW250" s="1">
        <v>336</v>
      </c>
      <c r="BX250" s="1">
        <v>80</v>
      </c>
      <c r="BY250" s="1">
        <v>176</v>
      </c>
      <c r="BZ250" s="1"/>
      <c r="CA250" s="1"/>
      <c r="CB250" s="1"/>
      <c r="CC250" s="1" t="s">
        <v>2808</v>
      </c>
      <c r="CD250" s="1" t="s">
        <v>731</v>
      </c>
      <c r="CE250" s="1"/>
      <c r="CF250" s="1"/>
      <c r="CG250" s="1"/>
      <c r="CH250" s="1"/>
      <c r="CI250" s="1"/>
      <c r="CJ250" s="1" t="s">
        <v>2812</v>
      </c>
      <c r="CK250" t="s">
        <v>1263</v>
      </c>
      <c r="CL250">
        <v>7</v>
      </c>
      <c r="CM250" t="s">
        <v>2816</v>
      </c>
    </row>
    <row r="251" spans="1:91" ht="19" customHeight="1">
      <c r="A251" s="1" t="s">
        <v>3611</v>
      </c>
      <c r="B251" s="1" t="s">
        <v>3597</v>
      </c>
      <c r="C251" s="1">
        <v>8</v>
      </c>
      <c r="D251" s="1" t="s">
        <v>1037</v>
      </c>
      <c r="E251" s="1">
        <v>1979</v>
      </c>
      <c r="F251" s="1" t="s">
        <v>746</v>
      </c>
      <c r="G251" s="1" t="s">
        <v>2301</v>
      </c>
      <c r="H251" s="4">
        <v>32.621000000000002</v>
      </c>
      <c r="I251" s="4">
        <v>-115.301</v>
      </c>
      <c r="J251" s="1" t="s">
        <v>1404</v>
      </c>
      <c r="K251" s="1" t="s">
        <v>70</v>
      </c>
      <c r="L251" s="1" t="s">
        <v>2303</v>
      </c>
      <c r="M251" s="1" t="s">
        <v>3598</v>
      </c>
      <c r="N251" s="1"/>
      <c r="O251" s="1" t="s">
        <v>3095</v>
      </c>
      <c r="P251" s="1"/>
      <c r="Q251" s="4">
        <v>6.5</v>
      </c>
      <c r="R251" s="4"/>
      <c r="S251" s="4"/>
      <c r="T251" s="4"/>
      <c r="U251" s="4"/>
      <c r="V251" s="4">
        <v>0.65</v>
      </c>
      <c r="W251" s="4"/>
      <c r="X251" s="4"/>
      <c r="Y251" s="4"/>
      <c r="Z251" s="4"/>
      <c r="AA251" s="4"/>
      <c r="AB251" s="4" t="s">
        <v>1032</v>
      </c>
      <c r="AC251" s="4"/>
      <c r="AD251" s="4">
        <v>32.643999999999998</v>
      </c>
      <c r="AE251" s="4">
        <v>-115.307</v>
      </c>
      <c r="AF251" s="4">
        <v>9.9600000000000009</v>
      </c>
      <c r="AG251" s="4">
        <v>242.05</v>
      </c>
      <c r="AH251" s="27" t="b">
        <v>1</v>
      </c>
      <c r="AI251" s="4">
        <v>2.3380000000000001</v>
      </c>
      <c r="AJ251" s="27" t="b">
        <v>0</v>
      </c>
      <c r="AK251" s="4"/>
      <c r="AL251" s="27" t="b">
        <v>0</v>
      </c>
      <c r="AM251" s="4">
        <v>281.79899999999998</v>
      </c>
      <c r="AN251" s="4">
        <v>187.70599999999999</v>
      </c>
      <c r="AO251" s="4">
        <v>463.44299999999998</v>
      </c>
      <c r="AP251" s="4">
        <v>35.334499999999998</v>
      </c>
      <c r="AQ251" s="4">
        <v>41.819400000000002</v>
      </c>
      <c r="AR251" s="4">
        <v>11.0268</v>
      </c>
      <c r="AS251" s="4">
        <v>9.3514400000000002</v>
      </c>
      <c r="AT251" s="4">
        <v>11.6555</v>
      </c>
      <c r="AU251" s="4">
        <v>3.4420999999999999</v>
      </c>
      <c r="AV251" s="4">
        <v>0.16713800000000001</v>
      </c>
      <c r="AW251" s="4">
        <v>0.390961</v>
      </c>
      <c r="AX251" s="4">
        <v>0.30510199999999998</v>
      </c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1" t="s">
        <v>3599</v>
      </c>
      <c r="BJ251" s="1" t="s">
        <v>3612</v>
      </c>
      <c r="BK251" s="1">
        <v>1</v>
      </c>
      <c r="BL251" s="1"/>
      <c r="BM251" s="1" t="s">
        <v>285</v>
      </c>
      <c r="BN251" s="1" t="s">
        <v>2599</v>
      </c>
      <c r="BO251" s="1" t="s">
        <v>2600</v>
      </c>
      <c r="BP251" s="1">
        <v>6.5</v>
      </c>
      <c r="BQ251" s="1" t="s">
        <v>1003</v>
      </c>
      <c r="BR251" s="1">
        <v>32.643999999999998</v>
      </c>
      <c r="BS251" s="1">
        <v>-115.307</v>
      </c>
      <c r="BT251" s="1">
        <v>9.9600000000000009</v>
      </c>
      <c r="BU251" s="1" t="s">
        <v>1032</v>
      </c>
      <c r="BV251" s="1" t="s">
        <v>2809</v>
      </c>
      <c r="BW251" s="1">
        <v>323</v>
      </c>
      <c r="BX251" s="1">
        <v>80</v>
      </c>
      <c r="BY251" s="1">
        <v>180</v>
      </c>
      <c r="BZ251" s="1"/>
      <c r="CA251" s="1"/>
      <c r="CB251" s="1"/>
      <c r="CC251" s="1" t="s">
        <v>2808</v>
      </c>
      <c r="CD251" s="1" t="s">
        <v>731</v>
      </c>
      <c r="CE251" s="1"/>
      <c r="CF251" s="1"/>
      <c r="CG251" s="1"/>
      <c r="CH251" s="1"/>
      <c r="CI251" s="1"/>
      <c r="CJ251" s="1" t="s">
        <v>2812</v>
      </c>
      <c r="CK251" t="s">
        <v>1263</v>
      </c>
      <c r="CL251">
        <v>8</v>
      </c>
      <c r="CM251" t="s">
        <v>2817</v>
      </c>
    </row>
    <row r="252" spans="1:91" ht="19" customHeight="1">
      <c r="A252" s="1" t="s">
        <v>3613</v>
      </c>
      <c r="B252" s="1" t="s">
        <v>3597</v>
      </c>
      <c r="C252" s="1">
        <v>9</v>
      </c>
      <c r="D252" s="1" t="s">
        <v>1037</v>
      </c>
      <c r="E252" s="1">
        <v>1979</v>
      </c>
      <c r="F252" s="1" t="s">
        <v>747</v>
      </c>
      <c r="G252" s="1" t="s">
        <v>2315</v>
      </c>
      <c r="H252" s="4">
        <v>32.991</v>
      </c>
      <c r="I252" s="4">
        <v>-115.51300000000001</v>
      </c>
      <c r="J252" s="1" t="s">
        <v>1404</v>
      </c>
      <c r="K252" s="1" t="s">
        <v>70</v>
      </c>
      <c r="L252" s="1" t="s">
        <v>2317</v>
      </c>
      <c r="M252" s="1" t="s">
        <v>3598</v>
      </c>
      <c r="N252" s="1"/>
      <c r="O252" s="1" t="s">
        <v>3095</v>
      </c>
      <c r="P252" s="1"/>
      <c r="Q252" s="4">
        <v>6.5</v>
      </c>
      <c r="R252" s="4"/>
      <c r="S252" s="4"/>
      <c r="T252" s="4"/>
      <c r="U252" s="4"/>
      <c r="V252" s="4">
        <v>10.42</v>
      </c>
      <c r="W252" s="4"/>
      <c r="X252" s="4"/>
      <c r="Y252" s="4"/>
      <c r="Z252" s="4"/>
      <c r="AA252" s="4"/>
      <c r="AB252" s="4" t="s">
        <v>1032</v>
      </c>
      <c r="AC252" s="4"/>
      <c r="AD252" s="4">
        <v>32.643999999999998</v>
      </c>
      <c r="AE252" s="4">
        <v>-115.307</v>
      </c>
      <c r="AF252" s="4">
        <v>9.9600000000000009</v>
      </c>
      <c r="AG252" s="4">
        <v>208.71</v>
      </c>
      <c r="AH252" s="27" t="b">
        <v>1</v>
      </c>
      <c r="AI252" s="4">
        <v>4.3959999999999999</v>
      </c>
      <c r="AJ252" s="27" t="b">
        <v>0</v>
      </c>
      <c r="AK252" s="4"/>
      <c r="AL252" s="27" t="b">
        <v>0</v>
      </c>
      <c r="AM252" s="4">
        <v>159.51599999999999</v>
      </c>
      <c r="AN252" s="4">
        <v>215.35</v>
      </c>
      <c r="AO252" s="4">
        <v>149.90799999999999</v>
      </c>
      <c r="AP252" s="4">
        <v>36.609299999999998</v>
      </c>
      <c r="AQ252" s="4">
        <v>40.942399999999999</v>
      </c>
      <c r="AR252" s="4">
        <v>8.7487300000000001</v>
      </c>
      <c r="AS252" s="4">
        <v>25.6722</v>
      </c>
      <c r="AT252" s="4">
        <v>16.2456</v>
      </c>
      <c r="AU252" s="4">
        <v>3.6042800000000002</v>
      </c>
      <c r="AV252" s="4">
        <v>-1.20604</v>
      </c>
      <c r="AW252" s="4">
        <v>-0.47828700000000002</v>
      </c>
      <c r="AX252" s="4">
        <v>-8.8238999999999998E-2</v>
      </c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1" t="s">
        <v>3599</v>
      </c>
      <c r="BJ252" s="1" t="s">
        <v>3614</v>
      </c>
      <c r="BK252" s="1">
        <v>1</v>
      </c>
      <c r="BL252" s="1"/>
      <c r="BM252" s="1" t="s">
        <v>285</v>
      </c>
      <c r="BN252" s="1" t="s">
        <v>2599</v>
      </c>
      <c r="BO252" s="1" t="s">
        <v>2600</v>
      </c>
      <c r="BP252" s="1">
        <v>6.5</v>
      </c>
      <c r="BQ252" s="1" t="s">
        <v>1003</v>
      </c>
      <c r="BR252" s="1">
        <v>32.643999999999998</v>
      </c>
      <c r="BS252" s="1">
        <v>-115.307</v>
      </c>
      <c r="BT252" s="1">
        <v>9.9600000000000009</v>
      </c>
      <c r="BU252" s="1" t="s">
        <v>1032</v>
      </c>
      <c r="BV252" s="1" t="s">
        <v>2809</v>
      </c>
      <c r="BW252" s="1">
        <v>323</v>
      </c>
      <c r="BX252" s="1">
        <v>80</v>
      </c>
      <c r="BY252" s="1">
        <v>180</v>
      </c>
      <c r="BZ252" s="1"/>
      <c r="CA252" s="1"/>
      <c r="CB252" s="1"/>
      <c r="CC252" s="1" t="s">
        <v>2808</v>
      </c>
      <c r="CD252" s="1" t="s">
        <v>731</v>
      </c>
      <c r="CE252" s="1"/>
      <c r="CF252" s="1"/>
      <c r="CG252" s="1"/>
      <c r="CH252" s="1"/>
      <c r="CI252" s="1"/>
      <c r="CJ252" s="1" t="s">
        <v>2812</v>
      </c>
      <c r="CK252" t="s">
        <v>1263</v>
      </c>
      <c r="CL252">
        <v>9</v>
      </c>
      <c r="CM252" t="s">
        <v>2817</v>
      </c>
    </row>
    <row r="253" spans="1:91" ht="19" customHeight="1">
      <c r="A253" s="1" t="s">
        <v>3615</v>
      </c>
      <c r="B253" s="1" t="s">
        <v>3597</v>
      </c>
      <c r="C253" s="1">
        <v>10</v>
      </c>
      <c r="D253" s="1" t="s">
        <v>1037</v>
      </c>
      <c r="E253" s="1">
        <v>1979</v>
      </c>
      <c r="F253" s="1" t="s">
        <v>748</v>
      </c>
      <c r="G253" s="1" t="s">
        <v>2338</v>
      </c>
      <c r="H253" s="4">
        <v>32.792999999999999</v>
      </c>
      <c r="I253" s="4">
        <v>-115.562</v>
      </c>
      <c r="J253" s="1" t="s">
        <v>1404</v>
      </c>
      <c r="K253" s="1" t="s">
        <v>70</v>
      </c>
      <c r="L253" s="1" t="s">
        <v>2340</v>
      </c>
      <c r="M253" s="1" t="s">
        <v>3598</v>
      </c>
      <c r="N253" s="1"/>
      <c r="O253" s="1" t="s">
        <v>3095</v>
      </c>
      <c r="P253" s="1"/>
      <c r="Q253" s="4">
        <v>6.5</v>
      </c>
      <c r="R253" s="4"/>
      <c r="S253" s="4"/>
      <c r="T253" s="4"/>
      <c r="U253" s="4"/>
      <c r="V253" s="4">
        <v>7.31</v>
      </c>
      <c r="W253" s="4"/>
      <c r="X253" s="4"/>
      <c r="Y253" s="4"/>
      <c r="Z253" s="4"/>
      <c r="AA253" s="4"/>
      <c r="AB253" s="4" t="s">
        <v>1032</v>
      </c>
      <c r="AC253" s="4"/>
      <c r="AD253" s="4">
        <v>32.643999999999998</v>
      </c>
      <c r="AE253" s="4">
        <v>-115.307</v>
      </c>
      <c r="AF253" s="4">
        <v>9.9600000000000009</v>
      </c>
      <c r="AG253" s="4">
        <v>192.05</v>
      </c>
      <c r="AH253" s="27" t="b">
        <v>1</v>
      </c>
      <c r="AI253" s="4">
        <v>4.4169999999999998</v>
      </c>
      <c r="AJ253" s="27" t="b">
        <v>0</v>
      </c>
      <c r="AK253" s="4"/>
      <c r="AL253" s="27" t="b">
        <v>0</v>
      </c>
      <c r="AM253" s="4">
        <v>208.00700000000001</v>
      </c>
      <c r="AN253" s="4">
        <v>230.952</v>
      </c>
      <c r="AO253" s="4">
        <v>239.99</v>
      </c>
      <c r="AP253" s="4">
        <v>38.441499999999998</v>
      </c>
      <c r="AQ253" s="4">
        <v>73.406599999999997</v>
      </c>
      <c r="AR253" s="4">
        <v>18.9879</v>
      </c>
      <c r="AS253" s="4">
        <v>16.998699999999999</v>
      </c>
      <c r="AT253" s="4">
        <v>47.988399999999999</v>
      </c>
      <c r="AU253" s="4">
        <v>9.6099899999999998</v>
      </c>
      <c r="AV253" s="4">
        <v>-0.35887999999999998</v>
      </c>
      <c r="AW253" s="4">
        <v>-0.75933799999999996</v>
      </c>
      <c r="AX253" s="4">
        <v>4.1958000000000002E-2</v>
      </c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1" t="s">
        <v>3599</v>
      </c>
      <c r="BJ253" s="1" t="s">
        <v>3616</v>
      </c>
      <c r="BK253" s="1">
        <v>1</v>
      </c>
      <c r="BL253" s="1"/>
      <c r="BM253" s="1" t="s">
        <v>285</v>
      </c>
      <c r="BN253" s="1" t="s">
        <v>2599</v>
      </c>
      <c r="BO253" s="1" t="s">
        <v>2600</v>
      </c>
      <c r="BP253" s="1">
        <v>6.5</v>
      </c>
      <c r="BQ253" s="1" t="s">
        <v>1003</v>
      </c>
      <c r="BR253" s="1">
        <v>32.643999999999998</v>
      </c>
      <c r="BS253" s="1">
        <v>-115.307</v>
      </c>
      <c r="BT253" s="1">
        <v>9.9600000000000009</v>
      </c>
      <c r="BU253" s="1" t="s">
        <v>1032</v>
      </c>
      <c r="BV253" s="1" t="s">
        <v>2809</v>
      </c>
      <c r="BW253" s="1">
        <v>323</v>
      </c>
      <c r="BX253" s="1">
        <v>80</v>
      </c>
      <c r="BY253" s="1">
        <v>180</v>
      </c>
      <c r="BZ253" s="1"/>
      <c r="CA253" s="1"/>
      <c r="CB253" s="1"/>
      <c r="CC253" s="1" t="s">
        <v>2808</v>
      </c>
      <c r="CD253" s="1" t="s">
        <v>731</v>
      </c>
      <c r="CE253" s="1"/>
      <c r="CF253" s="1"/>
      <c r="CG253" s="1"/>
      <c r="CH253" s="1"/>
      <c r="CI253" s="1"/>
      <c r="CJ253" s="1" t="s">
        <v>2812</v>
      </c>
      <c r="CK253" t="s">
        <v>1263</v>
      </c>
      <c r="CL253">
        <v>10</v>
      </c>
      <c r="CM253" t="s">
        <v>2817</v>
      </c>
    </row>
    <row r="254" spans="1:91" ht="19" customHeight="1">
      <c r="A254" s="1" t="s">
        <v>3617</v>
      </c>
      <c r="B254" s="1" t="s">
        <v>3597</v>
      </c>
      <c r="C254" s="1">
        <v>11</v>
      </c>
      <c r="D254" s="1" t="s">
        <v>1037</v>
      </c>
      <c r="E254" s="1">
        <v>1979</v>
      </c>
      <c r="F254" s="1" t="s">
        <v>1038</v>
      </c>
      <c r="G254" s="1" t="s">
        <v>2363</v>
      </c>
      <c r="H254" s="4">
        <v>32.773000000000003</v>
      </c>
      <c r="I254" s="4">
        <v>-115.447</v>
      </c>
      <c r="J254" s="1" t="s">
        <v>1404</v>
      </c>
      <c r="K254" s="1" t="s">
        <v>70</v>
      </c>
      <c r="L254" s="1" t="s">
        <v>2365</v>
      </c>
      <c r="M254" s="1" t="s">
        <v>3598</v>
      </c>
      <c r="N254" s="1"/>
      <c r="O254" s="1" t="s">
        <v>3095</v>
      </c>
      <c r="P254" s="1"/>
      <c r="Q254" s="4">
        <v>6.5</v>
      </c>
      <c r="R254" s="4"/>
      <c r="S254" s="4"/>
      <c r="T254" s="4"/>
      <c r="U254" s="4"/>
      <c r="V254" s="4">
        <v>7.0000000000000007E-2</v>
      </c>
      <c r="W254" s="4"/>
      <c r="X254" s="4"/>
      <c r="Y254" s="4"/>
      <c r="Z254" s="4"/>
      <c r="AA254" s="4"/>
      <c r="AB254" s="4" t="s">
        <v>1032</v>
      </c>
      <c r="AC254" s="4"/>
      <c r="AD254" s="4">
        <v>32.643999999999998</v>
      </c>
      <c r="AE254" s="4">
        <v>-115.307</v>
      </c>
      <c r="AF254" s="4">
        <v>9.9600000000000009</v>
      </c>
      <c r="AG254" s="4">
        <v>264.57</v>
      </c>
      <c r="AH254" s="27" t="b">
        <v>1</v>
      </c>
      <c r="AI254" s="4">
        <v>3.423</v>
      </c>
      <c r="AJ254" s="27" t="b">
        <v>1</v>
      </c>
      <c r="AK254" s="4">
        <v>2.8490000000000002</v>
      </c>
      <c r="AL254" s="27" t="b">
        <v>0</v>
      </c>
      <c r="AM254" s="4">
        <v>311.17500000000001</v>
      </c>
      <c r="AN254" s="4">
        <v>291.93099999999998</v>
      </c>
      <c r="AO254" s="4">
        <v>244.17500000000001</v>
      </c>
      <c r="AP254" s="4">
        <v>72.959999999999994</v>
      </c>
      <c r="AQ254" s="4">
        <v>92.624200000000002</v>
      </c>
      <c r="AR254" s="4">
        <v>29.0548</v>
      </c>
      <c r="AS254" s="4">
        <v>34.904600000000002</v>
      </c>
      <c r="AT254" s="4">
        <v>34.497</v>
      </c>
      <c r="AU254" s="4">
        <v>8.6167300000000004</v>
      </c>
      <c r="AV254" s="4">
        <v>1.7187000000000001E-2</v>
      </c>
      <c r="AW254" s="4">
        <v>0.176874</v>
      </c>
      <c r="AX254" s="4">
        <v>-2.4558E-2</v>
      </c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1"/>
      <c r="BJ254" s="1" t="s">
        <v>3618</v>
      </c>
      <c r="BK254" s="1">
        <v>1</v>
      </c>
      <c r="BL254" s="1"/>
      <c r="BM254" s="1" t="s">
        <v>285</v>
      </c>
      <c r="BN254" s="1" t="s">
        <v>2599</v>
      </c>
      <c r="BO254" s="1" t="s">
        <v>2600</v>
      </c>
      <c r="BP254" s="1">
        <v>6.5</v>
      </c>
      <c r="BQ254" s="1" t="s">
        <v>1003</v>
      </c>
      <c r="BR254" s="1">
        <v>32.643999999999998</v>
      </c>
      <c r="BS254" s="1">
        <v>-115.307</v>
      </c>
      <c r="BT254" s="1">
        <v>9.9600000000000009</v>
      </c>
      <c r="BU254" s="1" t="s">
        <v>1032</v>
      </c>
      <c r="BV254" s="1" t="s">
        <v>2809</v>
      </c>
      <c r="BW254" s="1">
        <v>323</v>
      </c>
      <c r="BX254" s="1">
        <v>80</v>
      </c>
      <c r="BY254" s="1">
        <v>180</v>
      </c>
      <c r="BZ254" s="1"/>
      <c r="CA254" s="1"/>
      <c r="CB254" s="1"/>
      <c r="CC254" s="1" t="s">
        <v>2808</v>
      </c>
      <c r="CD254" s="1" t="s">
        <v>731</v>
      </c>
      <c r="CE254" s="1"/>
      <c r="CF254" s="1"/>
      <c r="CG254" s="1"/>
      <c r="CH254" s="1"/>
      <c r="CI254" s="1"/>
      <c r="CJ254" s="1" t="s">
        <v>2812</v>
      </c>
      <c r="CK254" t="s">
        <v>1263</v>
      </c>
      <c r="CL254">
        <v>11</v>
      </c>
      <c r="CM254" t="s">
        <v>2817</v>
      </c>
    </row>
    <row r="255" spans="1:91" ht="19" customHeight="1">
      <c r="A255" s="1" t="s">
        <v>3619</v>
      </c>
      <c r="B255" s="1" t="s">
        <v>3597</v>
      </c>
      <c r="C255" s="1">
        <v>12</v>
      </c>
      <c r="D255" s="1" t="s">
        <v>1037</v>
      </c>
      <c r="E255" s="1">
        <v>1979</v>
      </c>
      <c r="F255" s="1" t="s">
        <v>1039</v>
      </c>
      <c r="G255" s="1" t="s">
        <v>2341</v>
      </c>
      <c r="H255" s="4">
        <v>32.7806</v>
      </c>
      <c r="I255" s="4">
        <v>-115.5681</v>
      </c>
      <c r="J255" s="1" t="s">
        <v>1404</v>
      </c>
      <c r="K255" s="1" t="s">
        <v>70</v>
      </c>
      <c r="L255" s="1" t="s">
        <v>2343</v>
      </c>
      <c r="M255" s="1" t="s">
        <v>3598</v>
      </c>
      <c r="N255" s="1"/>
      <c r="O255" s="1" t="s">
        <v>3095</v>
      </c>
      <c r="P255" s="1"/>
      <c r="Q255" s="4">
        <v>6.5</v>
      </c>
      <c r="R255" s="4"/>
      <c r="S255" s="4"/>
      <c r="T255" s="4"/>
      <c r="U255" s="4"/>
      <c r="V255" s="4">
        <v>8.6</v>
      </c>
      <c r="W255" s="4"/>
      <c r="X255" s="4"/>
      <c r="Y255" s="4"/>
      <c r="Z255" s="4"/>
      <c r="AA255" s="4"/>
      <c r="AB255" s="4" t="s">
        <v>1032</v>
      </c>
      <c r="AC255" s="4"/>
      <c r="AD255" s="4">
        <v>32.643999999999998</v>
      </c>
      <c r="AE255" s="4">
        <v>-115.307</v>
      </c>
      <c r="AF255" s="4">
        <v>9.9600000000000009</v>
      </c>
      <c r="AG255" s="4">
        <v>202.85</v>
      </c>
      <c r="AH255" s="27" t="b">
        <v>1</v>
      </c>
      <c r="AI255" s="4">
        <v>4.5149999999999997</v>
      </c>
      <c r="AJ255" s="27" t="b">
        <v>0</v>
      </c>
      <c r="AK255" s="4"/>
      <c r="AL255" s="27" t="b">
        <v>0</v>
      </c>
      <c r="AM255" s="4">
        <v>169.85</v>
      </c>
      <c r="AN255" s="4">
        <v>227.226</v>
      </c>
      <c r="AO255" s="4">
        <v>107.727</v>
      </c>
      <c r="AP255" s="4">
        <v>50.69</v>
      </c>
      <c r="AQ255" s="4">
        <v>46.386699999999998</v>
      </c>
      <c r="AR255" s="4">
        <v>9.09483</v>
      </c>
      <c r="AS255" s="4">
        <v>35.400700000000001</v>
      </c>
      <c r="AT255" s="4">
        <v>28.7224</v>
      </c>
      <c r="AU255" s="4">
        <v>6.5915800000000004</v>
      </c>
      <c r="AV255" s="4">
        <v>0.42911899999999997</v>
      </c>
      <c r="AW255" s="4">
        <v>-3.3426999999999998E-2</v>
      </c>
      <c r="AX255" s="4">
        <v>0.15570700000000001</v>
      </c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1" t="s">
        <v>3599</v>
      </c>
      <c r="BJ255" s="1" t="s">
        <v>3620</v>
      </c>
      <c r="BK255" s="1">
        <v>1</v>
      </c>
      <c r="BL255" s="1"/>
      <c r="BM255" s="1" t="s">
        <v>285</v>
      </c>
      <c r="BN255" s="1" t="s">
        <v>2599</v>
      </c>
      <c r="BO255" s="1" t="s">
        <v>2600</v>
      </c>
      <c r="BP255" s="1">
        <v>6.5</v>
      </c>
      <c r="BQ255" s="1" t="s">
        <v>1003</v>
      </c>
      <c r="BR255" s="1">
        <v>32.643999999999998</v>
      </c>
      <c r="BS255" s="1">
        <v>-115.307</v>
      </c>
      <c r="BT255" s="1">
        <v>9.9600000000000009</v>
      </c>
      <c r="BU255" s="1" t="s">
        <v>1032</v>
      </c>
      <c r="BV255" s="1" t="s">
        <v>2809</v>
      </c>
      <c r="BW255" s="1">
        <v>323</v>
      </c>
      <c r="BX255" s="1">
        <v>80</v>
      </c>
      <c r="BY255" s="1">
        <v>180</v>
      </c>
      <c r="BZ255" s="1"/>
      <c r="CA255" s="1"/>
      <c r="CB255" s="1"/>
      <c r="CC255" s="1" t="s">
        <v>2808</v>
      </c>
      <c r="CD255" s="1" t="s">
        <v>731</v>
      </c>
      <c r="CE255" s="1"/>
      <c r="CF255" s="1"/>
      <c r="CG255" s="1"/>
      <c r="CH255" s="1"/>
      <c r="CI255" s="1"/>
      <c r="CJ255" s="1" t="s">
        <v>2812</v>
      </c>
      <c r="CK255" t="s">
        <v>1263</v>
      </c>
      <c r="CL255">
        <v>12</v>
      </c>
      <c r="CM255" t="s">
        <v>2817</v>
      </c>
    </row>
    <row r="256" spans="1:91" ht="19" customHeight="1">
      <c r="A256" s="1" t="s">
        <v>3621</v>
      </c>
      <c r="B256" s="1" t="s">
        <v>3597</v>
      </c>
      <c r="C256" s="1">
        <v>13</v>
      </c>
      <c r="D256" s="1" t="s">
        <v>1037</v>
      </c>
      <c r="E256" s="1">
        <v>1979</v>
      </c>
      <c r="F256" s="1" t="s">
        <v>1040</v>
      </c>
      <c r="G256" s="1" t="s">
        <v>2344</v>
      </c>
      <c r="H256" s="4">
        <v>32.893999999999998</v>
      </c>
      <c r="I256" s="4">
        <v>-115.38</v>
      </c>
      <c r="J256" s="1" t="s">
        <v>1404</v>
      </c>
      <c r="K256" s="1" t="s">
        <v>70</v>
      </c>
      <c r="L256" s="1" t="s">
        <v>2346</v>
      </c>
      <c r="M256" s="1" t="s">
        <v>3598</v>
      </c>
      <c r="N256" s="1"/>
      <c r="O256" s="1" t="s">
        <v>3095</v>
      </c>
      <c r="P256" s="1"/>
      <c r="Q256" s="4">
        <v>6.5</v>
      </c>
      <c r="R256" s="4"/>
      <c r="S256" s="4"/>
      <c r="T256" s="4"/>
      <c r="U256" s="4"/>
      <c r="V256" s="4">
        <v>12.85</v>
      </c>
      <c r="W256" s="4"/>
      <c r="X256" s="4"/>
      <c r="Y256" s="4"/>
      <c r="Z256" s="4"/>
      <c r="AA256" s="4"/>
      <c r="AB256" s="4" t="s">
        <v>1032</v>
      </c>
      <c r="AC256" s="4"/>
      <c r="AD256" s="4">
        <v>32.643999999999998</v>
      </c>
      <c r="AE256" s="4">
        <v>-115.307</v>
      </c>
      <c r="AF256" s="4">
        <v>9.9600000000000009</v>
      </c>
      <c r="AG256" s="4">
        <v>162.94</v>
      </c>
      <c r="AH256" s="27" t="b">
        <v>1</v>
      </c>
      <c r="AI256" s="4">
        <v>4.5010000000000003</v>
      </c>
      <c r="AJ256" s="27" t="b">
        <v>0</v>
      </c>
      <c r="AK256" s="4"/>
      <c r="AL256" s="27" t="b">
        <v>0</v>
      </c>
      <c r="AM256" s="4">
        <v>262.31099999999998</v>
      </c>
      <c r="AN256" s="4">
        <v>218.291</v>
      </c>
      <c r="AO256" s="4">
        <v>130.19499999999999</v>
      </c>
      <c r="AP256" s="4">
        <v>47.980800000000002</v>
      </c>
      <c r="AQ256" s="4">
        <v>43.299799999999998</v>
      </c>
      <c r="AR256" s="4">
        <v>9.1674000000000007</v>
      </c>
      <c r="AS256" s="4">
        <v>20.7331</v>
      </c>
      <c r="AT256" s="4">
        <v>25.5397</v>
      </c>
      <c r="AU256" s="4">
        <v>5.0441500000000001</v>
      </c>
      <c r="AV256" s="4">
        <v>-0.43337199999999998</v>
      </c>
      <c r="AW256" s="4">
        <v>0.15354100000000001</v>
      </c>
      <c r="AX256" s="4">
        <v>2.8340000000000001E-2</v>
      </c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1" t="s">
        <v>3599</v>
      </c>
      <c r="BJ256" s="1" t="s">
        <v>3622</v>
      </c>
      <c r="BK256" s="1">
        <v>1</v>
      </c>
      <c r="BL256" s="1"/>
      <c r="BM256" s="1" t="s">
        <v>285</v>
      </c>
      <c r="BN256" s="1" t="s">
        <v>2599</v>
      </c>
      <c r="BO256" s="1" t="s">
        <v>2600</v>
      </c>
      <c r="BP256" s="1">
        <v>6.5</v>
      </c>
      <c r="BQ256" s="1" t="s">
        <v>1003</v>
      </c>
      <c r="BR256" s="1">
        <v>32.643999999999998</v>
      </c>
      <c r="BS256" s="1">
        <v>-115.307</v>
      </c>
      <c r="BT256" s="1">
        <v>9.9600000000000009</v>
      </c>
      <c r="BU256" s="1" t="s">
        <v>1032</v>
      </c>
      <c r="BV256" s="1" t="s">
        <v>2809</v>
      </c>
      <c r="BW256" s="1">
        <v>323</v>
      </c>
      <c r="BX256" s="1">
        <v>80</v>
      </c>
      <c r="BY256" s="1">
        <v>180</v>
      </c>
      <c r="BZ256" s="1"/>
      <c r="CA256" s="1"/>
      <c r="CB256" s="1"/>
      <c r="CC256" s="1" t="s">
        <v>2808</v>
      </c>
      <c r="CD256" s="1" t="s">
        <v>731</v>
      </c>
      <c r="CE256" s="1"/>
      <c r="CF256" s="1"/>
      <c r="CG256" s="1"/>
      <c r="CH256" s="1"/>
      <c r="CI256" s="1"/>
      <c r="CJ256" s="1" t="s">
        <v>2812</v>
      </c>
      <c r="CK256" t="s">
        <v>1263</v>
      </c>
      <c r="CL256">
        <v>13</v>
      </c>
      <c r="CM256" t="s">
        <v>2817</v>
      </c>
    </row>
    <row r="257" spans="1:91" ht="19" customHeight="1">
      <c r="A257" s="1" t="s">
        <v>3623</v>
      </c>
      <c r="B257" s="1" t="s">
        <v>3597</v>
      </c>
      <c r="C257" s="1">
        <v>14</v>
      </c>
      <c r="D257" s="1" t="s">
        <v>1037</v>
      </c>
      <c r="E257" s="1">
        <v>1979</v>
      </c>
      <c r="F257" s="1" t="s">
        <v>1041</v>
      </c>
      <c r="G257" s="1" t="s">
        <v>2347</v>
      </c>
      <c r="H257" s="4">
        <v>32.863999999999997</v>
      </c>
      <c r="I257" s="4">
        <v>-115.432</v>
      </c>
      <c r="J257" s="1" t="s">
        <v>1404</v>
      </c>
      <c r="K257" s="1" t="s">
        <v>70</v>
      </c>
      <c r="L257" s="1" t="s">
        <v>2349</v>
      </c>
      <c r="M257" s="1" t="s">
        <v>3598</v>
      </c>
      <c r="N257" s="1"/>
      <c r="O257" s="1" t="s">
        <v>3095</v>
      </c>
      <c r="P257" s="1"/>
      <c r="Q257" s="4">
        <v>6.5</v>
      </c>
      <c r="R257" s="4"/>
      <c r="S257" s="4"/>
      <c r="T257" s="4"/>
      <c r="U257" s="4"/>
      <c r="V257" s="4">
        <v>7.05</v>
      </c>
      <c r="W257" s="4"/>
      <c r="X257" s="4"/>
      <c r="Y257" s="4"/>
      <c r="Z257" s="4"/>
      <c r="AA257" s="4"/>
      <c r="AB257" s="4" t="s">
        <v>1032</v>
      </c>
      <c r="AC257" s="4"/>
      <c r="AD257" s="4">
        <v>32.643999999999998</v>
      </c>
      <c r="AE257" s="4">
        <v>-115.307</v>
      </c>
      <c r="AF257" s="4">
        <v>9.9600000000000009</v>
      </c>
      <c r="AG257" s="4">
        <v>208.91</v>
      </c>
      <c r="AH257" s="27" t="b">
        <v>1</v>
      </c>
      <c r="AI257" s="4">
        <v>4.7880000000000003</v>
      </c>
      <c r="AJ257" s="27" t="b">
        <v>0</v>
      </c>
      <c r="AK257" s="4"/>
      <c r="AL257" s="27" t="b">
        <v>0</v>
      </c>
      <c r="AM257" s="4">
        <v>475.10899999999998</v>
      </c>
      <c r="AN257" s="4">
        <v>363.38900000000001</v>
      </c>
      <c r="AO257" s="4">
        <v>286.02800000000002</v>
      </c>
      <c r="AP257" s="4">
        <v>39.657600000000002</v>
      </c>
      <c r="AQ257" s="4">
        <v>80.423100000000005</v>
      </c>
      <c r="AR257" s="4">
        <v>16.9008</v>
      </c>
      <c r="AS257" s="4">
        <v>25.1325</v>
      </c>
      <c r="AT257" s="4">
        <v>74.225200000000001</v>
      </c>
      <c r="AU257" s="4">
        <v>11.5242</v>
      </c>
      <c r="AV257" s="4">
        <v>0.124885</v>
      </c>
      <c r="AW257" s="4">
        <v>-0.47172799999999998</v>
      </c>
      <c r="AX257" s="4">
        <v>-0.18437999999999999</v>
      </c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1" t="s">
        <v>3599</v>
      </c>
      <c r="BJ257" s="1" t="s">
        <v>3624</v>
      </c>
      <c r="BK257" s="1">
        <v>1</v>
      </c>
      <c r="BL257" s="1"/>
      <c r="BM257" s="1" t="s">
        <v>285</v>
      </c>
      <c r="BN257" s="1" t="s">
        <v>2599</v>
      </c>
      <c r="BO257" s="1" t="s">
        <v>2600</v>
      </c>
      <c r="BP257" s="1">
        <v>6.5</v>
      </c>
      <c r="BQ257" s="1" t="s">
        <v>1003</v>
      </c>
      <c r="BR257" s="1">
        <v>32.643999999999998</v>
      </c>
      <c r="BS257" s="1">
        <v>-115.307</v>
      </c>
      <c r="BT257" s="1">
        <v>9.9600000000000009</v>
      </c>
      <c r="BU257" s="1" t="s">
        <v>1032</v>
      </c>
      <c r="BV257" s="1" t="s">
        <v>2809</v>
      </c>
      <c r="BW257" s="1">
        <v>323</v>
      </c>
      <c r="BX257" s="1">
        <v>80</v>
      </c>
      <c r="BY257" s="1">
        <v>180</v>
      </c>
      <c r="BZ257" s="1"/>
      <c r="CA257" s="1"/>
      <c r="CB257" s="1"/>
      <c r="CC257" s="1" t="s">
        <v>2808</v>
      </c>
      <c r="CD257" s="1" t="s">
        <v>731</v>
      </c>
      <c r="CE257" s="1"/>
      <c r="CF257" s="1"/>
      <c r="CG257" s="1"/>
      <c r="CH257" s="1"/>
      <c r="CI257" s="1"/>
      <c r="CJ257" s="1" t="s">
        <v>2812</v>
      </c>
      <c r="CK257" t="s">
        <v>1263</v>
      </c>
      <c r="CL257">
        <v>14</v>
      </c>
      <c r="CM257" t="s">
        <v>2817</v>
      </c>
    </row>
    <row r="258" spans="1:91" ht="19" customHeight="1">
      <c r="A258" s="1" t="s">
        <v>3625</v>
      </c>
      <c r="B258" s="1" t="s">
        <v>3597</v>
      </c>
      <c r="C258" s="1">
        <v>15</v>
      </c>
      <c r="D258" s="1" t="s">
        <v>1037</v>
      </c>
      <c r="E258" s="1">
        <v>1979</v>
      </c>
      <c r="F258" s="1" t="s">
        <v>1042</v>
      </c>
      <c r="G258" s="1" t="s">
        <v>2350</v>
      </c>
      <c r="H258" s="4">
        <v>32.854999999999997</v>
      </c>
      <c r="I258" s="4">
        <v>-115.46599999999999</v>
      </c>
      <c r="J258" s="1" t="s">
        <v>1404</v>
      </c>
      <c r="K258" s="1" t="s">
        <v>70</v>
      </c>
      <c r="L258" s="1" t="s">
        <v>2352</v>
      </c>
      <c r="M258" s="1" t="s">
        <v>3598</v>
      </c>
      <c r="N258" s="1"/>
      <c r="O258" s="1" t="s">
        <v>3095</v>
      </c>
      <c r="P258" s="1"/>
      <c r="Q258" s="4">
        <v>6.5</v>
      </c>
      <c r="R258" s="4"/>
      <c r="S258" s="4"/>
      <c r="T258" s="4"/>
      <c r="U258" s="4"/>
      <c r="V258" s="4">
        <v>3.95</v>
      </c>
      <c r="W258" s="4"/>
      <c r="X258" s="4"/>
      <c r="Y258" s="4"/>
      <c r="Z258" s="4"/>
      <c r="AA258" s="4"/>
      <c r="AB258" s="4" t="s">
        <v>1032</v>
      </c>
      <c r="AC258" s="4"/>
      <c r="AD258" s="4">
        <v>32.643999999999998</v>
      </c>
      <c r="AE258" s="4">
        <v>-115.307</v>
      </c>
      <c r="AF258" s="4">
        <v>9.9600000000000009</v>
      </c>
      <c r="AG258" s="4">
        <v>205.63</v>
      </c>
      <c r="AH258" s="27" t="b">
        <v>1</v>
      </c>
      <c r="AI258" s="4">
        <v>4.13</v>
      </c>
      <c r="AJ258" s="27" t="b">
        <v>0</v>
      </c>
      <c r="AK258" s="4"/>
      <c r="AL258" s="27" t="b">
        <v>0</v>
      </c>
      <c r="AM258" s="4">
        <v>518.62599999999998</v>
      </c>
      <c r="AN258" s="4">
        <v>375.86599999999999</v>
      </c>
      <c r="AO258" s="4">
        <v>582.76300000000003</v>
      </c>
      <c r="AP258" s="4">
        <v>48.925199999999997</v>
      </c>
      <c r="AQ258" s="4">
        <v>96.917400000000001</v>
      </c>
      <c r="AR258" s="4">
        <v>39.548499999999997</v>
      </c>
      <c r="AS258" s="4">
        <v>48.850999999999999</v>
      </c>
      <c r="AT258" s="4">
        <v>75.198899999999995</v>
      </c>
      <c r="AU258" s="4">
        <v>22.3249</v>
      </c>
      <c r="AV258" s="4">
        <v>-0.46851900000000002</v>
      </c>
      <c r="AW258" s="4">
        <v>-0.19225</v>
      </c>
      <c r="AX258" s="4">
        <v>4.3921000000000002E-2</v>
      </c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1" t="s">
        <v>3599</v>
      </c>
      <c r="BJ258" s="1" t="s">
        <v>3626</v>
      </c>
      <c r="BK258" s="1">
        <v>1</v>
      </c>
      <c r="BL258" s="1"/>
      <c r="BM258" s="1" t="s">
        <v>285</v>
      </c>
      <c r="BN258" s="1" t="s">
        <v>2599</v>
      </c>
      <c r="BO258" s="1" t="s">
        <v>2600</v>
      </c>
      <c r="BP258" s="1">
        <v>6.5</v>
      </c>
      <c r="BQ258" s="1" t="s">
        <v>1003</v>
      </c>
      <c r="BR258" s="1">
        <v>32.643999999999998</v>
      </c>
      <c r="BS258" s="1">
        <v>-115.307</v>
      </c>
      <c r="BT258" s="1">
        <v>9.9600000000000009</v>
      </c>
      <c r="BU258" s="1" t="s">
        <v>1032</v>
      </c>
      <c r="BV258" s="1" t="s">
        <v>2809</v>
      </c>
      <c r="BW258" s="1">
        <v>323</v>
      </c>
      <c r="BX258" s="1">
        <v>80</v>
      </c>
      <c r="BY258" s="1">
        <v>180</v>
      </c>
      <c r="BZ258" s="1"/>
      <c r="CA258" s="1"/>
      <c r="CB258" s="1"/>
      <c r="CC258" s="1" t="s">
        <v>2808</v>
      </c>
      <c r="CD258" s="1" t="s">
        <v>731</v>
      </c>
      <c r="CE258" s="1"/>
      <c r="CF258" s="1"/>
      <c r="CG258" s="1"/>
      <c r="CH258" s="1"/>
      <c r="CI258" s="1"/>
      <c r="CJ258" s="1" t="s">
        <v>2812</v>
      </c>
      <c r="CK258" t="s">
        <v>1263</v>
      </c>
      <c r="CL258">
        <v>15</v>
      </c>
      <c r="CM258" t="s">
        <v>2817</v>
      </c>
    </row>
    <row r="259" spans="1:91" ht="19" customHeight="1">
      <c r="A259" s="1" t="s">
        <v>3627</v>
      </c>
      <c r="B259" s="1" t="s">
        <v>3597</v>
      </c>
      <c r="C259" s="1">
        <v>16</v>
      </c>
      <c r="D259" s="1" t="s">
        <v>1037</v>
      </c>
      <c r="E259" s="1">
        <v>1979</v>
      </c>
      <c r="F259" s="1" t="s">
        <v>1043</v>
      </c>
      <c r="G259" s="1" t="s">
        <v>2353</v>
      </c>
      <c r="H259" s="4">
        <v>32.838999999999999</v>
      </c>
      <c r="I259" s="4">
        <v>-115.48699999999999</v>
      </c>
      <c r="J259" s="1" t="s">
        <v>1404</v>
      </c>
      <c r="K259" s="1" t="s">
        <v>70</v>
      </c>
      <c r="L259" s="1" t="s">
        <v>2356</v>
      </c>
      <c r="M259" s="1" t="s">
        <v>3598</v>
      </c>
      <c r="N259" s="1"/>
      <c r="O259" s="1" t="s">
        <v>3095</v>
      </c>
      <c r="P259" s="1"/>
      <c r="Q259" s="4">
        <v>6.5</v>
      </c>
      <c r="R259" s="4"/>
      <c r="S259" s="4"/>
      <c r="T259" s="4"/>
      <c r="U259" s="4"/>
      <c r="V259" s="4">
        <v>1.35</v>
      </c>
      <c r="W259" s="4"/>
      <c r="X259" s="4"/>
      <c r="Y259" s="4"/>
      <c r="Z259" s="4"/>
      <c r="AA259" s="4"/>
      <c r="AB259" s="4" t="s">
        <v>1032</v>
      </c>
      <c r="AC259" s="4"/>
      <c r="AD259" s="4">
        <v>32.643999999999998</v>
      </c>
      <c r="AE259" s="4">
        <v>-115.307</v>
      </c>
      <c r="AF259" s="4">
        <v>9.9600000000000009</v>
      </c>
      <c r="AG259" s="4">
        <v>203.22</v>
      </c>
      <c r="AH259" s="27" t="b">
        <v>1</v>
      </c>
      <c r="AI259" s="4">
        <v>3.7730000000000001</v>
      </c>
      <c r="AJ259" s="27" t="b">
        <v>0</v>
      </c>
      <c r="AK259" s="4"/>
      <c r="AL259" s="27" t="b">
        <v>0</v>
      </c>
      <c r="AM259" s="4">
        <v>438.78699999999998</v>
      </c>
      <c r="AN259" s="4">
        <v>440.51100000000002</v>
      </c>
      <c r="AO259" s="4">
        <v>1858.97</v>
      </c>
      <c r="AP259" s="4">
        <v>67.0214</v>
      </c>
      <c r="AQ259" s="4">
        <v>113.554</v>
      </c>
      <c r="AR259" s="4">
        <v>64.082300000000004</v>
      </c>
      <c r="AS259" s="4">
        <v>27.881499999999999</v>
      </c>
      <c r="AT259" s="4">
        <v>72.860399999999998</v>
      </c>
      <c r="AU259" s="4">
        <v>23.678100000000001</v>
      </c>
      <c r="AV259" s="4">
        <v>1.08565</v>
      </c>
      <c r="AW259" s="4">
        <v>-0.192744</v>
      </c>
      <c r="AX259" s="4">
        <v>0.56367599999999995</v>
      </c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1" t="s">
        <v>3599</v>
      </c>
      <c r="BJ259" s="1" t="s">
        <v>3628</v>
      </c>
      <c r="BK259" s="1">
        <v>1</v>
      </c>
      <c r="BL259" s="1"/>
      <c r="BM259" s="1" t="s">
        <v>285</v>
      </c>
      <c r="BN259" s="1" t="s">
        <v>2599</v>
      </c>
      <c r="BO259" s="1" t="s">
        <v>2600</v>
      </c>
      <c r="BP259" s="1">
        <v>6.5</v>
      </c>
      <c r="BQ259" s="1" t="s">
        <v>1003</v>
      </c>
      <c r="BR259" s="1">
        <v>32.643999999999998</v>
      </c>
      <c r="BS259" s="1">
        <v>-115.307</v>
      </c>
      <c r="BT259" s="1">
        <v>9.9600000000000009</v>
      </c>
      <c r="BU259" s="1" t="s">
        <v>1032</v>
      </c>
      <c r="BV259" s="1" t="s">
        <v>2809</v>
      </c>
      <c r="BW259" s="1">
        <v>323</v>
      </c>
      <c r="BX259" s="1">
        <v>80</v>
      </c>
      <c r="BY259" s="1">
        <v>180</v>
      </c>
      <c r="BZ259" s="1"/>
      <c r="CA259" s="1"/>
      <c r="CB259" s="1"/>
      <c r="CC259" s="1" t="s">
        <v>2808</v>
      </c>
      <c r="CD259" s="1" t="s">
        <v>731</v>
      </c>
      <c r="CE259" s="1"/>
      <c r="CF259" s="1"/>
      <c r="CG259" s="1"/>
      <c r="CH259" s="1"/>
      <c r="CI259" s="1"/>
      <c r="CJ259" s="1" t="s">
        <v>2812</v>
      </c>
      <c r="CK259" t="s">
        <v>1263</v>
      </c>
      <c r="CL259">
        <v>16</v>
      </c>
      <c r="CM259" t="s">
        <v>2817</v>
      </c>
    </row>
    <row r="260" spans="1:91" ht="19" customHeight="1">
      <c r="A260" s="1" t="s">
        <v>3629</v>
      </c>
      <c r="B260" s="1" t="s">
        <v>3597</v>
      </c>
      <c r="C260" s="1">
        <v>17</v>
      </c>
      <c r="D260" s="1" t="s">
        <v>1037</v>
      </c>
      <c r="E260" s="1">
        <v>1979</v>
      </c>
      <c r="F260" s="1" t="s">
        <v>1044</v>
      </c>
      <c r="G260" s="1" t="s">
        <v>2357</v>
      </c>
      <c r="H260" s="4">
        <v>32.829000000000001</v>
      </c>
      <c r="I260" s="4">
        <v>-115.504</v>
      </c>
      <c r="J260" s="1" t="s">
        <v>1404</v>
      </c>
      <c r="K260" s="1" t="s">
        <v>70</v>
      </c>
      <c r="L260" s="1" t="s">
        <v>2359</v>
      </c>
      <c r="M260" s="1" t="s">
        <v>3598</v>
      </c>
      <c r="N260" s="1"/>
      <c r="O260" s="1" t="s">
        <v>3095</v>
      </c>
      <c r="P260" s="1"/>
      <c r="Q260" s="4">
        <v>6.5</v>
      </c>
      <c r="R260" s="4"/>
      <c r="S260" s="4"/>
      <c r="T260" s="4"/>
      <c r="U260" s="4"/>
      <c r="V260" s="4">
        <v>0.56000000000000005</v>
      </c>
      <c r="W260" s="4"/>
      <c r="X260" s="4"/>
      <c r="Y260" s="4"/>
      <c r="Z260" s="4"/>
      <c r="AA260" s="4"/>
      <c r="AB260" s="4" t="s">
        <v>1032</v>
      </c>
      <c r="AC260" s="4"/>
      <c r="AD260" s="4">
        <v>32.643999999999998</v>
      </c>
      <c r="AE260" s="4">
        <v>-115.307</v>
      </c>
      <c r="AF260" s="4">
        <v>9.9600000000000009</v>
      </c>
      <c r="AG260" s="4">
        <v>210.51</v>
      </c>
      <c r="AH260" s="27" t="b">
        <v>1</v>
      </c>
      <c r="AI260" s="4">
        <v>4.375</v>
      </c>
      <c r="AJ260" s="27" t="b">
        <v>0</v>
      </c>
      <c r="AK260" s="4"/>
      <c r="AL260" s="27" t="b">
        <v>0</v>
      </c>
      <c r="AM260" s="4">
        <v>334.334</v>
      </c>
      <c r="AN260" s="4">
        <v>460.17399999999998</v>
      </c>
      <c r="AO260" s="4">
        <v>566.90599999999995</v>
      </c>
      <c r="AP260" s="4">
        <v>51.688400000000001</v>
      </c>
      <c r="AQ260" s="4">
        <v>113.148</v>
      </c>
      <c r="AR260" s="4">
        <v>27.176500000000001</v>
      </c>
      <c r="AS260" s="4">
        <v>27.963000000000001</v>
      </c>
      <c r="AT260" s="4">
        <v>46.934199999999997</v>
      </c>
      <c r="AU260" s="4">
        <v>9.9962199999999992</v>
      </c>
      <c r="AV260" s="4">
        <v>0.37332900000000002</v>
      </c>
      <c r="AW260" s="4">
        <v>-0.16714000000000001</v>
      </c>
      <c r="AX260" s="4">
        <v>-0.230158</v>
      </c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1" t="s">
        <v>3599</v>
      </c>
      <c r="BJ260" s="1" t="s">
        <v>3630</v>
      </c>
      <c r="BK260" s="1">
        <v>1</v>
      </c>
      <c r="BL260" s="1"/>
      <c r="BM260" s="1" t="s">
        <v>285</v>
      </c>
      <c r="BN260" s="1" t="s">
        <v>2599</v>
      </c>
      <c r="BO260" s="1" t="s">
        <v>2600</v>
      </c>
      <c r="BP260" s="1">
        <v>6.5</v>
      </c>
      <c r="BQ260" s="1" t="s">
        <v>1003</v>
      </c>
      <c r="BR260" s="1">
        <v>32.643999999999998</v>
      </c>
      <c r="BS260" s="1">
        <v>-115.307</v>
      </c>
      <c r="BT260" s="1">
        <v>9.9600000000000009</v>
      </c>
      <c r="BU260" s="1" t="s">
        <v>1032</v>
      </c>
      <c r="BV260" s="1" t="s">
        <v>2809</v>
      </c>
      <c r="BW260" s="1">
        <v>323</v>
      </c>
      <c r="BX260" s="1">
        <v>80</v>
      </c>
      <c r="BY260" s="1">
        <v>180</v>
      </c>
      <c r="BZ260" s="1"/>
      <c r="CA260" s="1"/>
      <c r="CB260" s="1"/>
      <c r="CC260" s="1" t="s">
        <v>2808</v>
      </c>
      <c r="CD260" s="1" t="s">
        <v>731</v>
      </c>
      <c r="CE260" s="1"/>
      <c r="CF260" s="1"/>
      <c r="CG260" s="1"/>
      <c r="CH260" s="1"/>
      <c r="CI260" s="1"/>
      <c r="CJ260" s="1" t="s">
        <v>2812</v>
      </c>
      <c r="CK260" t="s">
        <v>1263</v>
      </c>
      <c r="CL260">
        <v>17</v>
      </c>
      <c r="CM260" t="s">
        <v>2817</v>
      </c>
    </row>
    <row r="261" spans="1:91" ht="19" customHeight="1">
      <c r="A261" s="1" t="s">
        <v>3631</v>
      </c>
      <c r="B261" s="1" t="s">
        <v>3597</v>
      </c>
      <c r="C261" s="1">
        <v>18</v>
      </c>
      <c r="D261" s="1" t="s">
        <v>1037</v>
      </c>
      <c r="E261" s="1">
        <v>1979</v>
      </c>
      <c r="F261" s="1" t="s">
        <v>756</v>
      </c>
      <c r="G261" s="1" t="s">
        <v>2360</v>
      </c>
      <c r="H261" s="4">
        <v>32.795999999999999</v>
      </c>
      <c r="I261" s="4">
        <v>-115.535</v>
      </c>
      <c r="J261" s="1" t="s">
        <v>1404</v>
      </c>
      <c r="K261" s="1" t="s">
        <v>70</v>
      </c>
      <c r="L261" s="1" t="s">
        <v>2362</v>
      </c>
      <c r="M261" s="1" t="s">
        <v>3598</v>
      </c>
      <c r="N261" s="1"/>
      <c r="O261" s="1" t="s">
        <v>3095</v>
      </c>
      <c r="P261" s="1"/>
      <c r="Q261" s="4">
        <v>6.5</v>
      </c>
      <c r="R261" s="4"/>
      <c r="S261" s="4"/>
      <c r="T261" s="4"/>
      <c r="U261" s="4"/>
      <c r="V261" s="4">
        <v>5.09</v>
      </c>
      <c r="W261" s="4"/>
      <c r="X261" s="4"/>
      <c r="Y261" s="4"/>
      <c r="Z261" s="4"/>
      <c r="AA261" s="4"/>
      <c r="AB261" s="4" t="s">
        <v>1032</v>
      </c>
      <c r="AC261" s="4"/>
      <c r="AD261" s="4">
        <v>32.643999999999998</v>
      </c>
      <c r="AE261" s="4">
        <v>-115.307</v>
      </c>
      <c r="AF261" s="4">
        <v>9.9600000000000009</v>
      </c>
      <c r="AG261" s="4">
        <v>202.26</v>
      </c>
      <c r="AH261" s="27" t="b">
        <v>1</v>
      </c>
      <c r="AI261" s="4">
        <v>6.2649999999999997</v>
      </c>
      <c r="AJ261" s="27" t="b">
        <v>0</v>
      </c>
      <c r="AK261" s="4"/>
      <c r="AL261" s="27" t="b">
        <v>0</v>
      </c>
      <c r="AM261" s="4">
        <v>345.91800000000001</v>
      </c>
      <c r="AN261" s="4">
        <v>472.20800000000003</v>
      </c>
      <c r="AO261" s="4">
        <v>755.12</v>
      </c>
      <c r="AP261" s="4">
        <v>75.600499999999997</v>
      </c>
      <c r="AQ261" s="4">
        <v>40.952800000000003</v>
      </c>
      <c r="AR261" s="4">
        <v>21.5808</v>
      </c>
      <c r="AS261" s="4">
        <v>57.106699999999996</v>
      </c>
      <c r="AT261" s="4">
        <v>16.401399999999999</v>
      </c>
      <c r="AU261" s="4">
        <v>13.5916</v>
      </c>
      <c r="AV261" s="4">
        <v>-0.103405</v>
      </c>
      <c r="AW261" s="4">
        <v>0.442162</v>
      </c>
      <c r="AX261" s="4">
        <v>-7.8718999999999997E-2</v>
      </c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1" t="s">
        <v>3599</v>
      </c>
      <c r="BJ261" s="1" t="s">
        <v>3632</v>
      </c>
      <c r="BK261" s="1">
        <v>1</v>
      </c>
      <c r="BL261" s="1"/>
      <c r="BM261" s="1" t="s">
        <v>285</v>
      </c>
      <c r="BN261" s="1" t="s">
        <v>2599</v>
      </c>
      <c r="BO261" s="1" t="s">
        <v>2600</v>
      </c>
      <c r="BP261" s="1">
        <v>6.5</v>
      </c>
      <c r="BQ261" s="1" t="s">
        <v>1003</v>
      </c>
      <c r="BR261" s="1">
        <v>32.643999999999998</v>
      </c>
      <c r="BS261" s="1">
        <v>-115.307</v>
      </c>
      <c r="BT261" s="1">
        <v>9.9600000000000009</v>
      </c>
      <c r="BU261" s="1" t="s">
        <v>1032</v>
      </c>
      <c r="BV261" s="1" t="s">
        <v>2809</v>
      </c>
      <c r="BW261" s="1">
        <v>323</v>
      </c>
      <c r="BX261" s="1">
        <v>80</v>
      </c>
      <c r="BY261" s="1">
        <v>180</v>
      </c>
      <c r="BZ261" s="1"/>
      <c r="CA261" s="1"/>
      <c r="CB261" s="1"/>
      <c r="CC261" s="1" t="s">
        <v>2808</v>
      </c>
      <c r="CD261" s="1" t="s">
        <v>731</v>
      </c>
      <c r="CE261" s="1"/>
      <c r="CF261" s="1"/>
      <c r="CG261" s="1"/>
      <c r="CH261" s="1"/>
      <c r="CI261" s="1"/>
      <c r="CJ261" s="1" t="s">
        <v>2812</v>
      </c>
      <c r="CK261" t="s">
        <v>1263</v>
      </c>
      <c r="CL261">
        <v>18</v>
      </c>
      <c r="CM261" t="s">
        <v>2817</v>
      </c>
    </row>
    <row r="262" spans="1:91" ht="19" customHeight="1">
      <c r="A262" s="1" t="s">
        <v>3633</v>
      </c>
      <c r="B262" s="1" t="s">
        <v>3597</v>
      </c>
      <c r="C262" s="1">
        <v>19</v>
      </c>
      <c r="D262" s="1" t="s">
        <v>1037</v>
      </c>
      <c r="E262" s="1">
        <v>1979</v>
      </c>
      <c r="F262" s="1" t="s">
        <v>757</v>
      </c>
      <c r="G262" s="1" t="s">
        <v>2389</v>
      </c>
      <c r="H262" s="4">
        <v>32.811399999999999</v>
      </c>
      <c r="I262" s="4">
        <v>-115.37860000000001</v>
      </c>
      <c r="J262" s="1" t="s">
        <v>1404</v>
      </c>
      <c r="K262" s="1" t="s">
        <v>70</v>
      </c>
      <c r="L262" s="1" t="s">
        <v>2391</v>
      </c>
      <c r="M262" s="1" t="s">
        <v>3598</v>
      </c>
      <c r="N262" s="1"/>
      <c r="O262" s="1" t="s">
        <v>3095</v>
      </c>
      <c r="P262" s="1"/>
      <c r="Q262" s="4">
        <v>6.5</v>
      </c>
      <c r="R262" s="4"/>
      <c r="S262" s="4"/>
      <c r="T262" s="4"/>
      <c r="U262" s="4"/>
      <c r="V262" s="4">
        <v>7.5</v>
      </c>
      <c r="W262" s="4"/>
      <c r="X262" s="4"/>
      <c r="Y262" s="4"/>
      <c r="Z262" s="4"/>
      <c r="AA262" s="4"/>
      <c r="AB262" s="4" t="s">
        <v>1032</v>
      </c>
      <c r="AC262" s="4"/>
      <c r="AD262" s="4">
        <v>32.643999999999998</v>
      </c>
      <c r="AE262" s="4">
        <v>-115.307</v>
      </c>
      <c r="AF262" s="4">
        <v>9.9600000000000009</v>
      </c>
      <c r="AG262" s="4">
        <v>202.89</v>
      </c>
      <c r="AH262" s="27" t="b">
        <v>1</v>
      </c>
      <c r="AI262" s="4">
        <v>4.8230000000000004</v>
      </c>
      <c r="AJ262" s="27" t="b">
        <v>0</v>
      </c>
      <c r="AK262" s="4"/>
      <c r="AL262" s="27" t="b">
        <v>0</v>
      </c>
      <c r="AM262" s="4">
        <v>253.24799999999999</v>
      </c>
      <c r="AN262" s="4">
        <v>217.24299999999999</v>
      </c>
      <c r="AO262" s="4">
        <v>252.071</v>
      </c>
      <c r="AP262" s="4">
        <v>53.153399999999998</v>
      </c>
      <c r="AQ262" s="4">
        <v>51.464599999999997</v>
      </c>
      <c r="AR262" s="4">
        <v>9.8783600000000007</v>
      </c>
      <c r="AS262" s="4">
        <v>39.135899999999999</v>
      </c>
      <c r="AT262" s="4">
        <v>35.788800000000002</v>
      </c>
      <c r="AU262" s="4">
        <v>5.6381300000000003</v>
      </c>
      <c r="AV262" s="4">
        <v>0.60206199999999999</v>
      </c>
      <c r="AW262" s="4">
        <v>-0.40978700000000001</v>
      </c>
      <c r="AX262" s="4">
        <v>-0.13161100000000001</v>
      </c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1" t="s">
        <v>3599</v>
      </c>
      <c r="BJ262" s="1" t="s">
        <v>3634</v>
      </c>
      <c r="BK262" s="1">
        <v>1</v>
      </c>
      <c r="BL262" s="1"/>
      <c r="BM262" s="1" t="s">
        <v>285</v>
      </c>
      <c r="BN262" s="1" t="s">
        <v>2599</v>
      </c>
      <c r="BO262" s="1" t="s">
        <v>2600</v>
      </c>
      <c r="BP262" s="1">
        <v>6.5</v>
      </c>
      <c r="BQ262" s="1" t="s">
        <v>1003</v>
      </c>
      <c r="BR262" s="1">
        <v>32.643999999999998</v>
      </c>
      <c r="BS262" s="1">
        <v>-115.307</v>
      </c>
      <c r="BT262" s="1">
        <v>9.9600000000000009</v>
      </c>
      <c r="BU262" s="1" t="s">
        <v>1032</v>
      </c>
      <c r="BV262" s="1" t="s">
        <v>2809</v>
      </c>
      <c r="BW262" s="1">
        <v>323</v>
      </c>
      <c r="BX262" s="1">
        <v>80</v>
      </c>
      <c r="BY262" s="1">
        <v>180</v>
      </c>
      <c r="BZ262" s="1"/>
      <c r="CA262" s="1"/>
      <c r="CB262" s="1"/>
      <c r="CC262" s="1" t="s">
        <v>2808</v>
      </c>
      <c r="CD262" s="1" t="s">
        <v>731</v>
      </c>
      <c r="CE262" s="1"/>
      <c r="CF262" s="1"/>
      <c r="CG262" s="1"/>
      <c r="CH262" s="1"/>
      <c r="CI262" s="1"/>
      <c r="CJ262" s="1" t="s">
        <v>2812</v>
      </c>
      <c r="CK262" t="s">
        <v>1263</v>
      </c>
      <c r="CL262">
        <v>19</v>
      </c>
      <c r="CM262" t="s">
        <v>2817</v>
      </c>
    </row>
    <row r="263" spans="1:91" ht="19" customHeight="1">
      <c r="A263" s="1" t="s">
        <v>3635</v>
      </c>
      <c r="B263" s="1" t="s">
        <v>3597</v>
      </c>
      <c r="C263" s="1">
        <v>20</v>
      </c>
      <c r="D263" s="1" t="s">
        <v>1045</v>
      </c>
      <c r="E263" s="1">
        <v>1979</v>
      </c>
      <c r="F263" s="1" t="s">
        <v>738</v>
      </c>
      <c r="G263" s="1" t="s">
        <v>1571</v>
      </c>
      <c r="H263" s="4">
        <v>42.094999999999999</v>
      </c>
      <c r="I263" s="4">
        <v>19.100999999999999</v>
      </c>
      <c r="J263" s="1" t="s">
        <v>1404</v>
      </c>
      <c r="K263" s="1" t="s">
        <v>70</v>
      </c>
      <c r="L263" s="1" t="s">
        <v>1573</v>
      </c>
      <c r="M263" s="1" t="s">
        <v>3598</v>
      </c>
      <c r="N263" s="1"/>
      <c r="O263" s="1" t="s">
        <v>3095</v>
      </c>
      <c r="P263" s="1"/>
      <c r="Q263" s="4">
        <v>7.1</v>
      </c>
      <c r="R263" s="4"/>
      <c r="S263" s="4"/>
      <c r="T263" s="4"/>
      <c r="U263" s="4"/>
      <c r="V263" s="4">
        <v>6.98</v>
      </c>
      <c r="W263" s="4"/>
      <c r="X263" s="4"/>
      <c r="Y263" s="4"/>
      <c r="Z263" s="4"/>
      <c r="AA263" s="4"/>
      <c r="AB263" s="4" t="s">
        <v>1028</v>
      </c>
      <c r="AC263" s="4"/>
      <c r="AD263" s="4">
        <v>42.04</v>
      </c>
      <c r="AE263" s="4">
        <v>19.21</v>
      </c>
      <c r="AF263" s="4">
        <v>7</v>
      </c>
      <c r="AG263" s="4">
        <v>462.23</v>
      </c>
      <c r="AH263" s="27" t="b">
        <v>1</v>
      </c>
      <c r="AI263" s="4">
        <v>1.4419999999999999</v>
      </c>
      <c r="AJ263" s="27" t="b">
        <v>0</v>
      </c>
      <c r="AK263" s="4"/>
      <c r="AL263" s="27" t="b">
        <v>0</v>
      </c>
      <c r="AM263" s="4">
        <v>365.334</v>
      </c>
      <c r="AN263" s="4">
        <v>360.75700000000001</v>
      </c>
      <c r="AO263" s="4">
        <v>239.10900000000001</v>
      </c>
      <c r="AP263" s="4">
        <v>41.2879</v>
      </c>
      <c r="AQ263" s="4">
        <v>52.893999999999998</v>
      </c>
      <c r="AR263" s="4">
        <v>14.2166</v>
      </c>
      <c r="AS263" s="4">
        <v>10.331899999999999</v>
      </c>
      <c r="AT263" s="4">
        <v>15.922700000000001</v>
      </c>
      <c r="AU263" s="4">
        <v>3.1718899999999999</v>
      </c>
      <c r="AV263" s="4">
        <v>0.31568499999999999</v>
      </c>
      <c r="AW263" s="4">
        <v>0.20533100000000001</v>
      </c>
      <c r="AX263" s="4">
        <v>0.71602500000000002</v>
      </c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1" t="s">
        <v>3599</v>
      </c>
      <c r="BJ263" s="1" t="s">
        <v>3636</v>
      </c>
      <c r="BK263" s="1">
        <v>1</v>
      </c>
      <c r="BL263" s="1"/>
      <c r="BM263" s="1" t="s">
        <v>298</v>
      </c>
      <c r="BN263" s="1" t="s">
        <v>2589</v>
      </c>
      <c r="BO263" s="1" t="s">
        <v>2590</v>
      </c>
      <c r="BP263" s="1">
        <v>7.1</v>
      </c>
      <c r="BQ263" s="1" t="s">
        <v>1003</v>
      </c>
      <c r="BR263" s="1">
        <v>42.04</v>
      </c>
      <c r="BS263" s="1">
        <v>19.21</v>
      </c>
      <c r="BT263" s="1">
        <v>7</v>
      </c>
      <c r="BU263" s="1" t="s">
        <v>1028</v>
      </c>
      <c r="BV263" s="1" t="s">
        <v>2809</v>
      </c>
      <c r="BW263" s="1">
        <v>300</v>
      </c>
      <c r="BX263" s="1">
        <v>14</v>
      </c>
      <c r="BY263" s="1">
        <v>88</v>
      </c>
      <c r="BZ263" s="1"/>
      <c r="CA263" s="1"/>
      <c r="CB263" s="1"/>
      <c r="CC263" s="1" t="s">
        <v>2808</v>
      </c>
      <c r="CD263" s="1" t="s">
        <v>731</v>
      </c>
      <c r="CE263" s="1"/>
      <c r="CF263" s="1"/>
      <c r="CG263" s="1"/>
      <c r="CH263" s="1"/>
      <c r="CI263" s="1"/>
      <c r="CJ263" s="1" t="s">
        <v>2812</v>
      </c>
      <c r="CK263" t="s">
        <v>1263</v>
      </c>
      <c r="CL263">
        <v>20</v>
      </c>
      <c r="CM263" t="s">
        <v>2818</v>
      </c>
    </row>
    <row r="264" spans="1:91" ht="19" customHeight="1">
      <c r="A264" s="1" t="s">
        <v>3637</v>
      </c>
      <c r="B264" s="1" t="s">
        <v>3597</v>
      </c>
      <c r="C264" s="1">
        <v>21</v>
      </c>
      <c r="D264" s="1" t="s">
        <v>1045</v>
      </c>
      <c r="E264" s="1">
        <v>1979</v>
      </c>
      <c r="F264" s="1" t="s">
        <v>739</v>
      </c>
      <c r="G264" s="1" t="s">
        <v>1574</v>
      </c>
      <c r="H264" s="4">
        <v>41.911000000000001</v>
      </c>
      <c r="I264" s="4">
        <v>19.248999999999999</v>
      </c>
      <c r="J264" s="1" t="s">
        <v>1404</v>
      </c>
      <c r="K264" s="1" t="s">
        <v>70</v>
      </c>
      <c r="L264" s="1" t="s">
        <v>1576</v>
      </c>
      <c r="M264" s="1" t="s">
        <v>3598</v>
      </c>
      <c r="N264" s="1"/>
      <c r="O264" s="1" t="s">
        <v>3095</v>
      </c>
      <c r="P264" s="1"/>
      <c r="Q264" s="4">
        <v>7.1</v>
      </c>
      <c r="R264" s="4"/>
      <c r="S264" s="4"/>
      <c r="T264" s="4"/>
      <c r="U264" s="4"/>
      <c r="V264" s="4">
        <v>5.76</v>
      </c>
      <c r="W264" s="4"/>
      <c r="X264" s="4"/>
      <c r="Y264" s="4"/>
      <c r="Z264" s="4"/>
      <c r="AA264" s="4"/>
      <c r="AB264" s="4" t="s">
        <v>1028</v>
      </c>
      <c r="AC264" s="4"/>
      <c r="AD264" s="4">
        <v>42.04</v>
      </c>
      <c r="AE264" s="4">
        <v>19.21</v>
      </c>
      <c r="AF264" s="4">
        <v>7</v>
      </c>
      <c r="AG264" s="4">
        <v>318.74</v>
      </c>
      <c r="AH264" s="27" t="b">
        <v>1</v>
      </c>
      <c r="AI264" s="4">
        <v>1.974</v>
      </c>
      <c r="AJ264" s="27" t="b">
        <v>0</v>
      </c>
      <c r="AK264" s="4"/>
      <c r="AL264" s="27" t="b">
        <v>0</v>
      </c>
      <c r="AM264" s="4">
        <v>287.18400000000003</v>
      </c>
      <c r="AN264" s="4">
        <v>243.636</v>
      </c>
      <c r="AO264" s="4">
        <v>451.976</v>
      </c>
      <c r="AP264" s="4">
        <v>43.602699999999999</v>
      </c>
      <c r="AQ264" s="4">
        <v>51.641399999999997</v>
      </c>
      <c r="AR264" s="4">
        <v>15.543699999999999</v>
      </c>
      <c r="AS264" s="4">
        <v>16.848600000000001</v>
      </c>
      <c r="AT264" s="4">
        <v>19.194400000000002</v>
      </c>
      <c r="AU264" s="4">
        <v>6.3602299999999996</v>
      </c>
      <c r="AV264" s="4">
        <v>1.8933500000000001</v>
      </c>
      <c r="AW264" s="4">
        <v>0.56706599999999996</v>
      </c>
      <c r="AX264" s="4">
        <v>2.8255400000000002</v>
      </c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1" t="s">
        <v>3599</v>
      </c>
      <c r="BJ264" s="1" t="s">
        <v>3638</v>
      </c>
      <c r="BK264" s="1">
        <v>1</v>
      </c>
      <c r="BL264" s="1"/>
      <c r="BM264" s="1" t="s">
        <v>298</v>
      </c>
      <c r="BN264" s="1" t="s">
        <v>2589</v>
      </c>
      <c r="BO264" s="1" t="s">
        <v>2590</v>
      </c>
      <c r="BP264" s="1">
        <v>7.1</v>
      </c>
      <c r="BQ264" s="1" t="s">
        <v>1003</v>
      </c>
      <c r="BR264" s="1">
        <v>42.04</v>
      </c>
      <c r="BS264" s="1">
        <v>19.21</v>
      </c>
      <c r="BT264" s="1">
        <v>7</v>
      </c>
      <c r="BU264" s="1" t="s">
        <v>1028</v>
      </c>
      <c r="BV264" s="1" t="s">
        <v>2809</v>
      </c>
      <c r="BW264" s="1">
        <v>300</v>
      </c>
      <c r="BX264" s="1">
        <v>14</v>
      </c>
      <c r="BY264" s="1">
        <v>88</v>
      </c>
      <c r="BZ264" s="1"/>
      <c r="CA264" s="1"/>
      <c r="CB264" s="1"/>
      <c r="CC264" s="1" t="s">
        <v>2808</v>
      </c>
      <c r="CD264" s="1" t="s">
        <v>731</v>
      </c>
      <c r="CE264" s="1"/>
      <c r="CF264" s="1"/>
      <c r="CG264" s="1"/>
      <c r="CH264" s="1"/>
      <c r="CI264" s="1"/>
      <c r="CJ264" s="1" t="s">
        <v>2812</v>
      </c>
      <c r="CK264" t="s">
        <v>1263</v>
      </c>
      <c r="CL264">
        <v>21</v>
      </c>
      <c r="CM264" t="s">
        <v>2818</v>
      </c>
    </row>
    <row r="265" spans="1:91" ht="19" customHeight="1">
      <c r="A265" s="1" t="s">
        <v>3639</v>
      </c>
      <c r="B265" s="1" t="s">
        <v>3597</v>
      </c>
      <c r="C265" s="1">
        <v>22</v>
      </c>
      <c r="D265" s="1" t="s">
        <v>1046</v>
      </c>
      <c r="E265" s="1">
        <v>1980</v>
      </c>
      <c r="F265" s="1" t="s">
        <v>759</v>
      </c>
      <c r="G265" s="1" t="s">
        <v>1412</v>
      </c>
      <c r="H265" s="4">
        <v>40.820999999999998</v>
      </c>
      <c r="I265" s="4">
        <v>15.069000000000001</v>
      </c>
      <c r="J265" s="1" t="s">
        <v>1404</v>
      </c>
      <c r="K265" s="1" t="s">
        <v>70</v>
      </c>
      <c r="L265" s="1" t="s">
        <v>1414</v>
      </c>
      <c r="M265" s="1" t="s">
        <v>3598</v>
      </c>
      <c r="N265" s="1"/>
      <c r="O265" s="1" t="s">
        <v>3095</v>
      </c>
      <c r="P265" s="1"/>
      <c r="Q265" s="4">
        <v>6.9</v>
      </c>
      <c r="R265" s="4"/>
      <c r="S265" s="4"/>
      <c r="T265" s="4"/>
      <c r="U265" s="4"/>
      <c r="V265" s="4">
        <v>8.18</v>
      </c>
      <c r="W265" s="4"/>
      <c r="X265" s="4"/>
      <c r="Y265" s="4"/>
      <c r="Z265" s="4"/>
      <c r="AA265" s="4"/>
      <c r="AB265" s="4" t="s">
        <v>1047</v>
      </c>
      <c r="AC265" s="4"/>
      <c r="AD265" s="4">
        <v>40.805900000000001</v>
      </c>
      <c r="AE265" s="4">
        <v>15.337199999999999</v>
      </c>
      <c r="AF265" s="4">
        <v>9.5</v>
      </c>
      <c r="AG265" s="4">
        <v>649.66999999999996</v>
      </c>
      <c r="AH265" s="27" t="b">
        <v>1</v>
      </c>
      <c r="AI265" s="4">
        <v>1.71332</v>
      </c>
      <c r="AJ265" s="27" t="b">
        <v>0</v>
      </c>
      <c r="AK265" s="4"/>
      <c r="AL265" s="27" t="b">
        <v>0</v>
      </c>
      <c r="AM265" s="4">
        <v>127.18899999999999</v>
      </c>
      <c r="AN265" s="4">
        <v>186.142</v>
      </c>
      <c r="AO265" s="4">
        <v>104.48699999999999</v>
      </c>
      <c r="AP265" s="4">
        <v>23.604199999999999</v>
      </c>
      <c r="AQ265" s="4">
        <v>34.705800000000004</v>
      </c>
      <c r="AR265" s="4">
        <v>15.851800000000001</v>
      </c>
      <c r="AS265" s="4">
        <v>13.1212</v>
      </c>
      <c r="AT265" s="4">
        <v>13.7377</v>
      </c>
      <c r="AU265" s="4">
        <v>8.23672</v>
      </c>
      <c r="AV265" s="4">
        <v>0.21718399999999999</v>
      </c>
      <c r="AW265" s="4">
        <v>9.7798999999999997E-2</v>
      </c>
      <c r="AX265" s="4">
        <v>0.22112200000000001</v>
      </c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1" t="s">
        <v>3599</v>
      </c>
      <c r="BJ265" s="1" t="s">
        <v>3640</v>
      </c>
      <c r="BK265" s="1">
        <v>1</v>
      </c>
      <c r="BL265" s="1"/>
      <c r="BM265" s="1" t="s">
        <v>305</v>
      </c>
      <c r="BN265" s="1" t="s">
        <v>2609</v>
      </c>
      <c r="BO265" s="1" t="s">
        <v>2610</v>
      </c>
      <c r="BP265" s="1">
        <v>6.9</v>
      </c>
      <c r="BQ265" s="1" t="s">
        <v>1003</v>
      </c>
      <c r="BR265" s="1">
        <v>40.805900000000001</v>
      </c>
      <c r="BS265" s="1">
        <v>15.337199999999999</v>
      </c>
      <c r="BT265" s="1">
        <v>9.5</v>
      </c>
      <c r="BU265" s="1" t="s">
        <v>1047</v>
      </c>
      <c r="BV265" s="1" t="s">
        <v>2809</v>
      </c>
      <c r="BW265" s="1">
        <v>312.8</v>
      </c>
      <c r="BX265" s="1">
        <v>60</v>
      </c>
      <c r="BY265" s="1">
        <v>-90</v>
      </c>
      <c r="BZ265" s="1"/>
      <c r="CA265" s="1"/>
      <c r="CB265" s="1"/>
      <c r="CC265" s="1" t="s">
        <v>2808</v>
      </c>
      <c r="CD265" s="1" t="s">
        <v>731</v>
      </c>
      <c r="CE265" s="1"/>
      <c r="CF265" s="1"/>
      <c r="CG265" s="1"/>
      <c r="CH265" s="1"/>
      <c r="CI265" s="1"/>
      <c r="CJ265" s="1" t="s">
        <v>2812</v>
      </c>
      <c r="CK265" t="s">
        <v>1263</v>
      </c>
      <c r="CL265">
        <v>22</v>
      </c>
      <c r="CM265" t="s">
        <v>2819</v>
      </c>
    </row>
    <row r="266" spans="1:91" ht="19" customHeight="1">
      <c r="A266" s="1" t="s">
        <v>3641</v>
      </c>
      <c r="B266" s="1" t="s">
        <v>3597</v>
      </c>
      <c r="C266" s="1">
        <v>23</v>
      </c>
      <c r="D266" s="1" t="s">
        <v>1046</v>
      </c>
      <c r="E266" s="1">
        <v>1980</v>
      </c>
      <c r="F266" s="1" t="s">
        <v>761</v>
      </c>
      <c r="G266" s="1" t="s">
        <v>1424</v>
      </c>
      <c r="H266" s="4">
        <v>41.0184</v>
      </c>
      <c r="I266" s="4">
        <v>15.111700000000001</v>
      </c>
      <c r="J266" s="1" t="s">
        <v>1404</v>
      </c>
      <c r="K266" s="1" t="s">
        <v>70</v>
      </c>
      <c r="L266" s="1" t="s">
        <v>1426</v>
      </c>
      <c r="M266" s="1" t="s">
        <v>3598</v>
      </c>
      <c r="N266" s="1"/>
      <c r="O266" s="1" t="s">
        <v>3095</v>
      </c>
      <c r="P266" s="1"/>
      <c r="Q266" s="4">
        <v>6.9</v>
      </c>
      <c r="R266" s="4"/>
      <c r="S266" s="4"/>
      <c r="T266" s="4"/>
      <c r="U266" s="4"/>
      <c r="V266" s="4">
        <v>10.84</v>
      </c>
      <c r="W266" s="4"/>
      <c r="X266" s="4"/>
      <c r="Y266" s="4"/>
      <c r="Z266" s="4"/>
      <c r="AA266" s="4"/>
      <c r="AB266" s="4" t="s">
        <v>1047</v>
      </c>
      <c r="AC266" s="4"/>
      <c r="AD266" s="4">
        <v>40.805900000000001</v>
      </c>
      <c r="AE266" s="4">
        <v>15.337199999999999</v>
      </c>
      <c r="AF266" s="4">
        <v>9.5</v>
      </c>
      <c r="AG266" s="4">
        <v>382</v>
      </c>
      <c r="AH266" s="27" t="b">
        <v>1</v>
      </c>
      <c r="AI266" s="4">
        <v>3.27264</v>
      </c>
      <c r="AJ266" s="27" t="b">
        <v>0</v>
      </c>
      <c r="AK266" s="4"/>
      <c r="AL266" s="27" t="b">
        <v>0</v>
      </c>
      <c r="AM266" s="4">
        <v>222.351</v>
      </c>
      <c r="AN266" s="4">
        <v>314.43200000000002</v>
      </c>
      <c r="AO266" s="4">
        <v>230.488</v>
      </c>
      <c r="AP266" s="4">
        <v>36.986199999999997</v>
      </c>
      <c r="AQ266" s="4">
        <v>71.956999999999994</v>
      </c>
      <c r="AR266" s="4">
        <v>24.020900000000001</v>
      </c>
      <c r="AS266" s="4">
        <v>13.107799999999999</v>
      </c>
      <c r="AT266" s="4">
        <v>29.3064</v>
      </c>
      <c r="AU266" s="4">
        <v>10.4964</v>
      </c>
      <c r="AV266" s="4">
        <v>0.361929</v>
      </c>
      <c r="AW266" s="4">
        <v>-1.2102999999999999E-2</v>
      </c>
      <c r="AX266" s="4">
        <v>0.287101</v>
      </c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1" t="s">
        <v>3599</v>
      </c>
      <c r="BJ266" s="1" t="s">
        <v>3642</v>
      </c>
      <c r="BK266" s="1">
        <v>1</v>
      </c>
      <c r="BL266" s="1"/>
      <c r="BM266" s="1" t="s">
        <v>305</v>
      </c>
      <c r="BN266" s="1" t="s">
        <v>2609</v>
      </c>
      <c r="BO266" s="1" t="s">
        <v>2610</v>
      </c>
      <c r="BP266" s="1">
        <v>6.9</v>
      </c>
      <c r="BQ266" s="1" t="s">
        <v>1003</v>
      </c>
      <c r="BR266" s="1">
        <v>40.805900000000001</v>
      </c>
      <c r="BS266" s="1">
        <v>15.337199999999999</v>
      </c>
      <c r="BT266" s="1">
        <v>9.5</v>
      </c>
      <c r="BU266" s="1" t="s">
        <v>1047</v>
      </c>
      <c r="BV266" s="1" t="s">
        <v>2809</v>
      </c>
      <c r="BW266" s="1">
        <v>312.8</v>
      </c>
      <c r="BX266" s="1">
        <v>60</v>
      </c>
      <c r="BY266" s="1">
        <v>-90</v>
      </c>
      <c r="BZ266" s="1"/>
      <c r="CA266" s="1"/>
      <c r="CB266" s="1"/>
      <c r="CC266" s="1" t="s">
        <v>2808</v>
      </c>
      <c r="CD266" s="1" t="s">
        <v>731</v>
      </c>
      <c r="CE266" s="1"/>
      <c r="CF266" s="1"/>
      <c r="CG266" s="1"/>
      <c r="CH266" s="1"/>
      <c r="CI266" s="1"/>
      <c r="CJ266" s="1" t="s">
        <v>2812</v>
      </c>
      <c r="CK266" t="s">
        <v>1263</v>
      </c>
      <c r="CL266">
        <v>23</v>
      </c>
      <c r="CM266" t="s">
        <v>2819</v>
      </c>
    </row>
    <row r="267" spans="1:91" ht="19" customHeight="1">
      <c r="A267" s="1" t="s">
        <v>3643</v>
      </c>
      <c r="B267" s="1" t="s">
        <v>3597</v>
      </c>
      <c r="C267" s="1">
        <v>24</v>
      </c>
      <c r="D267" s="1" t="s">
        <v>1048</v>
      </c>
      <c r="E267" s="1">
        <v>1981</v>
      </c>
      <c r="F267" s="1" t="s">
        <v>764</v>
      </c>
      <c r="G267" s="1" t="s">
        <v>2451</v>
      </c>
      <c r="H267" s="4">
        <v>32.929000000000002</v>
      </c>
      <c r="I267" s="4">
        <v>-115.70099999999999</v>
      </c>
      <c r="J267" s="1" t="s">
        <v>1404</v>
      </c>
      <c r="K267" s="1" t="s">
        <v>70</v>
      </c>
      <c r="L267" s="1" t="s">
        <v>2455</v>
      </c>
      <c r="M267" s="1" t="s">
        <v>3598</v>
      </c>
      <c r="N267" s="1"/>
      <c r="O267" s="1" t="s">
        <v>3095</v>
      </c>
      <c r="P267" s="1"/>
      <c r="Q267" s="4">
        <v>5.9</v>
      </c>
      <c r="R267" s="4"/>
      <c r="S267" s="4"/>
      <c r="T267" s="4"/>
      <c r="U267" s="4"/>
      <c r="V267" s="4">
        <v>16.66</v>
      </c>
      <c r="W267" s="4"/>
      <c r="X267" s="4"/>
      <c r="Y267" s="4"/>
      <c r="Z267" s="4"/>
      <c r="AA267" s="4"/>
      <c r="AB267" s="4" t="s">
        <v>1032</v>
      </c>
      <c r="AC267" s="4"/>
      <c r="AD267" s="4">
        <v>33.1</v>
      </c>
      <c r="AE267" s="4">
        <v>-115.62</v>
      </c>
      <c r="AF267" s="4">
        <v>2.2999999999999998</v>
      </c>
      <c r="AG267" s="4">
        <v>348.69</v>
      </c>
      <c r="AH267" s="27" t="b">
        <v>1</v>
      </c>
      <c r="AI267" s="4">
        <v>4.3890000000000002</v>
      </c>
      <c r="AJ267" s="27" t="b">
        <v>0</v>
      </c>
      <c r="AK267" s="4"/>
      <c r="AL267" s="27" t="b">
        <v>0</v>
      </c>
      <c r="AM267" s="4">
        <v>227.673</v>
      </c>
      <c r="AN267" s="4">
        <v>146.029</v>
      </c>
      <c r="AO267" s="4">
        <v>148.381</v>
      </c>
      <c r="AP267" s="4">
        <v>55.582799999999999</v>
      </c>
      <c r="AQ267" s="4">
        <v>32.7057</v>
      </c>
      <c r="AR267" s="4">
        <v>13.177899999999999</v>
      </c>
      <c r="AS267" s="4">
        <v>37.1081</v>
      </c>
      <c r="AT267" s="4">
        <v>21.833300000000001</v>
      </c>
      <c r="AU267" s="4">
        <v>3.7309100000000002</v>
      </c>
      <c r="AV267" s="4">
        <v>-0.49965900000000002</v>
      </c>
      <c r="AW267" s="4">
        <v>-0.21912499999999999</v>
      </c>
      <c r="AX267" s="4">
        <v>-4.0118000000000001E-2</v>
      </c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1" t="s">
        <v>3599</v>
      </c>
      <c r="BJ267" s="1" t="s">
        <v>3644</v>
      </c>
      <c r="BK267" s="1">
        <v>1</v>
      </c>
      <c r="BL267" s="1"/>
      <c r="BM267" s="1" t="s">
        <v>318</v>
      </c>
      <c r="BN267" s="1" t="s">
        <v>2618</v>
      </c>
      <c r="BO267" s="1" t="s">
        <v>2619</v>
      </c>
      <c r="BP267" s="1">
        <v>5.9</v>
      </c>
      <c r="BQ267" s="1" t="s">
        <v>1003</v>
      </c>
      <c r="BR267" s="1">
        <v>33.1</v>
      </c>
      <c r="BS267" s="1">
        <v>-115.62</v>
      </c>
      <c r="BT267" s="1">
        <v>2.2999999999999998</v>
      </c>
      <c r="BU267" s="1" t="s">
        <v>1032</v>
      </c>
      <c r="BV267" s="1" t="s">
        <v>2809</v>
      </c>
      <c r="BW267" s="1">
        <v>64</v>
      </c>
      <c r="BX267" s="1">
        <v>90</v>
      </c>
      <c r="BY267" s="1">
        <v>0</v>
      </c>
      <c r="BZ267" s="1"/>
      <c r="CA267" s="1"/>
      <c r="CB267" s="1"/>
      <c r="CC267" s="1" t="s">
        <v>2808</v>
      </c>
      <c r="CD267" s="1" t="s">
        <v>731</v>
      </c>
      <c r="CE267" s="1"/>
      <c r="CF267" s="1"/>
      <c r="CG267" s="1"/>
      <c r="CH267" s="1"/>
      <c r="CI267" s="1"/>
      <c r="CJ267" s="1" t="s">
        <v>2812</v>
      </c>
      <c r="CK267" t="s">
        <v>1263</v>
      </c>
      <c r="CL267">
        <v>24</v>
      </c>
      <c r="CM267" t="s">
        <v>2820</v>
      </c>
    </row>
    <row r="268" spans="1:91" ht="19" customHeight="1">
      <c r="A268" s="1" t="s">
        <v>3645</v>
      </c>
      <c r="B268" s="1" t="s">
        <v>3597</v>
      </c>
      <c r="C268" s="1">
        <v>25</v>
      </c>
      <c r="D268" s="1" t="s">
        <v>1049</v>
      </c>
      <c r="E268" s="1">
        <v>1984</v>
      </c>
      <c r="F268" s="1" t="s">
        <v>1050</v>
      </c>
      <c r="G268" s="1" t="s">
        <v>2330</v>
      </c>
      <c r="H268" s="4">
        <v>37.118000000000002</v>
      </c>
      <c r="I268" s="4">
        <v>-121.55</v>
      </c>
      <c r="J268" s="1" t="s">
        <v>1404</v>
      </c>
      <c r="K268" s="1" t="s">
        <v>70</v>
      </c>
      <c r="L268" s="1" t="s">
        <v>2331</v>
      </c>
      <c r="M268" s="1" t="s">
        <v>3598</v>
      </c>
      <c r="N268" s="1"/>
      <c r="O268" s="1" t="s">
        <v>3095</v>
      </c>
      <c r="P268" s="1"/>
      <c r="Q268" s="4">
        <v>6.2</v>
      </c>
      <c r="R268" s="4"/>
      <c r="S268" s="4"/>
      <c r="T268" s="4"/>
      <c r="U268" s="4"/>
      <c r="V268" s="4">
        <v>0.53</v>
      </c>
      <c r="W268" s="4"/>
      <c r="X268" s="4"/>
      <c r="Y268" s="4"/>
      <c r="Z268" s="4"/>
      <c r="AA268" s="4"/>
      <c r="AB268" s="4" t="s">
        <v>1032</v>
      </c>
      <c r="AC268" s="4"/>
      <c r="AD268" s="4">
        <v>37.305999999999997</v>
      </c>
      <c r="AE268" s="4">
        <v>-121.69499999999999</v>
      </c>
      <c r="AF268" s="4">
        <v>8.5</v>
      </c>
      <c r="AG268" s="4">
        <v>561.42999999999995</v>
      </c>
      <c r="AH268" s="27" t="b">
        <v>1</v>
      </c>
      <c r="AI268" s="4">
        <v>1.071</v>
      </c>
      <c r="AJ268" s="27" t="b">
        <v>0</v>
      </c>
      <c r="AK268" s="4"/>
      <c r="AL268" s="27" t="b">
        <v>0</v>
      </c>
      <c r="AM268" s="4">
        <v>699.82799999999997</v>
      </c>
      <c r="AN268" s="4">
        <v>1278.1600000000001</v>
      </c>
      <c r="AO268" s="4">
        <v>379.36599999999999</v>
      </c>
      <c r="AP268" s="4">
        <v>52.912599999999998</v>
      </c>
      <c r="AQ268" s="4">
        <v>78.499799999999993</v>
      </c>
      <c r="AR268" s="4">
        <v>15.6439</v>
      </c>
      <c r="AS268" s="4">
        <v>12.7349</v>
      </c>
      <c r="AT268" s="4">
        <v>14.6015</v>
      </c>
      <c r="AU268" s="4">
        <v>2.24803</v>
      </c>
      <c r="AV268" s="4">
        <v>0.43013600000000002</v>
      </c>
      <c r="AW268" s="4">
        <v>0.32585999999999998</v>
      </c>
      <c r="AX268" s="4">
        <v>0.18748600000000001</v>
      </c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1" t="s">
        <v>3599</v>
      </c>
      <c r="BJ268" s="1" t="s">
        <v>3646</v>
      </c>
      <c r="BK268" s="1">
        <v>1</v>
      </c>
      <c r="BL268" s="1"/>
      <c r="BM268" s="1" t="s">
        <v>345</v>
      </c>
      <c r="BN268" s="1" t="s">
        <v>2638</v>
      </c>
      <c r="BO268" s="1" t="s">
        <v>2639</v>
      </c>
      <c r="BP268" s="1">
        <v>6.2</v>
      </c>
      <c r="BQ268" s="1" t="s">
        <v>1003</v>
      </c>
      <c r="BR268" s="1">
        <v>37.305999999999997</v>
      </c>
      <c r="BS268" s="1">
        <v>-121.69499999999999</v>
      </c>
      <c r="BT268" s="1">
        <v>8.5</v>
      </c>
      <c r="BU268" s="1" t="s">
        <v>1032</v>
      </c>
      <c r="BV268" s="1" t="s">
        <v>2809</v>
      </c>
      <c r="BW268" s="1">
        <v>148</v>
      </c>
      <c r="BX268" s="1">
        <v>90</v>
      </c>
      <c r="BY268" s="1">
        <v>180</v>
      </c>
      <c r="BZ268" s="1"/>
      <c r="CA268" s="1"/>
      <c r="CB268" s="1"/>
      <c r="CC268" s="1" t="s">
        <v>2808</v>
      </c>
      <c r="CD268" s="1" t="s">
        <v>731</v>
      </c>
      <c r="CE268" s="1"/>
      <c r="CF268" s="1"/>
      <c r="CG268" s="1"/>
      <c r="CH268" s="1"/>
      <c r="CI268" s="1"/>
      <c r="CJ268" s="1" t="s">
        <v>2812</v>
      </c>
      <c r="CK268" t="s">
        <v>1263</v>
      </c>
      <c r="CL268">
        <v>25</v>
      </c>
      <c r="CM268" t="s">
        <v>2821</v>
      </c>
    </row>
    <row r="269" spans="1:91" ht="19" customHeight="1">
      <c r="A269" s="1" t="s">
        <v>3647</v>
      </c>
      <c r="B269" s="1" t="s">
        <v>3597</v>
      </c>
      <c r="C269" s="1">
        <v>26</v>
      </c>
      <c r="D269" s="1" t="s">
        <v>1049</v>
      </c>
      <c r="E269" s="1">
        <v>1984</v>
      </c>
      <c r="F269" s="1" t="s">
        <v>1036</v>
      </c>
      <c r="G269" s="1" t="s">
        <v>2381</v>
      </c>
      <c r="H269" s="4">
        <v>37.026000000000003</v>
      </c>
      <c r="I269" s="4">
        <v>-121.48399999999999</v>
      </c>
      <c r="J269" s="1" t="s">
        <v>1404</v>
      </c>
      <c r="K269" s="1" t="s">
        <v>70</v>
      </c>
      <c r="L269" s="1" t="s">
        <v>3648</v>
      </c>
      <c r="M269" s="1" t="s">
        <v>3598</v>
      </c>
      <c r="N269" s="1"/>
      <c r="O269" s="1" t="s">
        <v>3095</v>
      </c>
      <c r="P269" s="1"/>
      <c r="Q269" s="4">
        <v>6.2</v>
      </c>
      <c r="R269" s="4"/>
      <c r="S269" s="4"/>
      <c r="T269" s="4"/>
      <c r="U269" s="4"/>
      <c r="V269" s="4">
        <v>9.8699999999999992</v>
      </c>
      <c r="W269" s="4"/>
      <c r="X269" s="4"/>
      <c r="Y269" s="4"/>
      <c r="Z269" s="4"/>
      <c r="AA269" s="4"/>
      <c r="AB269" s="4" t="s">
        <v>1032</v>
      </c>
      <c r="AC269" s="4"/>
      <c r="AD269" s="4">
        <v>37.305999999999997</v>
      </c>
      <c r="AE269" s="4">
        <v>-121.69499999999999</v>
      </c>
      <c r="AF269" s="4">
        <v>8.5</v>
      </c>
      <c r="AG269" s="4">
        <v>663.31</v>
      </c>
      <c r="AH269" s="27" t="b">
        <v>1</v>
      </c>
      <c r="AI269" s="4">
        <v>1.232</v>
      </c>
      <c r="AJ269" s="27" t="b">
        <v>0</v>
      </c>
      <c r="AK269" s="4"/>
      <c r="AL269" s="27" t="b">
        <v>0</v>
      </c>
      <c r="AM269" s="4">
        <v>218.655</v>
      </c>
      <c r="AN269" s="4">
        <v>286.70600000000002</v>
      </c>
      <c r="AO269" s="4">
        <v>398.41300000000001</v>
      </c>
      <c r="AP269" s="4">
        <v>11.2029</v>
      </c>
      <c r="AQ269" s="4">
        <v>36.494500000000002</v>
      </c>
      <c r="AR269" s="4">
        <v>14.232200000000001</v>
      </c>
      <c r="AS269" s="4">
        <v>2.1442999999999999</v>
      </c>
      <c r="AT269" s="4">
        <v>5.9438500000000003</v>
      </c>
      <c r="AU269" s="4">
        <v>1.60721</v>
      </c>
      <c r="AV269" s="4">
        <v>7.5983999999999996E-2</v>
      </c>
      <c r="AW269" s="4">
        <v>-2.3191E-2</v>
      </c>
      <c r="AX269" s="4">
        <v>-1.2579E-2</v>
      </c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1" t="s">
        <v>3599</v>
      </c>
      <c r="BJ269" s="1" t="s">
        <v>3649</v>
      </c>
      <c r="BK269" s="1">
        <v>1</v>
      </c>
      <c r="BL269" s="1"/>
      <c r="BM269" s="1" t="s">
        <v>345</v>
      </c>
      <c r="BN269" s="1" t="s">
        <v>2638</v>
      </c>
      <c r="BO269" s="1" t="s">
        <v>2639</v>
      </c>
      <c r="BP269" s="1">
        <v>6.2</v>
      </c>
      <c r="BQ269" s="1" t="s">
        <v>1003</v>
      </c>
      <c r="BR269" s="1">
        <v>37.305999999999997</v>
      </c>
      <c r="BS269" s="1">
        <v>-121.69499999999999</v>
      </c>
      <c r="BT269" s="1">
        <v>8.5</v>
      </c>
      <c r="BU269" s="1" t="s">
        <v>1032</v>
      </c>
      <c r="BV269" s="1" t="s">
        <v>2809</v>
      </c>
      <c r="BW269" s="1">
        <v>148</v>
      </c>
      <c r="BX269" s="1">
        <v>90</v>
      </c>
      <c r="BY269" s="1">
        <v>180</v>
      </c>
      <c r="BZ269" s="1"/>
      <c r="CA269" s="1"/>
      <c r="CB269" s="1"/>
      <c r="CC269" s="1" t="s">
        <v>2808</v>
      </c>
      <c r="CD269" s="1" t="s">
        <v>731</v>
      </c>
      <c r="CE269" s="1"/>
      <c r="CF269" s="1"/>
      <c r="CG269" s="1"/>
      <c r="CH269" s="1"/>
      <c r="CI269" s="1"/>
      <c r="CJ269" s="1" t="s">
        <v>2812</v>
      </c>
      <c r="CK269" t="s">
        <v>1263</v>
      </c>
      <c r="CL269">
        <v>26</v>
      </c>
      <c r="CM269" t="s">
        <v>2821</v>
      </c>
    </row>
    <row r="270" spans="1:91" ht="19" customHeight="1">
      <c r="A270" s="1" t="s">
        <v>3650</v>
      </c>
      <c r="B270" s="1" t="s">
        <v>3597</v>
      </c>
      <c r="C270" s="1">
        <v>27</v>
      </c>
      <c r="D270" s="1" t="s">
        <v>1051</v>
      </c>
      <c r="E270" s="1">
        <v>1986</v>
      </c>
      <c r="F270" s="1" t="s">
        <v>773</v>
      </c>
      <c r="G270" s="1" t="s">
        <v>1402</v>
      </c>
      <c r="H270" s="4">
        <v>37.03</v>
      </c>
      <c r="I270" s="4">
        <v>22.12</v>
      </c>
      <c r="J270" s="1" t="s">
        <v>1404</v>
      </c>
      <c r="K270" s="1" t="s">
        <v>70</v>
      </c>
      <c r="L270" s="1" t="s">
        <v>1405</v>
      </c>
      <c r="M270" s="1" t="s">
        <v>3598</v>
      </c>
      <c r="N270" s="1"/>
      <c r="O270" s="1" t="s">
        <v>3095</v>
      </c>
      <c r="P270" s="1"/>
      <c r="Q270" s="4">
        <v>5.4</v>
      </c>
      <c r="R270" s="4"/>
      <c r="S270" s="4"/>
      <c r="T270" s="4"/>
      <c r="U270" s="4"/>
      <c r="V270" s="4">
        <v>5.6</v>
      </c>
      <c r="W270" s="4"/>
      <c r="X270" s="4"/>
      <c r="Y270" s="4"/>
      <c r="Z270" s="4"/>
      <c r="AA270" s="4"/>
      <c r="AB270" s="4" t="s">
        <v>1047</v>
      </c>
      <c r="AC270" s="4"/>
      <c r="AD270" s="4">
        <v>37.1</v>
      </c>
      <c r="AE270" s="4">
        <v>22.19</v>
      </c>
      <c r="AF270" s="4">
        <v>5</v>
      </c>
      <c r="AG270" s="4">
        <v>382.21</v>
      </c>
      <c r="AH270" s="27" t="b">
        <v>0</v>
      </c>
      <c r="AI270" s="4"/>
      <c r="AJ270" s="27" t="b">
        <v>1</v>
      </c>
      <c r="AK270" s="4">
        <v>0.60143999999999997</v>
      </c>
      <c r="AL270" s="27" t="b">
        <v>0</v>
      </c>
      <c r="AM270" s="4">
        <v>158.30500000000001</v>
      </c>
      <c r="AN270" s="4">
        <v>77.466999999999999</v>
      </c>
      <c r="AO270" s="4">
        <v>257.82</v>
      </c>
      <c r="AP270" s="4">
        <v>12.792</v>
      </c>
      <c r="AQ270" s="4">
        <v>4.74132</v>
      </c>
      <c r="AR270" s="4">
        <v>24.585599999999999</v>
      </c>
      <c r="AS270" s="4">
        <v>1.3106100000000001</v>
      </c>
      <c r="AT270" s="4">
        <v>0.69435599999999997</v>
      </c>
      <c r="AU270" s="4">
        <v>3.7732399999999999</v>
      </c>
      <c r="AV270" s="4">
        <v>1.0658000000000001E-2</v>
      </c>
      <c r="AW270" s="4">
        <v>2.0466999999999999E-2</v>
      </c>
      <c r="AX270" s="4">
        <v>-5.5900000000000004E-3</v>
      </c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1" t="s">
        <v>3651</v>
      </c>
      <c r="BJ270" s="1" t="s">
        <v>3652</v>
      </c>
      <c r="BK270" s="1">
        <v>1</v>
      </c>
      <c r="BL270" s="1"/>
      <c r="BM270" s="1" t="s">
        <v>352</v>
      </c>
      <c r="BN270" s="1" t="s">
        <v>2643</v>
      </c>
      <c r="BO270" s="1" t="s">
        <v>2644</v>
      </c>
      <c r="BP270" s="1">
        <v>5.4</v>
      </c>
      <c r="BQ270" s="1" t="s">
        <v>1003</v>
      </c>
      <c r="BR270" s="1">
        <v>37.1</v>
      </c>
      <c r="BS270" s="1">
        <v>22.19</v>
      </c>
      <c r="BT270" s="1">
        <v>5</v>
      </c>
      <c r="BU270" s="1" t="s">
        <v>1047</v>
      </c>
      <c r="BV270" s="1" t="s">
        <v>2809</v>
      </c>
      <c r="BW270" s="1">
        <v>332.3</v>
      </c>
      <c r="BX270" s="1">
        <v>55</v>
      </c>
      <c r="BY270" s="1">
        <v>-90</v>
      </c>
      <c r="BZ270" s="1"/>
      <c r="CA270" s="1"/>
      <c r="CB270" s="1"/>
      <c r="CC270" s="1" t="s">
        <v>2808</v>
      </c>
      <c r="CD270" s="1" t="s">
        <v>731</v>
      </c>
      <c r="CE270" s="1"/>
      <c r="CF270" s="1"/>
      <c r="CG270" s="1"/>
      <c r="CH270" s="1"/>
      <c r="CI270" s="1"/>
      <c r="CJ270" s="1" t="s">
        <v>2812</v>
      </c>
      <c r="CK270" t="s">
        <v>1263</v>
      </c>
      <c r="CL270">
        <v>27</v>
      </c>
      <c r="CM270" t="s">
        <v>2822</v>
      </c>
    </row>
    <row r="271" spans="1:91" ht="19" customHeight="1">
      <c r="A271" s="1" t="s">
        <v>3653</v>
      </c>
      <c r="B271" s="1" t="s">
        <v>3597</v>
      </c>
      <c r="C271" s="1">
        <v>28</v>
      </c>
      <c r="D271" s="1" t="s">
        <v>1052</v>
      </c>
      <c r="E271" s="1">
        <v>1986</v>
      </c>
      <c r="F271" s="1" t="s">
        <v>805</v>
      </c>
      <c r="G271" s="1" t="s">
        <v>1654</v>
      </c>
      <c r="H271" s="4">
        <v>13.7</v>
      </c>
      <c r="I271" s="4">
        <v>-89.174999999999997</v>
      </c>
      <c r="J271" s="1" t="s">
        <v>1404</v>
      </c>
      <c r="K271" s="1" t="s">
        <v>70</v>
      </c>
      <c r="L271" s="1" t="s">
        <v>1656</v>
      </c>
      <c r="M271" s="1" t="s">
        <v>3598</v>
      </c>
      <c r="N271" s="1"/>
      <c r="O271" s="1" t="s">
        <v>3095</v>
      </c>
      <c r="P271" s="1"/>
      <c r="Q271" s="4">
        <v>5.8</v>
      </c>
      <c r="R271" s="4"/>
      <c r="S271" s="4"/>
      <c r="T271" s="4"/>
      <c r="U271" s="4"/>
      <c r="V271" s="4">
        <v>6.3</v>
      </c>
      <c r="W271" s="4"/>
      <c r="X271" s="4"/>
      <c r="Y271" s="4"/>
      <c r="Z271" s="4"/>
      <c r="AA271" s="4"/>
      <c r="AB271" s="4" t="s">
        <v>1032</v>
      </c>
      <c r="AC271" s="4"/>
      <c r="AD271" s="4">
        <v>13.632999999999999</v>
      </c>
      <c r="AE271" s="4">
        <v>-89.2</v>
      </c>
      <c r="AF271" s="4">
        <v>10.9</v>
      </c>
      <c r="AG271" s="4">
        <v>489.34</v>
      </c>
      <c r="AH271" s="27" t="b">
        <v>1</v>
      </c>
      <c r="AI271" s="4">
        <v>0.80500000000000005</v>
      </c>
      <c r="AJ271" s="27" t="b">
        <v>0</v>
      </c>
      <c r="AK271" s="4"/>
      <c r="AL271" s="27" t="b">
        <v>0</v>
      </c>
      <c r="AM271" s="4">
        <v>690.85400000000004</v>
      </c>
      <c r="AN271" s="4">
        <v>412.83800000000002</v>
      </c>
      <c r="AO271" s="4">
        <v>396.67200000000003</v>
      </c>
      <c r="AP271" s="4">
        <v>79.934700000000007</v>
      </c>
      <c r="AQ271" s="4">
        <v>62.351599999999998</v>
      </c>
      <c r="AR271" s="4">
        <v>12.2081</v>
      </c>
      <c r="AS271" s="4">
        <v>12.6046</v>
      </c>
      <c r="AT271" s="4">
        <v>12.989800000000001</v>
      </c>
      <c r="AU271" s="4">
        <v>2.21278</v>
      </c>
      <c r="AV271" s="4">
        <v>6.8849999999999996E-3</v>
      </c>
      <c r="AW271" s="4">
        <v>1.0154099999999999</v>
      </c>
      <c r="AX271" s="4">
        <v>-7.1762000000000006E-2</v>
      </c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1" t="s">
        <v>3599</v>
      </c>
      <c r="BJ271" s="1" t="s">
        <v>3654</v>
      </c>
      <c r="BK271" s="1">
        <v>1</v>
      </c>
      <c r="BL271" s="1"/>
      <c r="BM271" s="1" t="s">
        <v>366</v>
      </c>
      <c r="BN271" s="1" t="s">
        <v>2659</v>
      </c>
      <c r="BO271" s="1" t="s">
        <v>2660</v>
      </c>
      <c r="BP271" s="1">
        <v>5.8</v>
      </c>
      <c r="BQ271" s="1" t="s">
        <v>1003</v>
      </c>
      <c r="BR271" s="1">
        <v>13.632999999999999</v>
      </c>
      <c r="BS271" s="1">
        <v>-89.2</v>
      </c>
      <c r="BT271" s="1">
        <v>10.9</v>
      </c>
      <c r="BU271" s="1" t="s">
        <v>1032</v>
      </c>
      <c r="BV271" s="1" t="s">
        <v>2809</v>
      </c>
      <c r="BW271" s="1">
        <v>32</v>
      </c>
      <c r="BX271" s="1">
        <v>85</v>
      </c>
      <c r="BY271" s="1">
        <v>0</v>
      </c>
      <c r="BZ271" s="1"/>
      <c r="CA271" s="1"/>
      <c r="CB271" s="1"/>
      <c r="CC271" s="1" t="s">
        <v>2808</v>
      </c>
      <c r="CD271" s="1" t="s">
        <v>731</v>
      </c>
      <c r="CE271" s="1"/>
      <c r="CF271" s="1"/>
      <c r="CG271" s="1"/>
      <c r="CH271" s="1"/>
      <c r="CI271" s="1"/>
      <c r="CJ271" s="1" t="s">
        <v>2812</v>
      </c>
      <c r="CK271" t="s">
        <v>1263</v>
      </c>
      <c r="CL271">
        <v>28</v>
      </c>
      <c r="CM271" t="s">
        <v>2823</v>
      </c>
    </row>
    <row r="272" spans="1:91" ht="19" customHeight="1">
      <c r="A272" s="1" t="s">
        <v>3655</v>
      </c>
      <c r="B272" s="1" t="s">
        <v>3597</v>
      </c>
      <c r="C272" s="1">
        <v>29</v>
      </c>
      <c r="D272" s="1" t="s">
        <v>1052</v>
      </c>
      <c r="E272" s="1">
        <v>1986</v>
      </c>
      <c r="F272" s="1" t="s">
        <v>806</v>
      </c>
      <c r="G272" s="1" t="s">
        <v>1657</v>
      </c>
      <c r="H272" s="4">
        <v>13.714</v>
      </c>
      <c r="I272" s="4">
        <v>-89.171000000000006</v>
      </c>
      <c r="J272" s="1" t="s">
        <v>1404</v>
      </c>
      <c r="K272" s="1" t="s">
        <v>70</v>
      </c>
      <c r="L272" s="1" t="s">
        <v>1659</v>
      </c>
      <c r="M272" s="1" t="s">
        <v>3598</v>
      </c>
      <c r="N272" s="1"/>
      <c r="O272" s="1" t="s">
        <v>3095</v>
      </c>
      <c r="P272" s="1"/>
      <c r="Q272" s="4">
        <v>5.8</v>
      </c>
      <c r="R272" s="4"/>
      <c r="S272" s="4"/>
      <c r="T272" s="4"/>
      <c r="U272" s="4"/>
      <c r="V272" s="4">
        <v>6.99</v>
      </c>
      <c r="W272" s="4"/>
      <c r="X272" s="4"/>
      <c r="Y272" s="4"/>
      <c r="Z272" s="4"/>
      <c r="AA272" s="4"/>
      <c r="AB272" s="4" t="s">
        <v>1032</v>
      </c>
      <c r="AC272" s="4"/>
      <c r="AD272" s="4">
        <v>13.632999999999999</v>
      </c>
      <c r="AE272" s="4">
        <v>-89.2</v>
      </c>
      <c r="AF272" s="4">
        <v>10.9</v>
      </c>
      <c r="AG272" s="4">
        <v>455.93</v>
      </c>
      <c r="AH272" s="27" t="b">
        <v>1</v>
      </c>
      <c r="AI272" s="4">
        <v>1.127</v>
      </c>
      <c r="AJ272" s="27" t="b">
        <v>0</v>
      </c>
      <c r="AK272" s="4"/>
      <c r="AL272" s="27" t="b">
        <v>0</v>
      </c>
      <c r="AM272" s="4">
        <v>396.291</v>
      </c>
      <c r="AN272" s="4">
        <v>524.274</v>
      </c>
      <c r="AO272" s="4">
        <v>451.00900000000001</v>
      </c>
      <c r="AP272" s="4">
        <v>56.382300000000001</v>
      </c>
      <c r="AQ272" s="4">
        <v>73.007900000000006</v>
      </c>
      <c r="AR272" s="4">
        <v>19.2073</v>
      </c>
      <c r="AS272" s="4">
        <v>19.619900000000001</v>
      </c>
      <c r="AT272" s="4">
        <v>11.3779</v>
      </c>
      <c r="AU272" s="4">
        <v>2.52156</v>
      </c>
      <c r="AV272" s="4">
        <v>0.62342299999999995</v>
      </c>
      <c r="AW272" s="4">
        <v>5.2894999999999998E-2</v>
      </c>
      <c r="AX272" s="4">
        <v>-1.0382000000000001E-2</v>
      </c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1" t="s">
        <v>3599</v>
      </c>
      <c r="BJ272" s="1" t="s">
        <v>3656</v>
      </c>
      <c r="BK272" s="1">
        <v>1</v>
      </c>
      <c r="BL272" s="1"/>
      <c r="BM272" s="1" t="s">
        <v>366</v>
      </c>
      <c r="BN272" s="1" t="s">
        <v>2659</v>
      </c>
      <c r="BO272" s="1" t="s">
        <v>2660</v>
      </c>
      <c r="BP272" s="1">
        <v>5.8</v>
      </c>
      <c r="BQ272" s="1" t="s">
        <v>1003</v>
      </c>
      <c r="BR272" s="1">
        <v>13.632999999999999</v>
      </c>
      <c r="BS272" s="1">
        <v>-89.2</v>
      </c>
      <c r="BT272" s="1">
        <v>10.9</v>
      </c>
      <c r="BU272" s="1" t="s">
        <v>1032</v>
      </c>
      <c r="BV272" s="1" t="s">
        <v>2809</v>
      </c>
      <c r="BW272" s="1">
        <v>32</v>
      </c>
      <c r="BX272" s="1">
        <v>85</v>
      </c>
      <c r="BY272" s="1">
        <v>0</v>
      </c>
      <c r="BZ272" s="1"/>
      <c r="CA272" s="1"/>
      <c r="CB272" s="1"/>
      <c r="CC272" s="1" t="s">
        <v>2808</v>
      </c>
      <c r="CD272" s="1" t="s">
        <v>731</v>
      </c>
      <c r="CE272" s="1"/>
      <c r="CF272" s="1"/>
      <c r="CG272" s="1"/>
      <c r="CH272" s="1"/>
      <c r="CI272" s="1"/>
      <c r="CJ272" s="1" t="s">
        <v>2812</v>
      </c>
      <c r="CK272" t="s">
        <v>1263</v>
      </c>
      <c r="CL272">
        <v>29</v>
      </c>
      <c r="CM272" t="s">
        <v>2823</v>
      </c>
    </row>
    <row r="273" spans="1:91" ht="19" customHeight="1">
      <c r="A273" s="1" t="s">
        <v>3657</v>
      </c>
      <c r="B273" s="1" t="s">
        <v>3597</v>
      </c>
      <c r="C273" s="1">
        <v>30</v>
      </c>
      <c r="D273" s="1" t="s">
        <v>1053</v>
      </c>
      <c r="E273" s="1">
        <v>1987</v>
      </c>
      <c r="F273" s="1" t="s">
        <v>815</v>
      </c>
      <c r="G273" s="1" t="s">
        <v>2402</v>
      </c>
      <c r="H273" s="4">
        <v>33.125</v>
      </c>
      <c r="I273" s="4">
        <v>-115.66500000000001</v>
      </c>
      <c r="J273" s="1" t="s">
        <v>1404</v>
      </c>
      <c r="K273" s="1" t="s">
        <v>70</v>
      </c>
      <c r="L273" s="1" t="s">
        <v>2404</v>
      </c>
      <c r="M273" s="1" t="s">
        <v>3598</v>
      </c>
      <c r="N273" s="1"/>
      <c r="O273" s="1" t="s">
        <v>3095</v>
      </c>
      <c r="P273" s="1"/>
      <c r="Q273" s="4">
        <v>6.5</v>
      </c>
      <c r="R273" s="4"/>
      <c r="S273" s="4"/>
      <c r="T273" s="4"/>
      <c r="U273" s="4"/>
      <c r="V273" s="4">
        <v>18.48</v>
      </c>
      <c r="W273" s="4"/>
      <c r="X273" s="4"/>
      <c r="Y273" s="4"/>
      <c r="Z273" s="4"/>
      <c r="AA273" s="4"/>
      <c r="AB273" s="4" t="s">
        <v>1032</v>
      </c>
      <c r="AC273" s="4"/>
      <c r="AD273" s="4">
        <v>33.022199999999998</v>
      </c>
      <c r="AE273" s="4">
        <v>-115.8314</v>
      </c>
      <c r="AF273" s="4">
        <v>9</v>
      </c>
      <c r="AG273" s="4">
        <v>266.01</v>
      </c>
      <c r="AH273" s="27" t="b">
        <v>1</v>
      </c>
      <c r="AI273" s="4">
        <v>2.1280000000000001</v>
      </c>
      <c r="AJ273" s="27" t="b">
        <v>0</v>
      </c>
      <c r="AK273" s="4"/>
      <c r="AL273" s="27" t="b">
        <v>0</v>
      </c>
      <c r="AM273" s="4">
        <v>111.708</v>
      </c>
      <c r="AN273" s="4">
        <v>136.35900000000001</v>
      </c>
      <c r="AO273" s="4"/>
      <c r="AP273" s="4">
        <v>18.2654</v>
      </c>
      <c r="AQ273" s="4">
        <v>29.6355</v>
      </c>
      <c r="AR273" s="4"/>
      <c r="AS273" s="4">
        <v>8.0758100000000006</v>
      </c>
      <c r="AT273" s="4">
        <v>8.0061900000000001</v>
      </c>
      <c r="AU273" s="4"/>
      <c r="AV273" s="4">
        <v>0.77483199999999997</v>
      </c>
      <c r="AW273" s="4">
        <v>-0.52309799999999995</v>
      </c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1" t="s">
        <v>3658</v>
      </c>
      <c r="BJ273" s="1" t="s">
        <v>3659</v>
      </c>
      <c r="BK273" s="1">
        <v>1</v>
      </c>
      <c r="BL273" s="1"/>
      <c r="BM273" s="1" t="s">
        <v>379</v>
      </c>
      <c r="BN273" s="1" t="s">
        <v>2669</v>
      </c>
      <c r="BO273" s="1" t="s">
        <v>2670</v>
      </c>
      <c r="BP273" s="1">
        <v>6.5</v>
      </c>
      <c r="BQ273" s="1" t="s">
        <v>1003</v>
      </c>
      <c r="BR273" s="1">
        <v>33.022199999999998</v>
      </c>
      <c r="BS273" s="1">
        <v>-115.8314</v>
      </c>
      <c r="BT273" s="1">
        <v>9</v>
      </c>
      <c r="BU273" s="1" t="s">
        <v>1032</v>
      </c>
      <c r="BV273" s="1" t="s">
        <v>2809</v>
      </c>
      <c r="BW273" s="1">
        <v>127</v>
      </c>
      <c r="BX273" s="1">
        <v>90</v>
      </c>
      <c r="BY273" s="1">
        <v>180</v>
      </c>
      <c r="BZ273" s="1"/>
      <c r="CA273" s="1"/>
      <c r="CB273" s="1"/>
      <c r="CC273" s="1" t="s">
        <v>2808</v>
      </c>
      <c r="CD273" s="1" t="s">
        <v>731</v>
      </c>
      <c r="CE273" s="1"/>
      <c r="CF273" s="1"/>
      <c r="CG273" s="1"/>
      <c r="CH273" s="1"/>
      <c r="CI273" s="1"/>
      <c r="CJ273" s="1" t="s">
        <v>2812</v>
      </c>
      <c r="CK273" t="s">
        <v>1263</v>
      </c>
      <c r="CL273">
        <v>30</v>
      </c>
      <c r="CM273" t="s">
        <v>2824</v>
      </c>
    </row>
    <row r="274" spans="1:91" ht="19" customHeight="1">
      <c r="A274" s="1" t="s">
        <v>3660</v>
      </c>
      <c r="B274" s="1" t="s">
        <v>3597</v>
      </c>
      <c r="C274" s="1">
        <v>31</v>
      </c>
      <c r="D274" s="1" t="s">
        <v>1053</v>
      </c>
      <c r="E274" s="1">
        <v>1987</v>
      </c>
      <c r="F274" s="1" t="s">
        <v>764</v>
      </c>
      <c r="G274" s="1" t="s">
        <v>2451</v>
      </c>
      <c r="H274" s="4">
        <v>32.929000000000002</v>
      </c>
      <c r="I274" s="4">
        <v>-115.70099999999999</v>
      </c>
      <c r="J274" s="1" t="s">
        <v>1404</v>
      </c>
      <c r="K274" s="1" t="s">
        <v>70</v>
      </c>
      <c r="L274" s="1" t="s">
        <v>3661</v>
      </c>
      <c r="M274" s="1" t="s">
        <v>3598</v>
      </c>
      <c r="N274" s="1"/>
      <c r="O274" s="1" t="s">
        <v>3095</v>
      </c>
      <c r="P274" s="1"/>
      <c r="Q274" s="4">
        <v>6.5</v>
      </c>
      <c r="R274" s="4"/>
      <c r="S274" s="4"/>
      <c r="T274" s="4"/>
      <c r="U274" s="4"/>
      <c r="V274" s="4">
        <v>0.95</v>
      </c>
      <c r="W274" s="4"/>
      <c r="X274" s="4"/>
      <c r="Y274" s="4"/>
      <c r="Z274" s="4"/>
      <c r="AA274" s="4"/>
      <c r="AB274" s="4" t="s">
        <v>1032</v>
      </c>
      <c r="AC274" s="4"/>
      <c r="AD274" s="4">
        <v>33.022199999999998</v>
      </c>
      <c r="AE274" s="4">
        <v>-115.8314</v>
      </c>
      <c r="AF274" s="4">
        <v>9</v>
      </c>
      <c r="AG274" s="4">
        <v>348.69</v>
      </c>
      <c r="AH274" s="27" t="b">
        <v>1</v>
      </c>
      <c r="AI274" s="4">
        <v>2.3940000000000001</v>
      </c>
      <c r="AJ274" s="27" t="b">
        <v>0</v>
      </c>
      <c r="AK274" s="4"/>
      <c r="AL274" s="27" t="b">
        <v>0</v>
      </c>
      <c r="AM274" s="4">
        <v>423.613</v>
      </c>
      <c r="AN274" s="4">
        <v>376.96800000000002</v>
      </c>
      <c r="AO274" s="4"/>
      <c r="AP274" s="4">
        <v>134.422</v>
      </c>
      <c r="AQ274" s="4">
        <v>53.222200000000001</v>
      </c>
      <c r="AR274" s="4"/>
      <c r="AS274" s="4">
        <v>45.707700000000003</v>
      </c>
      <c r="AT274" s="4">
        <v>18.111699999999999</v>
      </c>
      <c r="AU274" s="4"/>
      <c r="AV274" s="4">
        <v>-6.6248500000000003</v>
      </c>
      <c r="AW274" s="4">
        <v>0.38287700000000002</v>
      </c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1" t="s">
        <v>3658</v>
      </c>
      <c r="BJ274" s="1" t="s">
        <v>3662</v>
      </c>
      <c r="BK274" s="1">
        <v>1</v>
      </c>
      <c r="BL274" s="1"/>
      <c r="BM274" s="1" t="s">
        <v>379</v>
      </c>
      <c r="BN274" s="1" t="s">
        <v>2669</v>
      </c>
      <c r="BO274" s="1" t="s">
        <v>2670</v>
      </c>
      <c r="BP274" s="1">
        <v>6.5</v>
      </c>
      <c r="BQ274" s="1" t="s">
        <v>1003</v>
      </c>
      <c r="BR274" s="1">
        <v>33.022199999999998</v>
      </c>
      <c r="BS274" s="1">
        <v>-115.8314</v>
      </c>
      <c r="BT274" s="1">
        <v>9</v>
      </c>
      <c r="BU274" s="1" t="s">
        <v>1032</v>
      </c>
      <c r="BV274" s="1" t="s">
        <v>2809</v>
      </c>
      <c r="BW274" s="1">
        <v>127</v>
      </c>
      <c r="BX274" s="1">
        <v>90</v>
      </c>
      <c r="BY274" s="1">
        <v>180</v>
      </c>
      <c r="BZ274" s="1"/>
      <c r="CA274" s="1"/>
      <c r="CB274" s="1"/>
      <c r="CC274" s="1" t="s">
        <v>2808</v>
      </c>
      <c r="CD274" s="1" t="s">
        <v>731</v>
      </c>
      <c r="CE274" s="1"/>
      <c r="CF274" s="1"/>
      <c r="CG274" s="1"/>
      <c r="CH274" s="1"/>
      <c r="CI274" s="1"/>
      <c r="CJ274" s="1" t="s">
        <v>2812</v>
      </c>
      <c r="CK274" t="s">
        <v>1263</v>
      </c>
      <c r="CL274">
        <v>31</v>
      </c>
      <c r="CM274" t="s">
        <v>2824</v>
      </c>
    </row>
    <row r="275" spans="1:91" ht="19" customHeight="1">
      <c r="A275" s="1" t="s">
        <v>3663</v>
      </c>
      <c r="B275" s="1" t="s">
        <v>3597</v>
      </c>
      <c r="C275" s="1">
        <v>32</v>
      </c>
      <c r="D275" s="1" t="s">
        <v>1054</v>
      </c>
      <c r="E275" s="1">
        <v>1989</v>
      </c>
      <c r="F275" s="1" t="s">
        <v>820</v>
      </c>
      <c r="G275" s="1" t="s">
        <v>2386</v>
      </c>
      <c r="H275" s="4">
        <v>37.009</v>
      </c>
      <c r="I275" s="4">
        <v>-121.569</v>
      </c>
      <c r="J275" s="1" t="s">
        <v>1404</v>
      </c>
      <c r="K275" s="1" t="s">
        <v>70</v>
      </c>
      <c r="L275" s="1" t="s">
        <v>2388</v>
      </c>
      <c r="M275" s="1" t="s">
        <v>3598</v>
      </c>
      <c r="N275" s="1"/>
      <c r="O275" s="1" t="s">
        <v>3095</v>
      </c>
      <c r="P275" s="1"/>
      <c r="Q275" s="4">
        <v>6.9</v>
      </c>
      <c r="R275" s="4"/>
      <c r="S275" s="4"/>
      <c r="T275" s="4"/>
      <c r="U275" s="4"/>
      <c r="V275" s="4">
        <v>10.97</v>
      </c>
      <c r="W275" s="4"/>
      <c r="X275" s="4"/>
      <c r="Y275" s="4"/>
      <c r="Z275" s="4"/>
      <c r="AA275" s="4"/>
      <c r="AB275" s="4" t="s">
        <v>1055</v>
      </c>
      <c r="AC275" s="4"/>
      <c r="AD275" s="4">
        <v>37.040700000000001</v>
      </c>
      <c r="AE275" s="4">
        <v>-121.88290000000001</v>
      </c>
      <c r="AF275" s="4">
        <v>17.48</v>
      </c>
      <c r="AG275" s="4">
        <v>308.55</v>
      </c>
      <c r="AH275" s="27" t="b">
        <v>1</v>
      </c>
      <c r="AI275" s="4">
        <v>1.6379999999999999</v>
      </c>
      <c r="AJ275" s="27" t="b">
        <v>0</v>
      </c>
      <c r="AK275" s="4"/>
      <c r="AL275" s="27" t="b">
        <v>0</v>
      </c>
      <c r="AM275" s="4">
        <v>279.85000000000002</v>
      </c>
      <c r="AN275" s="4">
        <v>237.34800000000001</v>
      </c>
      <c r="AO275" s="4">
        <v>145.13900000000001</v>
      </c>
      <c r="AP275" s="4">
        <v>43.3977</v>
      </c>
      <c r="AQ275" s="4">
        <v>23.7667</v>
      </c>
      <c r="AR275" s="4">
        <v>12.6037</v>
      </c>
      <c r="AS275" s="4">
        <v>9.8518100000000004</v>
      </c>
      <c r="AT275" s="4">
        <v>3.8126000000000002</v>
      </c>
      <c r="AU275" s="4">
        <v>8.3054100000000002</v>
      </c>
      <c r="AV275" s="4">
        <v>-3.5707999999999997E-2</v>
      </c>
      <c r="AW275" s="4">
        <v>3.568E-3</v>
      </c>
      <c r="AX275" s="4">
        <v>0.14820900000000001</v>
      </c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1" t="s">
        <v>3599</v>
      </c>
      <c r="BJ275" s="1" t="s">
        <v>3664</v>
      </c>
      <c r="BK275" s="1">
        <v>1</v>
      </c>
      <c r="BL275" s="1"/>
      <c r="BM275" s="1" t="s">
        <v>392</v>
      </c>
      <c r="BN275" s="1" t="s">
        <v>2674</v>
      </c>
      <c r="BO275" s="1" t="s">
        <v>2675</v>
      </c>
      <c r="BP275" s="1">
        <v>6.9</v>
      </c>
      <c r="BQ275" s="1" t="s">
        <v>1003</v>
      </c>
      <c r="BR275" s="1">
        <v>37.040700000000001</v>
      </c>
      <c r="BS275" s="1">
        <v>-121.88290000000001</v>
      </c>
      <c r="BT275" s="1">
        <v>17.48</v>
      </c>
      <c r="BU275" s="1" t="s">
        <v>1055</v>
      </c>
      <c r="BV275" s="1" t="s">
        <v>2809</v>
      </c>
      <c r="BW275" s="1">
        <v>128</v>
      </c>
      <c r="BX275" s="1">
        <v>70</v>
      </c>
      <c r="BY275" s="1">
        <v>140</v>
      </c>
      <c r="BZ275" s="1"/>
      <c r="CA275" s="1"/>
      <c r="CB275" s="1"/>
      <c r="CC275" s="1" t="s">
        <v>2808</v>
      </c>
      <c r="CD275" s="1" t="s">
        <v>731</v>
      </c>
      <c r="CE275" s="1"/>
      <c r="CF275" s="1"/>
      <c r="CG275" s="1"/>
      <c r="CH275" s="1"/>
      <c r="CI275" s="1"/>
      <c r="CJ275" s="1" t="s">
        <v>2812</v>
      </c>
      <c r="CK275" t="s">
        <v>1263</v>
      </c>
      <c r="CL275">
        <v>32</v>
      </c>
      <c r="CM275" t="s">
        <v>2825</v>
      </c>
    </row>
    <row r="276" spans="1:91" ht="19" customHeight="1">
      <c r="A276" s="1" t="s">
        <v>3665</v>
      </c>
      <c r="B276" s="1" t="s">
        <v>3597</v>
      </c>
      <c r="C276" s="1">
        <v>33</v>
      </c>
      <c r="D276" s="1" t="s">
        <v>1054</v>
      </c>
      <c r="E276" s="1">
        <v>1989</v>
      </c>
      <c r="F276" s="1" t="s">
        <v>1033</v>
      </c>
      <c r="G276" s="1" t="s">
        <v>2370</v>
      </c>
      <c r="H276" s="4">
        <v>36.981999999999999</v>
      </c>
      <c r="I276" s="4">
        <v>-121.556</v>
      </c>
      <c r="J276" s="1" t="s">
        <v>1404</v>
      </c>
      <c r="K276" s="1" t="s">
        <v>70</v>
      </c>
      <c r="L276" s="1" t="s">
        <v>3666</v>
      </c>
      <c r="M276" s="1" t="s">
        <v>3598</v>
      </c>
      <c r="N276" s="1"/>
      <c r="O276" s="1" t="s">
        <v>3095</v>
      </c>
      <c r="P276" s="1"/>
      <c r="Q276" s="4">
        <v>6.9</v>
      </c>
      <c r="R276" s="4"/>
      <c r="S276" s="4"/>
      <c r="T276" s="4"/>
      <c r="U276" s="4"/>
      <c r="V276" s="4">
        <v>11.07</v>
      </c>
      <c r="W276" s="4"/>
      <c r="X276" s="4"/>
      <c r="Y276" s="4"/>
      <c r="Z276" s="4"/>
      <c r="AA276" s="4"/>
      <c r="AB276" s="4" t="s">
        <v>1055</v>
      </c>
      <c r="AC276" s="4"/>
      <c r="AD276" s="4">
        <v>37.040700000000001</v>
      </c>
      <c r="AE276" s="4">
        <v>-121.88290000000001</v>
      </c>
      <c r="AF276" s="4">
        <v>17.48</v>
      </c>
      <c r="AG276" s="4">
        <v>270.83999999999997</v>
      </c>
      <c r="AH276" s="27" t="b">
        <v>1</v>
      </c>
      <c r="AI276" s="4">
        <v>1.7290000000000001</v>
      </c>
      <c r="AJ276" s="27" t="b">
        <v>0</v>
      </c>
      <c r="AK276" s="4"/>
      <c r="AL276" s="27" t="b">
        <v>0</v>
      </c>
      <c r="AM276" s="4">
        <v>362.702</v>
      </c>
      <c r="AN276" s="4">
        <v>316.58600000000001</v>
      </c>
      <c r="AO276" s="4">
        <v>289.57100000000003</v>
      </c>
      <c r="AP276" s="4">
        <v>34.768300000000004</v>
      </c>
      <c r="AQ276" s="4">
        <v>40.407600000000002</v>
      </c>
      <c r="AR276" s="4">
        <v>16.5474</v>
      </c>
      <c r="AS276" s="4">
        <v>9.5016200000000008</v>
      </c>
      <c r="AT276" s="4">
        <v>18.450099999999999</v>
      </c>
      <c r="AU276" s="4">
        <v>8.0344800000000003</v>
      </c>
      <c r="AV276" s="4">
        <v>-2.8993000000000001E-2</v>
      </c>
      <c r="AW276" s="4">
        <v>-0.14298</v>
      </c>
      <c r="AX276" s="4">
        <v>1.5727000000000001E-2</v>
      </c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1" t="s">
        <v>3599</v>
      </c>
      <c r="BJ276" s="1" t="s">
        <v>3667</v>
      </c>
      <c r="BK276" s="1">
        <v>1</v>
      </c>
      <c r="BL276" s="1"/>
      <c r="BM276" s="1" t="s">
        <v>392</v>
      </c>
      <c r="BN276" s="1" t="s">
        <v>2674</v>
      </c>
      <c r="BO276" s="1" t="s">
        <v>2675</v>
      </c>
      <c r="BP276" s="1">
        <v>6.9</v>
      </c>
      <c r="BQ276" s="1" t="s">
        <v>1003</v>
      </c>
      <c r="BR276" s="1">
        <v>37.040700000000001</v>
      </c>
      <c r="BS276" s="1">
        <v>-121.88290000000001</v>
      </c>
      <c r="BT276" s="1">
        <v>17.48</v>
      </c>
      <c r="BU276" s="1" t="s">
        <v>1055</v>
      </c>
      <c r="BV276" s="1" t="s">
        <v>2809</v>
      </c>
      <c r="BW276" s="1">
        <v>128</v>
      </c>
      <c r="BX276" s="1">
        <v>70</v>
      </c>
      <c r="BY276" s="1">
        <v>140</v>
      </c>
      <c r="BZ276" s="1"/>
      <c r="CA276" s="1"/>
      <c r="CB276" s="1"/>
      <c r="CC276" s="1" t="s">
        <v>2808</v>
      </c>
      <c r="CD276" s="1" t="s">
        <v>731</v>
      </c>
      <c r="CE276" s="1"/>
      <c r="CF276" s="1"/>
      <c r="CG276" s="1"/>
      <c r="CH276" s="1"/>
      <c r="CI276" s="1"/>
      <c r="CJ276" s="1" t="s">
        <v>2812</v>
      </c>
      <c r="CK276" t="s">
        <v>1263</v>
      </c>
      <c r="CL276">
        <v>33</v>
      </c>
      <c r="CM276" t="s">
        <v>2825</v>
      </c>
    </row>
    <row r="277" spans="1:91" ht="19" customHeight="1">
      <c r="A277" s="1" t="s">
        <v>3668</v>
      </c>
      <c r="B277" s="1" t="s">
        <v>3597</v>
      </c>
      <c r="C277" s="1">
        <v>34</v>
      </c>
      <c r="D277" s="1" t="s">
        <v>1054</v>
      </c>
      <c r="E277" s="1">
        <v>1989</v>
      </c>
      <c r="F277" s="1" t="s">
        <v>1034</v>
      </c>
      <c r="G277" s="1" t="s">
        <v>2375</v>
      </c>
      <c r="H277" s="4">
        <v>36.987000000000002</v>
      </c>
      <c r="I277" s="4">
        <v>-121.536</v>
      </c>
      <c r="J277" s="1" t="s">
        <v>1404</v>
      </c>
      <c r="K277" s="1" t="s">
        <v>70</v>
      </c>
      <c r="L277" s="1" t="s">
        <v>3669</v>
      </c>
      <c r="M277" s="1" t="s">
        <v>3598</v>
      </c>
      <c r="N277" s="1"/>
      <c r="O277" s="1" t="s">
        <v>3095</v>
      </c>
      <c r="P277" s="1"/>
      <c r="Q277" s="4">
        <v>6.9</v>
      </c>
      <c r="R277" s="4"/>
      <c r="S277" s="4"/>
      <c r="T277" s="4"/>
      <c r="U277" s="4"/>
      <c r="V277" s="4">
        <v>12.82</v>
      </c>
      <c r="W277" s="4"/>
      <c r="X277" s="4"/>
      <c r="Y277" s="4"/>
      <c r="Z277" s="4"/>
      <c r="AA277" s="4"/>
      <c r="AB277" s="4" t="s">
        <v>1055</v>
      </c>
      <c r="AC277" s="4"/>
      <c r="AD277" s="4">
        <v>37.040700000000001</v>
      </c>
      <c r="AE277" s="4">
        <v>-121.88290000000001</v>
      </c>
      <c r="AF277" s="4">
        <v>17.48</v>
      </c>
      <c r="AG277" s="4">
        <v>349.85</v>
      </c>
      <c r="AH277" s="27" t="b">
        <v>1</v>
      </c>
      <c r="AI277" s="4">
        <v>2.6389999999999998</v>
      </c>
      <c r="AJ277" s="27" t="b">
        <v>0</v>
      </c>
      <c r="AK277" s="4"/>
      <c r="AL277" s="27" t="b">
        <v>0</v>
      </c>
      <c r="AM277" s="4">
        <v>548.5</v>
      </c>
      <c r="AN277" s="4">
        <v>361.23</v>
      </c>
      <c r="AO277" s="4">
        <v>335.2</v>
      </c>
      <c r="AP277" s="4">
        <v>36.325800000000001</v>
      </c>
      <c r="AQ277" s="4">
        <v>45.438000000000002</v>
      </c>
      <c r="AR277" s="4">
        <v>15.658099999999999</v>
      </c>
      <c r="AS277" s="4">
        <v>10.834899999999999</v>
      </c>
      <c r="AT277" s="4">
        <v>24.093399999999999</v>
      </c>
      <c r="AU277" s="4">
        <v>7.0308400000000004</v>
      </c>
      <c r="AV277" s="4">
        <v>6.5878000000000006E-2</v>
      </c>
      <c r="AW277" s="4">
        <v>0.21043200000000001</v>
      </c>
      <c r="AX277" s="4">
        <v>0.20655599999999999</v>
      </c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1" t="s">
        <v>3599</v>
      </c>
      <c r="BJ277" s="1" t="s">
        <v>3670</v>
      </c>
      <c r="BK277" s="1">
        <v>1</v>
      </c>
      <c r="BL277" s="1"/>
      <c r="BM277" s="1" t="s">
        <v>392</v>
      </c>
      <c r="BN277" s="1" t="s">
        <v>2674</v>
      </c>
      <c r="BO277" s="1" t="s">
        <v>2675</v>
      </c>
      <c r="BP277" s="1">
        <v>6.9</v>
      </c>
      <c r="BQ277" s="1" t="s">
        <v>1003</v>
      </c>
      <c r="BR277" s="1">
        <v>37.040700000000001</v>
      </c>
      <c r="BS277" s="1">
        <v>-121.88290000000001</v>
      </c>
      <c r="BT277" s="1">
        <v>17.48</v>
      </c>
      <c r="BU277" s="1" t="s">
        <v>1055</v>
      </c>
      <c r="BV277" s="1" t="s">
        <v>2809</v>
      </c>
      <c r="BW277" s="1">
        <v>128</v>
      </c>
      <c r="BX277" s="1">
        <v>70</v>
      </c>
      <c r="BY277" s="1">
        <v>140</v>
      </c>
      <c r="BZ277" s="1"/>
      <c r="CA277" s="1"/>
      <c r="CB277" s="1"/>
      <c r="CC277" s="1" t="s">
        <v>2808</v>
      </c>
      <c r="CD277" s="1" t="s">
        <v>731</v>
      </c>
      <c r="CE277" s="1"/>
      <c r="CF277" s="1"/>
      <c r="CG277" s="1"/>
      <c r="CH277" s="1"/>
      <c r="CI277" s="1"/>
      <c r="CJ277" s="1" t="s">
        <v>2812</v>
      </c>
      <c r="CK277" t="s">
        <v>1263</v>
      </c>
      <c r="CL277">
        <v>34</v>
      </c>
      <c r="CM277" t="s">
        <v>2825</v>
      </c>
    </row>
    <row r="278" spans="1:91" ht="19" customHeight="1">
      <c r="A278" s="1" t="s">
        <v>3671</v>
      </c>
      <c r="B278" s="1" t="s">
        <v>3597</v>
      </c>
      <c r="C278" s="1">
        <v>35</v>
      </c>
      <c r="D278" s="1" t="s">
        <v>1054</v>
      </c>
      <c r="E278" s="1">
        <v>1989</v>
      </c>
      <c r="F278" s="1" t="s">
        <v>827</v>
      </c>
      <c r="G278" s="1" t="s">
        <v>2417</v>
      </c>
      <c r="H278" s="4">
        <v>37.201999999999998</v>
      </c>
      <c r="I278" s="4">
        <v>-121.991</v>
      </c>
      <c r="J278" s="1" t="s">
        <v>1404</v>
      </c>
      <c r="K278" s="1" t="s">
        <v>70</v>
      </c>
      <c r="L278" s="1" t="s">
        <v>2419</v>
      </c>
      <c r="M278" s="1" t="s">
        <v>3598</v>
      </c>
      <c r="N278" s="1"/>
      <c r="O278" s="1" t="s">
        <v>3095</v>
      </c>
      <c r="P278" s="1"/>
      <c r="Q278" s="4">
        <v>6.9</v>
      </c>
      <c r="R278" s="4"/>
      <c r="S278" s="4"/>
      <c r="T278" s="4"/>
      <c r="U278" s="4"/>
      <c r="V278" s="4">
        <v>5.0199999999999996</v>
      </c>
      <c r="W278" s="4"/>
      <c r="X278" s="4"/>
      <c r="Y278" s="4"/>
      <c r="Z278" s="4"/>
      <c r="AA278" s="4"/>
      <c r="AB278" s="4" t="s">
        <v>1055</v>
      </c>
      <c r="AC278" s="4"/>
      <c r="AD278" s="4">
        <v>37.040700000000001</v>
      </c>
      <c r="AE278" s="4">
        <v>-121.88290000000001</v>
      </c>
      <c r="AF278" s="4">
        <v>17.48</v>
      </c>
      <c r="AG278" s="4">
        <v>1070.3399999999999</v>
      </c>
      <c r="AH278" s="27" t="b">
        <v>1</v>
      </c>
      <c r="AI278" s="4">
        <v>1.5680000000000001</v>
      </c>
      <c r="AJ278" s="27" t="b">
        <v>0</v>
      </c>
      <c r="AK278" s="4"/>
      <c r="AL278" s="27" t="b">
        <v>0</v>
      </c>
      <c r="AM278" s="4">
        <v>434.34800000000001</v>
      </c>
      <c r="AN278" s="4">
        <v>403.64800000000002</v>
      </c>
      <c r="AO278" s="4">
        <v>140.48500000000001</v>
      </c>
      <c r="AP278" s="4">
        <v>85.835300000000004</v>
      </c>
      <c r="AQ278" s="4">
        <v>95.857100000000003</v>
      </c>
      <c r="AR278" s="4">
        <v>27.065000000000001</v>
      </c>
      <c r="AS278" s="4">
        <v>17.316800000000001</v>
      </c>
      <c r="AT278" s="4">
        <v>30.314299999999999</v>
      </c>
      <c r="AU278" s="4">
        <v>16.582999999999998</v>
      </c>
      <c r="AV278" s="4">
        <v>0.222243</v>
      </c>
      <c r="AW278" s="4">
        <v>0.41869499999999998</v>
      </c>
      <c r="AX278" s="4">
        <v>-2.2589999999999999E-2</v>
      </c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1" t="s">
        <v>3599</v>
      </c>
      <c r="BJ278" s="1" t="s">
        <v>3672</v>
      </c>
      <c r="BK278" s="1">
        <v>1</v>
      </c>
      <c r="BL278" s="1"/>
      <c r="BM278" s="1" t="s">
        <v>392</v>
      </c>
      <c r="BN278" s="1" t="s">
        <v>2674</v>
      </c>
      <c r="BO278" s="1" t="s">
        <v>2675</v>
      </c>
      <c r="BP278" s="1">
        <v>6.9</v>
      </c>
      <c r="BQ278" s="1" t="s">
        <v>1003</v>
      </c>
      <c r="BR278" s="1">
        <v>37.040700000000001</v>
      </c>
      <c r="BS278" s="1">
        <v>-121.88290000000001</v>
      </c>
      <c r="BT278" s="1">
        <v>17.48</v>
      </c>
      <c r="BU278" s="1" t="s">
        <v>1055</v>
      </c>
      <c r="BV278" s="1" t="s">
        <v>2809</v>
      </c>
      <c r="BW278" s="1">
        <v>128</v>
      </c>
      <c r="BX278" s="1">
        <v>70</v>
      </c>
      <c r="BY278" s="1">
        <v>140</v>
      </c>
      <c r="BZ278" s="1"/>
      <c r="CA278" s="1"/>
      <c r="CB278" s="1"/>
      <c r="CC278" s="1" t="s">
        <v>2808</v>
      </c>
      <c r="CD278" s="1" t="s">
        <v>731</v>
      </c>
      <c r="CE278" s="1"/>
      <c r="CF278" s="1"/>
      <c r="CG278" s="1"/>
      <c r="CH278" s="1"/>
      <c r="CI278" s="1"/>
      <c r="CJ278" s="1" t="s">
        <v>2812</v>
      </c>
      <c r="CK278" t="s">
        <v>1263</v>
      </c>
      <c r="CL278">
        <v>35</v>
      </c>
      <c r="CM278" t="s">
        <v>2825</v>
      </c>
    </row>
    <row r="279" spans="1:91" ht="19" customHeight="1">
      <c r="A279" s="1" t="s">
        <v>3673</v>
      </c>
      <c r="B279" s="1" t="s">
        <v>3597</v>
      </c>
      <c r="C279" s="1">
        <v>36</v>
      </c>
      <c r="D279" s="1" t="s">
        <v>1054</v>
      </c>
      <c r="E279" s="1">
        <v>1989</v>
      </c>
      <c r="F279" s="1" t="s">
        <v>824</v>
      </c>
      <c r="G279" s="1" t="s">
        <v>2501</v>
      </c>
      <c r="H279" s="4">
        <v>37.255000000000003</v>
      </c>
      <c r="I279" s="4">
        <v>-122.03100000000001</v>
      </c>
      <c r="J279" s="1" t="s">
        <v>1404</v>
      </c>
      <c r="K279" s="1" t="s">
        <v>70</v>
      </c>
      <c r="L279" s="1" t="s">
        <v>2503</v>
      </c>
      <c r="M279" s="1" t="s">
        <v>3598</v>
      </c>
      <c r="N279" s="1"/>
      <c r="O279" s="1" t="s">
        <v>3095</v>
      </c>
      <c r="P279" s="1"/>
      <c r="Q279" s="4">
        <v>6.9</v>
      </c>
      <c r="R279" s="4"/>
      <c r="S279" s="4"/>
      <c r="T279" s="4"/>
      <c r="U279" s="4"/>
      <c r="V279" s="4">
        <v>8.5</v>
      </c>
      <c r="W279" s="4"/>
      <c r="X279" s="4"/>
      <c r="Y279" s="4"/>
      <c r="Z279" s="4"/>
      <c r="AA279" s="4"/>
      <c r="AB279" s="4" t="s">
        <v>1055</v>
      </c>
      <c r="AC279" s="4"/>
      <c r="AD279" s="4">
        <v>37.040700000000001</v>
      </c>
      <c r="AE279" s="4">
        <v>-121.88290000000001</v>
      </c>
      <c r="AF279" s="4">
        <v>17.48</v>
      </c>
      <c r="AG279" s="4">
        <v>380.89</v>
      </c>
      <c r="AH279" s="27" t="b">
        <v>1</v>
      </c>
      <c r="AI279" s="4">
        <v>4.5709999999999997</v>
      </c>
      <c r="AJ279" s="27" t="b">
        <v>0</v>
      </c>
      <c r="AK279" s="4"/>
      <c r="AL279" s="27" t="b">
        <v>0</v>
      </c>
      <c r="AM279" s="4">
        <v>504.68</v>
      </c>
      <c r="AN279" s="4">
        <v>320.029</v>
      </c>
      <c r="AO279" s="4">
        <v>388.18400000000003</v>
      </c>
      <c r="AP279" s="4">
        <v>41.591900000000003</v>
      </c>
      <c r="AQ279" s="4">
        <v>45.983699999999999</v>
      </c>
      <c r="AR279" s="4">
        <v>28.0352</v>
      </c>
      <c r="AS279" s="4">
        <v>16.323899999999998</v>
      </c>
      <c r="AT279" s="4">
        <v>33.325299999999999</v>
      </c>
      <c r="AU279" s="4">
        <v>17.2651</v>
      </c>
      <c r="AV279" s="4">
        <v>0.25591900000000001</v>
      </c>
      <c r="AW279" s="4">
        <v>-2.5010000000000001E-2</v>
      </c>
      <c r="AX279" s="4">
        <v>-0.293653</v>
      </c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1" t="s">
        <v>3599</v>
      </c>
      <c r="BJ279" s="1" t="s">
        <v>3674</v>
      </c>
      <c r="BK279" s="1">
        <v>1</v>
      </c>
      <c r="BL279" s="1"/>
      <c r="BM279" s="1" t="s">
        <v>392</v>
      </c>
      <c r="BN279" s="1" t="s">
        <v>2674</v>
      </c>
      <c r="BO279" s="1" t="s">
        <v>2675</v>
      </c>
      <c r="BP279" s="1">
        <v>6.9</v>
      </c>
      <c r="BQ279" s="1" t="s">
        <v>1003</v>
      </c>
      <c r="BR279" s="1">
        <v>37.040700000000001</v>
      </c>
      <c r="BS279" s="1">
        <v>-121.88290000000001</v>
      </c>
      <c r="BT279" s="1">
        <v>17.48</v>
      </c>
      <c r="BU279" s="1" t="s">
        <v>1055</v>
      </c>
      <c r="BV279" s="1" t="s">
        <v>2809</v>
      </c>
      <c r="BW279" s="1">
        <v>128</v>
      </c>
      <c r="BX279" s="1">
        <v>70</v>
      </c>
      <c r="BY279" s="1">
        <v>140</v>
      </c>
      <c r="BZ279" s="1"/>
      <c r="CA279" s="1"/>
      <c r="CB279" s="1"/>
      <c r="CC279" s="1" t="s">
        <v>2808</v>
      </c>
      <c r="CD279" s="1" t="s">
        <v>731</v>
      </c>
      <c r="CE279" s="1"/>
      <c r="CF279" s="1"/>
      <c r="CG279" s="1"/>
      <c r="CH279" s="1"/>
      <c r="CI279" s="1"/>
      <c r="CJ279" s="1" t="s">
        <v>2812</v>
      </c>
      <c r="CK279" t="s">
        <v>1263</v>
      </c>
      <c r="CL279">
        <v>36</v>
      </c>
      <c r="CM279" t="s">
        <v>2825</v>
      </c>
    </row>
    <row r="280" spans="1:91" ht="19" customHeight="1">
      <c r="A280" s="1" t="s">
        <v>3675</v>
      </c>
      <c r="B280" s="1" t="s">
        <v>3597</v>
      </c>
      <c r="C280" s="1">
        <v>37</v>
      </c>
      <c r="D280" s="1" t="s">
        <v>1054</v>
      </c>
      <c r="E280" s="1">
        <v>1989</v>
      </c>
      <c r="F280" s="1" t="s">
        <v>825</v>
      </c>
      <c r="G280" s="1" t="s">
        <v>2504</v>
      </c>
      <c r="H280" s="4">
        <v>37.262</v>
      </c>
      <c r="I280" s="4">
        <v>-122.009</v>
      </c>
      <c r="J280" s="1" t="s">
        <v>1404</v>
      </c>
      <c r="K280" s="1" t="s">
        <v>70</v>
      </c>
      <c r="L280" s="1" t="s">
        <v>2506</v>
      </c>
      <c r="M280" s="1" t="s">
        <v>3598</v>
      </c>
      <c r="N280" s="1"/>
      <c r="O280" s="1" t="s">
        <v>3095</v>
      </c>
      <c r="P280" s="1"/>
      <c r="Q280" s="4">
        <v>6.9</v>
      </c>
      <c r="R280" s="4"/>
      <c r="S280" s="4"/>
      <c r="T280" s="4"/>
      <c r="U280" s="4"/>
      <c r="V280" s="4">
        <v>9.31</v>
      </c>
      <c r="W280" s="4"/>
      <c r="X280" s="4"/>
      <c r="Y280" s="4"/>
      <c r="Z280" s="4"/>
      <c r="AA280" s="4"/>
      <c r="AB280" s="4" t="s">
        <v>1055</v>
      </c>
      <c r="AC280" s="4"/>
      <c r="AD280" s="4">
        <v>37.040700000000001</v>
      </c>
      <c r="AE280" s="4">
        <v>-121.88290000000001</v>
      </c>
      <c r="AF280" s="4">
        <v>17.48</v>
      </c>
      <c r="AG280" s="4">
        <v>347.9</v>
      </c>
      <c r="AH280" s="27" t="b">
        <v>1</v>
      </c>
      <c r="AI280" s="4">
        <v>5.649</v>
      </c>
      <c r="AJ280" s="27" t="b">
        <v>0</v>
      </c>
      <c r="AK280" s="4"/>
      <c r="AL280" s="27" t="b">
        <v>0</v>
      </c>
      <c r="AM280" s="4">
        <v>252.607</v>
      </c>
      <c r="AN280" s="4">
        <v>324.935</v>
      </c>
      <c r="AO280" s="4"/>
      <c r="AP280" s="4">
        <v>42.056399999999996</v>
      </c>
      <c r="AQ280" s="4">
        <v>64.912300000000002</v>
      </c>
      <c r="AR280" s="4"/>
      <c r="AS280" s="4">
        <v>24.214700000000001</v>
      </c>
      <c r="AT280" s="4">
        <v>37.860399999999998</v>
      </c>
      <c r="AU280" s="4"/>
      <c r="AV280" s="4">
        <v>0.27366600000000002</v>
      </c>
      <c r="AW280" s="4">
        <v>0.35765000000000002</v>
      </c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1" t="s">
        <v>3658</v>
      </c>
      <c r="BJ280" s="1" t="s">
        <v>3676</v>
      </c>
      <c r="BK280" s="1">
        <v>1</v>
      </c>
      <c r="BL280" s="1"/>
      <c r="BM280" s="1" t="s">
        <v>392</v>
      </c>
      <c r="BN280" s="1" t="s">
        <v>2674</v>
      </c>
      <c r="BO280" s="1" t="s">
        <v>2675</v>
      </c>
      <c r="BP280" s="1">
        <v>6.9</v>
      </c>
      <c r="BQ280" s="1" t="s">
        <v>1003</v>
      </c>
      <c r="BR280" s="1">
        <v>37.040700000000001</v>
      </c>
      <c r="BS280" s="1">
        <v>-121.88290000000001</v>
      </c>
      <c r="BT280" s="1">
        <v>17.48</v>
      </c>
      <c r="BU280" s="1" t="s">
        <v>1055</v>
      </c>
      <c r="BV280" s="1" t="s">
        <v>2809</v>
      </c>
      <c r="BW280" s="1">
        <v>128</v>
      </c>
      <c r="BX280" s="1">
        <v>70</v>
      </c>
      <c r="BY280" s="1">
        <v>140</v>
      </c>
      <c r="BZ280" s="1"/>
      <c r="CA280" s="1"/>
      <c r="CB280" s="1"/>
      <c r="CC280" s="1" t="s">
        <v>2808</v>
      </c>
      <c r="CD280" s="1" t="s">
        <v>731</v>
      </c>
      <c r="CE280" s="1"/>
      <c r="CF280" s="1"/>
      <c r="CG280" s="1"/>
      <c r="CH280" s="1"/>
      <c r="CI280" s="1"/>
      <c r="CJ280" s="1" t="s">
        <v>2812</v>
      </c>
      <c r="CK280" t="s">
        <v>1263</v>
      </c>
      <c r="CL280">
        <v>37</v>
      </c>
      <c r="CM280" t="s">
        <v>2825</v>
      </c>
    </row>
    <row r="281" spans="1:91" ht="19" customHeight="1">
      <c r="A281" s="1" t="s">
        <v>3677</v>
      </c>
      <c r="B281" s="1" t="s">
        <v>3597</v>
      </c>
      <c r="C281" s="1">
        <v>38</v>
      </c>
      <c r="D281" s="1" t="s">
        <v>1056</v>
      </c>
      <c r="E281" s="1">
        <v>1992</v>
      </c>
      <c r="F281" s="1" t="s">
        <v>830</v>
      </c>
      <c r="G281" s="1" t="s">
        <v>2318</v>
      </c>
      <c r="H281" s="4">
        <v>40.497599999999998</v>
      </c>
      <c r="I281" s="4">
        <v>-124.2945</v>
      </c>
      <c r="J281" s="1" t="s">
        <v>1404</v>
      </c>
      <c r="K281" s="1" t="s">
        <v>70</v>
      </c>
      <c r="L281" s="1" t="s">
        <v>2320</v>
      </c>
      <c r="M281" s="1" t="s">
        <v>3598</v>
      </c>
      <c r="N281" s="1"/>
      <c r="O281" s="1" t="s">
        <v>3095</v>
      </c>
      <c r="P281" s="1"/>
      <c r="Q281" s="4">
        <v>7</v>
      </c>
      <c r="R281" s="4"/>
      <c r="S281" s="4"/>
      <c r="T281" s="4"/>
      <c r="U281" s="4"/>
      <c r="V281" s="4">
        <v>12.24</v>
      </c>
      <c r="W281" s="4"/>
      <c r="X281" s="4"/>
      <c r="Y281" s="4"/>
      <c r="Z281" s="4"/>
      <c r="AA281" s="4"/>
      <c r="AB281" s="4" t="s">
        <v>1028</v>
      </c>
      <c r="AC281" s="4"/>
      <c r="AD281" s="4">
        <v>40.326999999999998</v>
      </c>
      <c r="AE281" s="4">
        <v>-124.233</v>
      </c>
      <c r="AF281" s="4">
        <v>9.5</v>
      </c>
      <c r="AG281" s="4">
        <v>566.41999999999996</v>
      </c>
      <c r="AH281" s="27" t="b">
        <v>1</v>
      </c>
      <c r="AI281" s="4">
        <v>5.3620000000000001</v>
      </c>
      <c r="AJ281" s="27" t="b">
        <v>0</v>
      </c>
      <c r="AK281" s="4"/>
      <c r="AL281" s="27" t="b">
        <v>0</v>
      </c>
      <c r="AM281" s="4">
        <v>174.01</v>
      </c>
      <c r="AN281" s="4">
        <v>202.494</v>
      </c>
      <c r="AO281" s="4">
        <v>82.968299999999999</v>
      </c>
      <c r="AP281" s="4">
        <v>67.876400000000004</v>
      </c>
      <c r="AQ281" s="4">
        <v>48.338700000000003</v>
      </c>
      <c r="AR281" s="4">
        <v>12.4438</v>
      </c>
      <c r="AS281" s="4">
        <v>39.069699999999997</v>
      </c>
      <c r="AT281" s="4">
        <v>16.115200000000002</v>
      </c>
      <c r="AU281" s="4">
        <v>6.13103</v>
      </c>
      <c r="AV281" s="4">
        <v>-1.4146000000000001</v>
      </c>
      <c r="AW281" s="4">
        <v>0.87124699999999999</v>
      </c>
      <c r="AX281" s="4">
        <v>-0.15263199999999999</v>
      </c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1" t="s">
        <v>3599</v>
      </c>
      <c r="BJ281" s="1" t="s">
        <v>3678</v>
      </c>
      <c r="BK281" s="1">
        <v>1</v>
      </c>
      <c r="BL281" s="1"/>
      <c r="BM281" s="1" t="s">
        <v>399</v>
      </c>
      <c r="BN281" s="1" t="s">
        <v>2680</v>
      </c>
      <c r="BO281" s="1" t="s">
        <v>2681</v>
      </c>
      <c r="BP281" s="1">
        <v>7</v>
      </c>
      <c r="BQ281" s="1" t="s">
        <v>1003</v>
      </c>
      <c r="BR281" s="1">
        <v>40.326999999999998</v>
      </c>
      <c r="BS281" s="1">
        <v>-124.233</v>
      </c>
      <c r="BT281" s="1">
        <v>9.5</v>
      </c>
      <c r="BU281" s="1" t="s">
        <v>1028</v>
      </c>
      <c r="BV281" s="1" t="s">
        <v>2809</v>
      </c>
      <c r="BW281" s="1">
        <v>350</v>
      </c>
      <c r="BX281" s="1">
        <v>14</v>
      </c>
      <c r="BY281" s="1">
        <v>105</v>
      </c>
      <c r="BZ281" s="1"/>
      <c r="CA281" s="1"/>
      <c r="CB281" s="1"/>
      <c r="CC281" s="1" t="s">
        <v>2808</v>
      </c>
      <c r="CD281" s="1" t="s">
        <v>731</v>
      </c>
      <c r="CE281" s="1"/>
      <c r="CF281" s="1"/>
      <c r="CG281" s="1"/>
      <c r="CH281" s="1"/>
      <c r="CI281" s="1"/>
      <c r="CJ281" s="1" t="s">
        <v>2812</v>
      </c>
      <c r="CK281" t="s">
        <v>1263</v>
      </c>
      <c r="CL281">
        <v>38</v>
      </c>
      <c r="CM281" t="s">
        <v>2826</v>
      </c>
    </row>
    <row r="282" spans="1:91" ht="19" customHeight="1">
      <c r="A282" s="1" t="s">
        <v>3679</v>
      </c>
      <c r="B282" s="1" t="s">
        <v>3597</v>
      </c>
      <c r="C282" s="1">
        <v>39</v>
      </c>
      <c r="D282" s="1" t="s">
        <v>1056</v>
      </c>
      <c r="E282" s="1">
        <v>1992</v>
      </c>
      <c r="F282" s="1" t="s">
        <v>1057</v>
      </c>
      <c r="G282" s="1" t="s">
        <v>2323</v>
      </c>
      <c r="H282" s="4">
        <v>40.563000000000002</v>
      </c>
      <c r="I282" s="4">
        <v>-124.348</v>
      </c>
      <c r="J282" s="1" t="s">
        <v>1404</v>
      </c>
      <c r="K282" s="1" t="s">
        <v>70</v>
      </c>
      <c r="L282" s="1" t="s">
        <v>2325</v>
      </c>
      <c r="M282" s="1" t="s">
        <v>3598</v>
      </c>
      <c r="N282" s="1"/>
      <c r="O282" s="1" t="s">
        <v>3095</v>
      </c>
      <c r="P282" s="1"/>
      <c r="Q282" s="4">
        <v>7</v>
      </c>
      <c r="R282" s="4"/>
      <c r="S282" s="4"/>
      <c r="T282" s="4"/>
      <c r="U282" s="4"/>
      <c r="V282" s="4">
        <v>18.309999999999999</v>
      </c>
      <c r="W282" s="4"/>
      <c r="X282" s="4"/>
      <c r="Y282" s="4"/>
      <c r="Z282" s="4"/>
      <c r="AA282" s="4"/>
      <c r="AB282" s="4" t="s">
        <v>1028</v>
      </c>
      <c r="AC282" s="4"/>
      <c r="AD282" s="4">
        <v>40.326999999999998</v>
      </c>
      <c r="AE282" s="4">
        <v>-124.233</v>
      </c>
      <c r="AF282" s="4">
        <v>9.5</v>
      </c>
      <c r="AG282" s="4">
        <v>459.04</v>
      </c>
      <c r="AH282" s="27" t="b">
        <v>1</v>
      </c>
      <c r="AI282" s="4">
        <v>1.9670000000000001</v>
      </c>
      <c r="AJ282" s="27" t="b">
        <v>0</v>
      </c>
      <c r="AK282" s="4"/>
      <c r="AL282" s="27" t="b">
        <v>0</v>
      </c>
      <c r="AM282" s="4">
        <v>312.03399999999999</v>
      </c>
      <c r="AN282" s="4">
        <v>468.56900000000002</v>
      </c>
      <c r="AO282" s="4">
        <v>119.282</v>
      </c>
      <c r="AP282" s="4">
        <v>49.546399999999998</v>
      </c>
      <c r="AQ282" s="4">
        <v>51.220199999999998</v>
      </c>
      <c r="AR282" s="4">
        <v>17.1067</v>
      </c>
      <c r="AS282" s="4">
        <v>12.654500000000001</v>
      </c>
      <c r="AT282" s="4">
        <v>15.992000000000001</v>
      </c>
      <c r="AU282" s="4">
        <v>8.6654900000000001</v>
      </c>
      <c r="AV282" s="4">
        <v>2.862E-2</v>
      </c>
      <c r="AW282" s="4">
        <v>-0.35622199999999998</v>
      </c>
      <c r="AX282" s="4">
        <v>0.35045100000000001</v>
      </c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1" t="s">
        <v>3599</v>
      </c>
      <c r="BJ282" s="1" t="s">
        <v>3680</v>
      </c>
      <c r="BK282" s="1">
        <v>1</v>
      </c>
      <c r="BL282" s="1"/>
      <c r="BM282" s="1" t="s">
        <v>399</v>
      </c>
      <c r="BN282" s="1" t="s">
        <v>2680</v>
      </c>
      <c r="BO282" s="1" t="s">
        <v>2681</v>
      </c>
      <c r="BP282" s="1">
        <v>7</v>
      </c>
      <c r="BQ282" s="1" t="s">
        <v>1003</v>
      </c>
      <c r="BR282" s="1">
        <v>40.326999999999998</v>
      </c>
      <c r="BS282" s="1">
        <v>-124.233</v>
      </c>
      <c r="BT282" s="1">
        <v>9.5</v>
      </c>
      <c r="BU282" s="1" t="s">
        <v>1028</v>
      </c>
      <c r="BV282" s="1" t="s">
        <v>2809</v>
      </c>
      <c r="BW282" s="1">
        <v>350</v>
      </c>
      <c r="BX282" s="1">
        <v>14</v>
      </c>
      <c r="BY282" s="1">
        <v>105</v>
      </c>
      <c r="BZ282" s="1"/>
      <c r="CA282" s="1"/>
      <c r="CB282" s="1"/>
      <c r="CC282" s="1" t="s">
        <v>2808</v>
      </c>
      <c r="CD282" s="1" t="s">
        <v>731</v>
      </c>
      <c r="CE282" s="1"/>
      <c r="CF282" s="1"/>
      <c r="CG282" s="1"/>
      <c r="CH282" s="1"/>
      <c r="CI282" s="1"/>
      <c r="CJ282" s="1" t="s">
        <v>2812</v>
      </c>
      <c r="CK282" t="s">
        <v>1263</v>
      </c>
      <c r="CL282">
        <v>39</v>
      </c>
      <c r="CM282" t="s">
        <v>2826</v>
      </c>
    </row>
    <row r="283" spans="1:91" ht="19" customHeight="1">
      <c r="A283" s="1" t="s">
        <v>3681</v>
      </c>
      <c r="B283" s="1" t="s">
        <v>3597</v>
      </c>
      <c r="C283" s="1">
        <v>40</v>
      </c>
      <c r="D283" s="1" t="s">
        <v>1056</v>
      </c>
      <c r="E283" s="1">
        <v>1992</v>
      </c>
      <c r="F283" s="1" t="s">
        <v>829</v>
      </c>
      <c r="G283" s="1" t="s">
        <v>2491</v>
      </c>
      <c r="H283" s="4">
        <v>40.323999999999998</v>
      </c>
      <c r="I283" s="4">
        <v>-124.286</v>
      </c>
      <c r="J283" s="1" t="s">
        <v>1404</v>
      </c>
      <c r="K283" s="1" t="s">
        <v>70</v>
      </c>
      <c r="L283" s="1" t="s">
        <v>2493</v>
      </c>
      <c r="M283" s="1" t="s">
        <v>3598</v>
      </c>
      <c r="N283" s="1"/>
      <c r="O283" s="1" t="s">
        <v>3095</v>
      </c>
      <c r="P283" s="1"/>
      <c r="Q283" s="4">
        <v>7</v>
      </c>
      <c r="R283" s="4"/>
      <c r="S283" s="4"/>
      <c r="T283" s="4"/>
      <c r="U283" s="4"/>
      <c r="V283" s="4">
        <v>8.18</v>
      </c>
      <c r="W283" s="4"/>
      <c r="X283" s="4"/>
      <c r="Y283" s="4"/>
      <c r="Z283" s="4"/>
      <c r="AA283" s="4"/>
      <c r="AB283" s="4" t="s">
        <v>1028</v>
      </c>
      <c r="AC283" s="4"/>
      <c r="AD283" s="4">
        <v>40.326999999999998</v>
      </c>
      <c r="AE283" s="4">
        <v>-124.233</v>
      </c>
      <c r="AF283" s="4">
        <v>9.5</v>
      </c>
      <c r="AG283" s="4">
        <v>422.17</v>
      </c>
      <c r="AH283" s="27" t="b">
        <v>1</v>
      </c>
      <c r="AI283" s="4">
        <v>2.996</v>
      </c>
      <c r="AJ283" s="27" t="b">
        <v>0</v>
      </c>
      <c r="AK283" s="4"/>
      <c r="AL283" s="27" t="b">
        <v>0</v>
      </c>
      <c r="AM283" s="4">
        <v>579.56399999999996</v>
      </c>
      <c r="AN283" s="4">
        <v>648.99400000000003</v>
      </c>
      <c r="AO283" s="4">
        <v>162.03299999999999</v>
      </c>
      <c r="AP283" s="4">
        <v>49.555100000000003</v>
      </c>
      <c r="AQ283" s="4">
        <v>88.976100000000002</v>
      </c>
      <c r="AR283" s="4">
        <v>20.101500000000001</v>
      </c>
      <c r="AS283" s="4">
        <v>16.555299999999999</v>
      </c>
      <c r="AT283" s="4">
        <v>33.197699999999998</v>
      </c>
      <c r="AU283" s="4">
        <v>19.3642</v>
      </c>
      <c r="AV283" s="4">
        <v>1.28531</v>
      </c>
      <c r="AW283" s="4">
        <v>-0.83501800000000004</v>
      </c>
      <c r="AX283" s="4">
        <v>-13.146599999999999</v>
      </c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1" t="s">
        <v>3599</v>
      </c>
      <c r="BJ283" s="1" t="s">
        <v>3682</v>
      </c>
      <c r="BK283" s="1">
        <v>1</v>
      </c>
      <c r="BL283" s="1"/>
      <c r="BM283" s="1" t="s">
        <v>399</v>
      </c>
      <c r="BN283" s="1" t="s">
        <v>2680</v>
      </c>
      <c r="BO283" s="1" t="s">
        <v>2681</v>
      </c>
      <c r="BP283" s="1">
        <v>7</v>
      </c>
      <c r="BQ283" s="1" t="s">
        <v>1003</v>
      </c>
      <c r="BR283" s="1">
        <v>40.326999999999998</v>
      </c>
      <c r="BS283" s="1">
        <v>-124.233</v>
      </c>
      <c r="BT283" s="1">
        <v>9.5</v>
      </c>
      <c r="BU283" s="1" t="s">
        <v>1028</v>
      </c>
      <c r="BV283" s="1" t="s">
        <v>2809</v>
      </c>
      <c r="BW283" s="1">
        <v>350</v>
      </c>
      <c r="BX283" s="1">
        <v>14</v>
      </c>
      <c r="BY283" s="1">
        <v>105</v>
      </c>
      <c r="BZ283" s="1"/>
      <c r="CA283" s="1"/>
      <c r="CB283" s="1"/>
      <c r="CC283" s="1" t="s">
        <v>2808</v>
      </c>
      <c r="CD283" s="1" t="s">
        <v>731</v>
      </c>
      <c r="CE283" s="1"/>
      <c r="CF283" s="1"/>
      <c r="CG283" s="1"/>
      <c r="CH283" s="1"/>
      <c r="CI283" s="1"/>
      <c r="CJ283" s="1" t="s">
        <v>2812</v>
      </c>
      <c r="CK283" t="s">
        <v>1263</v>
      </c>
      <c r="CL283">
        <v>40</v>
      </c>
      <c r="CM283" t="s">
        <v>2826</v>
      </c>
    </row>
    <row r="284" spans="1:91" ht="19" customHeight="1">
      <c r="A284" s="1" t="s">
        <v>3683</v>
      </c>
      <c r="B284" s="1" t="s">
        <v>3597</v>
      </c>
      <c r="C284" s="1">
        <v>41</v>
      </c>
      <c r="D284" s="1" t="s">
        <v>1058</v>
      </c>
      <c r="E284" s="1">
        <v>1992</v>
      </c>
      <c r="F284" s="1" t="s">
        <v>834</v>
      </c>
      <c r="G284" s="1" t="s">
        <v>2310</v>
      </c>
      <c r="H284" s="4">
        <v>34.887</v>
      </c>
      <c r="I284" s="4">
        <v>-117.047</v>
      </c>
      <c r="J284" s="1" t="s">
        <v>1404</v>
      </c>
      <c r="K284" s="1" t="s">
        <v>70</v>
      </c>
      <c r="L284" s="1" t="s">
        <v>2312</v>
      </c>
      <c r="M284" s="1" t="s">
        <v>3598</v>
      </c>
      <c r="N284" s="1"/>
      <c r="O284" s="1" t="s">
        <v>3095</v>
      </c>
      <c r="P284" s="1"/>
      <c r="Q284" s="4">
        <v>7.3</v>
      </c>
      <c r="R284" s="4"/>
      <c r="S284" s="4"/>
      <c r="T284" s="4"/>
      <c r="U284" s="4"/>
      <c r="V284" s="4">
        <v>34.86</v>
      </c>
      <c r="W284" s="4"/>
      <c r="X284" s="4"/>
      <c r="Y284" s="4"/>
      <c r="Z284" s="4"/>
      <c r="AA284" s="4"/>
      <c r="AB284" s="4" t="s">
        <v>1032</v>
      </c>
      <c r="AC284" s="4"/>
      <c r="AD284" s="4">
        <v>34.200000000000003</v>
      </c>
      <c r="AE284" s="4">
        <v>-116.43600000000001</v>
      </c>
      <c r="AF284" s="4">
        <v>7</v>
      </c>
      <c r="AG284" s="4">
        <v>370.08</v>
      </c>
      <c r="AH284" s="27" t="b">
        <v>1</v>
      </c>
      <c r="AI284" s="4">
        <v>9.1280000000000001</v>
      </c>
      <c r="AJ284" s="27" t="b">
        <v>0</v>
      </c>
      <c r="AK284" s="4"/>
      <c r="AL284" s="27" t="b">
        <v>0</v>
      </c>
      <c r="AM284" s="4">
        <v>127.98</v>
      </c>
      <c r="AN284" s="4">
        <v>132.876</v>
      </c>
      <c r="AO284" s="4">
        <v>64.090800000000002</v>
      </c>
      <c r="AP284" s="4">
        <v>20.515899999999998</v>
      </c>
      <c r="AQ284" s="4">
        <v>25.035699999999999</v>
      </c>
      <c r="AR284" s="4">
        <v>7.3716999999999997</v>
      </c>
      <c r="AS284" s="4">
        <v>14.6365</v>
      </c>
      <c r="AT284" s="4">
        <v>17.928799999999999</v>
      </c>
      <c r="AU284" s="4">
        <v>3.3506499999999999</v>
      </c>
      <c r="AV284" s="4">
        <v>-0.48718800000000001</v>
      </c>
      <c r="AW284" s="4">
        <v>-0.75439500000000004</v>
      </c>
      <c r="AX284" s="4">
        <v>1.6749099999999999</v>
      </c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1" t="s">
        <v>3599</v>
      </c>
      <c r="BJ284" s="1" t="s">
        <v>3684</v>
      </c>
      <c r="BK284" s="1">
        <v>1</v>
      </c>
      <c r="BL284" s="1"/>
      <c r="BM284" s="1" t="s">
        <v>412</v>
      </c>
      <c r="BN284" s="1" t="s">
        <v>2690</v>
      </c>
      <c r="BO284" s="1" t="s">
        <v>2691</v>
      </c>
      <c r="BP284" s="1">
        <v>7.3</v>
      </c>
      <c r="BQ284" s="1" t="s">
        <v>1003</v>
      </c>
      <c r="BR284" s="1">
        <v>34.200000000000003</v>
      </c>
      <c r="BS284" s="1">
        <v>-116.43600000000001</v>
      </c>
      <c r="BT284" s="1">
        <v>7</v>
      </c>
      <c r="BU284" s="1" t="s">
        <v>1032</v>
      </c>
      <c r="BV284" s="1" t="s">
        <v>2809</v>
      </c>
      <c r="BW284" s="1">
        <v>336</v>
      </c>
      <c r="BX284" s="1">
        <v>90</v>
      </c>
      <c r="BY284" s="1">
        <v>180</v>
      </c>
      <c r="BZ284" s="1"/>
      <c r="CA284" s="1"/>
      <c r="CB284" s="1"/>
      <c r="CC284" s="1" t="s">
        <v>2808</v>
      </c>
      <c r="CD284" s="1" t="s">
        <v>731</v>
      </c>
      <c r="CE284" s="1"/>
      <c r="CF284" s="1"/>
      <c r="CG284" s="1"/>
      <c r="CH284" s="1"/>
      <c r="CI284" s="1"/>
      <c r="CJ284" s="1" t="s">
        <v>2812</v>
      </c>
      <c r="CK284" t="s">
        <v>1263</v>
      </c>
      <c r="CL284">
        <v>41</v>
      </c>
      <c r="CM284" t="s">
        <v>2827</v>
      </c>
    </row>
    <row r="285" spans="1:91" ht="19" customHeight="1">
      <c r="A285" s="1" t="s">
        <v>3685</v>
      </c>
      <c r="B285" s="1" t="s">
        <v>3597</v>
      </c>
      <c r="C285" s="1">
        <v>42</v>
      </c>
      <c r="D285" s="1" t="s">
        <v>1058</v>
      </c>
      <c r="E285" s="1">
        <v>1992</v>
      </c>
      <c r="F285" s="1" t="s">
        <v>835</v>
      </c>
      <c r="G285" s="1" t="s">
        <v>2420</v>
      </c>
      <c r="H285" s="4">
        <v>34.567999999999998</v>
      </c>
      <c r="I285" s="4">
        <v>-116.61199999999999</v>
      </c>
      <c r="J285" s="1" t="s">
        <v>1404</v>
      </c>
      <c r="K285" s="1" t="s">
        <v>70</v>
      </c>
      <c r="L285" s="1" t="s">
        <v>2422</v>
      </c>
      <c r="M285" s="1" t="s">
        <v>3598</v>
      </c>
      <c r="N285" s="1"/>
      <c r="O285" s="1" t="s">
        <v>3095</v>
      </c>
      <c r="P285" s="1"/>
      <c r="Q285" s="4">
        <v>7.3</v>
      </c>
      <c r="R285" s="4"/>
      <c r="S285" s="4"/>
      <c r="T285" s="4"/>
      <c r="U285" s="4"/>
      <c r="V285" s="4">
        <v>2.19</v>
      </c>
      <c r="W285" s="4"/>
      <c r="X285" s="4"/>
      <c r="Y285" s="4"/>
      <c r="Z285" s="4"/>
      <c r="AA285" s="4"/>
      <c r="AB285" s="4" t="s">
        <v>1032</v>
      </c>
      <c r="AC285" s="4"/>
      <c r="AD285" s="4">
        <v>34.200000000000003</v>
      </c>
      <c r="AE285" s="4">
        <v>-116.43600000000001</v>
      </c>
      <c r="AF285" s="4">
        <v>7</v>
      </c>
      <c r="AG285" s="4">
        <v>1369</v>
      </c>
      <c r="AH285" s="27" t="b">
        <v>1</v>
      </c>
      <c r="AI285" s="4">
        <v>5.1239999999999997</v>
      </c>
      <c r="AJ285" s="27" t="b">
        <v>0</v>
      </c>
      <c r="AK285" s="4"/>
      <c r="AL285" s="27" t="b">
        <v>0</v>
      </c>
      <c r="AM285" s="4">
        <v>711.38599999999997</v>
      </c>
      <c r="AN285" s="4">
        <v>773.774</v>
      </c>
      <c r="AO285" s="4">
        <v>807.61500000000001</v>
      </c>
      <c r="AP285" s="4">
        <v>133.607</v>
      </c>
      <c r="AQ285" s="4">
        <v>28.248699999999999</v>
      </c>
      <c r="AR285" s="4">
        <v>41.09</v>
      </c>
      <c r="AS285" s="4">
        <v>113.73699999999999</v>
      </c>
      <c r="AT285" s="4">
        <v>25.5623</v>
      </c>
      <c r="AU285" s="4">
        <v>29.807700000000001</v>
      </c>
      <c r="AV285" s="4">
        <v>-0.81560299999999997</v>
      </c>
      <c r="AW285" s="4">
        <v>-0.70985799999999999</v>
      </c>
      <c r="AX285" s="4">
        <v>0.146421</v>
      </c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1" t="s">
        <v>3599</v>
      </c>
      <c r="BJ285" s="1" t="s">
        <v>3686</v>
      </c>
      <c r="BK285" s="1">
        <v>1</v>
      </c>
      <c r="BL285" s="1"/>
      <c r="BM285" s="1" t="s">
        <v>412</v>
      </c>
      <c r="BN285" s="1" t="s">
        <v>2690</v>
      </c>
      <c r="BO285" s="1" t="s">
        <v>2691</v>
      </c>
      <c r="BP285" s="1">
        <v>7.3</v>
      </c>
      <c r="BQ285" s="1" t="s">
        <v>1003</v>
      </c>
      <c r="BR285" s="1">
        <v>34.200000000000003</v>
      </c>
      <c r="BS285" s="1">
        <v>-116.43600000000001</v>
      </c>
      <c r="BT285" s="1">
        <v>7</v>
      </c>
      <c r="BU285" s="1" t="s">
        <v>1032</v>
      </c>
      <c r="BV285" s="1" t="s">
        <v>2809</v>
      </c>
      <c r="BW285" s="1">
        <v>336</v>
      </c>
      <c r="BX285" s="1">
        <v>90</v>
      </c>
      <c r="BY285" s="1">
        <v>180</v>
      </c>
      <c r="BZ285" s="1"/>
      <c r="CA285" s="1"/>
      <c r="CB285" s="1"/>
      <c r="CC285" s="1" t="s">
        <v>2808</v>
      </c>
      <c r="CD285" s="1" t="s">
        <v>731</v>
      </c>
      <c r="CE285" s="1"/>
      <c r="CF285" s="1"/>
      <c r="CG285" s="1"/>
      <c r="CH285" s="1"/>
      <c r="CI285" s="1"/>
      <c r="CJ285" s="1" t="s">
        <v>2812</v>
      </c>
      <c r="CK285" t="s">
        <v>1263</v>
      </c>
      <c r="CL285">
        <v>42</v>
      </c>
      <c r="CM285" t="s">
        <v>2827</v>
      </c>
    </row>
    <row r="286" spans="1:91" ht="19" customHeight="1">
      <c r="A286" s="1" t="s">
        <v>3687</v>
      </c>
      <c r="B286" s="1" t="s">
        <v>3597</v>
      </c>
      <c r="C286" s="1">
        <v>43</v>
      </c>
      <c r="D286" s="1" t="s">
        <v>1058</v>
      </c>
      <c r="E286" s="1">
        <v>1992</v>
      </c>
      <c r="F286" s="1" t="s">
        <v>836</v>
      </c>
      <c r="G286" s="1" t="s">
        <v>2530</v>
      </c>
      <c r="H286" s="4">
        <v>34.904000000000003</v>
      </c>
      <c r="I286" s="4">
        <v>-116.82299999999999</v>
      </c>
      <c r="J286" s="1" t="s">
        <v>1404</v>
      </c>
      <c r="K286" s="1" t="s">
        <v>70</v>
      </c>
      <c r="L286" s="1" t="s">
        <v>2532</v>
      </c>
      <c r="M286" s="1" t="s">
        <v>3598</v>
      </c>
      <c r="N286" s="1"/>
      <c r="O286" s="1" t="s">
        <v>3095</v>
      </c>
      <c r="P286" s="1"/>
      <c r="Q286" s="4">
        <v>7.3</v>
      </c>
      <c r="R286" s="4"/>
      <c r="S286" s="4"/>
      <c r="T286" s="4"/>
      <c r="U286" s="4"/>
      <c r="V286" s="4">
        <v>23.62</v>
      </c>
      <c r="W286" s="4"/>
      <c r="X286" s="4"/>
      <c r="Y286" s="4"/>
      <c r="Z286" s="4"/>
      <c r="AA286" s="4"/>
      <c r="AB286" s="4" t="s">
        <v>1032</v>
      </c>
      <c r="AC286" s="4"/>
      <c r="AD286" s="4">
        <v>34.200000000000003</v>
      </c>
      <c r="AE286" s="4">
        <v>-116.43600000000001</v>
      </c>
      <c r="AF286" s="4">
        <v>7</v>
      </c>
      <c r="AG286" s="4">
        <v>353.63</v>
      </c>
      <c r="AH286" s="27" t="b">
        <v>1</v>
      </c>
      <c r="AI286" s="4">
        <v>7.5039999999999996</v>
      </c>
      <c r="AJ286" s="27" t="b">
        <v>0</v>
      </c>
      <c r="AK286" s="4"/>
      <c r="AL286" s="27" t="b">
        <v>0</v>
      </c>
      <c r="AM286" s="4">
        <v>239.876</v>
      </c>
      <c r="AN286" s="4">
        <v>148.87299999999999</v>
      </c>
      <c r="AO286" s="4">
        <v>133.315</v>
      </c>
      <c r="AP286" s="4">
        <v>51.181600000000003</v>
      </c>
      <c r="AQ286" s="4">
        <v>29.098099999999999</v>
      </c>
      <c r="AR286" s="4">
        <v>13.0717</v>
      </c>
      <c r="AS286" s="4">
        <v>41.489400000000003</v>
      </c>
      <c r="AT286" s="4">
        <v>23.183499999999999</v>
      </c>
      <c r="AU286" s="4">
        <v>4.8563700000000001</v>
      </c>
      <c r="AV286" s="4">
        <v>0.50414499999999995</v>
      </c>
      <c r="AW286" s="4">
        <v>-0.33769399999999999</v>
      </c>
      <c r="AX286" s="4">
        <v>0.51516799999999996</v>
      </c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1" t="s">
        <v>3599</v>
      </c>
      <c r="BJ286" s="1" t="s">
        <v>3688</v>
      </c>
      <c r="BK286" s="1">
        <v>1</v>
      </c>
      <c r="BL286" s="1"/>
      <c r="BM286" s="1" t="s">
        <v>412</v>
      </c>
      <c r="BN286" s="1" t="s">
        <v>2690</v>
      </c>
      <c r="BO286" s="1" t="s">
        <v>2691</v>
      </c>
      <c r="BP286" s="1">
        <v>7.3</v>
      </c>
      <c r="BQ286" s="1" t="s">
        <v>1003</v>
      </c>
      <c r="BR286" s="1">
        <v>34.200000000000003</v>
      </c>
      <c r="BS286" s="1">
        <v>-116.43600000000001</v>
      </c>
      <c r="BT286" s="1">
        <v>7</v>
      </c>
      <c r="BU286" s="1" t="s">
        <v>1032</v>
      </c>
      <c r="BV286" s="1" t="s">
        <v>2809</v>
      </c>
      <c r="BW286" s="1">
        <v>336</v>
      </c>
      <c r="BX286" s="1">
        <v>90</v>
      </c>
      <c r="BY286" s="1">
        <v>180</v>
      </c>
      <c r="BZ286" s="1"/>
      <c r="CA286" s="1"/>
      <c r="CB286" s="1"/>
      <c r="CC286" s="1" t="s">
        <v>2808</v>
      </c>
      <c r="CD286" s="1" t="s">
        <v>731</v>
      </c>
      <c r="CE286" s="1"/>
      <c r="CF286" s="1"/>
      <c r="CG286" s="1"/>
      <c r="CH286" s="1"/>
      <c r="CI286" s="1"/>
      <c r="CJ286" s="1" t="s">
        <v>2812</v>
      </c>
      <c r="CK286" t="s">
        <v>1263</v>
      </c>
      <c r="CL286">
        <v>43</v>
      </c>
      <c r="CM286" t="s">
        <v>2827</v>
      </c>
    </row>
    <row r="287" spans="1:91" ht="19" customHeight="1">
      <c r="A287" s="1" t="s">
        <v>3689</v>
      </c>
      <c r="B287" s="1" t="s">
        <v>3597</v>
      </c>
      <c r="C287" s="1">
        <v>44</v>
      </c>
      <c r="D287" s="1" t="s">
        <v>1059</v>
      </c>
      <c r="E287" s="1">
        <v>1994</v>
      </c>
      <c r="F287" s="1" t="s">
        <v>1060</v>
      </c>
      <c r="G287" s="1" t="s">
        <v>2396</v>
      </c>
      <c r="H287" s="4">
        <v>34.311999999999998</v>
      </c>
      <c r="I287" s="4">
        <v>-118.496</v>
      </c>
      <c r="J287" s="1" t="s">
        <v>1404</v>
      </c>
      <c r="K287" s="1" t="s">
        <v>70</v>
      </c>
      <c r="L287" s="1" t="s">
        <v>2397</v>
      </c>
      <c r="M287" s="1" t="s">
        <v>3598</v>
      </c>
      <c r="N287" s="1"/>
      <c r="O287" s="1" t="s">
        <v>3095</v>
      </c>
      <c r="P287" s="1"/>
      <c r="Q287" s="4">
        <v>6.7</v>
      </c>
      <c r="R287" s="4"/>
      <c r="S287" s="4"/>
      <c r="T287" s="4"/>
      <c r="U287" s="4"/>
      <c r="V287" s="4">
        <v>5.43</v>
      </c>
      <c r="W287" s="4"/>
      <c r="X287" s="4"/>
      <c r="Y287" s="4"/>
      <c r="Z287" s="4"/>
      <c r="AA287" s="4"/>
      <c r="AB287" s="4" t="s">
        <v>1028</v>
      </c>
      <c r="AC287" s="4"/>
      <c r="AD287" s="4">
        <v>34.2057</v>
      </c>
      <c r="AE287" s="4">
        <v>-118.5539</v>
      </c>
      <c r="AF287" s="4">
        <v>17.5</v>
      </c>
      <c r="AG287" s="4">
        <v>373.07</v>
      </c>
      <c r="AH287" s="27" t="b">
        <v>1</v>
      </c>
      <c r="AI287" s="4">
        <v>3.157</v>
      </c>
      <c r="AJ287" s="27" t="b">
        <v>0</v>
      </c>
      <c r="AK287" s="4"/>
      <c r="AL287" s="27" t="b">
        <v>0</v>
      </c>
      <c r="AM287" s="4">
        <v>402.73</v>
      </c>
      <c r="AN287" s="4">
        <v>605.36099999999999</v>
      </c>
      <c r="AO287" s="4">
        <v>339.93299999999999</v>
      </c>
      <c r="AP287" s="4">
        <v>111.48099999999999</v>
      </c>
      <c r="AQ287" s="4">
        <v>97.364999999999995</v>
      </c>
      <c r="AR287" s="4">
        <v>31.257100000000001</v>
      </c>
      <c r="AS287" s="4">
        <v>44.637900000000002</v>
      </c>
      <c r="AT287" s="4">
        <v>23.443100000000001</v>
      </c>
      <c r="AU287" s="4">
        <v>7.4882099999999996</v>
      </c>
      <c r="AV287" s="4">
        <v>-0.44737199999999999</v>
      </c>
      <c r="AW287" s="4">
        <v>-0.52517199999999997</v>
      </c>
      <c r="AX287" s="4">
        <v>0.14429400000000001</v>
      </c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1" t="s">
        <v>3599</v>
      </c>
      <c r="BJ287" s="1" t="s">
        <v>3690</v>
      </c>
      <c r="BK287" s="1">
        <v>1</v>
      </c>
      <c r="BL287" s="1"/>
      <c r="BM287" s="1" t="s">
        <v>419</v>
      </c>
      <c r="BN287" s="1" t="s">
        <v>2696</v>
      </c>
      <c r="BO287" s="1" t="s">
        <v>2697</v>
      </c>
      <c r="BP287" s="1">
        <v>6.7</v>
      </c>
      <c r="BQ287" s="1" t="s">
        <v>1003</v>
      </c>
      <c r="BR287" s="1">
        <v>34.2057</v>
      </c>
      <c r="BS287" s="1">
        <v>-118.5539</v>
      </c>
      <c r="BT287" s="1">
        <v>17.5</v>
      </c>
      <c r="BU287" s="1" t="s">
        <v>1028</v>
      </c>
      <c r="BV287" s="1" t="s">
        <v>2809</v>
      </c>
      <c r="BW287" s="1">
        <v>122</v>
      </c>
      <c r="BX287" s="1">
        <v>40</v>
      </c>
      <c r="BY287" s="1">
        <v>103</v>
      </c>
      <c r="BZ287" s="1"/>
      <c r="CA287" s="1"/>
      <c r="CB287" s="1"/>
      <c r="CC287" s="1" t="s">
        <v>2808</v>
      </c>
      <c r="CD287" s="1" t="s">
        <v>731</v>
      </c>
      <c r="CE287" s="1"/>
      <c r="CF287" s="1"/>
      <c r="CG287" s="1"/>
      <c r="CH287" s="1"/>
      <c r="CI287" s="1"/>
      <c r="CJ287" s="1" t="s">
        <v>2812</v>
      </c>
      <c r="CK287" t="s">
        <v>1263</v>
      </c>
      <c r="CL287">
        <v>44</v>
      </c>
      <c r="CM287" t="s">
        <v>2828</v>
      </c>
    </row>
    <row r="288" spans="1:91" ht="19" customHeight="1">
      <c r="A288" s="1" t="s">
        <v>3691</v>
      </c>
      <c r="B288" s="1" t="s">
        <v>3597</v>
      </c>
      <c r="C288" s="1">
        <v>45</v>
      </c>
      <c r="D288" s="1" t="s">
        <v>1059</v>
      </c>
      <c r="E288" s="1">
        <v>1994</v>
      </c>
      <c r="F288" s="1" t="s">
        <v>1061</v>
      </c>
      <c r="G288" s="1" t="s">
        <v>2400</v>
      </c>
      <c r="H288" s="4">
        <v>34.313000000000002</v>
      </c>
      <c r="I288" s="4">
        <v>-118.498</v>
      </c>
      <c r="J288" s="1" t="s">
        <v>1404</v>
      </c>
      <c r="K288" s="1" t="s">
        <v>70</v>
      </c>
      <c r="L288" s="1" t="s">
        <v>2401</v>
      </c>
      <c r="M288" s="1" t="s">
        <v>3598</v>
      </c>
      <c r="N288" s="1"/>
      <c r="O288" s="1" t="s">
        <v>3095</v>
      </c>
      <c r="P288" s="1"/>
      <c r="Q288" s="4">
        <v>6.7</v>
      </c>
      <c r="R288" s="4"/>
      <c r="S288" s="4"/>
      <c r="T288" s="4"/>
      <c r="U288" s="4"/>
      <c r="V288" s="4">
        <v>5.43</v>
      </c>
      <c r="W288" s="4"/>
      <c r="X288" s="4"/>
      <c r="Y288" s="4"/>
      <c r="Z288" s="4"/>
      <c r="AA288" s="4"/>
      <c r="AB288" s="4" t="s">
        <v>1028</v>
      </c>
      <c r="AC288" s="4"/>
      <c r="AD288" s="4">
        <v>34.2057</v>
      </c>
      <c r="AE288" s="4">
        <v>-118.5539</v>
      </c>
      <c r="AF288" s="4">
        <v>17.5</v>
      </c>
      <c r="AG288" s="4">
        <v>525.79</v>
      </c>
      <c r="AH288" s="27" t="b">
        <v>1</v>
      </c>
      <c r="AI288" s="4">
        <v>3.5350000000000001</v>
      </c>
      <c r="AJ288" s="27" t="b">
        <v>0</v>
      </c>
      <c r="AK288" s="4"/>
      <c r="AL288" s="27" t="b">
        <v>0</v>
      </c>
      <c r="AM288" s="4">
        <v>560.35599999999999</v>
      </c>
      <c r="AN288" s="4">
        <v>976.04200000000003</v>
      </c>
      <c r="AO288" s="4">
        <v>749.82299999999998</v>
      </c>
      <c r="AP288" s="4">
        <v>76.158699999999996</v>
      </c>
      <c r="AQ288" s="4">
        <v>67.400999999999996</v>
      </c>
      <c r="AR288" s="4">
        <v>27.917400000000001</v>
      </c>
      <c r="AS288" s="4">
        <v>41.908499999999997</v>
      </c>
      <c r="AT288" s="4">
        <v>24.297499999999999</v>
      </c>
      <c r="AU288" s="4">
        <v>7.6658499999999998</v>
      </c>
      <c r="AV288" s="4">
        <v>-5.9130000000000002E-2</v>
      </c>
      <c r="AW288" s="4">
        <v>0.23295299999999999</v>
      </c>
      <c r="AX288" s="4">
        <v>-0.247002</v>
      </c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1" t="s">
        <v>3599</v>
      </c>
      <c r="BJ288" s="1" t="s">
        <v>3692</v>
      </c>
      <c r="BK288" s="1">
        <v>1</v>
      </c>
      <c r="BL288" s="1"/>
      <c r="BM288" s="1" t="s">
        <v>419</v>
      </c>
      <c r="BN288" s="1" t="s">
        <v>2696</v>
      </c>
      <c r="BO288" s="1" t="s">
        <v>2697</v>
      </c>
      <c r="BP288" s="1">
        <v>6.7</v>
      </c>
      <c r="BQ288" s="1" t="s">
        <v>1003</v>
      </c>
      <c r="BR288" s="1">
        <v>34.2057</v>
      </c>
      <c r="BS288" s="1">
        <v>-118.5539</v>
      </c>
      <c r="BT288" s="1">
        <v>17.5</v>
      </c>
      <c r="BU288" s="1" t="s">
        <v>1028</v>
      </c>
      <c r="BV288" s="1" t="s">
        <v>2809</v>
      </c>
      <c r="BW288" s="1">
        <v>122</v>
      </c>
      <c r="BX288" s="1">
        <v>40</v>
      </c>
      <c r="BY288" s="1">
        <v>103</v>
      </c>
      <c r="BZ288" s="1"/>
      <c r="CA288" s="1"/>
      <c r="CB288" s="1"/>
      <c r="CC288" s="1" t="s">
        <v>2808</v>
      </c>
      <c r="CD288" s="1" t="s">
        <v>731</v>
      </c>
      <c r="CE288" s="1"/>
      <c r="CF288" s="1"/>
      <c r="CG288" s="1"/>
      <c r="CH288" s="1"/>
      <c r="CI288" s="1"/>
      <c r="CJ288" s="1" t="s">
        <v>2812</v>
      </c>
      <c r="CK288" t="s">
        <v>1263</v>
      </c>
      <c r="CL288">
        <v>45</v>
      </c>
      <c r="CM288" t="s">
        <v>2828</v>
      </c>
    </row>
    <row r="289" spans="1:91" ht="19" customHeight="1">
      <c r="A289" s="1" t="s">
        <v>3693</v>
      </c>
      <c r="B289" s="1" t="s">
        <v>3597</v>
      </c>
      <c r="C289" s="1">
        <v>46</v>
      </c>
      <c r="D289" s="1" t="s">
        <v>1059</v>
      </c>
      <c r="E289" s="1">
        <v>1994</v>
      </c>
      <c r="F289" s="1" t="s">
        <v>841</v>
      </c>
      <c r="G289" s="1" t="s">
        <v>2410</v>
      </c>
      <c r="H289" s="4">
        <v>34.248899999999999</v>
      </c>
      <c r="I289" s="4">
        <v>-118.4789</v>
      </c>
      <c r="J289" s="1" t="s">
        <v>1404</v>
      </c>
      <c r="K289" s="1" t="s">
        <v>70</v>
      </c>
      <c r="L289" s="1" t="s">
        <v>2412</v>
      </c>
      <c r="M289" s="1" t="s">
        <v>3598</v>
      </c>
      <c r="N289" s="1"/>
      <c r="O289" s="1" t="s">
        <v>3095</v>
      </c>
      <c r="P289" s="1"/>
      <c r="Q289" s="4">
        <v>6.7</v>
      </c>
      <c r="R289" s="4"/>
      <c r="S289" s="4"/>
      <c r="T289" s="4"/>
      <c r="U289" s="4"/>
      <c r="V289" s="4">
        <v>8.44</v>
      </c>
      <c r="W289" s="4"/>
      <c r="X289" s="4"/>
      <c r="Y289" s="4"/>
      <c r="Z289" s="4"/>
      <c r="AA289" s="4"/>
      <c r="AB289" s="4" t="s">
        <v>1028</v>
      </c>
      <c r="AC289" s="4"/>
      <c r="AD289" s="4">
        <v>34.2057</v>
      </c>
      <c r="AE289" s="4">
        <v>-118.5539</v>
      </c>
      <c r="AF289" s="4">
        <v>17.5</v>
      </c>
      <c r="AG289" s="4">
        <v>380.06</v>
      </c>
      <c r="AH289" s="27" t="b">
        <v>1</v>
      </c>
      <c r="AI289" s="4">
        <v>0.93100000000000005</v>
      </c>
      <c r="AJ289" s="27" t="b">
        <v>0</v>
      </c>
      <c r="AK289" s="4"/>
      <c r="AL289" s="27" t="b">
        <v>0</v>
      </c>
      <c r="AM289" s="4">
        <v>738.21600000000001</v>
      </c>
      <c r="AN289" s="4">
        <v>914.29700000000003</v>
      </c>
      <c r="AO289" s="4">
        <v>311.59100000000001</v>
      </c>
      <c r="AP289" s="4">
        <v>77.709500000000006</v>
      </c>
      <c r="AQ289" s="4">
        <v>76.486800000000002</v>
      </c>
      <c r="AR289" s="4">
        <v>24.996600000000001</v>
      </c>
      <c r="AS289" s="4">
        <v>11.846500000000001</v>
      </c>
      <c r="AT289" s="4">
        <v>17.670200000000001</v>
      </c>
      <c r="AU289" s="4">
        <v>11.0883</v>
      </c>
      <c r="AV289" s="4">
        <v>7.4839000000000003E-2</v>
      </c>
      <c r="AW289" s="4">
        <v>0.172988</v>
      </c>
      <c r="AX289" s="4">
        <v>0.15342700000000001</v>
      </c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1" t="s">
        <v>3599</v>
      </c>
      <c r="BJ289" s="1" t="s">
        <v>3694</v>
      </c>
      <c r="BK289" s="1">
        <v>1</v>
      </c>
      <c r="BL289" s="1"/>
      <c r="BM289" s="1" t="s">
        <v>419</v>
      </c>
      <c r="BN289" s="1" t="s">
        <v>2696</v>
      </c>
      <c r="BO289" s="1" t="s">
        <v>2697</v>
      </c>
      <c r="BP289" s="1">
        <v>6.7</v>
      </c>
      <c r="BQ289" s="1" t="s">
        <v>1003</v>
      </c>
      <c r="BR289" s="1">
        <v>34.2057</v>
      </c>
      <c r="BS289" s="1">
        <v>-118.5539</v>
      </c>
      <c r="BT289" s="1">
        <v>17.5</v>
      </c>
      <c r="BU289" s="1" t="s">
        <v>1028</v>
      </c>
      <c r="BV289" s="1" t="s">
        <v>2809</v>
      </c>
      <c r="BW289" s="1">
        <v>122</v>
      </c>
      <c r="BX289" s="1">
        <v>40</v>
      </c>
      <c r="BY289" s="1">
        <v>103</v>
      </c>
      <c r="BZ289" s="1"/>
      <c r="CA289" s="1"/>
      <c r="CB289" s="1"/>
      <c r="CC289" s="1" t="s">
        <v>2808</v>
      </c>
      <c r="CD289" s="1" t="s">
        <v>731</v>
      </c>
      <c r="CE289" s="1"/>
      <c r="CF289" s="1"/>
      <c r="CG289" s="1"/>
      <c r="CH289" s="1"/>
      <c r="CI289" s="1"/>
      <c r="CJ289" s="1" t="s">
        <v>2812</v>
      </c>
      <c r="CK289" t="s">
        <v>1263</v>
      </c>
      <c r="CL289">
        <v>46</v>
      </c>
      <c r="CM289" t="s">
        <v>2828</v>
      </c>
    </row>
    <row r="290" spans="1:91" ht="19" customHeight="1">
      <c r="A290" s="1" t="s">
        <v>3695</v>
      </c>
      <c r="B290" s="1" t="s">
        <v>3597</v>
      </c>
      <c r="C290" s="1">
        <v>47</v>
      </c>
      <c r="D290" s="1" t="s">
        <v>1059</v>
      </c>
      <c r="E290" s="1">
        <v>1994</v>
      </c>
      <c r="F290" s="1" t="s">
        <v>842</v>
      </c>
      <c r="G290" s="1" t="s">
        <v>2405</v>
      </c>
      <c r="H290" s="4">
        <v>34.293999999999997</v>
      </c>
      <c r="I290" s="4">
        <v>-118.483</v>
      </c>
      <c r="J290" s="1" t="s">
        <v>1404</v>
      </c>
      <c r="K290" s="1" t="s">
        <v>70</v>
      </c>
      <c r="L290" s="1" t="s">
        <v>2407</v>
      </c>
      <c r="M290" s="1" t="s">
        <v>3598</v>
      </c>
      <c r="N290" s="1"/>
      <c r="O290" s="1" t="s">
        <v>3095</v>
      </c>
      <c r="P290" s="1"/>
      <c r="Q290" s="4">
        <v>6.7</v>
      </c>
      <c r="R290" s="4"/>
      <c r="S290" s="4"/>
      <c r="T290" s="4"/>
      <c r="U290" s="4"/>
      <c r="V290" s="4">
        <v>5.92</v>
      </c>
      <c r="W290" s="4"/>
      <c r="X290" s="4"/>
      <c r="Y290" s="4"/>
      <c r="Z290" s="4"/>
      <c r="AA290" s="4"/>
      <c r="AB290" s="4" t="s">
        <v>1028</v>
      </c>
      <c r="AC290" s="4"/>
      <c r="AD290" s="4">
        <v>34.2057</v>
      </c>
      <c r="AE290" s="4">
        <v>-118.5539</v>
      </c>
      <c r="AF290" s="4">
        <v>17.5</v>
      </c>
      <c r="AG290" s="4">
        <v>628.99</v>
      </c>
      <c r="AH290" s="27" t="b">
        <v>1</v>
      </c>
      <c r="AI290" s="4">
        <v>1.617</v>
      </c>
      <c r="AJ290" s="27" t="b">
        <v>0</v>
      </c>
      <c r="AK290" s="4"/>
      <c r="AL290" s="27" t="b">
        <v>0</v>
      </c>
      <c r="AM290" s="4">
        <v>418.20499999999998</v>
      </c>
      <c r="AN290" s="4">
        <v>318.03199999999998</v>
      </c>
      <c r="AO290" s="4">
        <v>313.23899999999998</v>
      </c>
      <c r="AP290" s="4">
        <v>74.847999999999999</v>
      </c>
      <c r="AQ290" s="4">
        <v>47.396000000000001</v>
      </c>
      <c r="AR290" s="4">
        <v>20.448599999999999</v>
      </c>
      <c r="AS290" s="4">
        <v>19.081399999999999</v>
      </c>
      <c r="AT290" s="4">
        <v>24.5411</v>
      </c>
      <c r="AU290" s="4">
        <v>15.644500000000001</v>
      </c>
      <c r="AV290" s="4">
        <v>0.59849300000000005</v>
      </c>
      <c r="AW290" s="4">
        <v>-0.12078800000000001</v>
      </c>
      <c r="AX290" s="4">
        <v>-5.7820000000000003E-2</v>
      </c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1" t="s">
        <v>3599</v>
      </c>
      <c r="BJ290" s="1" t="s">
        <v>3696</v>
      </c>
      <c r="BK290" s="1">
        <v>1</v>
      </c>
      <c r="BL290" s="1"/>
      <c r="BM290" s="1" t="s">
        <v>419</v>
      </c>
      <c r="BN290" s="1" t="s">
        <v>2696</v>
      </c>
      <c r="BO290" s="1" t="s">
        <v>2697</v>
      </c>
      <c r="BP290" s="1">
        <v>6.7</v>
      </c>
      <c r="BQ290" s="1" t="s">
        <v>1003</v>
      </c>
      <c r="BR290" s="1">
        <v>34.2057</v>
      </c>
      <c r="BS290" s="1">
        <v>-118.5539</v>
      </c>
      <c r="BT290" s="1">
        <v>17.5</v>
      </c>
      <c r="BU290" s="1" t="s">
        <v>1028</v>
      </c>
      <c r="BV290" s="1" t="s">
        <v>2809</v>
      </c>
      <c r="BW290" s="1">
        <v>122</v>
      </c>
      <c r="BX290" s="1">
        <v>40</v>
      </c>
      <c r="BY290" s="1">
        <v>103</v>
      </c>
      <c r="BZ290" s="1"/>
      <c r="CA290" s="1"/>
      <c r="CB290" s="1"/>
      <c r="CC290" s="1" t="s">
        <v>2808</v>
      </c>
      <c r="CD290" s="1" t="s">
        <v>731</v>
      </c>
      <c r="CE290" s="1"/>
      <c r="CF290" s="1"/>
      <c r="CG290" s="1"/>
      <c r="CH290" s="1"/>
      <c r="CI290" s="1"/>
      <c r="CJ290" s="1" t="s">
        <v>2812</v>
      </c>
      <c r="CK290" t="s">
        <v>1263</v>
      </c>
      <c r="CL290">
        <v>47</v>
      </c>
      <c r="CM290" t="s">
        <v>2828</v>
      </c>
    </row>
    <row r="291" spans="1:91" ht="19" customHeight="1">
      <c r="A291" s="1" t="s">
        <v>3697</v>
      </c>
      <c r="B291" s="1" t="s">
        <v>3597</v>
      </c>
      <c r="C291" s="1">
        <v>48</v>
      </c>
      <c r="D291" s="1" t="s">
        <v>1059</v>
      </c>
      <c r="E291" s="1">
        <v>1994</v>
      </c>
      <c r="F291" s="1" t="s">
        <v>843</v>
      </c>
      <c r="G291" s="1" t="s">
        <v>2427</v>
      </c>
      <c r="H291" s="4">
        <v>34.387</v>
      </c>
      <c r="I291" s="4">
        <v>-118.533</v>
      </c>
      <c r="J291" s="1" t="s">
        <v>1404</v>
      </c>
      <c r="K291" s="1" t="s">
        <v>70</v>
      </c>
      <c r="L291" s="1" t="s">
        <v>2429</v>
      </c>
      <c r="M291" s="1" t="s">
        <v>3598</v>
      </c>
      <c r="N291" s="1"/>
      <c r="O291" s="1" t="s">
        <v>3095</v>
      </c>
      <c r="P291" s="1"/>
      <c r="Q291" s="4">
        <v>6.7</v>
      </c>
      <c r="R291" s="4"/>
      <c r="S291" s="4"/>
      <c r="T291" s="4"/>
      <c r="U291" s="4"/>
      <c r="V291" s="4">
        <v>5.92</v>
      </c>
      <c r="W291" s="4"/>
      <c r="X291" s="4"/>
      <c r="Y291" s="4"/>
      <c r="Z291" s="4"/>
      <c r="AA291" s="4"/>
      <c r="AB291" s="4" t="s">
        <v>1028</v>
      </c>
      <c r="AC291" s="4"/>
      <c r="AD291" s="4">
        <v>34.2057</v>
      </c>
      <c r="AE291" s="4">
        <v>-118.5539</v>
      </c>
      <c r="AF291" s="4">
        <v>17.5</v>
      </c>
      <c r="AG291" s="4">
        <v>269.14</v>
      </c>
      <c r="AH291" s="27" t="b">
        <v>1</v>
      </c>
      <c r="AI291" s="4">
        <v>1.3720000000000001</v>
      </c>
      <c r="AJ291" s="27" t="b">
        <v>0</v>
      </c>
      <c r="AK291" s="4"/>
      <c r="AL291" s="27" t="b">
        <v>0</v>
      </c>
      <c r="AM291" s="4">
        <v>571.91200000000003</v>
      </c>
      <c r="AN291" s="4">
        <v>579.19299999999998</v>
      </c>
      <c r="AO291" s="4">
        <v>537.79399999999998</v>
      </c>
      <c r="AP291" s="4">
        <v>75.823300000000003</v>
      </c>
      <c r="AQ291" s="4">
        <v>97.448999999999998</v>
      </c>
      <c r="AR291" s="4">
        <v>31.584900000000001</v>
      </c>
      <c r="AS291" s="4">
        <v>17.6814</v>
      </c>
      <c r="AT291" s="4">
        <v>34.285499999999999</v>
      </c>
      <c r="AU291" s="4">
        <v>13.3279</v>
      </c>
      <c r="AV291" s="4">
        <v>0.57974700000000001</v>
      </c>
      <c r="AW291" s="4">
        <v>-1.24047</v>
      </c>
      <c r="AX291" s="4">
        <v>-4.5272100000000002</v>
      </c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1" t="s">
        <v>3599</v>
      </c>
      <c r="BJ291" s="1" t="s">
        <v>3698</v>
      </c>
      <c r="BK291" s="1">
        <v>1</v>
      </c>
      <c r="BL291" s="1"/>
      <c r="BM291" s="1" t="s">
        <v>419</v>
      </c>
      <c r="BN291" s="1" t="s">
        <v>2696</v>
      </c>
      <c r="BO291" s="1" t="s">
        <v>2697</v>
      </c>
      <c r="BP291" s="1">
        <v>6.7</v>
      </c>
      <c r="BQ291" s="1" t="s">
        <v>1003</v>
      </c>
      <c r="BR291" s="1">
        <v>34.2057</v>
      </c>
      <c r="BS291" s="1">
        <v>-118.5539</v>
      </c>
      <c r="BT291" s="1">
        <v>17.5</v>
      </c>
      <c r="BU291" s="1" t="s">
        <v>1028</v>
      </c>
      <c r="BV291" s="1" t="s">
        <v>2809</v>
      </c>
      <c r="BW291" s="1">
        <v>122</v>
      </c>
      <c r="BX291" s="1">
        <v>40</v>
      </c>
      <c r="BY291" s="1">
        <v>103</v>
      </c>
      <c r="BZ291" s="1"/>
      <c r="CA291" s="1"/>
      <c r="CB291" s="1"/>
      <c r="CC291" s="1" t="s">
        <v>2808</v>
      </c>
      <c r="CD291" s="1" t="s">
        <v>731</v>
      </c>
      <c r="CE291" s="1"/>
      <c r="CF291" s="1"/>
      <c r="CG291" s="1"/>
      <c r="CH291" s="1"/>
      <c r="CI291" s="1"/>
      <c r="CJ291" s="1" t="s">
        <v>2812</v>
      </c>
      <c r="CK291" t="s">
        <v>1263</v>
      </c>
      <c r="CL291">
        <v>48</v>
      </c>
      <c r="CM291" t="s">
        <v>2828</v>
      </c>
    </row>
    <row r="292" spans="1:91" ht="19" customHeight="1">
      <c r="A292" s="1" t="s">
        <v>3699</v>
      </c>
      <c r="B292" s="1" t="s">
        <v>3597</v>
      </c>
      <c r="C292" s="1">
        <v>49</v>
      </c>
      <c r="D292" s="1" t="s">
        <v>1059</v>
      </c>
      <c r="E292" s="1">
        <v>1994</v>
      </c>
      <c r="F292" s="1" t="s">
        <v>844</v>
      </c>
      <c r="G292" s="1" t="s">
        <v>2430</v>
      </c>
      <c r="H292" s="4">
        <v>34.390999999999998</v>
      </c>
      <c r="I292" s="4">
        <v>-118.622</v>
      </c>
      <c r="J292" s="1" t="s">
        <v>1404</v>
      </c>
      <c r="K292" s="1" t="s">
        <v>70</v>
      </c>
      <c r="L292" s="1" t="s">
        <v>2432</v>
      </c>
      <c r="M292" s="1" t="s">
        <v>3598</v>
      </c>
      <c r="N292" s="1"/>
      <c r="O292" s="1" t="s">
        <v>3095</v>
      </c>
      <c r="P292" s="1"/>
      <c r="Q292" s="4">
        <v>6.7</v>
      </c>
      <c r="R292" s="4"/>
      <c r="S292" s="4"/>
      <c r="T292" s="4"/>
      <c r="U292" s="4"/>
      <c r="V292" s="4">
        <v>5.48</v>
      </c>
      <c r="W292" s="4"/>
      <c r="X292" s="4"/>
      <c r="Y292" s="4"/>
      <c r="Z292" s="4"/>
      <c r="AA292" s="4"/>
      <c r="AB292" s="4" t="s">
        <v>1028</v>
      </c>
      <c r="AC292" s="4"/>
      <c r="AD292" s="4">
        <v>34.2057</v>
      </c>
      <c r="AE292" s="4">
        <v>-118.5539</v>
      </c>
      <c r="AF292" s="4">
        <v>17.5</v>
      </c>
      <c r="AG292" s="4">
        <v>285.93</v>
      </c>
      <c r="AH292" s="27" t="b">
        <v>1</v>
      </c>
      <c r="AI292" s="4">
        <v>2.9820000000000002</v>
      </c>
      <c r="AJ292" s="27" t="b">
        <v>0</v>
      </c>
      <c r="AK292" s="4"/>
      <c r="AL292" s="27" t="b">
        <v>0</v>
      </c>
      <c r="AM292" s="4">
        <v>411.41399999999999</v>
      </c>
      <c r="AN292" s="4">
        <v>350.27499999999998</v>
      </c>
      <c r="AO292" s="4">
        <v>290.68200000000002</v>
      </c>
      <c r="AP292" s="4">
        <v>118.23099999999999</v>
      </c>
      <c r="AQ292" s="4">
        <v>59.203099999999999</v>
      </c>
      <c r="AR292" s="4">
        <v>28.624700000000001</v>
      </c>
      <c r="AS292" s="4">
        <v>42.481999999999999</v>
      </c>
      <c r="AT292" s="4">
        <v>16.181100000000001</v>
      </c>
      <c r="AU292" s="4">
        <v>13.0237</v>
      </c>
      <c r="AV292" s="4">
        <v>0.63383699999999998</v>
      </c>
      <c r="AW292" s="4">
        <v>-1.14198</v>
      </c>
      <c r="AX292" s="4">
        <v>-0.72108499999999998</v>
      </c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1" t="s">
        <v>3599</v>
      </c>
      <c r="BJ292" s="1" t="s">
        <v>3700</v>
      </c>
      <c r="BK292" s="1">
        <v>1</v>
      </c>
      <c r="BL292" s="1"/>
      <c r="BM292" s="1" t="s">
        <v>419</v>
      </c>
      <c r="BN292" s="1" t="s">
        <v>2696</v>
      </c>
      <c r="BO292" s="1" t="s">
        <v>2697</v>
      </c>
      <c r="BP292" s="1">
        <v>6.7</v>
      </c>
      <c r="BQ292" s="1" t="s">
        <v>1003</v>
      </c>
      <c r="BR292" s="1">
        <v>34.2057</v>
      </c>
      <c r="BS292" s="1">
        <v>-118.5539</v>
      </c>
      <c r="BT292" s="1">
        <v>17.5</v>
      </c>
      <c r="BU292" s="1" t="s">
        <v>1028</v>
      </c>
      <c r="BV292" s="1" t="s">
        <v>2809</v>
      </c>
      <c r="BW292" s="1">
        <v>122</v>
      </c>
      <c r="BX292" s="1">
        <v>40</v>
      </c>
      <c r="BY292" s="1">
        <v>103</v>
      </c>
      <c r="BZ292" s="1"/>
      <c r="CA292" s="1"/>
      <c r="CB292" s="1"/>
      <c r="CC292" s="1" t="s">
        <v>2808</v>
      </c>
      <c r="CD292" s="1" t="s">
        <v>731</v>
      </c>
      <c r="CE292" s="1"/>
      <c r="CF292" s="1"/>
      <c r="CG292" s="1"/>
      <c r="CH292" s="1"/>
      <c r="CI292" s="1"/>
      <c r="CJ292" s="1" t="s">
        <v>2812</v>
      </c>
      <c r="CK292" t="s">
        <v>1263</v>
      </c>
      <c r="CL292">
        <v>49</v>
      </c>
      <c r="CM292" t="s">
        <v>2828</v>
      </c>
    </row>
    <row r="293" spans="1:91" ht="19" customHeight="1">
      <c r="A293" s="1" t="s">
        <v>3701</v>
      </c>
      <c r="B293" s="1" t="s">
        <v>3597</v>
      </c>
      <c r="C293" s="1">
        <v>50</v>
      </c>
      <c r="D293" s="1" t="s">
        <v>1059</v>
      </c>
      <c r="E293" s="1">
        <v>1994</v>
      </c>
      <c r="F293" s="1" t="s">
        <v>845</v>
      </c>
      <c r="G293" s="1" t="s">
        <v>2439</v>
      </c>
      <c r="H293" s="4">
        <v>34.334000000000003</v>
      </c>
      <c r="I293" s="4">
        <v>-118.396</v>
      </c>
      <c r="J293" s="1" t="s">
        <v>1404</v>
      </c>
      <c r="K293" s="1" t="s">
        <v>70</v>
      </c>
      <c r="L293" s="1" t="s">
        <v>2441</v>
      </c>
      <c r="M293" s="1" t="s">
        <v>3598</v>
      </c>
      <c r="N293" s="1"/>
      <c r="O293" s="1" t="s">
        <v>3095</v>
      </c>
      <c r="P293" s="1"/>
      <c r="Q293" s="4">
        <v>6.7</v>
      </c>
      <c r="R293" s="4"/>
      <c r="S293" s="4"/>
      <c r="T293" s="4"/>
      <c r="U293" s="4"/>
      <c r="V293" s="4">
        <v>7.01</v>
      </c>
      <c r="W293" s="4"/>
      <c r="X293" s="4"/>
      <c r="Y293" s="4"/>
      <c r="Z293" s="4"/>
      <c r="AA293" s="4"/>
      <c r="AB293" s="4" t="s">
        <v>1028</v>
      </c>
      <c r="AC293" s="4"/>
      <c r="AD293" s="4">
        <v>34.2057</v>
      </c>
      <c r="AE293" s="4">
        <v>-118.5539</v>
      </c>
      <c r="AF293" s="4">
        <v>17.5</v>
      </c>
      <c r="AG293" s="4">
        <v>2016.13</v>
      </c>
      <c r="AH293" s="27" t="b">
        <v>1</v>
      </c>
      <c r="AI293" s="4">
        <v>0.58799999999999997</v>
      </c>
      <c r="AJ293" s="27" t="b">
        <v>0</v>
      </c>
      <c r="AK293" s="4"/>
      <c r="AL293" s="27" t="b">
        <v>0</v>
      </c>
      <c r="AM293" s="4">
        <v>407.88900000000001</v>
      </c>
      <c r="AN293" s="4">
        <v>425.61700000000002</v>
      </c>
      <c r="AO293" s="4">
        <v>186.922</v>
      </c>
      <c r="AP293" s="4">
        <v>45.039900000000003</v>
      </c>
      <c r="AQ293" s="4">
        <v>31.4907</v>
      </c>
      <c r="AR293" s="4">
        <v>14.880599999999999</v>
      </c>
      <c r="AS293" s="4">
        <v>4.9175300000000002</v>
      </c>
      <c r="AT293" s="4">
        <v>5.2077799999999996</v>
      </c>
      <c r="AU293" s="4">
        <v>13.017099999999999</v>
      </c>
      <c r="AV293" s="4">
        <v>0.21862100000000001</v>
      </c>
      <c r="AW293" s="4">
        <v>0.70146799999999998</v>
      </c>
      <c r="AX293" s="4">
        <v>12.001099999999999</v>
      </c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1" t="s">
        <v>3599</v>
      </c>
      <c r="BJ293" s="1" t="s">
        <v>3702</v>
      </c>
      <c r="BK293" s="1">
        <v>1</v>
      </c>
      <c r="BL293" s="1"/>
      <c r="BM293" s="1" t="s">
        <v>419</v>
      </c>
      <c r="BN293" s="1" t="s">
        <v>2696</v>
      </c>
      <c r="BO293" s="1" t="s">
        <v>2697</v>
      </c>
      <c r="BP293" s="1">
        <v>6.7</v>
      </c>
      <c r="BQ293" s="1" t="s">
        <v>1003</v>
      </c>
      <c r="BR293" s="1">
        <v>34.2057</v>
      </c>
      <c r="BS293" s="1">
        <v>-118.5539</v>
      </c>
      <c r="BT293" s="1">
        <v>17.5</v>
      </c>
      <c r="BU293" s="1" t="s">
        <v>1028</v>
      </c>
      <c r="BV293" s="1" t="s">
        <v>2809</v>
      </c>
      <c r="BW293" s="1">
        <v>122</v>
      </c>
      <c r="BX293" s="1">
        <v>40</v>
      </c>
      <c r="BY293" s="1">
        <v>103</v>
      </c>
      <c r="BZ293" s="1"/>
      <c r="CA293" s="1"/>
      <c r="CB293" s="1"/>
      <c r="CC293" s="1" t="s">
        <v>2808</v>
      </c>
      <c r="CD293" s="1" t="s">
        <v>731</v>
      </c>
      <c r="CE293" s="1"/>
      <c r="CF293" s="1"/>
      <c r="CG293" s="1"/>
      <c r="CH293" s="1"/>
      <c r="CI293" s="1"/>
      <c r="CJ293" s="1" t="s">
        <v>2812</v>
      </c>
      <c r="CK293" t="s">
        <v>1263</v>
      </c>
      <c r="CL293">
        <v>50</v>
      </c>
      <c r="CM293" t="s">
        <v>2828</v>
      </c>
    </row>
    <row r="294" spans="1:91" ht="19" customHeight="1">
      <c r="A294" s="1" t="s">
        <v>3703</v>
      </c>
      <c r="B294" s="1" t="s">
        <v>3597</v>
      </c>
      <c r="C294" s="1">
        <v>51</v>
      </c>
      <c r="D294" s="1" t="s">
        <v>1059</v>
      </c>
      <c r="E294" s="1">
        <v>1994</v>
      </c>
      <c r="F294" s="1" t="s">
        <v>846</v>
      </c>
      <c r="G294" s="1" t="s">
        <v>2442</v>
      </c>
      <c r="H294" s="4">
        <v>34.334000000000003</v>
      </c>
      <c r="I294" s="4">
        <v>-118.396</v>
      </c>
      <c r="J294" s="1" t="s">
        <v>1404</v>
      </c>
      <c r="K294" s="1" t="s">
        <v>70</v>
      </c>
      <c r="L294" s="1" t="s">
        <v>2444</v>
      </c>
      <c r="M294" s="1" t="s">
        <v>3598</v>
      </c>
      <c r="N294" s="1"/>
      <c r="O294" s="1" t="s">
        <v>3095</v>
      </c>
      <c r="P294" s="1"/>
      <c r="Q294" s="4">
        <v>6.7</v>
      </c>
      <c r="R294" s="4"/>
      <c r="S294" s="4"/>
      <c r="T294" s="4"/>
      <c r="U294" s="4"/>
      <c r="V294" s="4">
        <v>7.01</v>
      </c>
      <c r="W294" s="4"/>
      <c r="X294" s="4"/>
      <c r="Y294" s="4"/>
      <c r="Z294" s="4"/>
      <c r="AA294" s="4"/>
      <c r="AB294" s="4" t="s">
        <v>1028</v>
      </c>
      <c r="AC294" s="4"/>
      <c r="AD294" s="4">
        <v>34.2057</v>
      </c>
      <c r="AE294" s="4">
        <v>-118.5539</v>
      </c>
      <c r="AF294" s="4">
        <v>17.5</v>
      </c>
      <c r="AG294" s="4">
        <v>2016.13</v>
      </c>
      <c r="AH294" s="27" t="b">
        <v>1</v>
      </c>
      <c r="AI294" s="4">
        <v>0.84</v>
      </c>
      <c r="AJ294" s="27" t="b">
        <v>0</v>
      </c>
      <c r="AK294" s="4"/>
      <c r="AL294" s="27" t="b">
        <v>0</v>
      </c>
      <c r="AM294" s="4">
        <v>1554.83</v>
      </c>
      <c r="AN294" s="4">
        <v>1260.5899999999999</v>
      </c>
      <c r="AO294" s="4">
        <v>1205.9100000000001</v>
      </c>
      <c r="AP294" s="4">
        <v>54.812199999999997</v>
      </c>
      <c r="AQ294" s="4">
        <v>103.6</v>
      </c>
      <c r="AR294" s="4">
        <v>49.793900000000001</v>
      </c>
      <c r="AS294" s="4">
        <v>6.07972</v>
      </c>
      <c r="AT294" s="4">
        <v>21.967199999999998</v>
      </c>
      <c r="AU294" s="4">
        <v>11.5617</v>
      </c>
      <c r="AV294" s="4">
        <v>3.1880899999999999</v>
      </c>
      <c r="AW294" s="4">
        <v>-2.56413</v>
      </c>
      <c r="AX294" s="4">
        <v>1.4997199999999999</v>
      </c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1" t="s">
        <v>3599</v>
      </c>
      <c r="BJ294" s="1" t="s">
        <v>3704</v>
      </c>
      <c r="BK294" s="1">
        <v>1</v>
      </c>
      <c r="BL294" s="1"/>
      <c r="BM294" s="1" t="s">
        <v>419</v>
      </c>
      <c r="BN294" s="1" t="s">
        <v>2696</v>
      </c>
      <c r="BO294" s="1" t="s">
        <v>2697</v>
      </c>
      <c r="BP294" s="1">
        <v>6.7</v>
      </c>
      <c r="BQ294" s="1" t="s">
        <v>1003</v>
      </c>
      <c r="BR294" s="1">
        <v>34.2057</v>
      </c>
      <c r="BS294" s="1">
        <v>-118.5539</v>
      </c>
      <c r="BT294" s="1">
        <v>17.5</v>
      </c>
      <c r="BU294" s="1" t="s">
        <v>1028</v>
      </c>
      <c r="BV294" s="1" t="s">
        <v>2809</v>
      </c>
      <c r="BW294" s="1">
        <v>122</v>
      </c>
      <c r="BX294" s="1">
        <v>40</v>
      </c>
      <c r="BY294" s="1">
        <v>103</v>
      </c>
      <c r="BZ294" s="1"/>
      <c r="CA294" s="1"/>
      <c r="CB294" s="1"/>
      <c r="CC294" s="1" t="s">
        <v>2808</v>
      </c>
      <c r="CD294" s="1" t="s">
        <v>731</v>
      </c>
      <c r="CE294" s="1"/>
      <c r="CF294" s="1"/>
      <c r="CG294" s="1"/>
      <c r="CH294" s="1"/>
      <c r="CI294" s="1"/>
      <c r="CJ294" s="1" t="s">
        <v>2812</v>
      </c>
      <c r="CK294" t="s">
        <v>1263</v>
      </c>
      <c r="CL294">
        <v>51</v>
      </c>
      <c r="CM294" t="s">
        <v>2828</v>
      </c>
    </row>
    <row r="295" spans="1:91" ht="19" customHeight="1">
      <c r="A295" s="1" t="s">
        <v>3705</v>
      </c>
      <c r="B295" s="1" t="s">
        <v>3597</v>
      </c>
      <c r="C295" s="1">
        <v>52</v>
      </c>
      <c r="D295" s="1" t="s">
        <v>1059</v>
      </c>
      <c r="E295" s="1">
        <v>1994</v>
      </c>
      <c r="F295" s="1" t="s">
        <v>847</v>
      </c>
      <c r="G295" s="1" t="s">
        <v>2448</v>
      </c>
      <c r="H295" s="4">
        <v>34.295999999999999</v>
      </c>
      <c r="I295" s="4">
        <v>-118.375</v>
      </c>
      <c r="J295" s="1" t="s">
        <v>1404</v>
      </c>
      <c r="K295" s="1" t="s">
        <v>70</v>
      </c>
      <c r="L295" s="1" t="s">
        <v>2450</v>
      </c>
      <c r="M295" s="1" t="s">
        <v>3598</v>
      </c>
      <c r="N295" s="1"/>
      <c r="O295" s="1" t="s">
        <v>3095</v>
      </c>
      <c r="P295" s="1"/>
      <c r="Q295" s="4">
        <v>6.7</v>
      </c>
      <c r="R295" s="4"/>
      <c r="S295" s="4"/>
      <c r="T295" s="4"/>
      <c r="U295" s="4"/>
      <c r="V295" s="4">
        <v>7.26</v>
      </c>
      <c r="W295" s="4"/>
      <c r="X295" s="4"/>
      <c r="Y295" s="4"/>
      <c r="Z295" s="4"/>
      <c r="AA295" s="4"/>
      <c r="AB295" s="4" t="s">
        <v>1028</v>
      </c>
      <c r="AC295" s="4"/>
      <c r="AD295" s="4">
        <v>34.2057</v>
      </c>
      <c r="AE295" s="4">
        <v>-118.5539</v>
      </c>
      <c r="AF295" s="4">
        <v>17.5</v>
      </c>
      <c r="AG295" s="4">
        <v>508.08</v>
      </c>
      <c r="AH295" s="27" t="b">
        <v>1</v>
      </c>
      <c r="AI295" s="4">
        <v>0.72799999999999998</v>
      </c>
      <c r="AJ295" s="27" t="b">
        <v>0</v>
      </c>
      <c r="AK295" s="4"/>
      <c r="AL295" s="27" t="b">
        <v>0</v>
      </c>
      <c r="AM295" s="4">
        <v>295.59100000000001</v>
      </c>
      <c r="AN295" s="4">
        <v>424.59699999999998</v>
      </c>
      <c r="AO295" s="4">
        <v>165.99100000000001</v>
      </c>
      <c r="AP295" s="4">
        <v>30.8614</v>
      </c>
      <c r="AQ295" s="4">
        <v>51.734299999999998</v>
      </c>
      <c r="AR295" s="4">
        <v>14.9018</v>
      </c>
      <c r="AS295" s="4">
        <v>10.7118</v>
      </c>
      <c r="AT295" s="4">
        <v>7.7393099999999997</v>
      </c>
      <c r="AU295" s="4">
        <v>8.3865599999999993</v>
      </c>
      <c r="AV295" s="4">
        <v>0.46359</v>
      </c>
      <c r="AW295" s="4">
        <v>2.51898</v>
      </c>
      <c r="AX295" s="4">
        <v>8.1265400000000003</v>
      </c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1" t="s">
        <v>3599</v>
      </c>
      <c r="BJ295" s="1" t="s">
        <v>3706</v>
      </c>
      <c r="BK295" s="1">
        <v>1</v>
      </c>
      <c r="BL295" s="1"/>
      <c r="BM295" s="1" t="s">
        <v>419</v>
      </c>
      <c r="BN295" s="1" t="s">
        <v>2696</v>
      </c>
      <c r="BO295" s="1" t="s">
        <v>2697</v>
      </c>
      <c r="BP295" s="1">
        <v>6.7</v>
      </c>
      <c r="BQ295" s="1" t="s">
        <v>1003</v>
      </c>
      <c r="BR295" s="1">
        <v>34.2057</v>
      </c>
      <c r="BS295" s="1">
        <v>-118.5539</v>
      </c>
      <c r="BT295" s="1">
        <v>17.5</v>
      </c>
      <c r="BU295" s="1" t="s">
        <v>1028</v>
      </c>
      <c r="BV295" s="1" t="s">
        <v>2809</v>
      </c>
      <c r="BW295" s="1">
        <v>122</v>
      </c>
      <c r="BX295" s="1">
        <v>40</v>
      </c>
      <c r="BY295" s="1">
        <v>103</v>
      </c>
      <c r="BZ295" s="1"/>
      <c r="CA295" s="1"/>
      <c r="CB295" s="1"/>
      <c r="CC295" s="1" t="s">
        <v>2808</v>
      </c>
      <c r="CD295" s="1" t="s">
        <v>731</v>
      </c>
      <c r="CE295" s="1"/>
      <c r="CF295" s="1"/>
      <c r="CG295" s="1"/>
      <c r="CH295" s="1"/>
      <c r="CI295" s="1"/>
      <c r="CJ295" s="1" t="s">
        <v>2812</v>
      </c>
      <c r="CK295" t="s">
        <v>1263</v>
      </c>
      <c r="CL295">
        <v>52</v>
      </c>
      <c r="CM295" t="s">
        <v>2828</v>
      </c>
    </row>
    <row r="296" spans="1:91" ht="19" customHeight="1">
      <c r="A296" s="1" t="s">
        <v>3707</v>
      </c>
      <c r="B296" s="1" t="s">
        <v>3597</v>
      </c>
      <c r="C296" s="1">
        <v>53</v>
      </c>
      <c r="D296" s="1" t="s">
        <v>1059</v>
      </c>
      <c r="E296" s="1">
        <v>1994</v>
      </c>
      <c r="F296" s="1" t="s">
        <v>848</v>
      </c>
      <c r="G296" s="1" t="s">
        <v>2456</v>
      </c>
      <c r="H296" s="4">
        <v>34.435000000000002</v>
      </c>
      <c r="I296" s="4">
        <v>-118.58199999999999</v>
      </c>
      <c r="J296" s="1" t="s">
        <v>1404</v>
      </c>
      <c r="K296" s="1" t="s">
        <v>70</v>
      </c>
      <c r="L296" s="1" t="s">
        <v>2458</v>
      </c>
      <c r="M296" s="1" t="s">
        <v>3598</v>
      </c>
      <c r="N296" s="1"/>
      <c r="O296" s="1" t="s">
        <v>3095</v>
      </c>
      <c r="P296" s="1"/>
      <c r="Q296" s="4">
        <v>6.7</v>
      </c>
      <c r="R296" s="4"/>
      <c r="S296" s="4"/>
      <c r="T296" s="4"/>
      <c r="U296" s="4"/>
      <c r="V296" s="4">
        <v>7.46</v>
      </c>
      <c r="W296" s="4"/>
      <c r="X296" s="4"/>
      <c r="Y296" s="4"/>
      <c r="Z296" s="4"/>
      <c r="AA296" s="4"/>
      <c r="AB296" s="4" t="s">
        <v>1028</v>
      </c>
      <c r="AC296" s="4"/>
      <c r="AD296" s="4">
        <v>34.2057</v>
      </c>
      <c r="AE296" s="4">
        <v>-118.5539</v>
      </c>
      <c r="AF296" s="4">
        <v>17.5</v>
      </c>
      <c r="AG296" s="4">
        <v>325.67</v>
      </c>
      <c r="AH296" s="27" t="b">
        <v>1</v>
      </c>
      <c r="AI296" s="4">
        <v>1.232</v>
      </c>
      <c r="AJ296" s="27" t="b">
        <v>0</v>
      </c>
      <c r="AK296" s="4"/>
      <c r="AL296" s="27" t="b">
        <v>0</v>
      </c>
      <c r="AM296" s="4">
        <v>546.86099999999999</v>
      </c>
      <c r="AN296" s="4">
        <v>296.55900000000003</v>
      </c>
      <c r="AO296" s="4">
        <v>377.90600000000001</v>
      </c>
      <c r="AP296" s="4">
        <v>76.094899999999996</v>
      </c>
      <c r="AQ296" s="4">
        <v>54.052700000000002</v>
      </c>
      <c r="AR296" s="4">
        <v>11.1707</v>
      </c>
      <c r="AS296" s="4">
        <v>14.4886</v>
      </c>
      <c r="AT296" s="4">
        <v>11.0443</v>
      </c>
      <c r="AU296" s="4">
        <v>0.48241699999999998</v>
      </c>
      <c r="AV296" s="4">
        <v>7.6650999999999997E-2</v>
      </c>
      <c r="AW296" s="4">
        <v>-0.10596899999999999</v>
      </c>
      <c r="AX296" s="4">
        <v>-1.3644999999999999E-2</v>
      </c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1" t="s">
        <v>3599</v>
      </c>
      <c r="BJ296" s="1" t="s">
        <v>3708</v>
      </c>
      <c r="BK296" s="1">
        <v>1</v>
      </c>
      <c r="BL296" s="1"/>
      <c r="BM296" s="1" t="s">
        <v>419</v>
      </c>
      <c r="BN296" s="1" t="s">
        <v>2696</v>
      </c>
      <c r="BO296" s="1" t="s">
        <v>2697</v>
      </c>
      <c r="BP296" s="1">
        <v>6.7</v>
      </c>
      <c r="BQ296" s="1" t="s">
        <v>1003</v>
      </c>
      <c r="BR296" s="1">
        <v>34.2057</v>
      </c>
      <c r="BS296" s="1">
        <v>-118.5539</v>
      </c>
      <c r="BT296" s="1">
        <v>17.5</v>
      </c>
      <c r="BU296" s="1" t="s">
        <v>1028</v>
      </c>
      <c r="BV296" s="1" t="s">
        <v>2809</v>
      </c>
      <c r="BW296" s="1">
        <v>122</v>
      </c>
      <c r="BX296" s="1">
        <v>40</v>
      </c>
      <c r="BY296" s="1">
        <v>103</v>
      </c>
      <c r="BZ296" s="1"/>
      <c r="CA296" s="1"/>
      <c r="CB296" s="1"/>
      <c r="CC296" s="1" t="s">
        <v>2808</v>
      </c>
      <c r="CD296" s="1" t="s">
        <v>731</v>
      </c>
      <c r="CE296" s="1"/>
      <c r="CF296" s="1"/>
      <c r="CG296" s="1"/>
      <c r="CH296" s="1"/>
      <c r="CI296" s="1"/>
      <c r="CJ296" s="1" t="s">
        <v>2812</v>
      </c>
      <c r="CK296" t="s">
        <v>1263</v>
      </c>
      <c r="CL296">
        <v>53</v>
      </c>
      <c r="CM296" t="s">
        <v>2828</v>
      </c>
    </row>
    <row r="297" spans="1:91" ht="19" customHeight="1">
      <c r="A297" s="1" t="s">
        <v>3709</v>
      </c>
      <c r="B297" s="1" t="s">
        <v>3597</v>
      </c>
      <c r="C297" s="1">
        <v>54</v>
      </c>
      <c r="D297" s="1" t="s">
        <v>1059</v>
      </c>
      <c r="E297" s="1">
        <v>1994</v>
      </c>
      <c r="F297" s="1" t="s">
        <v>849</v>
      </c>
      <c r="G297" s="1" t="s">
        <v>2496</v>
      </c>
      <c r="H297" s="4">
        <v>34.280999999999999</v>
      </c>
      <c r="I297" s="4">
        <v>-118.47799999999999</v>
      </c>
      <c r="J297" s="1" t="s">
        <v>1404</v>
      </c>
      <c r="K297" s="1" t="s">
        <v>70</v>
      </c>
      <c r="L297" s="1" t="s">
        <v>2498</v>
      </c>
      <c r="M297" s="1" t="s">
        <v>3598</v>
      </c>
      <c r="N297" s="1"/>
      <c r="O297" s="1" t="s">
        <v>3095</v>
      </c>
      <c r="P297" s="1"/>
      <c r="Q297" s="4">
        <v>6.7</v>
      </c>
      <c r="R297" s="4"/>
      <c r="S297" s="4"/>
      <c r="T297" s="4"/>
      <c r="U297" s="4"/>
      <c r="V297" s="4">
        <v>6.5</v>
      </c>
      <c r="W297" s="4"/>
      <c r="X297" s="4"/>
      <c r="Y297" s="4"/>
      <c r="Z297" s="4"/>
      <c r="AA297" s="4"/>
      <c r="AB297" s="4" t="s">
        <v>1028</v>
      </c>
      <c r="AC297" s="4"/>
      <c r="AD297" s="4">
        <v>34.2057</v>
      </c>
      <c r="AE297" s="4">
        <v>-118.5539</v>
      </c>
      <c r="AF297" s="4">
        <v>17.5</v>
      </c>
      <c r="AG297" s="4">
        <v>282.25</v>
      </c>
      <c r="AH297" s="27" t="b">
        <v>1</v>
      </c>
      <c r="AI297" s="4">
        <v>1.246</v>
      </c>
      <c r="AJ297" s="27" t="b">
        <v>0</v>
      </c>
      <c r="AK297" s="4"/>
      <c r="AL297" s="27" t="b">
        <v>0</v>
      </c>
      <c r="AM297" s="4">
        <v>857.452</v>
      </c>
      <c r="AN297" s="4">
        <v>463.37299999999999</v>
      </c>
      <c r="AO297" s="4">
        <v>939.96400000000006</v>
      </c>
      <c r="AP297" s="4">
        <v>148.19999999999999</v>
      </c>
      <c r="AQ297" s="4">
        <v>74.950100000000006</v>
      </c>
      <c r="AR297" s="4">
        <v>42.366999999999997</v>
      </c>
      <c r="AS297" s="4">
        <v>41.8596</v>
      </c>
      <c r="AT297" s="4">
        <v>23.0608</v>
      </c>
      <c r="AU297" s="4">
        <v>3.7211099999999999</v>
      </c>
      <c r="AV297" s="4">
        <v>-2.1631499999999999</v>
      </c>
      <c r="AW297" s="4">
        <v>-0.34438000000000002</v>
      </c>
      <c r="AX297" s="4">
        <v>-6.3200000000000001E-3</v>
      </c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1" t="s">
        <v>3599</v>
      </c>
      <c r="BJ297" s="1" t="s">
        <v>3710</v>
      </c>
      <c r="BK297" s="1">
        <v>1</v>
      </c>
      <c r="BL297" s="1"/>
      <c r="BM297" s="1" t="s">
        <v>419</v>
      </c>
      <c r="BN297" s="1" t="s">
        <v>2696</v>
      </c>
      <c r="BO297" s="1" t="s">
        <v>2697</v>
      </c>
      <c r="BP297" s="1">
        <v>6.7</v>
      </c>
      <c r="BQ297" s="1" t="s">
        <v>1003</v>
      </c>
      <c r="BR297" s="1">
        <v>34.2057</v>
      </c>
      <c r="BS297" s="1">
        <v>-118.5539</v>
      </c>
      <c r="BT297" s="1">
        <v>17.5</v>
      </c>
      <c r="BU297" s="1" t="s">
        <v>1028</v>
      </c>
      <c r="BV297" s="1" t="s">
        <v>2809</v>
      </c>
      <c r="BW297" s="1">
        <v>122</v>
      </c>
      <c r="BX297" s="1">
        <v>40</v>
      </c>
      <c r="BY297" s="1">
        <v>103</v>
      </c>
      <c r="BZ297" s="1"/>
      <c r="CA297" s="1"/>
      <c r="CB297" s="1"/>
      <c r="CC297" s="1" t="s">
        <v>2808</v>
      </c>
      <c r="CD297" s="1" t="s">
        <v>731</v>
      </c>
      <c r="CE297" s="1"/>
      <c r="CF297" s="1"/>
      <c r="CG297" s="1"/>
      <c r="CH297" s="1"/>
      <c r="CI297" s="1"/>
      <c r="CJ297" s="1" t="s">
        <v>2812</v>
      </c>
      <c r="CK297" t="s">
        <v>1263</v>
      </c>
      <c r="CL297">
        <v>54</v>
      </c>
      <c r="CM297" t="s">
        <v>2828</v>
      </c>
    </row>
    <row r="298" spans="1:91" ht="19" customHeight="1">
      <c r="A298" s="1" t="s">
        <v>3711</v>
      </c>
      <c r="B298" s="1" t="s">
        <v>3597</v>
      </c>
      <c r="C298" s="1">
        <v>55</v>
      </c>
      <c r="D298" s="1" t="s">
        <v>1059</v>
      </c>
      <c r="E298" s="1">
        <v>1994</v>
      </c>
      <c r="F298" s="1" t="s">
        <v>850</v>
      </c>
      <c r="G298" s="1" t="s">
        <v>2512</v>
      </c>
      <c r="H298" s="4">
        <v>34.311</v>
      </c>
      <c r="I298" s="4">
        <v>-118.49</v>
      </c>
      <c r="J298" s="1" t="s">
        <v>1404</v>
      </c>
      <c r="K298" s="1" t="s">
        <v>70</v>
      </c>
      <c r="L298" s="1" t="s">
        <v>2514</v>
      </c>
      <c r="M298" s="1" t="s">
        <v>3598</v>
      </c>
      <c r="N298" s="1"/>
      <c r="O298" s="1" t="s">
        <v>3095</v>
      </c>
      <c r="P298" s="1"/>
      <c r="Q298" s="4">
        <v>6.7</v>
      </c>
      <c r="R298" s="4"/>
      <c r="S298" s="4"/>
      <c r="T298" s="4"/>
      <c r="U298" s="4"/>
      <c r="V298" s="4">
        <v>5.35</v>
      </c>
      <c r="W298" s="4"/>
      <c r="X298" s="4"/>
      <c r="Y298" s="4"/>
      <c r="Z298" s="4"/>
      <c r="AA298" s="4"/>
      <c r="AB298" s="4" t="s">
        <v>1028</v>
      </c>
      <c r="AC298" s="4"/>
      <c r="AD298" s="4">
        <v>34.2057</v>
      </c>
      <c r="AE298" s="4">
        <v>-118.5539</v>
      </c>
      <c r="AF298" s="4">
        <v>17.5</v>
      </c>
      <c r="AG298" s="4">
        <v>251.24</v>
      </c>
      <c r="AH298" s="27" t="b">
        <v>1</v>
      </c>
      <c r="AI298" s="4">
        <v>2.9820000000000002</v>
      </c>
      <c r="AJ298" s="27" t="b">
        <v>0</v>
      </c>
      <c r="AK298" s="4"/>
      <c r="AL298" s="27" t="b">
        <v>0</v>
      </c>
      <c r="AM298" s="4">
        <v>611.15899999999999</v>
      </c>
      <c r="AN298" s="4">
        <v>905.89400000000001</v>
      </c>
      <c r="AO298" s="4">
        <v>593.52</v>
      </c>
      <c r="AP298" s="4">
        <v>116.31100000000001</v>
      </c>
      <c r="AQ298" s="4">
        <v>88.529300000000006</v>
      </c>
      <c r="AR298" s="4">
        <v>26.1235</v>
      </c>
      <c r="AS298" s="4">
        <v>39.404600000000002</v>
      </c>
      <c r="AT298" s="4">
        <v>22.153099999999998</v>
      </c>
      <c r="AU298" s="4">
        <v>8.3180999999999994</v>
      </c>
      <c r="AV298" s="4">
        <v>-0.113761</v>
      </c>
      <c r="AW298" s="4">
        <v>0.29825499999999999</v>
      </c>
      <c r="AX298" s="4">
        <v>-0.15221399999999999</v>
      </c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1" t="s">
        <v>3599</v>
      </c>
      <c r="BJ298" s="1" t="s">
        <v>3712</v>
      </c>
      <c r="BK298" s="1">
        <v>1</v>
      </c>
      <c r="BL298" s="1"/>
      <c r="BM298" s="1" t="s">
        <v>419</v>
      </c>
      <c r="BN298" s="1" t="s">
        <v>2696</v>
      </c>
      <c r="BO298" s="1" t="s">
        <v>2697</v>
      </c>
      <c r="BP298" s="1">
        <v>6.7</v>
      </c>
      <c r="BQ298" s="1" t="s">
        <v>1003</v>
      </c>
      <c r="BR298" s="1">
        <v>34.2057</v>
      </c>
      <c r="BS298" s="1">
        <v>-118.5539</v>
      </c>
      <c r="BT298" s="1">
        <v>17.5</v>
      </c>
      <c r="BU298" s="1" t="s">
        <v>1028</v>
      </c>
      <c r="BV298" s="1" t="s">
        <v>2809</v>
      </c>
      <c r="BW298" s="1">
        <v>122</v>
      </c>
      <c r="BX298" s="1">
        <v>40</v>
      </c>
      <c r="BY298" s="1">
        <v>103</v>
      </c>
      <c r="BZ298" s="1"/>
      <c r="CA298" s="1"/>
      <c r="CB298" s="1"/>
      <c r="CC298" s="1" t="s">
        <v>2808</v>
      </c>
      <c r="CD298" s="1" t="s">
        <v>731</v>
      </c>
      <c r="CE298" s="1"/>
      <c r="CF298" s="1"/>
      <c r="CG298" s="1"/>
      <c r="CH298" s="1"/>
      <c r="CI298" s="1"/>
      <c r="CJ298" s="1" t="s">
        <v>2812</v>
      </c>
      <c r="CK298" t="s">
        <v>1263</v>
      </c>
      <c r="CL298">
        <v>55</v>
      </c>
      <c r="CM298" t="s">
        <v>2828</v>
      </c>
    </row>
    <row r="299" spans="1:91" ht="19" customHeight="1">
      <c r="A299" s="1" t="s">
        <v>3713</v>
      </c>
      <c r="B299" s="1" t="s">
        <v>3597</v>
      </c>
      <c r="C299" s="1">
        <v>56</v>
      </c>
      <c r="D299" s="1" t="s">
        <v>1059</v>
      </c>
      <c r="E299" s="1">
        <v>1994</v>
      </c>
      <c r="F299" s="1" t="s">
        <v>851</v>
      </c>
      <c r="G299" s="1" t="s">
        <v>2515</v>
      </c>
      <c r="H299" s="4">
        <v>34.311999999999998</v>
      </c>
      <c r="I299" s="4">
        <v>-118.48099999999999</v>
      </c>
      <c r="J299" s="1" t="s">
        <v>1404</v>
      </c>
      <c r="K299" s="1" t="s">
        <v>70</v>
      </c>
      <c r="L299" s="1" t="s">
        <v>2517</v>
      </c>
      <c r="M299" s="1" t="s">
        <v>3598</v>
      </c>
      <c r="N299" s="1"/>
      <c r="O299" s="1" t="s">
        <v>3095</v>
      </c>
      <c r="P299" s="1"/>
      <c r="Q299" s="4">
        <v>6.7</v>
      </c>
      <c r="R299" s="4"/>
      <c r="S299" s="4"/>
      <c r="T299" s="4"/>
      <c r="U299" s="4"/>
      <c r="V299" s="4">
        <v>5.19</v>
      </c>
      <c r="W299" s="4"/>
      <c r="X299" s="4"/>
      <c r="Y299" s="4"/>
      <c r="Z299" s="4"/>
      <c r="AA299" s="4"/>
      <c r="AB299" s="4" t="s">
        <v>1028</v>
      </c>
      <c r="AC299" s="4"/>
      <c r="AD299" s="4">
        <v>34.2057</v>
      </c>
      <c r="AE299" s="4">
        <v>-118.5539</v>
      </c>
      <c r="AF299" s="4">
        <v>17.5</v>
      </c>
      <c r="AG299" s="4">
        <v>370.52</v>
      </c>
      <c r="AH299" s="27" t="b">
        <v>1</v>
      </c>
      <c r="AI299" s="4">
        <v>3.528</v>
      </c>
      <c r="AJ299" s="27" t="b">
        <v>0</v>
      </c>
      <c r="AK299" s="4"/>
      <c r="AL299" s="27" t="b">
        <v>0</v>
      </c>
      <c r="AM299" s="4">
        <v>836.50199999999995</v>
      </c>
      <c r="AN299" s="4">
        <v>440.09100000000001</v>
      </c>
      <c r="AO299" s="4">
        <v>467.06099999999998</v>
      </c>
      <c r="AP299" s="4">
        <v>120.97199999999999</v>
      </c>
      <c r="AQ299" s="4">
        <v>60.427599999999998</v>
      </c>
      <c r="AR299" s="4">
        <v>26.797799999999999</v>
      </c>
      <c r="AS299" s="4">
        <v>34.055199999999999</v>
      </c>
      <c r="AT299" s="4">
        <v>18.766300000000001</v>
      </c>
      <c r="AU299" s="4">
        <v>9.2853300000000001</v>
      </c>
      <c r="AV299" s="4">
        <v>0.26897500000000002</v>
      </c>
      <c r="AW299" s="4">
        <v>0.243951</v>
      </c>
      <c r="AX299" s="4">
        <v>-8.3750000000000005E-2</v>
      </c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1" t="s">
        <v>3599</v>
      </c>
      <c r="BJ299" s="1" t="s">
        <v>3714</v>
      </c>
      <c r="BK299" s="1">
        <v>1</v>
      </c>
      <c r="BL299" s="1"/>
      <c r="BM299" s="1" t="s">
        <v>419</v>
      </c>
      <c r="BN299" s="1" t="s">
        <v>2696</v>
      </c>
      <c r="BO299" s="1" t="s">
        <v>2697</v>
      </c>
      <c r="BP299" s="1">
        <v>6.7</v>
      </c>
      <c r="BQ299" s="1" t="s">
        <v>1003</v>
      </c>
      <c r="BR299" s="1">
        <v>34.2057</v>
      </c>
      <c r="BS299" s="1">
        <v>-118.5539</v>
      </c>
      <c r="BT299" s="1">
        <v>17.5</v>
      </c>
      <c r="BU299" s="1" t="s">
        <v>1028</v>
      </c>
      <c r="BV299" s="1" t="s">
        <v>2809</v>
      </c>
      <c r="BW299" s="1">
        <v>122</v>
      </c>
      <c r="BX299" s="1">
        <v>40</v>
      </c>
      <c r="BY299" s="1">
        <v>103</v>
      </c>
      <c r="BZ299" s="1"/>
      <c r="CA299" s="1"/>
      <c r="CB299" s="1"/>
      <c r="CC299" s="1" t="s">
        <v>2808</v>
      </c>
      <c r="CD299" s="1" t="s">
        <v>731</v>
      </c>
      <c r="CE299" s="1"/>
      <c r="CF299" s="1"/>
      <c r="CG299" s="1"/>
      <c r="CH299" s="1"/>
      <c r="CI299" s="1"/>
      <c r="CJ299" s="1" t="s">
        <v>2812</v>
      </c>
      <c r="CK299" t="s">
        <v>1263</v>
      </c>
      <c r="CL299">
        <v>56</v>
      </c>
      <c r="CM299" t="s">
        <v>2828</v>
      </c>
    </row>
    <row r="300" spans="1:91" ht="19" customHeight="1">
      <c r="A300" s="1" t="s">
        <v>3715</v>
      </c>
      <c r="B300" s="1" t="s">
        <v>3597</v>
      </c>
      <c r="C300" s="1">
        <v>57</v>
      </c>
      <c r="D300" s="1" t="s">
        <v>1059</v>
      </c>
      <c r="E300" s="1">
        <v>1994</v>
      </c>
      <c r="F300" s="1" t="s">
        <v>852</v>
      </c>
      <c r="G300" s="1" t="s">
        <v>2518</v>
      </c>
      <c r="H300" s="4">
        <v>34.326000000000001</v>
      </c>
      <c r="I300" s="4">
        <v>-118.444</v>
      </c>
      <c r="J300" s="1" t="s">
        <v>1404</v>
      </c>
      <c r="K300" s="1" t="s">
        <v>70</v>
      </c>
      <c r="L300" s="1" t="s">
        <v>2520</v>
      </c>
      <c r="M300" s="1" t="s">
        <v>3598</v>
      </c>
      <c r="N300" s="1"/>
      <c r="O300" s="1" t="s">
        <v>3095</v>
      </c>
      <c r="P300" s="1"/>
      <c r="Q300" s="4">
        <v>6.7</v>
      </c>
      <c r="R300" s="4"/>
      <c r="S300" s="4"/>
      <c r="T300" s="4"/>
      <c r="U300" s="4"/>
      <c r="V300" s="4">
        <v>5.3</v>
      </c>
      <c r="W300" s="4"/>
      <c r="X300" s="4"/>
      <c r="Y300" s="4"/>
      <c r="Z300" s="4"/>
      <c r="AA300" s="4"/>
      <c r="AB300" s="4" t="s">
        <v>1028</v>
      </c>
      <c r="AC300" s="4"/>
      <c r="AD300" s="4">
        <v>34.2057</v>
      </c>
      <c r="AE300" s="4">
        <v>-118.5539</v>
      </c>
      <c r="AF300" s="4">
        <v>17.5</v>
      </c>
      <c r="AG300" s="4">
        <v>440.54</v>
      </c>
      <c r="AH300" s="27" t="b">
        <v>1</v>
      </c>
      <c r="AI300" s="4">
        <v>2.4359999999999999</v>
      </c>
      <c r="AJ300" s="27" t="b">
        <v>0</v>
      </c>
      <c r="AK300" s="4"/>
      <c r="AL300" s="27" t="b">
        <v>0</v>
      </c>
      <c r="AM300" s="4">
        <v>593.38599999999997</v>
      </c>
      <c r="AN300" s="4">
        <v>827.33399999999995</v>
      </c>
      <c r="AO300" s="4">
        <v>525.51300000000003</v>
      </c>
      <c r="AP300" s="4">
        <v>77.784800000000004</v>
      </c>
      <c r="AQ300" s="4">
        <v>130.38200000000001</v>
      </c>
      <c r="AR300" s="4">
        <v>19.192</v>
      </c>
      <c r="AS300" s="4">
        <v>15.674099999999999</v>
      </c>
      <c r="AT300" s="4">
        <v>31.946300000000001</v>
      </c>
      <c r="AU300" s="4">
        <v>8.1359600000000007</v>
      </c>
      <c r="AV300" s="4">
        <v>1.7071499999999999</v>
      </c>
      <c r="AW300" s="4">
        <v>1.9961599999999999</v>
      </c>
      <c r="AX300" s="4">
        <v>2.2633299999999998</v>
      </c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1" t="s">
        <v>3599</v>
      </c>
      <c r="BJ300" s="1" t="s">
        <v>3716</v>
      </c>
      <c r="BK300" s="1">
        <v>1</v>
      </c>
      <c r="BL300" s="1"/>
      <c r="BM300" s="1" t="s">
        <v>419</v>
      </c>
      <c r="BN300" s="1" t="s">
        <v>2696</v>
      </c>
      <c r="BO300" s="1" t="s">
        <v>2697</v>
      </c>
      <c r="BP300" s="1">
        <v>6.7</v>
      </c>
      <c r="BQ300" s="1" t="s">
        <v>1003</v>
      </c>
      <c r="BR300" s="1">
        <v>34.2057</v>
      </c>
      <c r="BS300" s="1">
        <v>-118.5539</v>
      </c>
      <c r="BT300" s="1">
        <v>17.5</v>
      </c>
      <c r="BU300" s="1" t="s">
        <v>1028</v>
      </c>
      <c r="BV300" s="1" t="s">
        <v>2809</v>
      </c>
      <c r="BW300" s="1">
        <v>122</v>
      </c>
      <c r="BX300" s="1">
        <v>40</v>
      </c>
      <c r="BY300" s="1">
        <v>103</v>
      </c>
      <c r="BZ300" s="1"/>
      <c r="CA300" s="1"/>
      <c r="CB300" s="1"/>
      <c r="CC300" s="1" t="s">
        <v>2808</v>
      </c>
      <c r="CD300" s="1" t="s">
        <v>731</v>
      </c>
      <c r="CE300" s="1"/>
      <c r="CF300" s="1"/>
      <c r="CG300" s="1"/>
      <c r="CH300" s="1"/>
      <c r="CI300" s="1"/>
      <c r="CJ300" s="1" t="s">
        <v>2812</v>
      </c>
      <c r="CK300" t="s">
        <v>1263</v>
      </c>
      <c r="CL300">
        <v>57</v>
      </c>
      <c r="CM300" t="s">
        <v>2828</v>
      </c>
    </row>
    <row r="301" spans="1:91" ht="19" customHeight="1">
      <c r="A301" s="1" t="s">
        <v>3717</v>
      </c>
      <c r="B301" s="1" t="s">
        <v>3597</v>
      </c>
      <c r="C301" s="1">
        <v>58</v>
      </c>
      <c r="D301" s="1" t="s">
        <v>1062</v>
      </c>
      <c r="E301" s="1">
        <v>1995</v>
      </c>
      <c r="F301" s="1" t="s">
        <v>854</v>
      </c>
      <c r="G301" s="1" t="s">
        <v>1518</v>
      </c>
      <c r="H301" s="4">
        <v>34.683300000000003</v>
      </c>
      <c r="I301" s="4">
        <v>135.18</v>
      </c>
      <c r="J301" s="1" t="s">
        <v>1404</v>
      </c>
      <c r="K301" s="1" t="s">
        <v>70</v>
      </c>
      <c r="L301" s="1" t="s">
        <v>1520</v>
      </c>
      <c r="M301" s="1" t="s">
        <v>3598</v>
      </c>
      <c r="N301" s="1"/>
      <c r="O301" s="1" t="s">
        <v>3095</v>
      </c>
      <c r="P301" s="1"/>
      <c r="Q301" s="4">
        <v>6.9</v>
      </c>
      <c r="R301" s="4"/>
      <c r="S301" s="4"/>
      <c r="T301" s="4"/>
      <c r="U301" s="4"/>
      <c r="V301" s="4">
        <v>0.96</v>
      </c>
      <c r="W301" s="4"/>
      <c r="X301" s="4"/>
      <c r="Y301" s="4"/>
      <c r="Z301" s="4"/>
      <c r="AA301" s="4"/>
      <c r="AB301" s="4" t="s">
        <v>1032</v>
      </c>
      <c r="AC301" s="4"/>
      <c r="AD301" s="4">
        <v>34.595999999999997</v>
      </c>
      <c r="AE301" s="4">
        <v>135.011</v>
      </c>
      <c r="AF301" s="4">
        <v>17.899999999999999</v>
      </c>
      <c r="AG301" s="4">
        <v>312</v>
      </c>
      <c r="AH301" s="27" t="b">
        <v>1</v>
      </c>
      <c r="AI301" s="4">
        <v>1.0920000000000001</v>
      </c>
      <c r="AJ301" s="27" t="b">
        <v>0</v>
      </c>
      <c r="AK301" s="4"/>
      <c r="AL301" s="27" t="b">
        <v>0</v>
      </c>
      <c r="AM301" s="4">
        <v>818.37900000000002</v>
      </c>
      <c r="AN301" s="4">
        <v>617.69299999999998</v>
      </c>
      <c r="AO301" s="4">
        <v>332.47300000000001</v>
      </c>
      <c r="AP301" s="4">
        <v>91.671499999999995</v>
      </c>
      <c r="AQ301" s="4">
        <v>76.141099999999994</v>
      </c>
      <c r="AR301" s="4">
        <v>40.422499999999999</v>
      </c>
      <c r="AS301" s="4">
        <v>21.152899999999999</v>
      </c>
      <c r="AT301" s="4">
        <v>18.357299999999999</v>
      </c>
      <c r="AU301" s="4">
        <v>14.453099999999999</v>
      </c>
      <c r="AV301" s="4">
        <v>-0.20479</v>
      </c>
      <c r="AW301" s="4">
        <v>9.2147000000000007E-2</v>
      </c>
      <c r="AX301" s="4">
        <v>-3.5417999999999998E-2</v>
      </c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1" t="s">
        <v>3599</v>
      </c>
      <c r="BJ301" s="1" t="s">
        <v>3718</v>
      </c>
      <c r="BK301" s="1">
        <v>1</v>
      </c>
      <c r="BL301" s="1"/>
      <c r="BM301" s="1" t="s">
        <v>426</v>
      </c>
      <c r="BN301" s="1" t="s">
        <v>2701</v>
      </c>
      <c r="BO301" s="1" t="s">
        <v>2702</v>
      </c>
      <c r="BP301" s="1">
        <v>6.9</v>
      </c>
      <c r="BQ301" s="1" t="s">
        <v>1003</v>
      </c>
      <c r="BR301" s="1">
        <v>34.595999999999997</v>
      </c>
      <c r="BS301" s="1">
        <v>135.011</v>
      </c>
      <c r="BT301" s="1">
        <v>17.899999999999999</v>
      </c>
      <c r="BU301" s="1" t="s">
        <v>1032</v>
      </c>
      <c r="BV301" s="1" t="s">
        <v>2809</v>
      </c>
      <c r="BW301" s="1">
        <v>230</v>
      </c>
      <c r="BX301" s="1">
        <v>85</v>
      </c>
      <c r="BY301" s="1">
        <v>180</v>
      </c>
      <c r="BZ301" s="1"/>
      <c r="CA301" s="1"/>
      <c r="CB301" s="1"/>
      <c r="CC301" s="1" t="s">
        <v>2808</v>
      </c>
      <c r="CD301" s="1" t="s">
        <v>731</v>
      </c>
      <c r="CE301" s="1"/>
      <c r="CF301" s="1"/>
      <c r="CG301" s="1"/>
      <c r="CH301" s="1"/>
      <c r="CI301" s="1"/>
      <c r="CJ301" s="1" t="s">
        <v>2812</v>
      </c>
      <c r="CK301" t="s">
        <v>1263</v>
      </c>
      <c r="CL301">
        <v>58</v>
      </c>
      <c r="CM301" t="s">
        <v>2829</v>
      </c>
    </row>
    <row r="302" spans="1:91" ht="19" customHeight="1">
      <c r="A302" s="1" t="s">
        <v>3719</v>
      </c>
      <c r="B302" s="1" t="s">
        <v>3597</v>
      </c>
      <c r="C302" s="1">
        <v>59</v>
      </c>
      <c r="D302" s="1" t="s">
        <v>1062</v>
      </c>
      <c r="E302" s="1">
        <v>1995</v>
      </c>
      <c r="F302" s="1" t="s">
        <v>855</v>
      </c>
      <c r="G302" s="1" t="s">
        <v>1549</v>
      </c>
      <c r="H302" s="4">
        <v>34.67</v>
      </c>
      <c r="I302" s="4">
        <v>135.20099999999999</v>
      </c>
      <c r="J302" s="1" t="s">
        <v>1404</v>
      </c>
      <c r="K302" s="1" t="s">
        <v>70</v>
      </c>
      <c r="L302" s="1" t="s">
        <v>1551</v>
      </c>
      <c r="M302" s="1" t="s">
        <v>3598</v>
      </c>
      <c r="N302" s="1"/>
      <c r="O302" s="1" t="s">
        <v>3095</v>
      </c>
      <c r="P302" s="1"/>
      <c r="Q302" s="4">
        <v>6.9</v>
      </c>
      <c r="R302" s="4"/>
      <c r="S302" s="4"/>
      <c r="T302" s="4"/>
      <c r="U302" s="4"/>
      <c r="V302" s="4">
        <v>3.31</v>
      </c>
      <c r="W302" s="4"/>
      <c r="X302" s="4"/>
      <c r="Y302" s="4"/>
      <c r="Z302" s="4"/>
      <c r="AA302" s="4"/>
      <c r="AB302" s="4" t="s">
        <v>1032</v>
      </c>
      <c r="AC302" s="4"/>
      <c r="AD302" s="4">
        <v>34.595999999999997</v>
      </c>
      <c r="AE302" s="4">
        <v>135.011</v>
      </c>
      <c r="AF302" s="4">
        <v>17.899999999999999</v>
      </c>
      <c r="AG302" s="4">
        <v>198</v>
      </c>
      <c r="AH302" s="27" t="b">
        <v>1</v>
      </c>
      <c r="AI302" s="4">
        <v>2.8279999999999998</v>
      </c>
      <c r="AJ302" s="27" t="b">
        <v>1</v>
      </c>
      <c r="AK302" s="4">
        <v>2.6739999999999999</v>
      </c>
      <c r="AL302" s="27" t="b">
        <v>0</v>
      </c>
      <c r="AM302" s="4">
        <v>341.24700000000001</v>
      </c>
      <c r="AN302" s="4">
        <v>284.26600000000002</v>
      </c>
      <c r="AO302" s="4">
        <v>556.03300000000002</v>
      </c>
      <c r="AP302" s="4">
        <v>90.685100000000006</v>
      </c>
      <c r="AQ302" s="4">
        <v>51.237099999999998</v>
      </c>
      <c r="AR302" s="4">
        <v>62.140799999999999</v>
      </c>
      <c r="AS302" s="4">
        <v>39.318100000000001</v>
      </c>
      <c r="AT302" s="4">
        <v>30.733499999999999</v>
      </c>
      <c r="AU302" s="4">
        <v>27.8216</v>
      </c>
      <c r="AV302" s="4">
        <v>0.232153</v>
      </c>
      <c r="AW302" s="4">
        <v>0.12823799999999999</v>
      </c>
      <c r="AX302" s="4">
        <v>-0.174178</v>
      </c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1"/>
      <c r="BJ302" s="1" t="s">
        <v>3720</v>
      </c>
      <c r="BK302" s="1">
        <v>1</v>
      </c>
      <c r="BL302" s="1"/>
      <c r="BM302" s="1" t="s">
        <v>426</v>
      </c>
      <c r="BN302" s="1" t="s">
        <v>2701</v>
      </c>
      <c r="BO302" s="1" t="s">
        <v>2702</v>
      </c>
      <c r="BP302" s="1">
        <v>6.9</v>
      </c>
      <c r="BQ302" s="1" t="s">
        <v>1003</v>
      </c>
      <c r="BR302" s="1">
        <v>34.595999999999997</v>
      </c>
      <c r="BS302" s="1">
        <v>135.011</v>
      </c>
      <c r="BT302" s="1">
        <v>17.899999999999999</v>
      </c>
      <c r="BU302" s="1" t="s">
        <v>1032</v>
      </c>
      <c r="BV302" s="1" t="s">
        <v>2809</v>
      </c>
      <c r="BW302" s="1">
        <v>230</v>
      </c>
      <c r="BX302" s="1">
        <v>85</v>
      </c>
      <c r="BY302" s="1">
        <v>180</v>
      </c>
      <c r="BZ302" s="1"/>
      <c r="CA302" s="1"/>
      <c r="CB302" s="1"/>
      <c r="CC302" s="1" t="s">
        <v>2808</v>
      </c>
      <c r="CD302" s="1" t="s">
        <v>731</v>
      </c>
      <c r="CE302" s="1"/>
      <c r="CF302" s="1"/>
      <c r="CG302" s="1"/>
      <c r="CH302" s="1"/>
      <c r="CI302" s="1"/>
      <c r="CJ302" s="1" t="s">
        <v>2812</v>
      </c>
      <c r="CK302" t="s">
        <v>1263</v>
      </c>
      <c r="CL302">
        <v>59</v>
      </c>
      <c r="CM302" t="s">
        <v>2829</v>
      </c>
    </row>
    <row r="303" spans="1:91" ht="19" customHeight="1">
      <c r="A303" s="1" t="s">
        <v>3721</v>
      </c>
      <c r="B303" s="1" t="s">
        <v>3597</v>
      </c>
      <c r="C303" s="1">
        <v>60</v>
      </c>
      <c r="D303" s="1" t="s">
        <v>1062</v>
      </c>
      <c r="E303" s="1">
        <v>1995</v>
      </c>
      <c r="F303" s="1" t="s">
        <v>856</v>
      </c>
      <c r="G303" s="1" t="s">
        <v>1558</v>
      </c>
      <c r="H303" s="4">
        <v>34.808999999999997</v>
      </c>
      <c r="I303" s="4">
        <v>135.34399999999999</v>
      </c>
      <c r="J303" s="1" t="s">
        <v>1404</v>
      </c>
      <c r="K303" s="1" t="s">
        <v>70</v>
      </c>
      <c r="L303" s="1" t="s">
        <v>1560</v>
      </c>
      <c r="M303" s="1" t="s">
        <v>3598</v>
      </c>
      <c r="N303" s="1"/>
      <c r="O303" s="1" t="s">
        <v>3095</v>
      </c>
      <c r="P303" s="1"/>
      <c r="Q303" s="4">
        <v>6.9</v>
      </c>
      <c r="R303" s="4"/>
      <c r="S303" s="4"/>
      <c r="T303" s="4"/>
      <c r="U303" s="4"/>
      <c r="V303" s="4">
        <v>0.27</v>
      </c>
      <c r="W303" s="4"/>
      <c r="X303" s="4"/>
      <c r="Y303" s="4"/>
      <c r="Z303" s="4"/>
      <c r="AA303" s="4"/>
      <c r="AB303" s="4" t="s">
        <v>1032</v>
      </c>
      <c r="AC303" s="4"/>
      <c r="AD303" s="4">
        <v>34.595999999999997</v>
      </c>
      <c r="AE303" s="4">
        <v>135.011</v>
      </c>
      <c r="AF303" s="4">
        <v>17.899999999999999</v>
      </c>
      <c r="AG303" s="4">
        <v>312</v>
      </c>
      <c r="AH303" s="27" t="b">
        <v>1</v>
      </c>
      <c r="AI303" s="4">
        <v>1.806</v>
      </c>
      <c r="AJ303" s="27" t="b">
        <v>0</v>
      </c>
      <c r="AK303" s="4"/>
      <c r="AL303" s="27" t="b">
        <v>0</v>
      </c>
      <c r="AM303" s="4">
        <v>684.09799999999996</v>
      </c>
      <c r="AN303" s="4">
        <v>602.19899999999996</v>
      </c>
      <c r="AO303" s="4">
        <v>418.887</v>
      </c>
      <c r="AP303" s="4">
        <v>68.538399999999996</v>
      </c>
      <c r="AQ303" s="4">
        <v>86.341099999999997</v>
      </c>
      <c r="AR303" s="4">
        <v>34.931600000000003</v>
      </c>
      <c r="AS303" s="4">
        <v>26.664000000000001</v>
      </c>
      <c r="AT303" s="4">
        <v>20.840900000000001</v>
      </c>
      <c r="AU303" s="4">
        <v>12.386900000000001</v>
      </c>
      <c r="AV303" s="4">
        <v>-3.2693E-2</v>
      </c>
      <c r="AW303" s="4">
        <v>0.109088</v>
      </c>
      <c r="AX303" s="4">
        <v>0.15237100000000001</v>
      </c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1" t="s">
        <v>3599</v>
      </c>
      <c r="BJ303" s="1" t="s">
        <v>3722</v>
      </c>
      <c r="BK303" s="1">
        <v>1</v>
      </c>
      <c r="BL303" s="1"/>
      <c r="BM303" s="1" t="s">
        <v>426</v>
      </c>
      <c r="BN303" s="1" t="s">
        <v>2701</v>
      </c>
      <c r="BO303" s="1" t="s">
        <v>2702</v>
      </c>
      <c r="BP303" s="1">
        <v>6.9</v>
      </c>
      <c r="BQ303" s="1" t="s">
        <v>1003</v>
      </c>
      <c r="BR303" s="1">
        <v>34.595999999999997</v>
      </c>
      <c r="BS303" s="1">
        <v>135.011</v>
      </c>
      <c r="BT303" s="1">
        <v>17.899999999999999</v>
      </c>
      <c r="BU303" s="1" t="s">
        <v>1032</v>
      </c>
      <c r="BV303" s="1" t="s">
        <v>2809</v>
      </c>
      <c r="BW303" s="1">
        <v>230</v>
      </c>
      <c r="BX303" s="1">
        <v>85</v>
      </c>
      <c r="BY303" s="1">
        <v>180</v>
      </c>
      <c r="BZ303" s="1"/>
      <c r="CA303" s="1"/>
      <c r="CB303" s="1"/>
      <c r="CC303" s="1" t="s">
        <v>2808</v>
      </c>
      <c r="CD303" s="1" t="s">
        <v>731</v>
      </c>
      <c r="CE303" s="1"/>
      <c r="CF303" s="1"/>
      <c r="CG303" s="1"/>
      <c r="CH303" s="1"/>
      <c r="CI303" s="1"/>
      <c r="CJ303" s="1" t="s">
        <v>2812</v>
      </c>
      <c r="CK303" t="s">
        <v>1263</v>
      </c>
      <c r="CL303">
        <v>60</v>
      </c>
      <c r="CM303" t="s">
        <v>2829</v>
      </c>
    </row>
    <row r="304" spans="1:91" ht="19" customHeight="1">
      <c r="A304" s="1" t="s">
        <v>3723</v>
      </c>
      <c r="B304" s="1" t="s">
        <v>3597</v>
      </c>
      <c r="C304" s="1">
        <v>61</v>
      </c>
      <c r="D304" s="1" t="s">
        <v>1062</v>
      </c>
      <c r="E304" s="1">
        <v>1995</v>
      </c>
      <c r="F304" s="1" t="s">
        <v>857</v>
      </c>
      <c r="G304" s="1" t="s">
        <v>1561</v>
      </c>
      <c r="H304" s="4">
        <v>34.649000000000001</v>
      </c>
      <c r="I304" s="4">
        <v>135.13900000000001</v>
      </c>
      <c r="J304" s="1" t="s">
        <v>1404</v>
      </c>
      <c r="K304" s="1" t="s">
        <v>70</v>
      </c>
      <c r="L304" s="1" t="s">
        <v>1563</v>
      </c>
      <c r="M304" s="1" t="s">
        <v>3598</v>
      </c>
      <c r="N304" s="1"/>
      <c r="O304" s="1" t="s">
        <v>3095</v>
      </c>
      <c r="P304" s="1"/>
      <c r="Q304" s="4">
        <v>6.9</v>
      </c>
      <c r="R304" s="4"/>
      <c r="S304" s="4"/>
      <c r="T304" s="4"/>
      <c r="U304" s="4"/>
      <c r="V304" s="4">
        <v>1.47</v>
      </c>
      <c r="W304" s="4"/>
      <c r="X304" s="4"/>
      <c r="Y304" s="4"/>
      <c r="Z304" s="4"/>
      <c r="AA304" s="4"/>
      <c r="AB304" s="4" t="s">
        <v>1032</v>
      </c>
      <c r="AC304" s="4"/>
      <c r="AD304" s="4">
        <v>34.595999999999997</v>
      </c>
      <c r="AE304" s="4">
        <v>135.011</v>
      </c>
      <c r="AF304" s="4">
        <v>17.899999999999999</v>
      </c>
      <c r="AG304" s="4">
        <v>256</v>
      </c>
      <c r="AH304" s="27" t="b">
        <v>1</v>
      </c>
      <c r="AI304" s="4">
        <v>1.554</v>
      </c>
      <c r="AJ304" s="27" t="b">
        <v>0</v>
      </c>
      <c r="AK304" s="4"/>
      <c r="AL304" s="27" t="b">
        <v>0</v>
      </c>
      <c r="AM304" s="4">
        <v>605.97400000000005</v>
      </c>
      <c r="AN304" s="4">
        <v>658.30600000000004</v>
      </c>
      <c r="AO304" s="4">
        <v>278.82799999999997</v>
      </c>
      <c r="AP304" s="4">
        <v>120.72799999999999</v>
      </c>
      <c r="AQ304" s="4">
        <v>123.00700000000001</v>
      </c>
      <c r="AR304" s="4">
        <v>16.283300000000001</v>
      </c>
      <c r="AS304" s="4">
        <v>39.992699999999999</v>
      </c>
      <c r="AT304" s="4">
        <v>29.5382</v>
      </c>
      <c r="AU304" s="4">
        <v>4.4290399999999996</v>
      </c>
      <c r="AV304" s="4">
        <v>-0.195631</v>
      </c>
      <c r="AW304" s="4">
        <v>0.458173</v>
      </c>
      <c r="AX304" s="4">
        <v>0.11498999999999999</v>
      </c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1" t="s">
        <v>3599</v>
      </c>
      <c r="BJ304" s="1" t="s">
        <v>3724</v>
      </c>
      <c r="BK304" s="1">
        <v>1</v>
      </c>
      <c r="BL304" s="1"/>
      <c r="BM304" s="1" t="s">
        <v>426</v>
      </c>
      <c r="BN304" s="1" t="s">
        <v>2701</v>
      </c>
      <c r="BO304" s="1" t="s">
        <v>2702</v>
      </c>
      <c r="BP304" s="1">
        <v>6.9</v>
      </c>
      <c r="BQ304" s="1" t="s">
        <v>1003</v>
      </c>
      <c r="BR304" s="1">
        <v>34.595999999999997</v>
      </c>
      <c r="BS304" s="1">
        <v>135.011</v>
      </c>
      <c r="BT304" s="1">
        <v>17.899999999999999</v>
      </c>
      <c r="BU304" s="1" t="s">
        <v>1032</v>
      </c>
      <c r="BV304" s="1" t="s">
        <v>2809</v>
      </c>
      <c r="BW304" s="1">
        <v>230</v>
      </c>
      <c r="BX304" s="1">
        <v>85</v>
      </c>
      <c r="BY304" s="1">
        <v>180</v>
      </c>
      <c r="BZ304" s="1"/>
      <c r="CA304" s="1"/>
      <c r="CB304" s="1"/>
      <c r="CC304" s="1" t="s">
        <v>2808</v>
      </c>
      <c r="CD304" s="1" t="s">
        <v>731</v>
      </c>
      <c r="CE304" s="1"/>
      <c r="CF304" s="1"/>
      <c r="CG304" s="1"/>
      <c r="CH304" s="1"/>
      <c r="CI304" s="1"/>
      <c r="CJ304" s="1" t="s">
        <v>2812</v>
      </c>
      <c r="CK304" t="s">
        <v>1263</v>
      </c>
      <c r="CL304">
        <v>61</v>
      </c>
      <c r="CM304" t="s">
        <v>2829</v>
      </c>
    </row>
    <row r="305" spans="1:91" ht="19" customHeight="1">
      <c r="A305" s="1" t="s">
        <v>3725</v>
      </c>
      <c r="B305" s="1" t="s">
        <v>3597</v>
      </c>
      <c r="C305" s="1">
        <v>62</v>
      </c>
      <c r="D305" s="1" t="s">
        <v>441</v>
      </c>
      <c r="E305" s="1">
        <v>1998</v>
      </c>
      <c r="F305" s="1" t="s">
        <v>1063</v>
      </c>
      <c r="G305" s="1" t="s">
        <v>1781</v>
      </c>
      <c r="H305" s="4">
        <v>23.483000000000001</v>
      </c>
      <c r="I305" s="4">
        <v>120.65433299999999</v>
      </c>
      <c r="J305" s="1" t="s">
        <v>1404</v>
      </c>
      <c r="K305" s="1" t="s">
        <v>70</v>
      </c>
      <c r="L305" s="1" t="s">
        <v>1782</v>
      </c>
      <c r="M305" s="1" t="s">
        <v>3598</v>
      </c>
      <c r="N305" s="1"/>
      <c r="O305" s="1" t="s">
        <v>3095</v>
      </c>
      <c r="P305" s="1"/>
      <c r="Q305" s="4">
        <v>5.72</v>
      </c>
      <c r="R305" s="4"/>
      <c r="S305" s="4"/>
      <c r="T305" s="4"/>
      <c r="U305" s="4"/>
      <c r="V305" s="4">
        <v>5.5230880000000004</v>
      </c>
      <c r="W305" s="4"/>
      <c r="X305" s="4"/>
      <c r="Y305" s="4"/>
      <c r="Z305" s="4"/>
      <c r="AA305" s="4"/>
      <c r="AB305" s="4" t="s">
        <v>1028</v>
      </c>
      <c r="AC305" s="4"/>
      <c r="AD305" s="4">
        <v>23.502300000000002</v>
      </c>
      <c r="AE305" s="4">
        <v>120.66119999999999</v>
      </c>
      <c r="AF305" s="4">
        <v>6.18</v>
      </c>
      <c r="AG305" s="4">
        <v>581.46901200000002</v>
      </c>
      <c r="AH305" s="27" t="b">
        <v>1</v>
      </c>
      <c r="AI305" s="4">
        <v>0.80079999999999996</v>
      </c>
      <c r="AJ305" s="27" t="b">
        <v>0</v>
      </c>
      <c r="AK305" s="4"/>
      <c r="AL305" s="27" t="b">
        <v>0</v>
      </c>
      <c r="AM305" s="4">
        <v>721.49300000000005</v>
      </c>
      <c r="AN305" s="4">
        <v>388.69400000000002</v>
      </c>
      <c r="AO305" s="4">
        <v>335.89600000000002</v>
      </c>
      <c r="AP305" s="4">
        <v>73.895099999999999</v>
      </c>
      <c r="AQ305" s="4">
        <v>30.837599999999998</v>
      </c>
      <c r="AR305" s="4">
        <v>26.959299999999999</v>
      </c>
      <c r="AS305" s="4">
        <v>6.8307799999999999</v>
      </c>
      <c r="AT305" s="4">
        <v>4.8308900000000001</v>
      </c>
      <c r="AU305" s="4">
        <v>7.11029</v>
      </c>
      <c r="AV305" s="4">
        <v>1.1440000000000001E-3</v>
      </c>
      <c r="AW305" s="4">
        <v>-3.1300000000000002E-4</v>
      </c>
      <c r="AX305" s="4">
        <v>3.9919999999999999E-3</v>
      </c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1" t="s">
        <v>3599</v>
      </c>
      <c r="BJ305" s="1" t="s">
        <v>3726</v>
      </c>
      <c r="BK305" s="1">
        <v>1</v>
      </c>
      <c r="BL305" s="1"/>
      <c r="BM305" s="1" t="s">
        <v>440</v>
      </c>
      <c r="BN305" s="1" t="s">
        <v>2831</v>
      </c>
      <c r="BO305" s="1" t="s">
        <v>2832</v>
      </c>
      <c r="BP305" s="1">
        <v>5.72</v>
      </c>
      <c r="BQ305" s="1" t="s">
        <v>1003</v>
      </c>
      <c r="BR305" s="1">
        <v>23.502300000000002</v>
      </c>
      <c r="BS305" s="1">
        <v>120.66119999999999</v>
      </c>
      <c r="BT305" s="1">
        <v>6.18</v>
      </c>
      <c r="BU305" s="1" t="s">
        <v>1028</v>
      </c>
      <c r="BV305" s="1" t="s">
        <v>2834</v>
      </c>
      <c r="BW305" s="1">
        <v>37</v>
      </c>
      <c r="BX305" s="1">
        <v>36</v>
      </c>
      <c r="BY305" s="1">
        <v>97</v>
      </c>
      <c r="BZ305" s="1">
        <v>208</v>
      </c>
      <c r="CA305" s="1">
        <v>54</v>
      </c>
      <c r="CB305" s="1">
        <v>85</v>
      </c>
      <c r="CC305" s="1" t="s">
        <v>2808</v>
      </c>
      <c r="CD305" s="1" t="s">
        <v>731</v>
      </c>
      <c r="CE305" s="1"/>
      <c r="CF305" s="1"/>
      <c r="CG305" s="1"/>
      <c r="CH305" s="1"/>
      <c r="CI305" s="1"/>
      <c r="CJ305" s="1" t="s">
        <v>2812</v>
      </c>
      <c r="CK305" t="s">
        <v>1263</v>
      </c>
      <c r="CL305">
        <v>62</v>
      </c>
      <c r="CM305" t="s">
        <v>2836</v>
      </c>
    </row>
    <row r="306" spans="1:91" ht="19" customHeight="1">
      <c r="A306" s="1" t="s">
        <v>3727</v>
      </c>
      <c r="B306" s="1" t="s">
        <v>3597</v>
      </c>
      <c r="C306" s="1">
        <v>63</v>
      </c>
      <c r="D306" s="1" t="s">
        <v>441</v>
      </c>
      <c r="E306" s="1">
        <v>1998</v>
      </c>
      <c r="F306" s="1" t="s">
        <v>1064</v>
      </c>
      <c r="G306" s="1" t="s">
        <v>1827</v>
      </c>
      <c r="H306" s="4">
        <v>23.470666999999999</v>
      </c>
      <c r="I306" s="4">
        <v>120.44533300000001</v>
      </c>
      <c r="J306" s="1" t="s">
        <v>1404</v>
      </c>
      <c r="K306" s="1" t="s">
        <v>70</v>
      </c>
      <c r="L306" s="1" t="s">
        <v>1828</v>
      </c>
      <c r="M306" s="1" t="s">
        <v>3598</v>
      </c>
      <c r="N306" s="1"/>
      <c r="O306" s="1" t="s">
        <v>3095</v>
      </c>
      <c r="P306" s="1"/>
      <c r="Q306" s="4">
        <v>5.72</v>
      </c>
      <c r="R306" s="4"/>
      <c r="S306" s="4"/>
      <c r="T306" s="4"/>
      <c r="U306" s="4"/>
      <c r="V306" s="4">
        <v>18.420864000000002</v>
      </c>
      <c r="W306" s="4"/>
      <c r="X306" s="4"/>
      <c r="Y306" s="4"/>
      <c r="Z306" s="4"/>
      <c r="AA306" s="4"/>
      <c r="AB306" s="4" t="s">
        <v>1028</v>
      </c>
      <c r="AC306" s="4"/>
      <c r="AD306" s="4">
        <v>23.502300000000002</v>
      </c>
      <c r="AE306" s="4">
        <v>120.66119999999999</v>
      </c>
      <c r="AF306" s="4">
        <v>6.18</v>
      </c>
      <c r="AG306" s="4">
        <v>248.65309999999999</v>
      </c>
      <c r="AH306" s="27" t="b">
        <v>1</v>
      </c>
      <c r="AI306" s="4">
        <v>0.75039999999999996</v>
      </c>
      <c r="AJ306" s="27" t="b">
        <v>0</v>
      </c>
      <c r="AK306" s="4"/>
      <c r="AL306" s="27" t="b">
        <v>0</v>
      </c>
      <c r="AM306" s="4">
        <v>283.21800000000002</v>
      </c>
      <c r="AN306" s="4">
        <v>359.39800000000002</v>
      </c>
      <c r="AO306" s="4">
        <v>78.873999999999995</v>
      </c>
      <c r="AP306" s="4">
        <v>20.161100000000001</v>
      </c>
      <c r="AQ306" s="4">
        <v>27.438400000000001</v>
      </c>
      <c r="AR306" s="4">
        <v>4.3470599999999999</v>
      </c>
      <c r="AS306" s="4">
        <v>4.3807900000000002</v>
      </c>
      <c r="AT306" s="4">
        <v>3.96841</v>
      </c>
      <c r="AU306" s="4">
        <v>1.72695</v>
      </c>
      <c r="AV306" s="4">
        <v>1.5958E-2</v>
      </c>
      <c r="AW306" s="4">
        <v>-5.2837000000000002E-2</v>
      </c>
      <c r="AX306" s="4">
        <v>9.0784000000000004E-2</v>
      </c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1" t="s">
        <v>3599</v>
      </c>
      <c r="BJ306" s="1" t="s">
        <v>3728</v>
      </c>
      <c r="BK306" s="1">
        <v>1</v>
      </c>
      <c r="BL306" s="1"/>
      <c r="BM306" s="1" t="s">
        <v>440</v>
      </c>
      <c r="BN306" s="1" t="s">
        <v>2831</v>
      </c>
      <c r="BO306" s="1" t="s">
        <v>2832</v>
      </c>
      <c r="BP306" s="1">
        <v>5.72</v>
      </c>
      <c r="BQ306" s="1" t="s">
        <v>1003</v>
      </c>
      <c r="BR306" s="1">
        <v>23.502300000000002</v>
      </c>
      <c r="BS306" s="1">
        <v>120.66119999999999</v>
      </c>
      <c r="BT306" s="1">
        <v>6.18</v>
      </c>
      <c r="BU306" s="1" t="s">
        <v>1028</v>
      </c>
      <c r="BV306" s="1" t="s">
        <v>2834</v>
      </c>
      <c r="BW306" s="1">
        <v>37</v>
      </c>
      <c r="BX306" s="1">
        <v>36</v>
      </c>
      <c r="BY306" s="1">
        <v>97</v>
      </c>
      <c r="BZ306" s="1">
        <v>208</v>
      </c>
      <c r="CA306" s="1">
        <v>54</v>
      </c>
      <c r="CB306" s="1">
        <v>85</v>
      </c>
      <c r="CC306" s="1" t="s">
        <v>2808</v>
      </c>
      <c r="CD306" s="1" t="s">
        <v>731</v>
      </c>
      <c r="CE306" s="1"/>
      <c r="CF306" s="1"/>
      <c r="CG306" s="1"/>
      <c r="CH306" s="1"/>
      <c r="CI306" s="1"/>
      <c r="CJ306" s="1" t="s">
        <v>2812</v>
      </c>
      <c r="CK306" t="s">
        <v>1263</v>
      </c>
      <c r="CL306">
        <v>63</v>
      </c>
      <c r="CM306" t="s">
        <v>2836</v>
      </c>
    </row>
    <row r="307" spans="1:91" ht="19" customHeight="1">
      <c r="A307" s="1" t="s">
        <v>3729</v>
      </c>
      <c r="B307" s="1" t="s">
        <v>3597</v>
      </c>
      <c r="C307" s="1">
        <v>64</v>
      </c>
      <c r="D307" s="1" t="s">
        <v>1065</v>
      </c>
      <c r="E307" s="1">
        <v>1999</v>
      </c>
      <c r="F307" s="1" t="s">
        <v>864</v>
      </c>
      <c r="G307" s="1" t="s">
        <v>1799</v>
      </c>
      <c r="H307" s="4">
        <v>23.755333</v>
      </c>
      <c r="I307" s="4">
        <v>120.615667</v>
      </c>
      <c r="J307" s="1" t="s">
        <v>1404</v>
      </c>
      <c r="K307" s="1" t="s">
        <v>70</v>
      </c>
      <c r="L307" s="1" t="s">
        <v>1801</v>
      </c>
      <c r="M307" s="1" t="s">
        <v>3598</v>
      </c>
      <c r="N307" s="1"/>
      <c r="O307" s="1" t="s">
        <v>3095</v>
      </c>
      <c r="P307" s="1"/>
      <c r="Q307" s="4">
        <v>6.3</v>
      </c>
      <c r="R307" s="4"/>
      <c r="S307" s="4"/>
      <c r="T307" s="4"/>
      <c r="U307" s="4"/>
      <c r="V307" s="4">
        <v>18.733087000000001</v>
      </c>
      <c r="W307" s="4"/>
      <c r="X307" s="4"/>
      <c r="Y307" s="4"/>
      <c r="Z307" s="4"/>
      <c r="AA307" s="4"/>
      <c r="AB307" s="4" t="s">
        <v>1028</v>
      </c>
      <c r="AC307" s="4"/>
      <c r="AD307" s="4">
        <v>23.81</v>
      </c>
      <c r="AE307" s="4">
        <v>120.85</v>
      </c>
      <c r="AF307" s="4">
        <v>7.8</v>
      </c>
      <c r="AG307" s="4">
        <v>408.49669999999998</v>
      </c>
      <c r="AH307" s="27" t="b">
        <v>1</v>
      </c>
      <c r="AI307" s="4">
        <v>3.2130000000000001</v>
      </c>
      <c r="AJ307" s="27" t="b">
        <v>0</v>
      </c>
      <c r="AK307" s="4"/>
      <c r="AL307" s="27" t="b">
        <v>0</v>
      </c>
      <c r="AM307" s="4">
        <v>179.57</v>
      </c>
      <c r="AN307" s="4">
        <v>84.085999999999999</v>
      </c>
      <c r="AO307" s="4">
        <v>67.266999999999996</v>
      </c>
      <c r="AP307" s="4">
        <v>31.571999999999999</v>
      </c>
      <c r="AQ307" s="4">
        <v>13.006500000000001</v>
      </c>
      <c r="AR307" s="4">
        <v>25.741900000000001</v>
      </c>
      <c r="AS307" s="4">
        <v>20.474900000000002</v>
      </c>
      <c r="AT307" s="4">
        <v>10.1729</v>
      </c>
      <c r="AU307" s="4">
        <v>17.273199999999999</v>
      </c>
      <c r="AV307" s="4">
        <v>3.8670000000000002E-3</v>
      </c>
      <c r="AW307" s="4">
        <v>4.6695E-2</v>
      </c>
      <c r="AX307" s="4">
        <v>0.523254</v>
      </c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1" t="s">
        <v>3599</v>
      </c>
      <c r="BJ307" s="1" t="s">
        <v>3730</v>
      </c>
      <c r="BK307" s="1">
        <v>1</v>
      </c>
      <c r="BL307" s="1"/>
      <c r="BM307" s="1" t="s">
        <v>463</v>
      </c>
      <c r="BN307" s="1" t="s">
        <v>2710</v>
      </c>
      <c r="BO307" s="1" t="s">
        <v>2718</v>
      </c>
      <c r="BP307" s="1">
        <v>6.3</v>
      </c>
      <c r="BQ307" s="1" t="s">
        <v>1003</v>
      </c>
      <c r="BR307" s="1">
        <v>23.81</v>
      </c>
      <c r="BS307" s="1">
        <v>120.85</v>
      </c>
      <c r="BT307" s="1">
        <v>7.8</v>
      </c>
      <c r="BU307" s="1" t="s">
        <v>1028</v>
      </c>
      <c r="BV307" s="1" t="s">
        <v>2809</v>
      </c>
      <c r="BW307" s="1">
        <v>360</v>
      </c>
      <c r="BX307" s="1">
        <v>10</v>
      </c>
      <c r="BY307" s="1">
        <v>80</v>
      </c>
      <c r="BZ307" s="1"/>
      <c r="CA307" s="1"/>
      <c r="CB307" s="1"/>
      <c r="CC307" s="1" t="s">
        <v>2808</v>
      </c>
      <c r="CD307" s="1" t="s">
        <v>731</v>
      </c>
      <c r="CE307" s="1"/>
      <c r="CF307" s="1"/>
      <c r="CG307" s="1"/>
      <c r="CH307" s="1"/>
      <c r="CI307" s="1"/>
      <c r="CJ307" s="1" t="s">
        <v>2812</v>
      </c>
      <c r="CK307" t="s">
        <v>1263</v>
      </c>
      <c r="CL307">
        <v>64</v>
      </c>
      <c r="CM307" t="s">
        <v>2837</v>
      </c>
    </row>
    <row r="308" spans="1:91" ht="19" customHeight="1">
      <c r="A308" s="1" t="s">
        <v>3731</v>
      </c>
      <c r="B308" s="1" t="s">
        <v>3597</v>
      </c>
      <c r="C308" s="1">
        <v>65</v>
      </c>
      <c r="D308" s="1" t="s">
        <v>1065</v>
      </c>
      <c r="E308" s="1">
        <v>1999</v>
      </c>
      <c r="F308" s="1" t="s">
        <v>914</v>
      </c>
      <c r="G308" s="1" t="s">
        <v>1808</v>
      </c>
      <c r="H308" s="4">
        <v>23.518667000000001</v>
      </c>
      <c r="I308" s="4">
        <v>120.591667</v>
      </c>
      <c r="J308" s="1" t="s">
        <v>1404</v>
      </c>
      <c r="K308" s="1" t="s">
        <v>70</v>
      </c>
      <c r="L308" s="1" t="s">
        <v>1809</v>
      </c>
      <c r="M308" s="1" t="s">
        <v>3598</v>
      </c>
      <c r="N308" s="1"/>
      <c r="O308" s="1" t="s">
        <v>3095</v>
      </c>
      <c r="P308" s="1"/>
      <c r="Q308" s="4">
        <v>6.3</v>
      </c>
      <c r="R308" s="4"/>
      <c r="S308" s="4"/>
      <c r="T308" s="4"/>
      <c r="U308" s="4"/>
      <c r="V308" s="4">
        <v>34.140867</v>
      </c>
      <c r="W308" s="4"/>
      <c r="X308" s="4"/>
      <c r="Y308" s="4"/>
      <c r="Z308" s="4"/>
      <c r="AA308" s="4"/>
      <c r="AB308" s="4" t="s">
        <v>1028</v>
      </c>
      <c r="AC308" s="4"/>
      <c r="AD308" s="4">
        <v>23.81</v>
      </c>
      <c r="AE308" s="4">
        <v>120.85</v>
      </c>
      <c r="AF308" s="4">
        <v>7.8</v>
      </c>
      <c r="AG308" s="4">
        <v>554.22131899999999</v>
      </c>
      <c r="AH308" s="27" t="b">
        <v>1</v>
      </c>
      <c r="AI308" s="4">
        <v>1.071</v>
      </c>
      <c r="AJ308" s="27" t="b">
        <v>0</v>
      </c>
      <c r="AK308" s="4"/>
      <c r="AL308" s="27" t="b">
        <v>0</v>
      </c>
      <c r="AM308" s="4">
        <v>200.69300000000001</v>
      </c>
      <c r="AN308" s="4">
        <v>90.356999999999999</v>
      </c>
      <c r="AO308" s="4">
        <v>43.246000000000002</v>
      </c>
      <c r="AP308" s="4">
        <v>29.030999999999999</v>
      </c>
      <c r="AQ308" s="4">
        <v>12.6823</v>
      </c>
      <c r="AR308" s="4">
        <v>5.7154400000000001</v>
      </c>
      <c r="AS308" s="4">
        <v>6.2468300000000001</v>
      </c>
      <c r="AT308" s="4">
        <v>5.3367399999999998</v>
      </c>
      <c r="AU308" s="4">
        <v>1.7747900000000001</v>
      </c>
      <c r="AV308" s="4">
        <v>-0.46427099999999999</v>
      </c>
      <c r="AW308" s="4">
        <v>0.14324799999999999</v>
      </c>
      <c r="AX308" s="4">
        <v>-0.18856600000000001</v>
      </c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1" t="s">
        <v>3599</v>
      </c>
      <c r="BJ308" s="1" t="s">
        <v>3732</v>
      </c>
      <c r="BK308" s="1">
        <v>1</v>
      </c>
      <c r="BL308" s="1"/>
      <c r="BM308" s="1" t="s">
        <v>463</v>
      </c>
      <c r="BN308" s="1" t="s">
        <v>2710</v>
      </c>
      <c r="BO308" s="1" t="s">
        <v>2718</v>
      </c>
      <c r="BP308" s="1">
        <v>6.3</v>
      </c>
      <c r="BQ308" s="1" t="s">
        <v>1003</v>
      </c>
      <c r="BR308" s="1">
        <v>23.81</v>
      </c>
      <c r="BS308" s="1">
        <v>120.85</v>
      </c>
      <c r="BT308" s="1">
        <v>7.8</v>
      </c>
      <c r="BU308" s="1" t="s">
        <v>1028</v>
      </c>
      <c r="BV308" s="1" t="s">
        <v>2809</v>
      </c>
      <c r="BW308" s="1">
        <v>360</v>
      </c>
      <c r="BX308" s="1">
        <v>10</v>
      </c>
      <c r="BY308" s="1">
        <v>80</v>
      </c>
      <c r="BZ308" s="1"/>
      <c r="CA308" s="1"/>
      <c r="CB308" s="1"/>
      <c r="CC308" s="1" t="s">
        <v>2808</v>
      </c>
      <c r="CD308" s="1" t="s">
        <v>731</v>
      </c>
      <c r="CE308" s="1"/>
      <c r="CF308" s="1"/>
      <c r="CG308" s="1"/>
      <c r="CH308" s="1"/>
      <c r="CI308" s="1"/>
      <c r="CJ308" s="1" t="s">
        <v>2812</v>
      </c>
      <c r="CK308" t="s">
        <v>1263</v>
      </c>
      <c r="CL308">
        <v>65</v>
      </c>
      <c r="CM308" t="s">
        <v>2837</v>
      </c>
    </row>
    <row r="309" spans="1:91" ht="19" customHeight="1">
      <c r="A309" s="1" t="s">
        <v>3733</v>
      </c>
      <c r="B309" s="1" t="s">
        <v>3597</v>
      </c>
      <c r="C309" s="1">
        <v>66</v>
      </c>
      <c r="D309" s="1" t="s">
        <v>1065</v>
      </c>
      <c r="E309" s="1">
        <v>1999</v>
      </c>
      <c r="F309" s="1" t="s">
        <v>915</v>
      </c>
      <c r="G309" s="1" t="s">
        <v>1867</v>
      </c>
      <c r="H309" s="4">
        <v>23.597166999999999</v>
      </c>
      <c r="I309" s="4">
        <v>120.676833</v>
      </c>
      <c r="J309" s="1" t="s">
        <v>1404</v>
      </c>
      <c r="K309" s="1" t="s">
        <v>70</v>
      </c>
      <c r="L309" s="1" t="s">
        <v>1868</v>
      </c>
      <c r="M309" s="1" t="s">
        <v>3598</v>
      </c>
      <c r="N309" s="1"/>
      <c r="O309" s="1" t="s">
        <v>3095</v>
      </c>
      <c r="P309" s="1"/>
      <c r="Q309" s="4">
        <v>6.3</v>
      </c>
      <c r="R309" s="4"/>
      <c r="S309" s="4"/>
      <c r="T309" s="4"/>
      <c r="U309" s="4"/>
      <c r="V309" s="4">
        <v>22.398382000000002</v>
      </c>
      <c r="W309" s="4"/>
      <c r="X309" s="4"/>
      <c r="Y309" s="4"/>
      <c r="Z309" s="4"/>
      <c r="AA309" s="4"/>
      <c r="AB309" s="4" t="s">
        <v>1028</v>
      </c>
      <c r="AC309" s="4"/>
      <c r="AD309" s="4">
        <v>23.81</v>
      </c>
      <c r="AE309" s="4">
        <v>120.85</v>
      </c>
      <c r="AF309" s="4">
        <v>7.8</v>
      </c>
      <c r="AG309" s="4">
        <v>499.16809999999998</v>
      </c>
      <c r="AH309" s="27" t="b">
        <v>1</v>
      </c>
      <c r="AI309" s="4">
        <v>1.379</v>
      </c>
      <c r="AJ309" s="27" t="b">
        <v>0</v>
      </c>
      <c r="AK309" s="4"/>
      <c r="AL309" s="27" t="b">
        <v>0</v>
      </c>
      <c r="AM309" s="4">
        <v>454.21</v>
      </c>
      <c r="AN309" s="4">
        <v>192.25899999999999</v>
      </c>
      <c r="AO309" s="4">
        <v>111.045</v>
      </c>
      <c r="AP309" s="4">
        <v>70.621799999999993</v>
      </c>
      <c r="AQ309" s="4">
        <v>24.087700000000002</v>
      </c>
      <c r="AR309" s="4">
        <v>17.3934</v>
      </c>
      <c r="AS309" s="4">
        <v>12.101599999999999</v>
      </c>
      <c r="AT309" s="4">
        <v>5.1123000000000003</v>
      </c>
      <c r="AU309" s="4">
        <v>3.3202799999999999</v>
      </c>
      <c r="AV309" s="4">
        <v>-0.117698</v>
      </c>
      <c r="AW309" s="4">
        <v>4.2987999999999998E-2</v>
      </c>
      <c r="AX309" s="4">
        <v>-2.0840000000000001E-2</v>
      </c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1" t="s">
        <v>3599</v>
      </c>
      <c r="BJ309" s="1" t="s">
        <v>3734</v>
      </c>
      <c r="BK309" s="1">
        <v>1</v>
      </c>
      <c r="BL309" s="1"/>
      <c r="BM309" s="1" t="s">
        <v>463</v>
      </c>
      <c r="BN309" s="1" t="s">
        <v>2710</v>
      </c>
      <c r="BO309" s="1" t="s">
        <v>2718</v>
      </c>
      <c r="BP309" s="1">
        <v>6.3</v>
      </c>
      <c r="BQ309" s="1" t="s">
        <v>1003</v>
      </c>
      <c r="BR309" s="1">
        <v>23.81</v>
      </c>
      <c r="BS309" s="1">
        <v>120.85</v>
      </c>
      <c r="BT309" s="1">
        <v>7.8</v>
      </c>
      <c r="BU309" s="1" t="s">
        <v>1028</v>
      </c>
      <c r="BV309" s="1" t="s">
        <v>2809</v>
      </c>
      <c r="BW309" s="1">
        <v>360</v>
      </c>
      <c r="BX309" s="1">
        <v>10</v>
      </c>
      <c r="BY309" s="1">
        <v>80</v>
      </c>
      <c r="BZ309" s="1"/>
      <c r="CA309" s="1"/>
      <c r="CB309" s="1"/>
      <c r="CC309" s="1" t="s">
        <v>2808</v>
      </c>
      <c r="CD309" s="1" t="s">
        <v>731</v>
      </c>
      <c r="CE309" s="1"/>
      <c r="CF309" s="1"/>
      <c r="CG309" s="1"/>
      <c r="CH309" s="1"/>
      <c r="CI309" s="1"/>
      <c r="CJ309" s="1" t="s">
        <v>2812</v>
      </c>
      <c r="CK309" t="s">
        <v>1263</v>
      </c>
      <c r="CL309">
        <v>66</v>
      </c>
      <c r="CM309" t="s">
        <v>2837</v>
      </c>
    </row>
    <row r="310" spans="1:91" ht="19" customHeight="1">
      <c r="A310" s="1" t="s">
        <v>3735</v>
      </c>
      <c r="B310" s="1" t="s">
        <v>3597</v>
      </c>
      <c r="C310" s="1">
        <v>67</v>
      </c>
      <c r="D310" s="1" t="s">
        <v>1065</v>
      </c>
      <c r="E310" s="1">
        <v>1999</v>
      </c>
      <c r="F310" s="1" t="s">
        <v>894</v>
      </c>
      <c r="G310" s="1" t="s">
        <v>2176</v>
      </c>
      <c r="H310" s="4">
        <v>24.056166999999999</v>
      </c>
      <c r="I310" s="4">
        <v>120.699833</v>
      </c>
      <c r="J310" s="1" t="s">
        <v>1404</v>
      </c>
      <c r="K310" s="1" t="s">
        <v>70</v>
      </c>
      <c r="L310" s="1" t="s">
        <v>2178</v>
      </c>
      <c r="M310" s="1" t="s">
        <v>3598</v>
      </c>
      <c r="N310" s="1"/>
      <c r="O310" s="1" t="s">
        <v>3095</v>
      </c>
      <c r="P310" s="1"/>
      <c r="Q310" s="4">
        <v>6.3</v>
      </c>
      <c r="R310" s="4"/>
      <c r="S310" s="4"/>
      <c r="T310" s="4"/>
      <c r="U310" s="4"/>
      <c r="V310" s="4">
        <v>25.456793999999999</v>
      </c>
      <c r="W310" s="4"/>
      <c r="X310" s="4"/>
      <c r="Y310" s="4"/>
      <c r="Z310" s="4"/>
      <c r="AA310" s="4"/>
      <c r="AB310" s="4" t="s">
        <v>1028</v>
      </c>
      <c r="AC310" s="4"/>
      <c r="AD310" s="4">
        <v>23.81</v>
      </c>
      <c r="AE310" s="4">
        <v>120.85</v>
      </c>
      <c r="AF310" s="4">
        <v>7.8</v>
      </c>
      <c r="AG310" s="4">
        <v>290.10730000000001</v>
      </c>
      <c r="AH310" s="27" t="b">
        <v>1</v>
      </c>
      <c r="AI310" s="4">
        <v>1.526</v>
      </c>
      <c r="AJ310" s="27" t="b">
        <v>0</v>
      </c>
      <c r="AK310" s="4"/>
      <c r="AL310" s="27" t="b">
        <v>0</v>
      </c>
      <c r="AM310" s="4">
        <v>345.61900000000003</v>
      </c>
      <c r="AN310" s="4">
        <v>288.37799999999999</v>
      </c>
      <c r="AO310" s="4">
        <v>49.265000000000001</v>
      </c>
      <c r="AP310" s="4">
        <v>28.776700000000002</v>
      </c>
      <c r="AQ310" s="4">
        <v>22.848299999999998</v>
      </c>
      <c r="AR310" s="4">
        <v>7.9097099999999996</v>
      </c>
      <c r="AS310" s="4">
        <v>9.0799400000000006</v>
      </c>
      <c r="AT310" s="4">
        <v>9.2744700000000009</v>
      </c>
      <c r="AU310" s="4">
        <v>4.6833200000000001</v>
      </c>
      <c r="AV310" s="4">
        <v>-1.1692800000000001</v>
      </c>
      <c r="AW310" s="4">
        <v>0.77512099999999995</v>
      </c>
      <c r="AX310" s="4">
        <v>0.15563299999999999</v>
      </c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1" t="s">
        <v>3599</v>
      </c>
      <c r="BJ310" s="1" t="s">
        <v>3736</v>
      </c>
      <c r="BK310" s="1">
        <v>1</v>
      </c>
      <c r="BL310" s="1"/>
      <c r="BM310" s="1" t="s">
        <v>463</v>
      </c>
      <c r="BN310" s="1" t="s">
        <v>2710</v>
      </c>
      <c r="BO310" s="1" t="s">
        <v>2718</v>
      </c>
      <c r="BP310" s="1">
        <v>6.3</v>
      </c>
      <c r="BQ310" s="1" t="s">
        <v>1003</v>
      </c>
      <c r="BR310" s="1">
        <v>23.81</v>
      </c>
      <c r="BS310" s="1">
        <v>120.85</v>
      </c>
      <c r="BT310" s="1">
        <v>7.8</v>
      </c>
      <c r="BU310" s="1" t="s">
        <v>1028</v>
      </c>
      <c r="BV310" s="1" t="s">
        <v>2809</v>
      </c>
      <c r="BW310" s="1">
        <v>360</v>
      </c>
      <c r="BX310" s="1">
        <v>10</v>
      </c>
      <c r="BY310" s="1">
        <v>80</v>
      </c>
      <c r="BZ310" s="1"/>
      <c r="CA310" s="1"/>
      <c r="CB310" s="1"/>
      <c r="CC310" s="1" t="s">
        <v>2808</v>
      </c>
      <c r="CD310" s="1" t="s">
        <v>731</v>
      </c>
      <c r="CE310" s="1"/>
      <c r="CF310" s="1"/>
      <c r="CG310" s="1"/>
      <c r="CH310" s="1"/>
      <c r="CI310" s="1"/>
      <c r="CJ310" s="1" t="s">
        <v>2812</v>
      </c>
      <c r="CK310" t="s">
        <v>1263</v>
      </c>
      <c r="CL310">
        <v>67</v>
      </c>
      <c r="CM310" t="s">
        <v>2837</v>
      </c>
    </row>
    <row r="311" spans="1:91" ht="19" customHeight="1">
      <c r="A311" s="1" t="s">
        <v>3737</v>
      </c>
      <c r="B311" s="1" t="s">
        <v>3597</v>
      </c>
      <c r="C311" s="1">
        <v>68</v>
      </c>
      <c r="D311" s="1" t="s">
        <v>1065</v>
      </c>
      <c r="E311" s="1">
        <v>1999</v>
      </c>
      <c r="F311" s="1" t="s">
        <v>897</v>
      </c>
      <c r="G311" s="1" t="s">
        <v>2195</v>
      </c>
      <c r="H311" s="4">
        <v>23.906500000000001</v>
      </c>
      <c r="I311" s="4">
        <v>120.6835</v>
      </c>
      <c r="J311" s="1" t="s">
        <v>1404</v>
      </c>
      <c r="K311" s="1" t="s">
        <v>70</v>
      </c>
      <c r="L311" s="1" t="s">
        <v>2196</v>
      </c>
      <c r="M311" s="1" t="s">
        <v>3598</v>
      </c>
      <c r="N311" s="1"/>
      <c r="O311" s="1" t="s">
        <v>3095</v>
      </c>
      <c r="P311" s="1"/>
      <c r="Q311" s="4">
        <v>6.3</v>
      </c>
      <c r="R311" s="4"/>
      <c r="S311" s="4"/>
      <c r="T311" s="4"/>
      <c r="U311" s="4"/>
      <c r="V311" s="4">
        <v>13.984137</v>
      </c>
      <c r="W311" s="4"/>
      <c r="X311" s="4"/>
      <c r="Y311" s="4"/>
      <c r="Z311" s="4"/>
      <c r="AA311" s="4"/>
      <c r="AB311" s="4" t="s">
        <v>1028</v>
      </c>
      <c r="AC311" s="4"/>
      <c r="AD311" s="4">
        <v>23.81</v>
      </c>
      <c r="AE311" s="4">
        <v>120.85</v>
      </c>
      <c r="AF311" s="4">
        <v>7.8</v>
      </c>
      <c r="AG311" s="4">
        <v>573.23019999999997</v>
      </c>
      <c r="AH311" s="27" t="b">
        <v>1</v>
      </c>
      <c r="AI311" s="4">
        <v>0.93799999999999994</v>
      </c>
      <c r="AJ311" s="27" t="b">
        <v>0</v>
      </c>
      <c r="AK311" s="4"/>
      <c r="AL311" s="27" t="b">
        <v>0</v>
      </c>
      <c r="AM311" s="4">
        <v>490.12099999999998</v>
      </c>
      <c r="AN311" s="4">
        <v>162.797</v>
      </c>
      <c r="AO311" s="4">
        <v>231.733</v>
      </c>
      <c r="AP311" s="4">
        <v>59.993400000000001</v>
      </c>
      <c r="AQ311" s="4">
        <v>17.008900000000001</v>
      </c>
      <c r="AR311" s="4">
        <v>27.217600000000001</v>
      </c>
      <c r="AS311" s="4">
        <v>9.3267399999999991</v>
      </c>
      <c r="AT311" s="4">
        <v>7.0969499999999996</v>
      </c>
      <c r="AU311" s="4">
        <v>10.6777</v>
      </c>
      <c r="AV311" s="4">
        <v>-0.61860099999999996</v>
      </c>
      <c r="AW311" s="4">
        <v>-0.64621600000000001</v>
      </c>
      <c r="AX311" s="4">
        <v>0.90549999999999997</v>
      </c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1" t="s">
        <v>3599</v>
      </c>
      <c r="BJ311" s="1" t="s">
        <v>3738</v>
      </c>
      <c r="BK311" s="1">
        <v>1</v>
      </c>
      <c r="BL311" s="1"/>
      <c r="BM311" s="1" t="s">
        <v>463</v>
      </c>
      <c r="BN311" s="1" t="s">
        <v>2710</v>
      </c>
      <c r="BO311" s="1" t="s">
        <v>2718</v>
      </c>
      <c r="BP311" s="1">
        <v>6.3</v>
      </c>
      <c r="BQ311" s="1" t="s">
        <v>1003</v>
      </c>
      <c r="BR311" s="1">
        <v>23.81</v>
      </c>
      <c r="BS311" s="1">
        <v>120.85</v>
      </c>
      <c r="BT311" s="1">
        <v>7.8</v>
      </c>
      <c r="BU311" s="1" t="s">
        <v>1028</v>
      </c>
      <c r="BV311" s="1" t="s">
        <v>2809</v>
      </c>
      <c r="BW311" s="1">
        <v>360</v>
      </c>
      <c r="BX311" s="1">
        <v>10</v>
      </c>
      <c r="BY311" s="1">
        <v>80</v>
      </c>
      <c r="BZ311" s="1"/>
      <c r="CA311" s="1"/>
      <c r="CB311" s="1"/>
      <c r="CC311" s="1" t="s">
        <v>2808</v>
      </c>
      <c r="CD311" s="1" t="s">
        <v>731</v>
      </c>
      <c r="CE311" s="1"/>
      <c r="CF311" s="1"/>
      <c r="CG311" s="1"/>
      <c r="CH311" s="1"/>
      <c r="CI311" s="1"/>
      <c r="CJ311" s="1" t="s">
        <v>2812</v>
      </c>
      <c r="CK311" t="s">
        <v>1263</v>
      </c>
      <c r="CL311">
        <v>68</v>
      </c>
      <c r="CM311" t="s">
        <v>2837</v>
      </c>
    </row>
    <row r="312" spans="1:91" ht="19" customHeight="1">
      <c r="A312" s="1" t="s">
        <v>3739</v>
      </c>
      <c r="B312" s="1" t="s">
        <v>3597</v>
      </c>
      <c r="C312" s="1">
        <v>69</v>
      </c>
      <c r="D312" s="1" t="s">
        <v>1065</v>
      </c>
      <c r="E312" s="1">
        <v>1999</v>
      </c>
      <c r="F312" s="1" t="s">
        <v>916</v>
      </c>
      <c r="G312" s="1" t="s">
        <v>2201</v>
      </c>
      <c r="H312" s="4">
        <v>23.810500000000001</v>
      </c>
      <c r="I312" s="4">
        <v>120.853667</v>
      </c>
      <c r="J312" s="1" t="s">
        <v>1404</v>
      </c>
      <c r="K312" s="1" t="s">
        <v>70</v>
      </c>
      <c r="L312" s="1" t="s">
        <v>2203</v>
      </c>
      <c r="M312" s="1" t="s">
        <v>3598</v>
      </c>
      <c r="N312" s="1"/>
      <c r="O312" s="1" t="s">
        <v>3095</v>
      </c>
      <c r="P312" s="1"/>
      <c r="Q312" s="4">
        <v>6.3</v>
      </c>
      <c r="R312" s="4"/>
      <c r="S312" s="4"/>
      <c r="T312" s="4"/>
      <c r="U312" s="4"/>
      <c r="V312" s="4">
        <v>7.7681480000000001</v>
      </c>
      <c r="W312" s="4"/>
      <c r="X312" s="4"/>
      <c r="Y312" s="4"/>
      <c r="Z312" s="4"/>
      <c r="AA312" s="4"/>
      <c r="AB312" s="4" t="s">
        <v>1028</v>
      </c>
      <c r="AC312" s="4"/>
      <c r="AD312" s="4">
        <v>23.81</v>
      </c>
      <c r="AE312" s="4">
        <v>120.85</v>
      </c>
      <c r="AF312" s="4">
        <v>7.8</v>
      </c>
      <c r="AG312" s="4">
        <v>444.54320000000001</v>
      </c>
      <c r="AH312" s="27" t="b">
        <v>0</v>
      </c>
      <c r="AI312" s="4"/>
      <c r="AJ312" s="27" t="b">
        <v>1</v>
      </c>
      <c r="AK312" s="4">
        <v>3.9129999999999998</v>
      </c>
      <c r="AL312" s="27" t="b">
        <v>0</v>
      </c>
      <c r="AM312" s="4">
        <v>446.85599999999999</v>
      </c>
      <c r="AN312" s="4">
        <v>270.03199999999998</v>
      </c>
      <c r="AO312" s="4">
        <v>231.47900000000001</v>
      </c>
      <c r="AP312" s="4">
        <v>51.5732</v>
      </c>
      <c r="AQ312" s="4">
        <v>18.245000000000001</v>
      </c>
      <c r="AR312" s="4">
        <v>24.8508</v>
      </c>
      <c r="AS312" s="4">
        <v>14.811199999999999</v>
      </c>
      <c r="AT312" s="4">
        <v>7.6578400000000002</v>
      </c>
      <c r="AU312" s="4">
        <v>19.329499999999999</v>
      </c>
      <c r="AV312" s="4">
        <v>-6.6179000000000002E-2</v>
      </c>
      <c r="AW312" s="4">
        <v>2.8392000000000001E-2</v>
      </c>
      <c r="AX312" s="4">
        <v>0.32803199999999999</v>
      </c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1" t="s">
        <v>3651</v>
      </c>
      <c r="BJ312" s="1" t="s">
        <v>3740</v>
      </c>
      <c r="BK312" s="1">
        <v>1</v>
      </c>
      <c r="BL312" s="1"/>
      <c r="BM312" s="1" t="s">
        <v>463</v>
      </c>
      <c r="BN312" s="1" t="s">
        <v>2710</v>
      </c>
      <c r="BO312" s="1" t="s">
        <v>2718</v>
      </c>
      <c r="BP312" s="1">
        <v>6.3</v>
      </c>
      <c r="BQ312" s="1" t="s">
        <v>1003</v>
      </c>
      <c r="BR312" s="1">
        <v>23.81</v>
      </c>
      <c r="BS312" s="1">
        <v>120.85</v>
      </c>
      <c r="BT312" s="1">
        <v>7.8</v>
      </c>
      <c r="BU312" s="1" t="s">
        <v>1028</v>
      </c>
      <c r="BV312" s="1" t="s">
        <v>2809</v>
      </c>
      <c r="BW312" s="1">
        <v>360</v>
      </c>
      <c r="BX312" s="1">
        <v>10</v>
      </c>
      <c r="BY312" s="1">
        <v>80</v>
      </c>
      <c r="BZ312" s="1"/>
      <c r="CA312" s="1"/>
      <c r="CB312" s="1"/>
      <c r="CC312" s="1" t="s">
        <v>2808</v>
      </c>
      <c r="CD312" s="1" t="s">
        <v>731</v>
      </c>
      <c r="CE312" s="1"/>
      <c r="CF312" s="1"/>
      <c r="CG312" s="1"/>
      <c r="CH312" s="1"/>
      <c r="CI312" s="1"/>
      <c r="CJ312" s="1" t="s">
        <v>2812</v>
      </c>
      <c r="CK312" t="s">
        <v>1263</v>
      </c>
      <c r="CL312">
        <v>69</v>
      </c>
      <c r="CM312" t="s">
        <v>2837</v>
      </c>
    </row>
    <row r="313" spans="1:91" ht="19" customHeight="1">
      <c r="A313" s="1" t="s">
        <v>3741</v>
      </c>
      <c r="B313" s="1" t="s">
        <v>3597</v>
      </c>
      <c r="C313" s="1">
        <v>70</v>
      </c>
      <c r="D313" s="1" t="s">
        <v>1065</v>
      </c>
      <c r="E313" s="1">
        <v>1999</v>
      </c>
      <c r="F313" s="1" t="s">
        <v>1066</v>
      </c>
      <c r="G313" s="1" t="s">
        <v>2253</v>
      </c>
      <c r="H313" s="4">
        <v>23.855699999999999</v>
      </c>
      <c r="I313" s="4">
        <v>120.58880000000001</v>
      </c>
      <c r="J313" s="1" t="s">
        <v>1404</v>
      </c>
      <c r="K313" s="1" t="s">
        <v>70</v>
      </c>
      <c r="L313" s="1" t="s">
        <v>2254</v>
      </c>
      <c r="M313" s="1" t="s">
        <v>3598</v>
      </c>
      <c r="N313" s="1"/>
      <c r="O313" s="1" t="s">
        <v>3095</v>
      </c>
      <c r="P313" s="1"/>
      <c r="Q313" s="4">
        <v>6.3</v>
      </c>
      <c r="R313" s="4"/>
      <c r="S313" s="4"/>
      <c r="T313" s="4"/>
      <c r="U313" s="4"/>
      <c r="V313" s="4">
        <v>21.2972</v>
      </c>
      <c r="W313" s="4"/>
      <c r="X313" s="4"/>
      <c r="Y313" s="4"/>
      <c r="Z313" s="4"/>
      <c r="AA313" s="4"/>
      <c r="AB313" s="4" t="s">
        <v>1028</v>
      </c>
      <c r="AC313" s="4"/>
      <c r="AD313" s="4">
        <v>23.81</v>
      </c>
      <c r="AE313" s="4">
        <v>120.85</v>
      </c>
      <c r="AF313" s="4">
        <v>7.8</v>
      </c>
      <c r="AG313" s="4">
        <v>463.25</v>
      </c>
      <c r="AH313" s="27" t="b">
        <v>1</v>
      </c>
      <c r="AI313" s="4">
        <v>2.4359999999999999</v>
      </c>
      <c r="AJ313" s="27" t="b">
        <v>0</v>
      </c>
      <c r="AK313" s="4"/>
      <c r="AL313" s="27" t="b">
        <v>0</v>
      </c>
      <c r="AM313" s="4">
        <v>104.988021</v>
      </c>
      <c r="AN313" s="4">
        <v>111.076228</v>
      </c>
      <c r="AO313" s="4">
        <v>82.687289000000007</v>
      </c>
      <c r="AP313" s="4">
        <v>36.622079999999997</v>
      </c>
      <c r="AQ313" s="4">
        <v>17.510739999999998</v>
      </c>
      <c r="AR313" s="4">
        <v>24.393084999999999</v>
      </c>
      <c r="AS313" s="4">
        <v>15.904033999999999</v>
      </c>
      <c r="AT313" s="4">
        <v>5.6727069999999999</v>
      </c>
      <c r="AU313" s="4">
        <v>17.558788</v>
      </c>
      <c r="AV313" s="4">
        <v>3.1312E-2</v>
      </c>
      <c r="AW313" s="4">
        <v>1.7017000000000001E-2</v>
      </c>
      <c r="AX313" s="4">
        <v>0.10449799999999999</v>
      </c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1" t="s">
        <v>3599</v>
      </c>
      <c r="BJ313" s="1" t="s">
        <v>3742</v>
      </c>
      <c r="BK313" s="1">
        <v>1</v>
      </c>
      <c r="BL313" s="1"/>
      <c r="BM313" s="1" t="s">
        <v>463</v>
      </c>
      <c r="BN313" s="1" t="s">
        <v>2710</v>
      </c>
      <c r="BO313" s="1" t="s">
        <v>2718</v>
      </c>
      <c r="BP313" s="1">
        <v>6.3</v>
      </c>
      <c r="BQ313" s="1" t="s">
        <v>1003</v>
      </c>
      <c r="BR313" s="1">
        <v>23.81</v>
      </c>
      <c r="BS313" s="1">
        <v>120.85</v>
      </c>
      <c r="BT313" s="1">
        <v>7.8</v>
      </c>
      <c r="BU313" s="1" t="s">
        <v>1028</v>
      </c>
      <c r="BV313" s="1" t="s">
        <v>2809</v>
      </c>
      <c r="BW313" s="1">
        <v>360</v>
      </c>
      <c r="BX313" s="1">
        <v>10</v>
      </c>
      <c r="BY313" s="1">
        <v>80</v>
      </c>
      <c r="BZ313" s="1"/>
      <c r="CA313" s="1"/>
      <c r="CB313" s="1"/>
      <c r="CC313" s="1" t="s">
        <v>2808</v>
      </c>
      <c r="CD313" s="1" t="s">
        <v>731</v>
      </c>
      <c r="CE313" s="1"/>
      <c r="CF313" s="1"/>
      <c r="CG313" s="1"/>
      <c r="CH313" s="1"/>
      <c r="CI313" s="1"/>
      <c r="CJ313" s="1" t="s">
        <v>2812</v>
      </c>
      <c r="CK313" t="s">
        <v>1263</v>
      </c>
      <c r="CL313">
        <v>70</v>
      </c>
      <c r="CM313" t="s">
        <v>2837</v>
      </c>
    </row>
    <row r="314" spans="1:91" ht="19" customHeight="1">
      <c r="A314" s="1" t="s">
        <v>3743</v>
      </c>
      <c r="B314" s="1" t="s">
        <v>3597</v>
      </c>
      <c r="C314" s="1">
        <v>71</v>
      </c>
      <c r="D314" s="1" t="s">
        <v>1065</v>
      </c>
      <c r="E314" s="1">
        <v>1999</v>
      </c>
      <c r="F314" s="1" t="s">
        <v>1067</v>
      </c>
      <c r="G314" s="1" t="s">
        <v>2274</v>
      </c>
      <c r="H314" s="4">
        <v>23.920500000000001</v>
      </c>
      <c r="I314" s="4">
        <v>120.602833</v>
      </c>
      <c r="J314" s="1" t="s">
        <v>1404</v>
      </c>
      <c r="K314" s="1" t="s">
        <v>70</v>
      </c>
      <c r="L314" s="1" t="s">
        <v>2275</v>
      </c>
      <c r="M314" s="1" t="s">
        <v>3598</v>
      </c>
      <c r="N314" s="1"/>
      <c r="O314" s="1" t="s">
        <v>3095</v>
      </c>
      <c r="P314" s="1"/>
      <c r="Q314" s="4">
        <v>6.3</v>
      </c>
      <c r="R314" s="4"/>
      <c r="S314" s="4"/>
      <c r="T314" s="4"/>
      <c r="U314" s="4"/>
      <c r="V314" s="4">
        <v>21.404492999999999</v>
      </c>
      <c r="W314" s="4"/>
      <c r="X314" s="4"/>
      <c r="Y314" s="4"/>
      <c r="Z314" s="4"/>
      <c r="AA314" s="4"/>
      <c r="AB314" s="4" t="s">
        <v>1028</v>
      </c>
      <c r="AC314" s="4"/>
      <c r="AD314" s="4">
        <v>23.81</v>
      </c>
      <c r="AE314" s="4">
        <v>120.85</v>
      </c>
      <c r="AF314" s="4">
        <v>7.8</v>
      </c>
      <c r="AG314" s="4">
        <v>604.2296</v>
      </c>
      <c r="AH314" s="27" t="b">
        <v>1</v>
      </c>
      <c r="AI314" s="4">
        <v>2.1168</v>
      </c>
      <c r="AJ314" s="27" t="b">
        <v>0</v>
      </c>
      <c r="AK314" s="4"/>
      <c r="AL314" s="27" t="b">
        <v>0</v>
      </c>
      <c r="AM314" s="4">
        <v>132.55000000000001</v>
      </c>
      <c r="AN314" s="4">
        <v>125.357</v>
      </c>
      <c r="AO314" s="4">
        <v>77.361000000000004</v>
      </c>
      <c r="AP314" s="4">
        <v>27.050799999999999</v>
      </c>
      <c r="AQ314" s="4">
        <v>13.4458</v>
      </c>
      <c r="AR314" s="4">
        <v>20.361899999999999</v>
      </c>
      <c r="AS314" s="4">
        <v>11.0228</v>
      </c>
      <c r="AT314" s="4">
        <v>8.0085800000000003</v>
      </c>
      <c r="AU314" s="4">
        <v>9.4161999999999999</v>
      </c>
      <c r="AV314" s="4">
        <v>0.10721600000000001</v>
      </c>
      <c r="AW314" s="4">
        <v>0.26895200000000002</v>
      </c>
      <c r="AX314" s="4">
        <v>-7.5920000000000001E-2</v>
      </c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1" t="s">
        <v>3599</v>
      </c>
      <c r="BJ314" s="1" t="s">
        <v>3744</v>
      </c>
      <c r="BK314" s="1">
        <v>1</v>
      </c>
      <c r="BL314" s="1"/>
      <c r="BM314" s="1" t="s">
        <v>463</v>
      </c>
      <c r="BN314" s="1" t="s">
        <v>2710</v>
      </c>
      <c r="BO314" s="1" t="s">
        <v>2718</v>
      </c>
      <c r="BP314" s="1">
        <v>6.3</v>
      </c>
      <c r="BQ314" s="1" t="s">
        <v>1003</v>
      </c>
      <c r="BR314" s="1">
        <v>23.81</v>
      </c>
      <c r="BS314" s="1">
        <v>120.85</v>
      </c>
      <c r="BT314" s="1">
        <v>7.8</v>
      </c>
      <c r="BU314" s="1" t="s">
        <v>1028</v>
      </c>
      <c r="BV314" s="1" t="s">
        <v>2809</v>
      </c>
      <c r="BW314" s="1">
        <v>360</v>
      </c>
      <c r="BX314" s="1">
        <v>10</v>
      </c>
      <c r="BY314" s="1">
        <v>80</v>
      </c>
      <c r="BZ314" s="1"/>
      <c r="CA314" s="1"/>
      <c r="CB314" s="1"/>
      <c r="CC314" s="1" t="s">
        <v>2808</v>
      </c>
      <c r="CD314" s="1" t="s">
        <v>731</v>
      </c>
      <c r="CE314" s="1"/>
      <c r="CF314" s="1"/>
      <c r="CG314" s="1"/>
      <c r="CH314" s="1"/>
      <c r="CI314" s="1"/>
      <c r="CJ314" s="1" t="s">
        <v>2812</v>
      </c>
      <c r="CK314" t="s">
        <v>1263</v>
      </c>
      <c r="CL314">
        <v>71</v>
      </c>
      <c r="CM314" t="s">
        <v>2837</v>
      </c>
    </row>
    <row r="315" spans="1:91" ht="19" customHeight="1">
      <c r="A315" s="1" t="s">
        <v>3745</v>
      </c>
      <c r="B315" s="1" t="s">
        <v>3597</v>
      </c>
      <c r="C315" s="1">
        <v>72</v>
      </c>
      <c r="D315" s="1" t="s">
        <v>478</v>
      </c>
      <c r="E315" s="1">
        <v>1999</v>
      </c>
      <c r="F315" s="1" t="s">
        <v>894</v>
      </c>
      <c r="G315" s="1" t="s">
        <v>2176</v>
      </c>
      <c r="H315" s="4">
        <v>24.056166999999999</v>
      </c>
      <c r="I315" s="4">
        <v>120.699833</v>
      </c>
      <c r="J315" s="1" t="s">
        <v>1404</v>
      </c>
      <c r="K315" s="1" t="s">
        <v>70</v>
      </c>
      <c r="L315" s="1" t="s">
        <v>3746</v>
      </c>
      <c r="M315" s="1" t="s">
        <v>3598</v>
      </c>
      <c r="N315" s="1"/>
      <c r="O315" s="1" t="s">
        <v>3095</v>
      </c>
      <c r="P315" s="1"/>
      <c r="Q315" s="4">
        <v>6.19</v>
      </c>
      <c r="R315" s="4"/>
      <c r="S315" s="4"/>
      <c r="T315" s="4"/>
      <c r="U315" s="4"/>
      <c r="V315" s="4">
        <v>34.324221000000001</v>
      </c>
      <c r="W315" s="4"/>
      <c r="X315" s="4"/>
      <c r="Y315" s="4"/>
      <c r="Z315" s="4"/>
      <c r="AA315" s="4"/>
      <c r="AB315" s="4" t="s">
        <v>1028</v>
      </c>
      <c r="AC315" s="4"/>
      <c r="AD315" s="4">
        <v>23.864999999999998</v>
      </c>
      <c r="AE315" s="4">
        <v>121.0395</v>
      </c>
      <c r="AF315" s="4">
        <v>19.079999999999998</v>
      </c>
      <c r="AG315" s="4">
        <v>290.10730000000001</v>
      </c>
      <c r="AH315" s="27" t="b">
        <v>1</v>
      </c>
      <c r="AI315" s="4">
        <v>1.806</v>
      </c>
      <c r="AJ315" s="27" t="b">
        <v>0</v>
      </c>
      <c r="AK315" s="4"/>
      <c r="AL315" s="27" t="b">
        <v>0</v>
      </c>
      <c r="AM315" s="4">
        <v>180.25800000000001</v>
      </c>
      <c r="AN315" s="4">
        <v>169.18299999999999</v>
      </c>
      <c r="AO315" s="4">
        <v>43.634</v>
      </c>
      <c r="AP315" s="4">
        <v>39.633899999999997</v>
      </c>
      <c r="AQ315" s="4">
        <v>36.973999999999997</v>
      </c>
      <c r="AR315" s="4">
        <v>11.5921</v>
      </c>
      <c r="AS315" s="4">
        <v>12.9453</v>
      </c>
      <c r="AT315" s="4">
        <v>9.0989100000000001</v>
      </c>
      <c r="AU315" s="4">
        <v>4.1209199999999999</v>
      </c>
      <c r="AV315" s="4">
        <v>-1.8911000000000001E-2</v>
      </c>
      <c r="AW315" s="4">
        <v>5.0233E-2</v>
      </c>
      <c r="AX315" s="4">
        <v>4.2313999999999997E-2</v>
      </c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1" t="s">
        <v>3599</v>
      </c>
      <c r="BJ315" s="1" t="s">
        <v>3747</v>
      </c>
      <c r="BK315" s="1">
        <v>1</v>
      </c>
      <c r="BL315" s="1"/>
      <c r="BM315" s="1" t="s">
        <v>477</v>
      </c>
      <c r="BN315" s="1" t="s">
        <v>2839</v>
      </c>
      <c r="BO315" s="1" t="s">
        <v>2840</v>
      </c>
      <c r="BP315" s="1">
        <v>6.19</v>
      </c>
      <c r="BQ315" s="1" t="s">
        <v>1003</v>
      </c>
      <c r="BR315" s="1">
        <v>23.864999999999998</v>
      </c>
      <c r="BS315" s="1">
        <v>121.0395</v>
      </c>
      <c r="BT315" s="1">
        <v>19.079999999999998</v>
      </c>
      <c r="BU315" s="1" t="s">
        <v>1028</v>
      </c>
      <c r="BV315" s="1" t="s">
        <v>2809</v>
      </c>
      <c r="BW315" s="1">
        <v>165</v>
      </c>
      <c r="BX315" s="1">
        <v>70</v>
      </c>
      <c r="BY315" s="1">
        <v>100</v>
      </c>
      <c r="BZ315" s="1"/>
      <c r="CA315" s="1"/>
      <c r="CB315" s="1"/>
      <c r="CC315" s="1" t="s">
        <v>2808</v>
      </c>
      <c r="CD315" s="1" t="s">
        <v>731</v>
      </c>
      <c r="CE315" s="1"/>
      <c r="CF315" s="1"/>
      <c r="CG315" s="1"/>
      <c r="CH315" s="1"/>
      <c r="CI315" s="1"/>
      <c r="CJ315" s="1" t="s">
        <v>2812</v>
      </c>
      <c r="CK315" t="s">
        <v>1263</v>
      </c>
      <c r="CL315">
        <v>72</v>
      </c>
      <c r="CM315" t="s">
        <v>2842</v>
      </c>
    </row>
    <row r="316" spans="1:91" ht="19" customHeight="1">
      <c r="A316" s="1" t="s">
        <v>3748</v>
      </c>
      <c r="B316" s="1" t="s">
        <v>3597</v>
      </c>
      <c r="C316" s="1">
        <v>73</v>
      </c>
      <c r="D316" s="1" t="s">
        <v>478</v>
      </c>
      <c r="E316" s="1">
        <v>1999</v>
      </c>
      <c r="F316" s="1" t="s">
        <v>1068</v>
      </c>
      <c r="G316" s="1" t="s">
        <v>2181</v>
      </c>
      <c r="H316" s="4">
        <v>24.09</v>
      </c>
      <c r="I316" s="4">
        <v>120.728167</v>
      </c>
      <c r="J316" s="1" t="s">
        <v>1404</v>
      </c>
      <c r="K316" s="1" t="s">
        <v>70</v>
      </c>
      <c r="L316" s="1" t="s">
        <v>2183</v>
      </c>
      <c r="M316" s="1" t="s">
        <v>3598</v>
      </c>
      <c r="N316" s="1"/>
      <c r="O316" s="1" t="s">
        <v>3095</v>
      </c>
      <c r="P316" s="1"/>
      <c r="Q316" s="4">
        <v>6.19</v>
      </c>
      <c r="R316" s="4"/>
      <c r="S316" s="4"/>
      <c r="T316" s="4"/>
      <c r="U316" s="4"/>
      <c r="V316" s="4">
        <v>34.237143000000003</v>
      </c>
      <c r="W316" s="4"/>
      <c r="X316" s="4"/>
      <c r="Y316" s="4"/>
      <c r="Z316" s="4"/>
      <c r="AA316" s="4"/>
      <c r="AB316" s="4" t="s">
        <v>1028</v>
      </c>
      <c r="AC316" s="4"/>
      <c r="AD316" s="4">
        <v>23.864999999999998</v>
      </c>
      <c r="AE316" s="4">
        <v>121.0395</v>
      </c>
      <c r="AF316" s="4">
        <v>19.079999999999998</v>
      </c>
      <c r="AG316" s="4">
        <v>440.3023</v>
      </c>
      <c r="AH316" s="27" t="b">
        <v>1</v>
      </c>
      <c r="AI316" s="4">
        <v>1.379</v>
      </c>
      <c r="AJ316" s="27" t="b">
        <v>0</v>
      </c>
      <c r="AK316" s="4"/>
      <c r="AL316" s="27" t="b">
        <v>0</v>
      </c>
      <c r="AM316" s="4">
        <v>280.69400000000002</v>
      </c>
      <c r="AN316" s="4">
        <v>172.559</v>
      </c>
      <c r="AO316" s="4">
        <v>109.971</v>
      </c>
      <c r="AP316" s="4">
        <v>41.770699999999998</v>
      </c>
      <c r="AQ316" s="4">
        <v>22.842700000000001</v>
      </c>
      <c r="AR316" s="4">
        <v>8.0526099999999996</v>
      </c>
      <c r="AS316" s="4">
        <v>8.2027800000000006</v>
      </c>
      <c r="AT316" s="4">
        <v>3.3602500000000002</v>
      </c>
      <c r="AU316" s="4">
        <v>3.5007899999999998</v>
      </c>
      <c r="AV316" s="4">
        <v>1.108E-3</v>
      </c>
      <c r="AW316" s="4">
        <v>-2.9024999999999999E-2</v>
      </c>
      <c r="AX316" s="4">
        <v>-5.6480000000000002E-2</v>
      </c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1" t="s">
        <v>3599</v>
      </c>
      <c r="BJ316" s="1" t="s">
        <v>3749</v>
      </c>
      <c r="BK316" s="1">
        <v>1</v>
      </c>
      <c r="BL316" s="1"/>
      <c r="BM316" s="1" t="s">
        <v>477</v>
      </c>
      <c r="BN316" s="1" t="s">
        <v>2839</v>
      </c>
      <c r="BO316" s="1" t="s">
        <v>2840</v>
      </c>
      <c r="BP316" s="1">
        <v>6.19</v>
      </c>
      <c r="BQ316" s="1" t="s">
        <v>1003</v>
      </c>
      <c r="BR316" s="1">
        <v>23.864999999999998</v>
      </c>
      <c r="BS316" s="1">
        <v>121.0395</v>
      </c>
      <c r="BT316" s="1">
        <v>19.079999999999998</v>
      </c>
      <c r="BU316" s="1" t="s">
        <v>1028</v>
      </c>
      <c r="BV316" s="1" t="s">
        <v>2809</v>
      </c>
      <c r="BW316" s="1">
        <v>165</v>
      </c>
      <c r="BX316" s="1">
        <v>70</v>
      </c>
      <c r="BY316" s="1">
        <v>100</v>
      </c>
      <c r="BZ316" s="1"/>
      <c r="CA316" s="1"/>
      <c r="CB316" s="1"/>
      <c r="CC316" s="1" t="s">
        <v>2808</v>
      </c>
      <c r="CD316" s="1" t="s">
        <v>731</v>
      </c>
      <c r="CE316" s="1"/>
      <c r="CF316" s="1"/>
      <c r="CG316" s="1"/>
      <c r="CH316" s="1"/>
      <c r="CI316" s="1"/>
      <c r="CJ316" s="1" t="s">
        <v>2812</v>
      </c>
      <c r="CK316" t="s">
        <v>1263</v>
      </c>
      <c r="CL316">
        <v>73</v>
      </c>
      <c r="CM316" t="s">
        <v>2842</v>
      </c>
    </row>
    <row r="317" spans="1:91" ht="19" customHeight="1">
      <c r="A317" s="1" t="s">
        <v>3750</v>
      </c>
      <c r="B317" s="1" t="s">
        <v>3597</v>
      </c>
      <c r="C317" s="1">
        <v>74</v>
      </c>
      <c r="D317" s="1" t="s">
        <v>478</v>
      </c>
      <c r="E317" s="1">
        <v>1999</v>
      </c>
      <c r="F317" s="1" t="s">
        <v>1069</v>
      </c>
      <c r="G317" s="1" t="s">
        <v>2187</v>
      </c>
      <c r="H317" s="4">
        <v>23.984000000000002</v>
      </c>
      <c r="I317" s="4">
        <v>120.79516700000001</v>
      </c>
      <c r="J317" s="1" t="s">
        <v>1404</v>
      </c>
      <c r="K317" s="1" t="s">
        <v>70</v>
      </c>
      <c r="L317" s="1" t="s">
        <v>2188</v>
      </c>
      <c r="M317" s="1" t="s">
        <v>3598</v>
      </c>
      <c r="N317" s="1"/>
      <c r="O317" s="1" t="s">
        <v>3095</v>
      </c>
      <c r="P317" s="1"/>
      <c r="Q317" s="4">
        <v>6.19</v>
      </c>
      <c r="R317" s="4"/>
      <c r="S317" s="4"/>
      <c r="T317" s="4"/>
      <c r="U317" s="4"/>
      <c r="V317" s="4">
        <v>23.748746000000001</v>
      </c>
      <c r="W317" s="4"/>
      <c r="X317" s="4"/>
      <c r="Y317" s="4"/>
      <c r="Z317" s="4"/>
      <c r="AA317" s="4"/>
      <c r="AB317" s="4" t="s">
        <v>1028</v>
      </c>
      <c r="AC317" s="4"/>
      <c r="AD317" s="4">
        <v>23.864999999999998</v>
      </c>
      <c r="AE317" s="4">
        <v>121.0395</v>
      </c>
      <c r="AF317" s="4">
        <v>19.079999999999998</v>
      </c>
      <c r="AG317" s="4">
        <v>614.75409999999999</v>
      </c>
      <c r="AH317" s="27" t="b">
        <v>1</v>
      </c>
      <c r="AI317" s="4">
        <v>1.736</v>
      </c>
      <c r="AJ317" s="27" t="b">
        <v>0</v>
      </c>
      <c r="AK317" s="4"/>
      <c r="AL317" s="27" t="b">
        <v>0</v>
      </c>
      <c r="AM317" s="4">
        <v>363.29199999999997</v>
      </c>
      <c r="AN317" s="4">
        <v>172.584</v>
      </c>
      <c r="AO317" s="4">
        <v>76.289000000000001</v>
      </c>
      <c r="AP317" s="4">
        <v>36.048299999999998</v>
      </c>
      <c r="AQ317" s="4">
        <v>13.565799999999999</v>
      </c>
      <c r="AR317" s="4">
        <v>8.5589399999999998</v>
      </c>
      <c r="AS317" s="4">
        <v>8.7649600000000003</v>
      </c>
      <c r="AT317" s="4">
        <v>2.7779699999999998</v>
      </c>
      <c r="AU317" s="4">
        <v>5.0506399999999996</v>
      </c>
      <c r="AV317" s="4">
        <v>5.4665999999999999E-2</v>
      </c>
      <c r="AW317" s="4">
        <v>2.2440000000000002E-2</v>
      </c>
      <c r="AX317" s="4">
        <v>-6.2490000000000002E-3</v>
      </c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1" t="s">
        <v>3599</v>
      </c>
      <c r="BJ317" s="1" t="s">
        <v>3751</v>
      </c>
      <c r="BK317" s="1">
        <v>1</v>
      </c>
      <c r="BL317" s="1"/>
      <c r="BM317" s="1" t="s">
        <v>477</v>
      </c>
      <c r="BN317" s="1" t="s">
        <v>2839</v>
      </c>
      <c r="BO317" s="1" t="s">
        <v>2840</v>
      </c>
      <c r="BP317" s="1">
        <v>6.19</v>
      </c>
      <c r="BQ317" s="1" t="s">
        <v>1003</v>
      </c>
      <c r="BR317" s="1">
        <v>23.864999999999998</v>
      </c>
      <c r="BS317" s="1">
        <v>121.0395</v>
      </c>
      <c r="BT317" s="1">
        <v>19.079999999999998</v>
      </c>
      <c r="BU317" s="1" t="s">
        <v>1028</v>
      </c>
      <c r="BV317" s="1" t="s">
        <v>2809</v>
      </c>
      <c r="BW317" s="1">
        <v>165</v>
      </c>
      <c r="BX317" s="1">
        <v>70</v>
      </c>
      <c r="BY317" s="1">
        <v>100</v>
      </c>
      <c r="BZ317" s="1"/>
      <c r="CA317" s="1"/>
      <c r="CB317" s="1"/>
      <c r="CC317" s="1" t="s">
        <v>2808</v>
      </c>
      <c r="CD317" s="1" t="s">
        <v>731</v>
      </c>
      <c r="CE317" s="1"/>
      <c r="CF317" s="1"/>
      <c r="CG317" s="1"/>
      <c r="CH317" s="1"/>
      <c r="CI317" s="1"/>
      <c r="CJ317" s="1" t="s">
        <v>2812</v>
      </c>
      <c r="CK317" t="s">
        <v>1263</v>
      </c>
      <c r="CL317">
        <v>74</v>
      </c>
      <c r="CM317" t="s">
        <v>2842</v>
      </c>
    </row>
    <row r="318" spans="1:91" ht="19" customHeight="1">
      <c r="A318" s="1" t="s">
        <v>3752</v>
      </c>
      <c r="B318" s="1" t="s">
        <v>3597</v>
      </c>
      <c r="C318" s="1">
        <v>75</v>
      </c>
      <c r="D318" s="1" t="s">
        <v>478</v>
      </c>
      <c r="E318" s="1">
        <v>1999</v>
      </c>
      <c r="F318" s="1" t="s">
        <v>1070</v>
      </c>
      <c r="G318" s="1" t="s">
        <v>2206</v>
      </c>
      <c r="H318" s="4">
        <v>23.836832999999999</v>
      </c>
      <c r="I318" s="4">
        <v>120.90216700000001</v>
      </c>
      <c r="J318" s="1" t="s">
        <v>1404</v>
      </c>
      <c r="K318" s="1" t="s">
        <v>70</v>
      </c>
      <c r="L318" s="1" t="s">
        <v>2209</v>
      </c>
      <c r="M318" s="1" t="s">
        <v>3598</v>
      </c>
      <c r="N318" s="1"/>
      <c r="O318" s="1" t="s">
        <v>3095</v>
      </c>
      <c r="P318" s="1"/>
      <c r="Q318" s="4">
        <v>6.19</v>
      </c>
      <c r="R318" s="4"/>
      <c r="S318" s="4"/>
      <c r="T318" s="4"/>
      <c r="U318" s="4"/>
      <c r="V318" s="4">
        <v>17.002390999999999</v>
      </c>
      <c r="W318" s="4"/>
      <c r="X318" s="4"/>
      <c r="Y318" s="4"/>
      <c r="Z318" s="4"/>
      <c r="AA318" s="4"/>
      <c r="AB318" s="4" t="s">
        <v>1028</v>
      </c>
      <c r="AC318" s="4"/>
      <c r="AD318" s="4">
        <v>23.864999999999998</v>
      </c>
      <c r="AE318" s="4">
        <v>121.0395</v>
      </c>
      <c r="AF318" s="4">
        <v>19.079999999999998</v>
      </c>
      <c r="AG318" s="4">
        <v>353.94049999999999</v>
      </c>
      <c r="AH318" s="27" t="b">
        <v>1</v>
      </c>
      <c r="AI318" s="4">
        <v>0.61599999999999999</v>
      </c>
      <c r="AJ318" s="27" t="b">
        <v>0</v>
      </c>
      <c r="AK318" s="4"/>
      <c r="AL318" s="27" t="b">
        <v>0</v>
      </c>
      <c r="AM318" s="4">
        <v>471.51100000000002</v>
      </c>
      <c r="AN318" s="4">
        <v>384.82100000000003</v>
      </c>
      <c r="AO318" s="4">
        <v>293.44400000000002</v>
      </c>
      <c r="AP318" s="4">
        <v>35.181800000000003</v>
      </c>
      <c r="AQ318" s="4">
        <v>29.2119</v>
      </c>
      <c r="AR318" s="4">
        <v>12.641500000000001</v>
      </c>
      <c r="AS318" s="4">
        <v>4.4584700000000002</v>
      </c>
      <c r="AT318" s="4">
        <v>5.5718100000000002</v>
      </c>
      <c r="AU318" s="4">
        <v>5.2128800000000002</v>
      </c>
      <c r="AV318" s="4">
        <v>0.11744400000000001</v>
      </c>
      <c r="AW318" s="4">
        <v>-0.12903000000000001</v>
      </c>
      <c r="AX318" s="4">
        <v>0.23965700000000001</v>
      </c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1" t="s">
        <v>3599</v>
      </c>
      <c r="BJ318" s="1" t="s">
        <v>3753</v>
      </c>
      <c r="BK318" s="1">
        <v>1</v>
      </c>
      <c r="BL318" s="1"/>
      <c r="BM318" s="1" t="s">
        <v>477</v>
      </c>
      <c r="BN318" s="1" t="s">
        <v>2839</v>
      </c>
      <c r="BO318" s="1" t="s">
        <v>2840</v>
      </c>
      <c r="BP318" s="1">
        <v>6.19</v>
      </c>
      <c r="BQ318" s="1" t="s">
        <v>1003</v>
      </c>
      <c r="BR318" s="1">
        <v>23.864999999999998</v>
      </c>
      <c r="BS318" s="1">
        <v>121.0395</v>
      </c>
      <c r="BT318" s="1">
        <v>19.079999999999998</v>
      </c>
      <c r="BU318" s="1" t="s">
        <v>1028</v>
      </c>
      <c r="BV318" s="1" t="s">
        <v>2809</v>
      </c>
      <c r="BW318" s="1">
        <v>165</v>
      </c>
      <c r="BX318" s="1">
        <v>70</v>
      </c>
      <c r="BY318" s="1">
        <v>100</v>
      </c>
      <c r="BZ318" s="1"/>
      <c r="CA318" s="1"/>
      <c r="CB318" s="1"/>
      <c r="CC318" s="1" t="s">
        <v>2808</v>
      </c>
      <c r="CD318" s="1" t="s">
        <v>731</v>
      </c>
      <c r="CE318" s="1"/>
      <c r="CF318" s="1"/>
      <c r="CG318" s="1"/>
      <c r="CH318" s="1"/>
      <c r="CI318" s="1"/>
      <c r="CJ318" s="1" t="s">
        <v>2812</v>
      </c>
      <c r="CK318" t="s">
        <v>1263</v>
      </c>
      <c r="CL318">
        <v>75</v>
      </c>
      <c r="CM318" t="s">
        <v>2842</v>
      </c>
    </row>
    <row r="319" spans="1:91" ht="19" customHeight="1">
      <c r="A319" s="1" t="s">
        <v>3754</v>
      </c>
      <c r="B319" s="1" t="s">
        <v>3597</v>
      </c>
      <c r="C319" s="1">
        <v>76</v>
      </c>
      <c r="D319" s="1" t="s">
        <v>478</v>
      </c>
      <c r="E319" s="1">
        <v>1999</v>
      </c>
      <c r="F319" s="1" t="s">
        <v>1071</v>
      </c>
      <c r="G319" s="1" t="s">
        <v>2219</v>
      </c>
      <c r="H319" s="4">
        <v>23.881333000000001</v>
      </c>
      <c r="I319" s="4">
        <v>120.90816700000001</v>
      </c>
      <c r="J319" s="1" t="s">
        <v>1404</v>
      </c>
      <c r="K319" s="1" t="s">
        <v>70</v>
      </c>
      <c r="L319" s="1" t="s">
        <v>2221</v>
      </c>
      <c r="M319" s="1" t="s">
        <v>3598</v>
      </c>
      <c r="N319" s="1"/>
      <c r="O319" s="1" t="s">
        <v>3095</v>
      </c>
      <c r="P319" s="1"/>
      <c r="Q319" s="4">
        <v>6.19</v>
      </c>
      <c r="R319" s="4"/>
      <c r="S319" s="4"/>
      <c r="T319" s="4"/>
      <c r="U319" s="4"/>
      <c r="V319" s="4">
        <v>15.919055</v>
      </c>
      <c r="W319" s="4"/>
      <c r="X319" s="4"/>
      <c r="Y319" s="4"/>
      <c r="Z319" s="4"/>
      <c r="AA319" s="4"/>
      <c r="AB319" s="4" t="s">
        <v>1028</v>
      </c>
      <c r="AC319" s="4"/>
      <c r="AD319" s="4">
        <v>23.864999999999998</v>
      </c>
      <c r="AE319" s="4">
        <v>121.0395</v>
      </c>
      <c r="AF319" s="4">
        <v>19.079999999999998</v>
      </c>
      <c r="AG319" s="4">
        <v>733.78</v>
      </c>
      <c r="AH319" s="27" t="b">
        <v>1</v>
      </c>
      <c r="AI319" s="4">
        <v>1.4350000000000001</v>
      </c>
      <c r="AJ319" s="27" t="b">
        <v>0</v>
      </c>
      <c r="AK319" s="4"/>
      <c r="AL319" s="27" t="b">
        <v>0</v>
      </c>
      <c r="AM319" s="4">
        <v>310.37799999999999</v>
      </c>
      <c r="AN319" s="4">
        <v>207.85</v>
      </c>
      <c r="AO319" s="4">
        <v>119.062</v>
      </c>
      <c r="AP319" s="4">
        <v>50.557400000000001</v>
      </c>
      <c r="AQ319" s="4">
        <v>39.273899999999998</v>
      </c>
      <c r="AR319" s="4">
        <v>15.882400000000001</v>
      </c>
      <c r="AS319" s="4">
        <v>12.795500000000001</v>
      </c>
      <c r="AT319" s="4">
        <v>10.4846</v>
      </c>
      <c r="AU319" s="4">
        <v>6.49003</v>
      </c>
      <c r="AV319" s="4">
        <v>2.1252E-2</v>
      </c>
      <c r="AW319" s="4">
        <v>-1.5706000000000001E-2</v>
      </c>
      <c r="AX319" s="4">
        <v>1.3204E-2</v>
      </c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1" t="s">
        <v>3599</v>
      </c>
      <c r="BJ319" s="1" t="s">
        <v>3755</v>
      </c>
      <c r="BK319" s="1">
        <v>1</v>
      </c>
      <c r="BL319" s="1"/>
      <c r="BM319" s="1" t="s">
        <v>477</v>
      </c>
      <c r="BN319" s="1" t="s">
        <v>2839</v>
      </c>
      <c r="BO319" s="1" t="s">
        <v>2840</v>
      </c>
      <c r="BP319" s="1">
        <v>6.19</v>
      </c>
      <c r="BQ319" s="1" t="s">
        <v>1003</v>
      </c>
      <c r="BR319" s="1">
        <v>23.864999999999998</v>
      </c>
      <c r="BS319" s="1">
        <v>121.0395</v>
      </c>
      <c r="BT319" s="1">
        <v>19.079999999999998</v>
      </c>
      <c r="BU319" s="1" t="s">
        <v>1028</v>
      </c>
      <c r="BV319" s="1" t="s">
        <v>2809</v>
      </c>
      <c r="BW319" s="1">
        <v>165</v>
      </c>
      <c r="BX319" s="1">
        <v>70</v>
      </c>
      <c r="BY319" s="1">
        <v>100</v>
      </c>
      <c r="BZ319" s="1"/>
      <c r="CA319" s="1"/>
      <c r="CB319" s="1"/>
      <c r="CC319" s="1" t="s">
        <v>2808</v>
      </c>
      <c r="CD319" s="1" t="s">
        <v>731</v>
      </c>
      <c r="CE319" s="1"/>
      <c r="CF319" s="1"/>
      <c r="CG319" s="1"/>
      <c r="CH319" s="1"/>
      <c r="CI319" s="1"/>
      <c r="CJ319" s="1" t="s">
        <v>2812</v>
      </c>
      <c r="CK319" t="s">
        <v>1263</v>
      </c>
      <c r="CL319">
        <v>76</v>
      </c>
      <c r="CM319" t="s">
        <v>2842</v>
      </c>
    </row>
    <row r="320" spans="1:91" ht="19" customHeight="1">
      <c r="A320" s="1" t="s">
        <v>3756</v>
      </c>
      <c r="B320" s="1" t="s">
        <v>3597</v>
      </c>
      <c r="C320" s="1">
        <v>77</v>
      </c>
      <c r="D320" s="1" t="s">
        <v>478</v>
      </c>
      <c r="E320" s="1">
        <v>1999</v>
      </c>
      <c r="F320" s="1" t="s">
        <v>1072</v>
      </c>
      <c r="G320" s="1" t="s">
        <v>2267</v>
      </c>
      <c r="H320" s="4">
        <v>24.134333000000002</v>
      </c>
      <c r="I320" s="4">
        <v>120.659333</v>
      </c>
      <c r="J320" s="1" t="s">
        <v>1404</v>
      </c>
      <c r="K320" s="1" t="s">
        <v>70</v>
      </c>
      <c r="L320" s="1" t="s">
        <v>2268</v>
      </c>
      <c r="M320" s="1" t="s">
        <v>3598</v>
      </c>
      <c r="N320" s="1"/>
      <c r="O320" s="1" t="s">
        <v>3095</v>
      </c>
      <c r="P320" s="1"/>
      <c r="Q320" s="4">
        <v>6.19</v>
      </c>
      <c r="R320" s="4"/>
      <c r="S320" s="4"/>
      <c r="T320" s="4"/>
      <c r="U320" s="4"/>
      <c r="V320" s="4">
        <v>42.084404999999997</v>
      </c>
      <c r="W320" s="4"/>
      <c r="X320" s="4"/>
      <c r="Y320" s="4"/>
      <c r="Z320" s="4"/>
      <c r="AA320" s="4"/>
      <c r="AB320" s="4" t="s">
        <v>1028</v>
      </c>
      <c r="AC320" s="4"/>
      <c r="AD320" s="4">
        <v>23.864999999999998</v>
      </c>
      <c r="AE320" s="4">
        <v>121.0395</v>
      </c>
      <c r="AF320" s="4">
        <v>19.079999999999998</v>
      </c>
      <c r="AG320" s="4">
        <v>424.43783999999999</v>
      </c>
      <c r="AH320" s="27" t="b">
        <v>1</v>
      </c>
      <c r="AI320" s="4">
        <v>0.89600000000000002</v>
      </c>
      <c r="AJ320" s="27" t="b">
        <v>0</v>
      </c>
      <c r="AK320" s="4"/>
      <c r="AL320" s="27" t="b">
        <v>0</v>
      </c>
      <c r="AM320" s="4">
        <v>281.54500000000002</v>
      </c>
      <c r="AN320" s="4">
        <v>170.09299999999999</v>
      </c>
      <c r="AO320" s="4">
        <v>55.36</v>
      </c>
      <c r="AP320" s="4">
        <v>34.902900000000002</v>
      </c>
      <c r="AQ320" s="4">
        <v>16.6706</v>
      </c>
      <c r="AR320" s="4">
        <v>7.6059400000000004</v>
      </c>
      <c r="AS320" s="4">
        <v>9.8092400000000008</v>
      </c>
      <c r="AT320" s="4">
        <v>6.6225300000000002</v>
      </c>
      <c r="AU320" s="4">
        <v>3.0242499999999999</v>
      </c>
      <c r="AV320" s="4">
        <v>-4.1439999999999998E-2</v>
      </c>
      <c r="AW320" s="4">
        <v>-1.1980000000000001E-3</v>
      </c>
      <c r="AX320" s="4">
        <v>-3.9734999999999999E-2</v>
      </c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1" t="s">
        <v>3599</v>
      </c>
      <c r="BJ320" s="1" t="s">
        <v>3757</v>
      </c>
      <c r="BK320" s="1">
        <v>1</v>
      </c>
      <c r="BL320" s="1"/>
      <c r="BM320" s="1" t="s">
        <v>477</v>
      </c>
      <c r="BN320" s="1" t="s">
        <v>2839</v>
      </c>
      <c r="BO320" s="1" t="s">
        <v>2840</v>
      </c>
      <c r="BP320" s="1">
        <v>6.19</v>
      </c>
      <c r="BQ320" s="1" t="s">
        <v>1003</v>
      </c>
      <c r="BR320" s="1">
        <v>23.864999999999998</v>
      </c>
      <c r="BS320" s="1">
        <v>121.0395</v>
      </c>
      <c r="BT320" s="1">
        <v>19.079999999999998</v>
      </c>
      <c r="BU320" s="1" t="s">
        <v>1028</v>
      </c>
      <c r="BV320" s="1" t="s">
        <v>2809</v>
      </c>
      <c r="BW320" s="1">
        <v>165</v>
      </c>
      <c r="BX320" s="1">
        <v>70</v>
      </c>
      <c r="BY320" s="1">
        <v>100</v>
      </c>
      <c r="BZ320" s="1"/>
      <c r="CA320" s="1"/>
      <c r="CB320" s="1"/>
      <c r="CC320" s="1" t="s">
        <v>2808</v>
      </c>
      <c r="CD320" s="1" t="s">
        <v>731</v>
      </c>
      <c r="CE320" s="1"/>
      <c r="CF320" s="1"/>
      <c r="CG320" s="1"/>
      <c r="CH320" s="1"/>
      <c r="CI320" s="1"/>
      <c r="CJ320" s="1" t="s">
        <v>2812</v>
      </c>
      <c r="CK320" t="s">
        <v>1263</v>
      </c>
      <c r="CL320">
        <v>77</v>
      </c>
      <c r="CM320" t="s">
        <v>2842</v>
      </c>
    </row>
    <row r="321" spans="1:91" ht="19" customHeight="1">
      <c r="A321" s="1" t="s">
        <v>3758</v>
      </c>
      <c r="B321" s="1" t="s">
        <v>3597</v>
      </c>
      <c r="C321" s="1">
        <v>78</v>
      </c>
      <c r="D321" s="1" t="s">
        <v>1073</v>
      </c>
      <c r="E321" s="1">
        <v>1999</v>
      </c>
      <c r="F321" s="1" t="s">
        <v>865</v>
      </c>
      <c r="G321" s="1" t="s">
        <v>1885</v>
      </c>
      <c r="H321" s="4">
        <v>23.6845</v>
      </c>
      <c r="I321" s="4">
        <v>120.57033300000001</v>
      </c>
      <c r="J321" s="1" t="s">
        <v>1404</v>
      </c>
      <c r="K321" s="1" t="s">
        <v>70</v>
      </c>
      <c r="L321" s="1" t="s">
        <v>1887</v>
      </c>
      <c r="M321" s="1" t="s">
        <v>3598</v>
      </c>
      <c r="N321" s="1"/>
      <c r="O321" s="1" t="s">
        <v>3095</v>
      </c>
      <c r="P321" s="1"/>
      <c r="Q321" s="4">
        <v>6.49</v>
      </c>
      <c r="R321" s="4"/>
      <c r="S321" s="4"/>
      <c r="T321" s="4"/>
      <c r="U321" s="4"/>
      <c r="V321" s="4">
        <v>35.200077</v>
      </c>
      <c r="W321" s="4"/>
      <c r="X321" s="4"/>
      <c r="Y321" s="4"/>
      <c r="Z321" s="4"/>
      <c r="AA321" s="4"/>
      <c r="AB321" s="4" t="s">
        <v>1028</v>
      </c>
      <c r="AC321" s="4"/>
      <c r="AD321" s="4">
        <v>23.87</v>
      </c>
      <c r="AE321" s="4">
        <v>121.01</v>
      </c>
      <c r="AF321" s="4">
        <v>16</v>
      </c>
      <c r="AG321" s="4">
        <v>252.36590000000001</v>
      </c>
      <c r="AH321" s="27" t="b">
        <v>1</v>
      </c>
      <c r="AI321" s="4">
        <v>2.7719999999999998</v>
      </c>
      <c r="AJ321" s="27" t="b">
        <v>0</v>
      </c>
      <c r="AK321" s="4"/>
      <c r="AL321" s="27" t="b">
        <v>0</v>
      </c>
      <c r="AM321" s="4">
        <v>129.89500000000001</v>
      </c>
      <c r="AN321" s="4">
        <v>143.36799999999999</v>
      </c>
      <c r="AO321" s="4">
        <v>42.575000000000003</v>
      </c>
      <c r="AP321" s="4">
        <v>34.4373</v>
      </c>
      <c r="AQ321" s="4">
        <v>21.005600000000001</v>
      </c>
      <c r="AR321" s="4">
        <v>12.9984</v>
      </c>
      <c r="AS321" s="4">
        <v>12.505699999999999</v>
      </c>
      <c r="AT321" s="4">
        <v>11.659000000000001</v>
      </c>
      <c r="AU321" s="4">
        <v>7.4922000000000004</v>
      </c>
      <c r="AV321" s="4">
        <v>-0.28503800000000001</v>
      </c>
      <c r="AW321" s="4">
        <v>3.2010700000000001</v>
      </c>
      <c r="AX321" s="4">
        <v>1.54565</v>
      </c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1" t="s">
        <v>3599</v>
      </c>
      <c r="BJ321" s="1" t="s">
        <v>3759</v>
      </c>
      <c r="BK321" s="1">
        <v>1</v>
      </c>
      <c r="BL321" s="1"/>
      <c r="BM321" s="1" t="s">
        <v>484</v>
      </c>
      <c r="BN321" s="1" t="s">
        <v>2722</v>
      </c>
      <c r="BO321" s="1" t="s">
        <v>2723</v>
      </c>
      <c r="BP321" s="1">
        <v>6.49</v>
      </c>
      <c r="BQ321" s="1" t="s">
        <v>1003</v>
      </c>
      <c r="BR321" s="1">
        <v>23.87</v>
      </c>
      <c r="BS321" s="1">
        <v>121.01</v>
      </c>
      <c r="BT321" s="1">
        <v>16</v>
      </c>
      <c r="BU321" s="1" t="s">
        <v>1028</v>
      </c>
      <c r="BV321" s="1" t="s">
        <v>2809</v>
      </c>
      <c r="BW321" s="1">
        <v>5</v>
      </c>
      <c r="BX321" s="1">
        <v>30</v>
      </c>
      <c r="BY321" s="1">
        <v>100</v>
      </c>
      <c r="BZ321" s="1"/>
      <c r="CA321" s="1"/>
      <c r="CB321" s="1"/>
      <c r="CC321" s="1" t="s">
        <v>2808</v>
      </c>
      <c r="CD321" s="1" t="s">
        <v>731</v>
      </c>
      <c r="CE321" s="1"/>
      <c r="CF321" s="1"/>
      <c r="CG321" s="1"/>
      <c r="CH321" s="1"/>
      <c r="CI321" s="1"/>
      <c r="CJ321" s="1" t="s">
        <v>2812</v>
      </c>
      <c r="CK321" t="s">
        <v>1263</v>
      </c>
      <c r="CL321">
        <v>78</v>
      </c>
      <c r="CM321" t="s">
        <v>2843</v>
      </c>
    </row>
    <row r="322" spans="1:91" ht="19" customHeight="1">
      <c r="A322" s="1" t="s">
        <v>3760</v>
      </c>
      <c r="B322" s="1" t="s">
        <v>3597</v>
      </c>
      <c r="C322" s="1">
        <v>79</v>
      </c>
      <c r="D322" s="1" t="s">
        <v>1073</v>
      </c>
      <c r="E322" s="1">
        <v>1999</v>
      </c>
      <c r="F322" s="1" t="s">
        <v>916</v>
      </c>
      <c r="G322" s="1" t="s">
        <v>2201</v>
      </c>
      <c r="H322" s="4">
        <v>23.810500000000001</v>
      </c>
      <c r="I322" s="4">
        <v>120.853667</v>
      </c>
      <c r="J322" s="1" t="s">
        <v>1404</v>
      </c>
      <c r="K322" s="1" t="s">
        <v>70</v>
      </c>
      <c r="L322" s="1" t="s">
        <v>3761</v>
      </c>
      <c r="M322" s="1" t="s">
        <v>3598</v>
      </c>
      <c r="N322" s="1"/>
      <c r="O322" s="1" t="s">
        <v>3095</v>
      </c>
      <c r="P322" s="1"/>
      <c r="Q322" s="4">
        <v>6.49</v>
      </c>
      <c r="R322" s="4"/>
      <c r="S322" s="4"/>
      <c r="T322" s="4"/>
      <c r="U322" s="4"/>
      <c r="V322" s="4">
        <v>11.127146</v>
      </c>
      <c r="W322" s="4"/>
      <c r="X322" s="4"/>
      <c r="Y322" s="4"/>
      <c r="Z322" s="4"/>
      <c r="AA322" s="4"/>
      <c r="AB322" s="4" t="s">
        <v>1028</v>
      </c>
      <c r="AC322" s="4"/>
      <c r="AD322" s="4">
        <v>23.87</v>
      </c>
      <c r="AE322" s="4">
        <v>121.01</v>
      </c>
      <c r="AF322" s="4">
        <v>16</v>
      </c>
      <c r="AG322" s="4">
        <v>444.54320000000001</v>
      </c>
      <c r="AH322" s="27" t="b">
        <v>1</v>
      </c>
      <c r="AI322" s="4">
        <v>4.1509999999999998</v>
      </c>
      <c r="AJ322" s="27" t="b">
        <v>0</v>
      </c>
      <c r="AK322" s="4"/>
      <c r="AL322" s="27" t="b">
        <v>0</v>
      </c>
      <c r="AM322" s="4">
        <v>261.21300000000002</v>
      </c>
      <c r="AN322" s="4">
        <v>379.95100000000002</v>
      </c>
      <c r="AO322" s="4">
        <v>305.65800000000002</v>
      </c>
      <c r="AP322" s="4">
        <v>40.341999999999999</v>
      </c>
      <c r="AQ322" s="4">
        <v>34.754399999999997</v>
      </c>
      <c r="AR322" s="4">
        <v>21.791599999999999</v>
      </c>
      <c r="AS322" s="4">
        <v>14.7159</v>
      </c>
      <c r="AT322" s="4">
        <v>8.0892300000000006</v>
      </c>
      <c r="AU322" s="4">
        <v>14.404999999999999</v>
      </c>
      <c r="AV322" s="4">
        <v>5.4549E-2</v>
      </c>
      <c r="AW322" s="4">
        <v>-2.7330000000000002E-3</v>
      </c>
      <c r="AX322" s="4">
        <v>-2.9776E-2</v>
      </c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1" t="s">
        <v>3599</v>
      </c>
      <c r="BJ322" s="1" t="s">
        <v>3762</v>
      </c>
      <c r="BK322" s="1">
        <v>1</v>
      </c>
      <c r="BL322" s="1"/>
      <c r="BM322" s="1" t="s">
        <v>484</v>
      </c>
      <c r="BN322" s="1" t="s">
        <v>2722</v>
      </c>
      <c r="BO322" s="1" t="s">
        <v>2723</v>
      </c>
      <c r="BP322" s="1">
        <v>6.49</v>
      </c>
      <c r="BQ322" s="1" t="s">
        <v>1003</v>
      </c>
      <c r="BR322" s="1">
        <v>23.87</v>
      </c>
      <c r="BS322" s="1">
        <v>121.01</v>
      </c>
      <c r="BT322" s="1">
        <v>16</v>
      </c>
      <c r="BU322" s="1" t="s">
        <v>1028</v>
      </c>
      <c r="BV322" s="1" t="s">
        <v>2809</v>
      </c>
      <c r="BW322" s="1">
        <v>5</v>
      </c>
      <c r="BX322" s="1">
        <v>30</v>
      </c>
      <c r="BY322" s="1">
        <v>100</v>
      </c>
      <c r="BZ322" s="1"/>
      <c r="CA322" s="1"/>
      <c r="CB322" s="1"/>
      <c r="CC322" s="1" t="s">
        <v>2808</v>
      </c>
      <c r="CD322" s="1" t="s">
        <v>731</v>
      </c>
      <c r="CE322" s="1"/>
      <c r="CF322" s="1"/>
      <c r="CG322" s="1"/>
      <c r="CH322" s="1"/>
      <c r="CI322" s="1"/>
      <c r="CJ322" s="1" t="s">
        <v>2812</v>
      </c>
      <c r="CK322" t="s">
        <v>1263</v>
      </c>
      <c r="CL322">
        <v>79</v>
      </c>
      <c r="CM322" t="s">
        <v>2843</v>
      </c>
    </row>
    <row r="323" spans="1:91" ht="19" customHeight="1">
      <c r="A323" s="1" t="s">
        <v>3763</v>
      </c>
      <c r="B323" s="1" t="s">
        <v>3597</v>
      </c>
      <c r="C323" s="1">
        <v>80</v>
      </c>
      <c r="D323" s="1" t="s">
        <v>1073</v>
      </c>
      <c r="E323" s="1">
        <v>1999</v>
      </c>
      <c r="F323" s="1" t="s">
        <v>1070</v>
      </c>
      <c r="G323" s="1" t="s">
        <v>2206</v>
      </c>
      <c r="H323" s="4">
        <v>23.836832999999999</v>
      </c>
      <c r="I323" s="4">
        <v>120.90216700000001</v>
      </c>
      <c r="J323" s="1" t="s">
        <v>1404</v>
      </c>
      <c r="K323" s="1" t="s">
        <v>70</v>
      </c>
      <c r="L323" s="1" t="s">
        <v>3764</v>
      </c>
      <c r="M323" s="1" t="s">
        <v>3598</v>
      </c>
      <c r="N323" s="1"/>
      <c r="O323" s="1" t="s">
        <v>3095</v>
      </c>
      <c r="P323" s="1"/>
      <c r="Q323" s="4">
        <v>6.49</v>
      </c>
      <c r="R323" s="4"/>
      <c r="S323" s="4"/>
      <c r="T323" s="4"/>
      <c r="U323" s="4"/>
      <c r="V323" s="4">
        <v>10.002064000000001</v>
      </c>
      <c r="W323" s="4"/>
      <c r="X323" s="4"/>
      <c r="Y323" s="4"/>
      <c r="Z323" s="4"/>
      <c r="AA323" s="4"/>
      <c r="AB323" s="4" t="s">
        <v>1028</v>
      </c>
      <c r="AC323" s="4"/>
      <c r="AD323" s="4">
        <v>23.87</v>
      </c>
      <c r="AE323" s="4">
        <v>121.01</v>
      </c>
      <c r="AF323" s="4">
        <v>16</v>
      </c>
      <c r="AG323" s="4">
        <v>353.94049999999999</v>
      </c>
      <c r="AH323" s="27" t="b">
        <v>1</v>
      </c>
      <c r="AI323" s="4">
        <v>0.79100000000000004</v>
      </c>
      <c r="AJ323" s="27" t="b">
        <v>0</v>
      </c>
      <c r="AK323" s="4"/>
      <c r="AL323" s="27" t="b">
        <v>0</v>
      </c>
      <c r="AM323" s="4">
        <v>777.702</v>
      </c>
      <c r="AN323" s="4">
        <v>600.048</v>
      </c>
      <c r="AO323" s="4">
        <v>573.06600000000003</v>
      </c>
      <c r="AP323" s="4">
        <v>49.3523</v>
      </c>
      <c r="AQ323" s="4">
        <v>30.1387</v>
      </c>
      <c r="AR323" s="4">
        <v>17.288399999999999</v>
      </c>
      <c r="AS323" s="4">
        <v>10.1846</v>
      </c>
      <c r="AT323" s="4">
        <v>5.2798800000000004</v>
      </c>
      <c r="AU323" s="4">
        <v>5.3944200000000002</v>
      </c>
      <c r="AV323" s="4">
        <v>0.27193800000000001</v>
      </c>
      <c r="AW323" s="4">
        <v>-2.2804999999999999E-2</v>
      </c>
      <c r="AX323" s="4">
        <v>-6.9980000000000001E-2</v>
      </c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1" t="s">
        <v>3599</v>
      </c>
      <c r="BJ323" s="1" t="s">
        <v>3765</v>
      </c>
      <c r="BK323" s="1">
        <v>1</v>
      </c>
      <c r="BL323" s="1"/>
      <c r="BM323" s="1" t="s">
        <v>484</v>
      </c>
      <c r="BN323" s="1" t="s">
        <v>2722</v>
      </c>
      <c r="BO323" s="1" t="s">
        <v>2723</v>
      </c>
      <c r="BP323" s="1">
        <v>6.49</v>
      </c>
      <c r="BQ323" s="1" t="s">
        <v>1003</v>
      </c>
      <c r="BR323" s="1">
        <v>23.87</v>
      </c>
      <c r="BS323" s="1">
        <v>121.01</v>
      </c>
      <c r="BT323" s="1">
        <v>16</v>
      </c>
      <c r="BU323" s="1" t="s">
        <v>1028</v>
      </c>
      <c r="BV323" s="1" t="s">
        <v>2809</v>
      </c>
      <c r="BW323" s="1">
        <v>5</v>
      </c>
      <c r="BX323" s="1">
        <v>30</v>
      </c>
      <c r="BY323" s="1">
        <v>100</v>
      </c>
      <c r="BZ323" s="1"/>
      <c r="CA323" s="1"/>
      <c r="CB323" s="1"/>
      <c r="CC323" s="1" t="s">
        <v>2808</v>
      </c>
      <c r="CD323" s="1" t="s">
        <v>731</v>
      </c>
      <c r="CE323" s="1"/>
      <c r="CF323" s="1"/>
      <c r="CG323" s="1"/>
      <c r="CH323" s="1"/>
      <c r="CI323" s="1"/>
      <c r="CJ323" s="1" t="s">
        <v>2812</v>
      </c>
      <c r="CK323" t="s">
        <v>1263</v>
      </c>
      <c r="CL323">
        <v>80</v>
      </c>
      <c r="CM323" t="s">
        <v>2843</v>
      </c>
    </row>
    <row r="324" spans="1:91" ht="19" customHeight="1">
      <c r="A324" s="1" t="s">
        <v>3766</v>
      </c>
      <c r="B324" s="1" t="s">
        <v>3597</v>
      </c>
      <c r="C324" s="1">
        <v>81</v>
      </c>
      <c r="D324" s="1" t="s">
        <v>1073</v>
      </c>
      <c r="E324" s="1">
        <v>1999</v>
      </c>
      <c r="F324" s="1" t="s">
        <v>918</v>
      </c>
      <c r="G324" s="1" t="s">
        <v>2210</v>
      </c>
      <c r="H324" s="4">
        <v>23.9</v>
      </c>
      <c r="I324" s="4">
        <v>120.937833</v>
      </c>
      <c r="J324" s="1" t="s">
        <v>1404</v>
      </c>
      <c r="K324" s="1" t="s">
        <v>70</v>
      </c>
      <c r="L324" s="1" t="s">
        <v>2212</v>
      </c>
      <c r="M324" s="1" t="s">
        <v>3598</v>
      </c>
      <c r="N324" s="1"/>
      <c r="O324" s="1" t="s">
        <v>3095</v>
      </c>
      <c r="P324" s="1"/>
      <c r="Q324" s="4">
        <v>6.49</v>
      </c>
      <c r="R324" s="4"/>
      <c r="S324" s="4"/>
      <c r="T324" s="4"/>
      <c r="U324" s="4"/>
      <c r="V324" s="4">
        <v>10.383259000000001</v>
      </c>
      <c r="W324" s="4"/>
      <c r="X324" s="4"/>
      <c r="Y324" s="4"/>
      <c r="Z324" s="4"/>
      <c r="AA324" s="4"/>
      <c r="AB324" s="4" t="s">
        <v>1028</v>
      </c>
      <c r="AC324" s="4"/>
      <c r="AD324" s="4">
        <v>23.87</v>
      </c>
      <c r="AE324" s="4">
        <v>121.01</v>
      </c>
      <c r="AF324" s="4">
        <v>16</v>
      </c>
      <c r="AG324" s="4">
        <v>654.37</v>
      </c>
      <c r="AH324" s="27" t="b">
        <v>1</v>
      </c>
      <c r="AI324" s="4">
        <v>1.022</v>
      </c>
      <c r="AJ324" s="27" t="b">
        <v>0</v>
      </c>
      <c r="AK324" s="4"/>
      <c r="AL324" s="27" t="b">
        <v>0</v>
      </c>
      <c r="AM324" s="4">
        <v>462.03699999999998</v>
      </c>
      <c r="AN324" s="4">
        <v>529.35599999999999</v>
      </c>
      <c r="AO324" s="4">
        <v>470.63499999999999</v>
      </c>
      <c r="AP324" s="4">
        <v>29.254200000000001</v>
      </c>
      <c r="AQ324" s="4">
        <v>36.128999999999998</v>
      </c>
      <c r="AR324" s="4">
        <v>12.0869</v>
      </c>
      <c r="AS324" s="4">
        <v>5.7306999999999997</v>
      </c>
      <c r="AT324" s="4">
        <v>5.9131200000000002</v>
      </c>
      <c r="AU324" s="4">
        <v>4.2798600000000002</v>
      </c>
      <c r="AV324" s="4">
        <v>-4.0819999999999997E-3</v>
      </c>
      <c r="AW324" s="4">
        <v>-6.0270000000000002E-3</v>
      </c>
      <c r="AX324" s="4">
        <v>-3.6779999999999998E-3</v>
      </c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1" t="s">
        <v>3599</v>
      </c>
      <c r="BJ324" s="1" t="s">
        <v>3767</v>
      </c>
      <c r="BK324" s="1">
        <v>1</v>
      </c>
      <c r="BL324" s="1"/>
      <c r="BM324" s="1" t="s">
        <v>484</v>
      </c>
      <c r="BN324" s="1" t="s">
        <v>2722</v>
      </c>
      <c r="BO324" s="1" t="s">
        <v>2723</v>
      </c>
      <c r="BP324" s="1">
        <v>6.49</v>
      </c>
      <c r="BQ324" s="1" t="s">
        <v>1003</v>
      </c>
      <c r="BR324" s="1">
        <v>23.87</v>
      </c>
      <c r="BS324" s="1">
        <v>121.01</v>
      </c>
      <c r="BT324" s="1">
        <v>16</v>
      </c>
      <c r="BU324" s="1" t="s">
        <v>1028</v>
      </c>
      <c r="BV324" s="1" t="s">
        <v>2809</v>
      </c>
      <c r="BW324" s="1">
        <v>5</v>
      </c>
      <c r="BX324" s="1">
        <v>30</v>
      </c>
      <c r="BY324" s="1">
        <v>100</v>
      </c>
      <c r="BZ324" s="1"/>
      <c r="CA324" s="1"/>
      <c r="CB324" s="1"/>
      <c r="CC324" s="1" t="s">
        <v>2808</v>
      </c>
      <c r="CD324" s="1" t="s">
        <v>731</v>
      </c>
      <c r="CE324" s="1"/>
      <c r="CF324" s="1"/>
      <c r="CG324" s="1"/>
      <c r="CH324" s="1"/>
      <c r="CI324" s="1"/>
      <c r="CJ324" s="1" t="s">
        <v>2812</v>
      </c>
      <c r="CK324" t="s">
        <v>1263</v>
      </c>
      <c r="CL324">
        <v>81</v>
      </c>
      <c r="CM324" t="s">
        <v>2843</v>
      </c>
    </row>
    <row r="325" spans="1:91" ht="19" customHeight="1">
      <c r="A325" s="1" t="s">
        <v>3768</v>
      </c>
      <c r="B325" s="1" t="s">
        <v>3597</v>
      </c>
      <c r="C325" s="1">
        <v>82</v>
      </c>
      <c r="D325" s="1" t="s">
        <v>1074</v>
      </c>
      <c r="E325" s="1">
        <v>1999</v>
      </c>
      <c r="F325" s="1" t="s">
        <v>861</v>
      </c>
      <c r="G325" s="1" t="s">
        <v>1769</v>
      </c>
      <c r="H325" s="4">
        <v>23.579499999999999</v>
      </c>
      <c r="I325" s="4">
        <v>120.56016700000001</v>
      </c>
      <c r="J325" s="1" t="s">
        <v>1404</v>
      </c>
      <c r="K325" s="1" t="s">
        <v>70</v>
      </c>
      <c r="L325" s="1" t="s">
        <v>1771</v>
      </c>
      <c r="M325" s="1" t="s">
        <v>3598</v>
      </c>
      <c r="N325" s="1"/>
      <c r="O325" s="1" t="s">
        <v>3095</v>
      </c>
      <c r="P325" s="1"/>
      <c r="Q325" s="4">
        <v>7.65</v>
      </c>
      <c r="R325" s="4"/>
      <c r="S325" s="4"/>
      <c r="T325" s="4"/>
      <c r="U325" s="4"/>
      <c r="V325" s="4">
        <v>9.1580349999999999</v>
      </c>
      <c r="W325" s="4"/>
      <c r="X325" s="4"/>
      <c r="Y325" s="4"/>
      <c r="Z325" s="4"/>
      <c r="AA325" s="4"/>
      <c r="AB325" s="4" t="s">
        <v>1055</v>
      </c>
      <c r="AC325" s="4"/>
      <c r="AD325" s="4">
        <v>23.85</v>
      </c>
      <c r="AE325" s="4">
        <v>120.82</v>
      </c>
      <c r="AF325" s="4">
        <v>8</v>
      </c>
      <c r="AG325" s="4">
        <v>422.68400000000003</v>
      </c>
      <c r="AH325" s="27" t="b">
        <v>1</v>
      </c>
      <c r="AI325" s="4">
        <v>2.5703999999999998</v>
      </c>
      <c r="AJ325" s="27" t="b">
        <v>0</v>
      </c>
      <c r="AK325" s="4"/>
      <c r="AL325" s="27" t="b">
        <v>1</v>
      </c>
      <c r="AM325" s="4">
        <v>348.04399999999998</v>
      </c>
      <c r="AN325" s="4">
        <v>351.488</v>
      </c>
      <c r="AO325" s="4">
        <v>210.958</v>
      </c>
      <c r="AP325" s="4">
        <v>60.193899999999999</v>
      </c>
      <c r="AQ325" s="4">
        <v>42.762500000000003</v>
      </c>
      <c r="AR325" s="4">
        <v>21.82</v>
      </c>
      <c r="AS325" s="4">
        <v>24.9543</v>
      </c>
      <c r="AT325" s="4">
        <v>23.861599999999999</v>
      </c>
      <c r="AU325" s="4">
        <v>19.590900000000001</v>
      </c>
      <c r="AV325" s="4">
        <v>7.0395200000000004</v>
      </c>
      <c r="AW325" s="4">
        <v>5.7164099999999998</v>
      </c>
      <c r="AX325" s="4">
        <v>5.3476600000000003</v>
      </c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1" t="s">
        <v>3599</v>
      </c>
      <c r="BJ325" s="1" t="s">
        <v>3769</v>
      </c>
      <c r="BK325" s="1">
        <v>1</v>
      </c>
      <c r="BL325" s="1"/>
      <c r="BM325" s="1" t="s">
        <v>211</v>
      </c>
      <c r="BN325" s="1" t="s">
        <v>2710</v>
      </c>
      <c r="BO325" s="1" t="s">
        <v>2711</v>
      </c>
      <c r="BP325" s="1">
        <v>7.65</v>
      </c>
      <c r="BQ325" s="1" t="s">
        <v>1003</v>
      </c>
      <c r="BR325" s="1">
        <v>23.85</v>
      </c>
      <c r="BS325" s="1">
        <v>120.82</v>
      </c>
      <c r="BT325" s="1">
        <v>8</v>
      </c>
      <c r="BU325" s="1" t="s">
        <v>1055</v>
      </c>
      <c r="BV325" s="1" t="s">
        <v>2834</v>
      </c>
      <c r="BW325" s="1">
        <v>209</v>
      </c>
      <c r="BX325" s="1">
        <v>68</v>
      </c>
      <c r="BY325" s="1">
        <v>89</v>
      </c>
      <c r="BZ325" s="1">
        <v>31</v>
      </c>
      <c r="CA325" s="1">
        <v>21</v>
      </c>
      <c r="CB325" s="1">
        <v>92</v>
      </c>
      <c r="CC325" s="1" t="s">
        <v>2808</v>
      </c>
      <c r="CD325" s="1" t="s">
        <v>862</v>
      </c>
      <c r="CE325" s="1">
        <v>1</v>
      </c>
      <c r="CF325" s="1">
        <v>7.58</v>
      </c>
      <c r="CG325" s="1">
        <v>5.6364999999999998</v>
      </c>
      <c r="CH325" s="1">
        <v>7322.4000000000005</v>
      </c>
      <c r="CI325" s="1" t="s">
        <v>863</v>
      </c>
      <c r="CJ325" s="1" t="s">
        <v>2812</v>
      </c>
      <c r="CK325" t="s">
        <v>1263</v>
      </c>
      <c r="CL325">
        <v>82</v>
      </c>
      <c r="CM325" t="s">
        <v>2845</v>
      </c>
    </row>
    <row r="326" spans="1:91" ht="19" customHeight="1">
      <c r="A326" s="1" t="s">
        <v>3770</v>
      </c>
      <c r="B326" s="1" t="s">
        <v>3597</v>
      </c>
      <c r="C326" s="1">
        <v>83</v>
      </c>
      <c r="D326" s="1" t="s">
        <v>1074</v>
      </c>
      <c r="E326" s="1">
        <v>1999</v>
      </c>
      <c r="F326" s="1" t="s">
        <v>864</v>
      </c>
      <c r="G326" s="1" t="s">
        <v>1799</v>
      </c>
      <c r="H326" s="4">
        <v>23.755333</v>
      </c>
      <c r="I326" s="4">
        <v>120.615667</v>
      </c>
      <c r="J326" s="1" t="s">
        <v>1404</v>
      </c>
      <c r="K326" s="1" t="s">
        <v>70</v>
      </c>
      <c r="L326" s="1" t="s">
        <v>3771</v>
      </c>
      <c r="M326" s="1" t="s">
        <v>3598</v>
      </c>
      <c r="N326" s="1"/>
      <c r="O326" s="1" t="s">
        <v>3095</v>
      </c>
      <c r="P326" s="1"/>
      <c r="Q326" s="4">
        <v>7.65</v>
      </c>
      <c r="R326" s="4"/>
      <c r="S326" s="4"/>
      <c r="T326" s="4"/>
      <c r="U326" s="4"/>
      <c r="V326" s="4">
        <v>8.6462869999999992</v>
      </c>
      <c r="W326" s="4"/>
      <c r="X326" s="4"/>
      <c r="Y326" s="4"/>
      <c r="Z326" s="4"/>
      <c r="AA326" s="4"/>
      <c r="AB326" s="4" t="s">
        <v>1055</v>
      </c>
      <c r="AC326" s="4"/>
      <c r="AD326" s="4">
        <v>23.85</v>
      </c>
      <c r="AE326" s="4">
        <v>120.82</v>
      </c>
      <c r="AF326" s="4">
        <v>8</v>
      </c>
      <c r="AG326" s="4">
        <v>408.49669999999998</v>
      </c>
      <c r="AH326" s="27" t="b">
        <v>1</v>
      </c>
      <c r="AI326" s="4">
        <v>6.6289999999999996</v>
      </c>
      <c r="AJ326" s="27" t="b">
        <v>1</v>
      </c>
      <c r="AK326" s="4">
        <v>5.74</v>
      </c>
      <c r="AL326" s="27" t="b">
        <v>1</v>
      </c>
      <c r="AM326" s="4">
        <v>276.37299999999999</v>
      </c>
      <c r="AN326" s="4">
        <v>162.18799999999999</v>
      </c>
      <c r="AO326" s="4">
        <v>141.429</v>
      </c>
      <c r="AP326" s="4">
        <v>51.418599999999998</v>
      </c>
      <c r="AQ326" s="4">
        <v>42.7836</v>
      </c>
      <c r="AR326" s="4">
        <v>47.058199999999999</v>
      </c>
      <c r="AS326" s="4">
        <v>100.87</v>
      </c>
      <c r="AT326" s="4">
        <v>35.3857</v>
      </c>
      <c r="AU326" s="4">
        <v>28.835999999999999</v>
      </c>
      <c r="AV326" s="4">
        <v>59.178400000000003</v>
      </c>
      <c r="AW326" s="4">
        <v>-10.519600000000001</v>
      </c>
      <c r="AX326" s="4">
        <v>-3.7229299999999999</v>
      </c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1"/>
      <c r="BJ326" s="1" t="s">
        <v>3772</v>
      </c>
      <c r="BK326" s="1">
        <v>1</v>
      </c>
      <c r="BL326" s="1"/>
      <c r="BM326" s="1" t="s">
        <v>211</v>
      </c>
      <c r="BN326" s="1" t="s">
        <v>2710</v>
      </c>
      <c r="BO326" s="1" t="s">
        <v>2711</v>
      </c>
      <c r="BP326" s="1">
        <v>7.65</v>
      </c>
      <c r="BQ326" s="1" t="s">
        <v>1003</v>
      </c>
      <c r="BR326" s="1">
        <v>23.85</v>
      </c>
      <c r="BS326" s="1">
        <v>120.82</v>
      </c>
      <c r="BT326" s="1">
        <v>8</v>
      </c>
      <c r="BU326" s="1" t="s">
        <v>1055</v>
      </c>
      <c r="BV326" s="1" t="s">
        <v>2834</v>
      </c>
      <c r="BW326" s="1">
        <v>209</v>
      </c>
      <c r="BX326" s="1">
        <v>68</v>
      </c>
      <c r="BY326" s="1">
        <v>89</v>
      </c>
      <c r="BZ326" s="1">
        <v>31</v>
      </c>
      <c r="CA326" s="1">
        <v>21</v>
      </c>
      <c r="CB326" s="1">
        <v>92</v>
      </c>
      <c r="CC326" s="1" t="s">
        <v>2808</v>
      </c>
      <c r="CD326" s="1" t="s">
        <v>862</v>
      </c>
      <c r="CE326" s="1">
        <v>1</v>
      </c>
      <c r="CF326" s="1">
        <v>7.58</v>
      </c>
      <c r="CG326" s="1">
        <v>5.6364999999999998</v>
      </c>
      <c r="CH326" s="1">
        <v>7322.4000000000005</v>
      </c>
      <c r="CI326" s="1" t="s">
        <v>863</v>
      </c>
      <c r="CJ326" s="1" t="s">
        <v>2812</v>
      </c>
      <c r="CK326" t="s">
        <v>1263</v>
      </c>
      <c r="CL326">
        <v>83</v>
      </c>
      <c r="CM326" t="s">
        <v>2845</v>
      </c>
    </row>
    <row r="327" spans="1:91" ht="19" customHeight="1">
      <c r="A327" s="1" t="s">
        <v>3773</v>
      </c>
      <c r="B327" s="1" t="s">
        <v>3597</v>
      </c>
      <c r="C327" s="1">
        <v>84</v>
      </c>
      <c r="D327" s="1" t="s">
        <v>1074</v>
      </c>
      <c r="E327" s="1">
        <v>1999</v>
      </c>
      <c r="F327" s="1" t="s">
        <v>865</v>
      </c>
      <c r="G327" s="1" t="s">
        <v>1885</v>
      </c>
      <c r="H327" s="4">
        <v>23.6845</v>
      </c>
      <c r="I327" s="4">
        <v>120.57033300000001</v>
      </c>
      <c r="J327" s="1" t="s">
        <v>1404</v>
      </c>
      <c r="K327" s="1" t="s">
        <v>70</v>
      </c>
      <c r="L327" s="1" t="s">
        <v>3774</v>
      </c>
      <c r="M327" s="1" t="s">
        <v>3598</v>
      </c>
      <c r="N327" s="1"/>
      <c r="O327" s="1" t="s">
        <v>3095</v>
      </c>
      <c r="P327" s="1"/>
      <c r="Q327" s="4">
        <v>7.65</v>
      </c>
      <c r="R327" s="4"/>
      <c r="S327" s="4"/>
      <c r="T327" s="4"/>
      <c r="U327" s="4"/>
      <c r="V327" s="4">
        <v>9.1501219999999996</v>
      </c>
      <c r="W327" s="4"/>
      <c r="X327" s="4"/>
      <c r="Y327" s="4"/>
      <c r="Z327" s="4"/>
      <c r="AA327" s="4"/>
      <c r="AB327" s="4" t="s">
        <v>1055</v>
      </c>
      <c r="AC327" s="4"/>
      <c r="AD327" s="4">
        <v>23.85</v>
      </c>
      <c r="AE327" s="4">
        <v>120.82</v>
      </c>
      <c r="AF327" s="4">
        <v>8</v>
      </c>
      <c r="AG327" s="4">
        <v>252.36590000000001</v>
      </c>
      <c r="AH327" s="27" t="b">
        <v>1</v>
      </c>
      <c r="AI327" s="4">
        <v>5.3410000000000002</v>
      </c>
      <c r="AJ327" s="27" t="b">
        <v>0</v>
      </c>
      <c r="AK327" s="4"/>
      <c r="AL327" s="27" t="b">
        <v>1</v>
      </c>
      <c r="AM327" s="4">
        <v>332.72699999999998</v>
      </c>
      <c r="AN327" s="4">
        <v>390.15100000000001</v>
      </c>
      <c r="AO327" s="4">
        <v>162.185</v>
      </c>
      <c r="AP327" s="4">
        <v>65.985799999999998</v>
      </c>
      <c r="AQ327" s="4">
        <v>108.67700000000001</v>
      </c>
      <c r="AR327" s="4">
        <v>27.3413</v>
      </c>
      <c r="AS327" s="4">
        <v>53.628999999999998</v>
      </c>
      <c r="AT327" s="4">
        <v>78.893600000000006</v>
      </c>
      <c r="AU327" s="4">
        <v>21.320399999999999</v>
      </c>
      <c r="AV327" s="4">
        <v>-30.4223</v>
      </c>
      <c r="AW327" s="4">
        <v>-12.9404</v>
      </c>
      <c r="AX327" s="4">
        <v>-3.1710199999999999</v>
      </c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1" t="s">
        <v>3599</v>
      </c>
      <c r="BJ327" s="1" t="s">
        <v>3775</v>
      </c>
      <c r="BK327" s="1">
        <v>1</v>
      </c>
      <c r="BL327" s="1"/>
      <c r="BM327" s="1" t="s">
        <v>211</v>
      </c>
      <c r="BN327" s="1" t="s">
        <v>2710</v>
      </c>
      <c r="BO327" s="1" t="s">
        <v>2711</v>
      </c>
      <c r="BP327" s="1">
        <v>7.65</v>
      </c>
      <c r="BQ327" s="1" t="s">
        <v>1003</v>
      </c>
      <c r="BR327" s="1">
        <v>23.85</v>
      </c>
      <c r="BS327" s="1">
        <v>120.82</v>
      </c>
      <c r="BT327" s="1">
        <v>8</v>
      </c>
      <c r="BU327" s="1" t="s">
        <v>1055</v>
      </c>
      <c r="BV327" s="1" t="s">
        <v>2834</v>
      </c>
      <c r="BW327" s="1">
        <v>209</v>
      </c>
      <c r="BX327" s="1">
        <v>68</v>
      </c>
      <c r="BY327" s="1">
        <v>89</v>
      </c>
      <c r="BZ327" s="1">
        <v>31</v>
      </c>
      <c r="CA327" s="1">
        <v>21</v>
      </c>
      <c r="CB327" s="1">
        <v>92</v>
      </c>
      <c r="CC327" s="1" t="s">
        <v>2808</v>
      </c>
      <c r="CD327" s="1" t="s">
        <v>862</v>
      </c>
      <c r="CE327" s="1">
        <v>1</v>
      </c>
      <c r="CF327" s="1">
        <v>7.58</v>
      </c>
      <c r="CG327" s="1">
        <v>5.6364999999999998</v>
      </c>
      <c r="CH327" s="1">
        <v>7322.4000000000005</v>
      </c>
      <c r="CI327" s="1" t="s">
        <v>863</v>
      </c>
      <c r="CJ327" s="1" t="s">
        <v>2812</v>
      </c>
      <c r="CK327" t="s">
        <v>1263</v>
      </c>
      <c r="CL327">
        <v>84</v>
      </c>
      <c r="CM327" t="s">
        <v>2845</v>
      </c>
    </row>
    <row r="328" spans="1:91" ht="19" customHeight="1">
      <c r="A328" s="1" t="s">
        <v>3776</v>
      </c>
      <c r="B328" s="1" t="s">
        <v>3597</v>
      </c>
      <c r="C328" s="1">
        <v>85</v>
      </c>
      <c r="D328" s="1" t="s">
        <v>1074</v>
      </c>
      <c r="E328" s="1">
        <v>1999</v>
      </c>
      <c r="F328" s="1" t="s">
        <v>866</v>
      </c>
      <c r="G328" s="1" t="s">
        <v>2007</v>
      </c>
      <c r="H328" s="4">
        <v>24.629667000000001</v>
      </c>
      <c r="I328" s="4">
        <v>121.008833</v>
      </c>
      <c r="J328" s="1" t="s">
        <v>1404</v>
      </c>
      <c r="K328" s="1" t="s">
        <v>70</v>
      </c>
      <c r="L328" s="1" t="s">
        <v>2008</v>
      </c>
      <c r="M328" s="1" t="s">
        <v>3598</v>
      </c>
      <c r="N328" s="1"/>
      <c r="O328" s="1" t="s">
        <v>3095</v>
      </c>
      <c r="P328" s="1"/>
      <c r="Q328" s="4">
        <v>7.65</v>
      </c>
      <c r="R328" s="4"/>
      <c r="S328" s="4"/>
      <c r="T328" s="4"/>
      <c r="U328" s="4"/>
      <c r="V328" s="4">
        <v>38.544469999999997</v>
      </c>
      <c r="W328" s="4"/>
      <c r="X328" s="4"/>
      <c r="Y328" s="4"/>
      <c r="Z328" s="4"/>
      <c r="AA328" s="4"/>
      <c r="AB328" s="4" t="s">
        <v>1055</v>
      </c>
      <c r="AC328" s="4"/>
      <c r="AD328" s="4">
        <v>23.85</v>
      </c>
      <c r="AE328" s="4">
        <v>120.82</v>
      </c>
      <c r="AF328" s="4">
        <v>8</v>
      </c>
      <c r="AG328" s="4">
        <v>807.64570000000003</v>
      </c>
      <c r="AH328" s="27" t="b">
        <v>1</v>
      </c>
      <c r="AI328" s="4">
        <v>7.875</v>
      </c>
      <c r="AJ328" s="27" t="b">
        <v>0</v>
      </c>
      <c r="AK328" s="4"/>
      <c r="AL328" s="27" t="b">
        <v>0</v>
      </c>
      <c r="AM328" s="4">
        <v>306.20100000000002</v>
      </c>
      <c r="AN328" s="4">
        <v>391.56599999999997</v>
      </c>
      <c r="AO328" s="4">
        <v>87.284700000000001</v>
      </c>
      <c r="AP328" s="4">
        <v>20.905100000000001</v>
      </c>
      <c r="AQ328" s="4">
        <v>30.8599</v>
      </c>
      <c r="AR328" s="4">
        <v>23.3323</v>
      </c>
      <c r="AS328" s="4">
        <v>23.412099999999999</v>
      </c>
      <c r="AT328" s="4">
        <v>16.8584</v>
      </c>
      <c r="AU328" s="4">
        <v>8.6565300000000001</v>
      </c>
      <c r="AV328" s="4">
        <v>0.202658</v>
      </c>
      <c r="AW328" s="4">
        <v>-0.12609600000000001</v>
      </c>
      <c r="AX328" s="4">
        <v>2.3385E-2</v>
      </c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1" t="s">
        <v>3599</v>
      </c>
      <c r="BJ328" s="1" t="s">
        <v>3777</v>
      </c>
      <c r="BK328" s="1">
        <v>1</v>
      </c>
      <c r="BL328" s="1"/>
      <c r="BM328" s="1" t="s">
        <v>211</v>
      </c>
      <c r="BN328" s="1" t="s">
        <v>2710</v>
      </c>
      <c r="BO328" s="1" t="s">
        <v>2711</v>
      </c>
      <c r="BP328" s="1">
        <v>7.65</v>
      </c>
      <c r="BQ328" s="1" t="s">
        <v>1003</v>
      </c>
      <c r="BR328" s="1">
        <v>23.85</v>
      </c>
      <c r="BS328" s="1">
        <v>120.82</v>
      </c>
      <c r="BT328" s="1">
        <v>8</v>
      </c>
      <c r="BU328" s="1" t="s">
        <v>1055</v>
      </c>
      <c r="BV328" s="1" t="s">
        <v>2834</v>
      </c>
      <c r="BW328" s="1">
        <v>209</v>
      </c>
      <c r="BX328" s="1">
        <v>68</v>
      </c>
      <c r="BY328" s="1">
        <v>89</v>
      </c>
      <c r="BZ328" s="1">
        <v>31</v>
      </c>
      <c r="CA328" s="1">
        <v>21</v>
      </c>
      <c r="CB328" s="1">
        <v>92</v>
      </c>
      <c r="CC328" s="1" t="s">
        <v>2808</v>
      </c>
      <c r="CD328" s="1" t="s">
        <v>862</v>
      </c>
      <c r="CE328" s="1">
        <v>1</v>
      </c>
      <c r="CF328" s="1">
        <v>7.58</v>
      </c>
      <c r="CG328" s="1">
        <v>5.6364999999999998</v>
      </c>
      <c r="CH328" s="1">
        <v>7322.4000000000005</v>
      </c>
      <c r="CI328" s="1" t="s">
        <v>863</v>
      </c>
      <c r="CJ328" s="1" t="s">
        <v>2812</v>
      </c>
      <c r="CK328" t="s">
        <v>1263</v>
      </c>
      <c r="CL328">
        <v>85</v>
      </c>
      <c r="CM328" t="s">
        <v>2845</v>
      </c>
    </row>
    <row r="329" spans="1:91" ht="19" customHeight="1">
      <c r="A329" s="1" t="s">
        <v>3778</v>
      </c>
      <c r="B329" s="1" t="s">
        <v>3597</v>
      </c>
      <c r="C329" s="1">
        <v>86</v>
      </c>
      <c r="D329" s="1" t="s">
        <v>1074</v>
      </c>
      <c r="E329" s="1">
        <v>1999</v>
      </c>
      <c r="F329" s="1" t="s">
        <v>869</v>
      </c>
      <c r="G329" s="1" t="s">
        <v>2094</v>
      </c>
      <c r="H329" s="4">
        <v>24.909500000000001</v>
      </c>
      <c r="I329" s="4">
        <v>121.149333</v>
      </c>
      <c r="J329" s="1" t="s">
        <v>1404</v>
      </c>
      <c r="K329" s="1" t="s">
        <v>70</v>
      </c>
      <c r="L329" s="1" t="s">
        <v>2095</v>
      </c>
      <c r="M329" s="1" t="s">
        <v>3598</v>
      </c>
      <c r="N329" s="1"/>
      <c r="O329" s="1" t="s">
        <v>3095</v>
      </c>
      <c r="P329" s="1"/>
      <c r="Q329" s="4">
        <v>7.65</v>
      </c>
      <c r="R329" s="4"/>
      <c r="S329" s="4"/>
      <c r="T329" s="4"/>
      <c r="U329" s="4"/>
      <c r="V329" s="4">
        <v>72.634472000000002</v>
      </c>
      <c r="W329" s="4"/>
      <c r="X329" s="4"/>
      <c r="Y329" s="4"/>
      <c r="Z329" s="4"/>
      <c r="AA329" s="4"/>
      <c r="AB329" s="4" t="s">
        <v>1055</v>
      </c>
      <c r="AC329" s="4"/>
      <c r="AD329" s="4">
        <v>23.85</v>
      </c>
      <c r="AE329" s="4">
        <v>120.82</v>
      </c>
      <c r="AF329" s="4">
        <v>8</v>
      </c>
      <c r="AG329" s="4">
        <v>612.0575</v>
      </c>
      <c r="AH329" s="27" t="b">
        <v>1</v>
      </c>
      <c r="AI329" s="4">
        <v>9.1489999999999991</v>
      </c>
      <c r="AJ329" s="27" t="b">
        <v>0</v>
      </c>
      <c r="AK329" s="4"/>
      <c r="AL329" s="27" t="b">
        <v>0</v>
      </c>
      <c r="AM329" s="4">
        <v>58.796999999999997</v>
      </c>
      <c r="AN329" s="4">
        <v>75.524000000000001</v>
      </c>
      <c r="AO329" s="4">
        <v>32.944000000000003</v>
      </c>
      <c r="AP329" s="4">
        <v>33.764099999999999</v>
      </c>
      <c r="AQ329" s="4">
        <v>18.875299999999999</v>
      </c>
      <c r="AR329" s="4">
        <v>15.777699999999999</v>
      </c>
      <c r="AS329" s="4">
        <v>50.432299999999998</v>
      </c>
      <c r="AT329" s="4">
        <v>17.059899999999999</v>
      </c>
      <c r="AU329" s="4">
        <v>16.048100000000002</v>
      </c>
      <c r="AV329" s="4">
        <v>-19.707899999999999</v>
      </c>
      <c r="AW329" s="4">
        <v>-14.4171</v>
      </c>
      <c r="AX329" s="4">
        <v>-1.31454</v>
      </c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1" t="s">
        <v>3599</v>
      </c>
      <c r="BJ329" s="1" t="s">
        <v>3779</v>
      </c>
      <c r="BK329" s="1">
        <v>1</v>
      </c>
      <c r="BL329" s="1"/>
      <c r="BM329" s="1" t="s">
        <v>211</v>
      </c>
      <c r="BN329" s="1" t="s">
        <v>2710</v>
      </c>
      <c r="BO329" s="1" t="s">
        <v>2711</v>
      </c>
      <c r="BP329" s="1">
        <v>7.65</v>
      </c>
      <c r="BQ329" s="1" t="s">
        <v>1003</v>
      </c>
      <c r="BR329" s="1">
        <v>23.85</v>
      </c>
      <c r="BS329" s="1">
        <v>120.82</v>
      </c>
      <c r="BT329" s="1">
        <v>8</v>
      </c>
      <c r="BU329" s="1" t="s">
        <v>1055</v>
      </c>
      <c r="BV329" s="1" t="s">
        <v>2834</v>
      </c>
      <c r="BW329" s="1">
        <v>209</v>
      </c>
      <c r="BX329" s="1">
        <v>68</v>
      </c>
      <c r="BY329" s="1">
        <v>89</v>
      </c>
      <c r="BZ329" s="1">
        <v>31</v>
      </c>
      <c r="CA329" s="1">
        <v>21</v>
      </c>
      <c r="CB329" s="1">
        <v>92</v>
      </c>
      <c r="CC329" s="1" t="s">
        <v>2808</v>
      </c>
      <c r="CD329" s="1" t="s">
        <v>862</v>
      </c>
      <c r="CE329" s="1">
        <v>1</v>
      </c>
      <c r="CF329" s="1">
        <v>7.58</v>
      </c>
      <c r="CG329" s="1">
        <v>5.6364999999999998</v>
      </c>
      <c r="CH329" s="1">
        <v>7322.4000000000005</v>
      </c>
      <c r="CI329" s="1" t="s">
        <v>863</v>
      </c>
      <c r="CJ329" s="1" t="s">
        <v>2812</v>
      </c>
      <c r="CK329" t="s">
        <v>1263</v>
      </c>
      <c r="CL329">
        <v>86</v>
      </c>
      <c r="CM329" t="s">
        <v>2845</v>
      </c>
    </row>
    <row r="330" spans="1:91" ht="19" customHeight="1">
      <c r="A330" s="1" t="s">
        <v>3780</v>
      </c>
      <c r="B330" s="1" t="s">
        <v>3597</v>
      </c>
      <c r="C330" s="1">
        <v>87</v>
      </c>
      <c r="D330" s="1" t="s">
        <v>1074</v>
      </c>
      <c r="E330" s="1">
        <v>1999</v>
      </c>
      <c r="F330" s="1" t="s">
        <v>871</v>
      </c>
      <c r="G330" s="1" t="s">
        <v>2099</v>
      </c>
      <c r="H330" s="4">
        <v>24.755832999999999</v>
      </c>
      <c r="I330" s="4">
        <v>120.94583299999999</v>
      </c>
      <c r="J330" s="1" t="s">
        <v>1404</v>
      </c>
      <c r="K330" s="1" t="s">
        <v>70</v>
      </c>
      <c r="L330" s="1" t="s">
        <v>2100</v>
      </c>
      <c r="M330" s="1" t="s">
        <v>3598</v>
      </c>
      <c r="N330" s="1"/>
      <c r="O330" s="1" t="s">
        <v>3095</v>
      </c>
      <c r="P330" s="1"/>
      <c r="Q330" s="4">
        <v>7.65</v>
      </c>
      <c r="R330" s="4"/>
      <c r="S330" s="4"/>
      <c r="T330" s="4"/>
      <c r="U330" s="4"/>
      <c r="V330" s="4">
        <v>49.864566000000003</v>
      </c>
      <c r="W330" s="4"/>
      <c r="X330" s="4"/>
      <c r="Y330" s="4"/>
      <c r="Z330" s="4"/>
      <c r="AA330" s="4"/>
      <c r="AB330" s="4" t="s">
        <v>1055</v>
      </c>
      <c r="AC330" s="4"/>
      <c r="AD330" s="4">
        <v>23.85</v>
      </c>
      <c r="AE330" s="4">
        <v>120.82</v>
      </c>
      <c r="AF330" s="4">
        <v>8</v>
      </c>
      <c r="AG330" s="4">
        <v>430.63229999999999</v>
      </c>
      <c r="AH330" s="27" t="b">
        <v>1</v>
      </c>
      <c r="AI330" s="4">
        <v>8.2319999999999993</v>
      </c>
      <c r="AJ330" s="27" t="b">
        <v>0</v>
      </c>
      <c r="AK330" s="4"/>
      <c r="AL330" s="27" t="b">
        <v>0</v>
      </c>
      <c r="AM330" s="4">
        <v>104.504</v>
      </c>
      <c r="AN330" s="4">
        <v>110.39100000000001</v>
      </c>
      <c r="AO330" s="4">
        <v>68.022999999999996</v>
      </c>
      <c r="AP330" s="4">
        <v>42.779000000000003</v>
      </c>
      <c r="AQ330" s="4">
        <v>27.984300000000001</v>
      </c>
      <c r="AR330" s="4">
        <v>15.051299999999999</v>
      </c>
      <c r="AS330" s="4">
        <v>49.301000000000002</v>
      </c>
      <c r="AT330" s="4">
        <v>20.2485</v>
      </c>
      <c r="AU330" s="4">
        <v>11.799899999999999</v>
      </c>
      <c r="AV330" s="4">
        <v>1.4607600000000001</v>
      </c>
      <c r="AW330" s="4">
        <v>-0.75099499999999997</v>
      </c>
      <c r="AX330" s="4">
        <v>-0.41558600000000001</v>
      </c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1" t="s">
        <v>3599</v>
      </c>
      <c r="BJ330" s="1" t="s">
        <v>3781</v>
      </c>
      <c r="BK330" s="1">
        <v>1</v>
      </c>
      <c r="BL330" s="1"/>
      <c r="BM330" s="1" t="s">
        <v>211</v>
      </c>
      <c r="BN330" s="1" t="s">
        <v>2710</v>
      </c>
      <c r="BO330" s="1" t="s">
        <v>2711</v>
      </c>
      <c r="BP330" s="1">
        <v>7.65</v>
      </c>
      <c r="BQ330" s="1" t="s">
        <v>1003</v>
      </c>
      <c r="BR330" s="1">
        <v>23.85</v>
      </c>
      <c r="BS330" s="1">
        <v>120.82</v>
      </c>
      <c r="BT330" s="1">
        <v>8</v>
      </c>
      <c r="BU330" s="1" t="s">
        <v>1055</v>
      </c>
      <c r="BV330" s="1" t="s">
        <v>2834</v>
      </c>
      <c r="BW330" s="1">
        <v>209</v>
      </c>
      <c r="BX330" s="1">
        <v>68</v>
      </c>
      <c r="BY330" s="1">
        <v>89</v>
      </c>
      <c r="BZ330" s="1">
        <v>31</v>
      </c>
      <c r="CA330" s="1">
        <v>21</v>
      </c>
      <c r="CB330" s="1">
        <v>92</v>
      </c>
      <c r="CC330" s="1" t="s">
        <v>2808</v>
      </c>
      <c r="CD330" s="1" t="s">
        <v>862</v>
      </c>
      <c r="CE330" s="1">
        <v>1</v>
      </c>
      <c r="CF330" s="1">
        <v>7.58</v>
      </c>
      <c r="CG330" s="1">
        <v>5.6364999999999998</v>
      </c>
      <c r="CH330" s="1">
        <v>7322.4000000000005</v>
      </c>
      <c r="CI330" s="1" t="s">
        <v>863</v>
      </c>
      <c r="CJ330" s="1" t="s">
        <v>2812</v>
      </c>
      <c r="CK330" t="s">
        <v>1263</v>
      </c>
      <c r="CL330">
        <v>87</v>
      </c>
      <c r="CM330" t="s">
        <v>2845</v>
      </c>
    </row>
    <row r="331" spans="1:91" ht="19" customHeight="1">
      <c r="A331" s="1" t="s">
        <v>3782</v>
      </c>
      <c r="B331" s="1" t="s">
        <v>3597</v>
      </c>
      <c r="C331" s="1">
        <v>88</v>
      </c>
      <c r="D331" s="1" t="s">
        <v>1074</v>
      </c>
      <c r="E331" s="1">
        <v>1999</v>
      </c>
      <c r="F331" s="1" t="s">
        <v>872</v>
      </c>
      <c r="G331" s="1" t="s">
        <v>2102</v>
      </c>
      <c r="H331" s="4">
        <v>24.778666999999999</v>
      </c>
      <c r="I331" s="4">
        <v>121.01816700000001</v>
      </c>
      <c r="J331" s="1" t="s">
        <v>1404</v>
      </c>
      <c r="K331" s="1" t="s">
        <v>70</v>
      </c>
      <c r="L331" s="1" t="s">
        <v>2103</v>
      </c>
      <c r="M331" s="1" t="s">
        <v>3598</v>
      </c>
      <c r="N331" s="1"/>
      <c r="O331" s="1" t="s">
        <v>3095</v>
      </c>
      <c r="P331" s="1"/>
      <c r="Q331" s="4">
        <v>7.65</v>
      </c>
      <c r="R331" s="4"/>
      <c r="S331" s="4"/>
      <c r="T331" s="4"/>
      <c r="U331" s="4"/>
      <c r="V331" s="4">
        <v>54.396628</v>
      </c>
      <c r="W331" s="4"/>
      <c r="X331" s="4"/>
      <c r="Y331" s="4"/>
      <c r="Z331" s="4"/>
      <c r="AA331" s="4"/>
      <c r="AB331" s="4" t="s">
        <v>1055</v>
      </c>
      <c r="AC331" s="4"/>
      <c r="AD331" s="4">
        <v>23.85</v>
      </c>
      <c r="AE331" s="4">
        <v>120.82</v>
      </c>
      <c r="AF331" s="4">
        <v>8</v>
      </c>
      <c r="AG331" s="4">
        <v>548.24561400000005</v>
      </c>
      <c r="AH331" s="27" t="b">
        <v>1</v>
      </c>
      <c r="AI331" s="4">
        <v>8.9250000000000007</v>
      </c>
      <c r="AJ331" s="27" t="b">
        <v>0</v>
      </c>
      <c r="AK331" s="4"/>
      <c r="AL331" s="27" t="b">
        <v>0</v>
      </c>
      <c r="AM331" s="4">
        <v>82.876000000000005</v>
      </c>
      <c r="AN331" s="4">
        <v>122.164</v>
      </c>
      <c r="AO331" s="4">
        <v>48.695999999999998</v>
      </c>
      <c r="AP331" s="4">
        <v>37.595100000000002</v>
      </c>
      <c r="AQ331" s="4">
        <v>33.162199999999999</v>
      </c>
      <c r="AR331" s="4">
        <v>13.9588</v>
      </c>
      <c r="AS331" s="4">
        <v>44.100900000000003</v>
      </c>
      <c r="AT331" s="4">
        <v>29.352</v>
      </c>
      <c r="AU331" s="4">
        <v>16.033300000000001</v>
      </c>
      <c r="AV331" s="4">
        <v>7.5002199999999997</v>
      </c>
      <c r="AW331" s="4">
        <v>10.899699999999999</v>
      </c>
      <c r="AX331" s="4">
        <v>11.941000000000001</v>
      </c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1" t="s">
        <v>3599</v>
      </c>
      <c r="BJ331" s="1" t="s">
        <v>3783</v>
      </c>
      <c r="BK331" s="1">
        <v>1</v>
      </c>
      <c r="BL331" s="1"/>
      <c r="BM331" s="1" t="s">
        <v>211</v>
      </c>
      <c r="BN331" s="1" t="s">
        <v>2710</v>
      </c>
      <c r="BO331" s="1" t="s">
        <v>2711</v>
      </c>
      <c r="BP331" s="1">
        <v>7.65</v>
      </c>
      <c r="BQ331" s="1" t="s">
        <v>1003</v>
      </c>
      <c r="BR331" s="1">
        <v>23.85</v>
      </c>
      <c r="BS331" s="1">
        <v>120.82</v>
      </c>
      <c r="BT331" s="1">
        <v>8</v>
      </c>
      <c r="BU331" s="1" t="s">
        <v>1055</v>
      </c>
      <c r="BV331" s="1" t="s">
        <v>2834</v>
      </c>
      <c r="BW331" s="1">
        <v>209</v>
      </c>
      <c r="BX331" s="1">
        <v>68</v>
      </c>
      <c r="BY331" s="1">
        <v>89</v>
      </c>
      <c r="BZ331" s="1">
        <v>31</v>
      </c>
      <c r="CA331" s="1">
        <v>21</v>
      </c>
      <c r="CB331" s="1">
        <v>92</v>
      </c>
      <c r="CC331" s="1" t="s">
        <v>2808</v>
      </c>
      <c r="CD331" s="1" t="s">
        <v>862</v>
      </c>
      <c r="CE331" s="1">
        <v>1</v>
      </c>
      <c r="CF331" s="1">
        <v>7.58</v>
      </c>
      <c r="CG331" s="1">
        <v>5.6364999999999998</v>
      </c>
      <c r="CH331" s="1">
        <v>7322.4000000000005</v>
      </c>
      <c r="CI331" s="1" t="s">
        <v>863</v>
      </c>
      <c r="CJ331" s="1" t="s">
        <v>2812</v>
      </c>
      <c r="CK331" t="s">
        <v>1263</v>
      </c>
      <c r="CL331">
        <v>88</v>
      </c>
      <c r="CM331" t="s">
        <v>2845</v>
      </c>
    </row>
    <row r="332" spans="1:91" ht="19" customHeight="1">
      <c r="A332" s="1" t="s">
        <v>3784</v>
      </c>
      <c r="B332" s="1" t="s">
        <v>3597</v>
      </c>
      <c r="C332" s="1">
        <v>89</v>
      </c>
      <c r="D332" s="1" t="s">
        <v>1074</v>
      </c>
      <c r="E332" s="1">
        <v>1999</v>
      </c>
      <c r="F332" s="1" t="s">
        <v>873</v>
      </c>
      <c r="G332" s="1" t="s">
        <v>2105</v>
      </c>
      <c r="H332" s="4">
        <v>24.878667</v>
      </c>
      <c r="I332" s="4">
        <v>121.060833</v>
      </c>
      <c r="J332" s="1" t="s">
        <v>1404</v>
      </c>
      <c r="K332" s="1" t="s">
        <v>70</v>
      </c>
      <c r="L332" s="1" t="s">
        <v>2106</v>
      </c>
      <c r="M332" s="1" t="s">
        <v>3598</v>
      </c>
      <c r="N332" s="1"/>
      <c r="O332" s="1" t="s">
        <v>3095</v>
      </c>
      <c r="P332" s="1"/>
      <c r="Q332" s="4">
        <v>7.65</v>
      </c>
      <c r="R332" s="4"/>
      <c r="S332" s="4"/>
      <c r="T332" s="4"/>
      <c r="U332" s="4"/>
      <c r="V332" s="4">
        <v>66.313998999999995</v>
      </c>
      <c r="W332" s="4"/>
      <c r="X332" s="4"/>
      <c r="Y332" s="4"/>
      <c r="Z332" s="4"/>
      <c r="AA332" s="4"/>
      <c r="AB332" s="4" t="s">
        <v>1055</v>
      </c>
      <c r="AC332" s="4"/>
      <c r="AD332" s="4">
        <v>23.85</v>
      </c>
      <c r="AE332" s="4">
        <v>120.82</v>
      </c>
      <c r="AF332" s="4">
        <v>8</v>
      </c>
      <c r="AG332" s="4">
        <v>619.9</v>
      </c>
      <c r="AH332" s="27" t="b">
        <v>1</v>
      </c>
      <c r="AI332" s="4">
        <v>10.478999999999999</v>
      </c>
      <c r="AJ332" s="27" t="b">
        <v>0</v>
      </c>
      <c r="AK332" s="4"/>
      <c r="AL332" s="27" t="b">
        <v>0</v>
      </c>
      <c r="AM332" s="4">
        <v>54.555999999999997</v>
      </c>
      <c r="AN332" s="4">
        <v>53.773000000000003</v>
      </c>
      <c r="AO332" s="4">
        <v>32.106999999999999</v>
      </c>
      <c r="AP332" s="4">
        <v>37.577300000000001</v>
      </c>
      <c r="AQ332" s="4">
        <v>21.686299999999999</v>
      </c>
      <c r="AR332" s="4">
        <v>17.347000000000001</v>
      </c>
      <c r="AS332" s="4">
        <v>47.6128</v>
      </c>
      <c r="AT332" s="4">
        <v>25.136500000000002</v>
      </c>
      <c r="AU332" s="4">
        <v>19.373200000000001</v>
      </c>
      <c r="AV332" s="4">
        <v>1.5008900000000001</v>
      </c>
      <c r="AW332" s="4">
        <v>0.92008400000000001</v>
      </c>
      <c r="AX332" s="4">
        <v>14.570399999999999</v>
      </c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1" t="s">
        <v>3599</v>
      </c>
      <c r="BJ332" s="1" t="s">
        <v>3785</v>
      </c>
      <c r="BK332" s="1">
        <v>1</v>
      </c>
      <c r="BL332" s="1"/>
      <c r="BM332" s="1" t="s">
        <v>211</v>
      </c>
      <c r="BN332" s="1" t="s">
        <v>2710</v>
      </c>
      <c r="BO332" s="1" t="s">
        <v>2711</v>
      </c>
      <c r="BP332" s="1">
        <v>7.65</v>
      </c>
      <c r="BQ332" s="1" t="s">
        <v>1003</v>
      </c>
      <c r="BR332" s="1">
        <v>23.85</v>
      </c>
      <c r="BS332" s="1">
        <v>120.82</v>
      </c>
      <c r="BT332" s="1">
        <v>8</v>
      </c>
      <c r="BU332" s="1" t="s">
        <v>1055</v>
      </c>
      <c r="BV332" s="1" t="s">
        <v>2834</v>
      </c>
      <c r="BW332" s="1">
        <v>209</v>
      </c>
      <c r="BX332" s="1">
        <v>68</v>
      </c>
      <c r="BY332" s="1">
        <v>89</v>
      </c>
      <c r="BZ332" s="1">
        <v>31</v>
      </c>
      <c r="CA332" s="1">
        <v>21</v>
      </c>
      <c r="CB332" s="1">
        <v>92</v>
      </c>
      <c r="CC332" s="1" t="s">
        <v>2808</v>
      </c>
      <c r="CD332" s="1" t="s">
        <v>862</v>
      </c>
      <c r="CE332" s="1">
        <v>1</v>
      </c>
      <c r="CF332" s="1">
        <v>7.58</v>
      </c>
      <c r="CG332" s="1">
        <v>5.6364999999999998</v>
      </c>
      <c r="CH332" s="1">
        <v>7322.4000000000005</v>
      </c>
      <c r="CI332" s="1" t="s">
        <v>863</v>
      </c>
      <c r="CJ332" s="1" t="s">
        <v>2812</v>
      </c>
      <c r="CK332" t="s">
        <v>1263</v>
      </c>
      <c r="CL332">
        <v>89</v>
      </c>
      <c r="CM332" t="s">
        <v>2845</v>
      </c>
    </row>
    <row r="333" spans="1:91" ht="19" customHeight="1">
      <c r="A333" s="1" t="s">
        <v>3786</v>
      </c>
      <c r="B333" s="1" t="s">
        <v>3597</v>
      </c>
      <c r="C333" s="1">
        <v>90</v>
      </c>
      <c r="D333" s="1" t="s">
        <v>1074</v>
      </c>
      <c r="E333" s="1">
        <v>1999</v>
      </c>
      <c r="F333" s="1" t="s">
        <v>874</v>
      </c>
      <c r="G333" s="1" t="s">
        <v>2108</v>
      </c>
      <c r="H333" s="4">
        <v>24.773667</v>
      </c>
      <c r="I333" s="4">
        <v>121.08366700000001</v>
      </c>
      <c r="J333" s="1" t="s">
        <v>1404</v>
      </c>
      <c r="K333" s="1" t="s">
        <v>70</v>
      </c>
      <c r="L333" s="1" t="s">
        <v>2109</v>
      </c>
      <c r="M333" s="1" t="s">
        <v>3598</v>
      </c>
      <c r="N333" s="1"/>
      <c r="O333" s="1" t="s">
        <v>3095</v>
      </c>
      <c r="P333" s="1"/>
      <c r="Q333" s="4">
        <v>7.65</v>
      </c>
      <c r="R333" s="4"/>
      <c r="S333" s="4"/>
      <c r="T333" s="4"/>
      <c r="U333" s="4"/>
      <c r="V333" s="4">
        <v>56.184061</v>
      </c>
      <c r="W333" s="4"/>
      <c r="X333" s="4"/>
      <c r="Y333" s="4"/>
      <c r="Z333" s="4"/>
      <c r="AA333" s="4"/>
      <c r="AB333" s="4" t="s">
        <v>1055</v>
      </c>
      <c r="AC333" s="4"/>
      <c r="AD333" s="4">
        <v>23.85</v>
      </c>
      <c r="AE333" s="4">
        <v>120.82</v>
      </c>
      <c r="AF333" s="4">
        <v>8</v>
      </c>
      <c r="AG333" s="4">
        <v>606.48940000000005</v>
      </c>
      <c r="AH333" s="27" t="b">
        <v>1</v>
      </c>
      <c r="AI333" s="4">
        <v>8.3719999999999999</v>
      </c>
      <c r="AJ333" s="27" t="b">
        <v>0</v>
      </c>
      <c r="AK333" s="4"/>
      <c r="AL333" s="27" t="b">
        <v>0</v>
      </c>
      <c r="AM333" s="4">
        <v>116.208</v>
      </c>
      <c r="AN333" s="4">
        <v>89.530799999999999</v>
      </c>
      <c r="AO333" s="4">
        <v>56.434800000000003</v>
      </c>
      <c r="AP333" s="4">
        <v>37.872100000000003</v>
      </c>
      <c r="AQ333" s="4">
        <v>26.752600000000001</v>
      </c>
      <c r="AR333" s="4">
        <v>14.760899999999999</v>
      </c>
      <c r="AS333" s="4">
        <v>44.305999999999997</v>
      </c>
      <c r="AT333" s="4">
        <v>31.0792</v>
      </c>
      <c r="AU333" s="4">
        <v>20.397099999999998</v>
      </c>
      <c r="AV333" s="4">
        <v>-8.8827000000000003E-2</v>
      </c>
      <c r="AW333" s="4">
        <v>-9.604E-2</v>
      </c>
      <c r="AX333" s="4">
        <v>1.4900999999999999E-2</v>
      </c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1" t="s">
        <v>3599</v>
      </c>
      <c r="BJ333" s="1" t="s">
        <v>3787</v>
      </c>
      <c r="BK333" s="1">
        <v>1</v>
      </c>
      <c r="BL333" s="1"/>
      <c r="BM333" s="1" t="s">
        <v>211</v>
      </c>
      <c r="BN333" s="1" t="s">
        <v>2710</v>
      </c>
      <c r="BO333" s="1" t="s">
        <v>2711</v>
      </c>
      <c r="BP333" s="1">
        <v>7.65</v>
      </c>
      <c r="BQ333" s="1" t="s">
        <v>1003</v>
      </c>
      <c r="BR333" s="1">
        <v>23.85</v>
      </c>
      <c r="BS333" s="1">
        <v>120.82</v>
      </c>
      <c r="BT333" s="1">
        <v>8</v>
      </c>
      <c r="BU333" s="1" t="s">
        <v>1055</v>
      </c>
      <c r="BV333" s="1" t="s">
        <v>2834</v>
      </c>
      <c r="BW333" s="1">
        <v>209</v>
      </c>
      <c r="BX333" s="1">
        <v>68</v>
      </c>
      <c r="BY333" s="1">
        <v>89</v>
      </c>
      <c r="BZ333" s="1">
        <v>31</v>
      </c>
      <c r="CA333" s="1">
        <v>21</v>
      </c>
      <c r="CB333" s="1">
        <v>92</v>
      </c>
      <c r="CC333" s="1" t="s">
        <v>2808</v>
      </c>
      <c r="CD333" s="1" t="s">
        <v>862</v>
      </c>
      <c r="CE333" s="1">
        <v>1</v>
      </c>
      <c r="CF333" s="1">
        <v>7.58</v>
      </c>
      <c r="CG333" s="1">
        <v>5.6364999999999998</v>
      </c>
      <c r="CH333" s="1">
        <v>7322.4000000000005</v>
      </c>
      <c r="CI333" s="1" t="s">
        <v>863</v>
      </c>
      <c r="CJ333" s="1" t="s">
        <v>2812</v>
      </c>
      <c r="CK333" t="s">
        <v>1263</v>
      </c>
      <c r="CL333">
        <v>90</v>
      </c>
      <c r="CM333" t="s">
        <v>2845</v>
      </c>
    </row>
    <row r="334" spans="1:91" ht="19" customHeight="1">
      <c r="A334" s="1" t="s">
        <v>3788</v>
      </c>
      <c r="B334" s="1" t="s">
        <v>3597</v>
      </c>
      <c r="C334" s="1">
        <v>91</v>
      </c>
      <c r="D334" s="1" t="s">
        <v>1074</v>
      </c>
      <c r="E334" s="1">
        <v>1999</v>
      </c>
      <c r="F334" s="1" t="s">
        <v>875</v>
      </c>
      <c r="G334" s="1" t="s">
        <v>2111</v>
      </c>
      <c r="H334" s="4">
        <v>24.557666999999999</v>
      </c>
      <c r="I334" s="4">
        <v>120.75749999999999</v>
      </c>
      <c r="J334" s="1" t="s">
        <v>1404</v>
      </c>
      <c r="K334" s="1" t="s">
        <v>70</v>
      </c>
      <c r="L334" s="1" t="s">
        <v>2112</v>
      </c>
      <c r="M334" s="1" t="s">
        <v>3598</v>
      </c>
      <c r="N334" s="1"/>
      <c r="O334" s="1" t="s">
        <v>3095</v>
      </c>
      <c r="P334" s="1"/>
      <c r="Q334" s="4">
        <v>7.65</v>
      </c>
      <c r="R334" s="4"/>
      <c r="S334" s="4"/>
      <c r="T334" s="4"/>
      <c r="U334" s="4"/>
      <c r="V334" s="4">
        <v>27.654657</v>
      </c>
      <c r="W334" s="4"/>
      <c r="X334" s="4"/>
      <c r="Y334" s="4"/>
      <c r="Z334" s="4"/>
      <c r="AA334" s="4"/>
      <c r="AB334" s="4" t="s">
        <v>1055</v>
      </c>
      <c r="AC334" s="4"/>
      <c r="AD334" s="4">
        <v>23.85</v>
      </c>
      <c r="AE334" s="4">
        <v>120.82</v>
      </c>
      <c r="AF334" s="4">
        <v>8</v>
      </c>
      <c r="AG334" s="4">
        <v>404.83100000000002</v>
      </c>
      <c r="AH334" s="27" t="b">
        <v>1</v>
      </c>
      <c r="AI334" s="4">
        <v>5.2709999999999999</v>
      </c>
      <c r="AJ334" s="27" t="b">
        <v>0</v>
      </c>
      <c r="AK334" s="4"/>
      <c r="AL334" s="27" t="b">
        <v>1</v>
      </c>
      <c r="AM334" s="4">
        <v>154.655</v>
      </c>
      <c r="AN334" s="4">
        <v>194.381</v>
      </c>
      <c r="AO334" s="4">
        <v>62.248899999999999</v>
      </c>
      <c r="AP334" s="4">
        <v>35.885100000000001</v>
      </c>
      <c r="AQ334" s="4">
        <v>51.708199999999998</v>
      </c>
      <c r="AR334" s="4">
        <v>20.833400000000001</v>
      </c>
      <c r="AS334" s="4">
        <v>67.046800000000005</v>
      </c>
      <c r="AT334" s="4">
        <v>58.624499999999998</v>
      </c>
      <c r="AU334" s="4">
        <v>27.5596</v>
      </c>
      <c r="AV334" s="4">
        <v>43.8264</v>
      </c>
      <c r="AW334" s="4">
        <v>-22.388200000000001</v>
      </c>
      <c r="AX334" s="4">
        <v>0.27594299999999999</v>
      </c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1" t="s">
        <v>3599</v>
      </c>
      <c r="BJ334" s="1" t="s">
        <v>3789</v>
      </c>
      <c r="BK334" s="1">
        <v>1</v>
      </c>
      <c r="BL334" s="1"/>
      <c r="BM334" s="1" t="s">
        <v>211</v>
      </c>
      <c r="BN334" s="1" t="s">
        <v>2710</v>
      </c>
      <c r="BO334" s="1" t="s">
        <v>2711</v>
      </c>
      <c r="BP334" s="1">
        <v>7.65</v>
      </c>
      <c r="BQ334" s="1" t="s">
        <v>1003</v>
      </c>
      <c r="BR334" s="1">
        <v>23.85</v>
      </c>
      <c r="BS334" s="1">
        <v>120.82</v>
      </c>
      <c r="BT334" s="1">
        <v>8</v>
      </c>
      <c r="BU334" s="1" t="s">
        <v>1055</v>
      </c>
      <c r="BV334" s="1" t="s">
        <v>2834</v>
      </c>
      <c r="BW334" s="1">
        <v>209</v>
      </c>
      <c r="BX334" s="1">
        <v>68</v>
      </c>
      <c r="BY334" s="1">
        <v>89</v>
      </c>
      <c r="BZ334" s="1">
        <v>31</v>
      </c>
      <c r="CA334" s="1">
        <v>21</v>
      </c>
      <c r="CB334" s="1">
        <v>92</v>
      </c>
      <c r="CC334" s="1" t="s">
        <v>2808</v>
      </c>
      <c r="CD334" s="1" t="s">
        <v>862</v>
      </c>
      <c r="CE334" s="1">
        <v>1</v>
      </c>
      <c r="CF334" s="1">
        <v>7.58</v>
      </c>
      <c r="CG334" s="1">
        <v>5.6364999999999998</v>
      </c>
      <c r="CH334" s="1">
        <v>7322.4000000000005</v>
      </c>
      <c r="CI334" s="1" t="s">
        <v>863</v>
      </c>
      <c r="CJ334" s="1" t="s">
        <v>2812</v>
      </c>
      <c r="CK334" t="s">
        <v>1263</v>
      </c>
      <c r="CL334">
        <v>91</v>
      </c>
      <c r="CM334" t="s">
        <v>2845</v>
      </c>
    </row>
    <row r="335" spans="1:91" ht="19" customHeight="1">
      <c r="A335" s="1" t="s">
        <v>3790</v>
      </c>
      <c r="B335" s="1" t="s">
        <v>3597</v>
      </c>
      <c r="C335" s="1">
        <v>92</v>
      </c>
      <c r="D335" s="1" t="s">
        <v>1074</v>
      </c>
      <c r="E335" s="1">
        <v>1999</v>
      </c>
      <c r="F335" s="1" t="s">
        <v>876</v>
      </c>
      <c r="G335" s="1" t="s">
        <v>2114</v>
      </c>
      <c r="H335" s="4">
        <v>24.559332999999999</v>
      </c>
      <c r="I335" s="4">
        <v>120.709667</v>
      </c>
      <c r="J335" s="1" t="s">
        <v>1404</v>
      </c>
      <c r="K335" s="1" t="s">
        <v>70</v>
      </c>
      <c r="L335" s="1" t="s">
        <v>2115</v>
      </c>
      <c r="M335" s="1" t="s">
        <v>3598</v>
      </c>
      <c r="N335" s="1"/>
      <c r="O335" s="1" t="s">
        <v>3095</v>
      </c>
      <c r="P335" s="1"/>
      <c r="Q335" s="4">
        <v>7.65</v>
      </c>
      <c r="R335" s="4"/>
      <c r="S335" s="4"/>
      <c r="T335" s="4"/>
      <c r="U335" s="4"/>
      <c r="V335" s="4">
        <v>29.543451000000001</v>
      </c>
      <c r="W335" s="4"/>
      <c r="X335" s="4"/>
      <c r="Y335" s="4"/>
      <c r="Z335" s="4"/>
      <c r="AA335" s="4"/>
      <c r="AB335" s="4" t="s">
        <v>1055</v>
      </c>
      <c r="AC335" s="4"/>
      <c r="AD335" s="4">
        <v>23.85</v>
      </c>
      <c r="AE335" s="4">
        <v>120.82</v>
      </c>
      <c r="AF335" s="4">
        <v>8</v>
      </c>
      <c r="AG335" s="4">
        <v>476.3039</v>
      </c>
      <c r="AH335" s="27" t="b">
        <v>1</v>
      </c>
      <c r="AI335" s="4">
        <v>5.9290000000000003</v>
      </c>
      <c r="AJ335" s="27" t="b">
        <v>0</v>
      </c>
      <c r="AK335" s="4"/>
      <c r="AL335" s="27" t="b">
        <v>1</v>
      </c>
      <c r="AM335" s="4">
        <v>112.413</v>
      </c>
      <c r="AN335" s="4">
        <v>122.56399999999999</v>
      </c>
      <c r="AO335" s="4">
        <v>65.251099999999994</v>
      </c>
      <c r="AP335" s="4">
        <v>54.045699999999997</v>
      </c>
      <c r="AQ335" s="4">
        <v>47.235500000000002</v>
      </c>
      <c r="AR335" s="4">
        <v>26.5138</v>
      </c>
      <c r="AS335" s="4">
        <v>75.996899999999997</v>
      </c>
      <c r="AT335" s="4">
        <v>31.159300000000002</v>
      </c>
      <c r="AU335" s="4">
        <v>32.238500000000002</v>
      </c>
      <c r="AV335" s="4">
        <v>-16.8874</v>
      </c>
      <c r="AW335" s="4">
        <v>-6.9202500000000002</v>
      </c>
      <c r="AX335" s="4">
        <v>18.270199999999999</v>
      </c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1" t="s">
        <v>3599</v>
      </c>
      <c r="BJ335" s="1" t="s">
        <v>3791</v>
      </c>
      <c r="BK335" s="1">
        <v>1</v>
      </c>
      <c r="BL335" s="1"/>
      <c r="BM335" s="1" t="s">
        <v>211</v>
      </c>
      <c r="BN335" s="1" t="s">
        <v>2710</v>
      </c>
      <c r="BO335" s="1" t="s">
        <v>2711</v>
      </c>
      <c r="BP335" s="1">
        <v>7.65</v>
      </c>
      <c r="BQ335" s="1" t="s">
        <v>1003</v>
      </c>
      <c r="BR335" s="1">
        <v>23.85</v>
      </c>
      <c r="BS335" s="1">
        <v>120.82</v>
      </c>
      <c r="BT335" s="1">
        <v>8</v>
      </c>
      <c r="BU335" s="1" t="s">
        <v>1055</v>
      </c>
      <c r="BV335" s="1" t="s">
        <v>2834</v>
      </c>
      <c r="BW335" s="1">
        <v>209</v>
      </c>
      <c r="BX335" s="1">
        <v>68</v>
      </c>
      <c r="BY335" s="1">
        <v>89</v>
      </c>
      <c r="BZ335" s="1">
        <v>31</v>
      </c>
      <c r="CA335" s="1">
        <v>21</v>
      </c>
      <c r="CB335" s="1">
        <v>92</v>
      </c>
      <c r="CC335" s="1" t="s">
        <v>2808</v>
      </c>
      <c r="CD335" s="1" t="s">
        <v>862</v>
      </c>
      <c r="CE335" s="1">
        <v>1</v>
      </c>
      <c r="CF335" s="1">
        <v>7.58</v>
      </c>
      <c r="CG335" s="1">
        <v>5.6364999999999998</v>
      </c>
      <c r="CH335" s="1">
        <v>7322.4000000000005</v>
      </c>
      <c r="CI335" s="1" t="s">
        <v>863</v>
      </c>
      <c r="CJ335" s="1" t="s">
        <v>2812</v>
      </c>
      <c r="CK335" t="s">
        <v>1263</v>
      </c>
      <c r="CL335">
        <v>92</v>
      </c>
      <c r="CM335" t="s">
        <v>2845</v>
      </c>
    </row>
    <row r="336" spans="1:91" ht="19" customHeight="1">
      <c r="A336" s="1" t="s">
        <v>3792</v>
      </c>
      <c r="B336" s="1" t="s">
        <v>3597</v>
      </c>
      <c r="C336" s="1">
        <v>93</v>
      </c>
      <c r="D336" s="1" t="s">
        <v>1074</v>
      </c>
      <c r="E336" s="1">
        <v>1999</v>
      </c>
      <c r="F336" s="1" t="s">
        <v>877</v>
      </c>
      <c r="G336" s="1" t="s">
        <v>2117</v>
      </c>
      <c r="H336" s="4">
        <v>24.683499999999999</v>
      </c>
      <c r="I336" s="4">
        <v>120.870333</v>
      </c>
      <c r="J336" s="1" t="s">
        <v>1404</v>
      </c>
      <c r="K336" s="1" t="s">
        <v>70</v>
      </c>
      <c r="L336" s="1" t="s">
        <v>2118</v>
      </c>
      <c r="M336" s="1" t="s">
        <v>3598</v>
      </c>
      <c r="N336" s="1"/>
      <c r="O336" s="1" t="s">
        <v>3095</v>
      </c>
      <c r="P336" s="1"/>
      <c r="Q336" s="4">
        <v>7.65</v>
      </c>
      <c r="R336" s="4"/>
      <c r="S336" s="4"/>
      <c r="T336" s="4"/>
      <c r="U336" s="4"/>
      <c r="V336" s="4">
        <v>40.694814999999998</v>
      </c>
      <c r="W336" s="4"/>
      <c r="X336" s="4"/>
      <c r="Y336" s="4"/>
      <c r="Z336" s="4"/>
      <c r="AA336" s="4"/>
      <c r="AB336" s="4" t="s">
        <v>1055</v>
      </c>
      <c r="AC336" s="4"/>
      <c r="AD336" s="4">
        <v>23.85</v>
      </c>
      <c r="AE336" s="4">
        <v>120.82</v>
      </c>
      <c r="AF336" s="4">
        <v>8</v>
      </c>
      <c r="AG336" s="4">
        <v>420.55090000000001</v>
      </c>
      <c r="AH336" s="27" t="b">
        <v>1</v>
      </c>
      <c r="AI336" s="4">
        <v>8.9740000000000002</v>
      </c>
      <c r="AJ336" s="27" t="b">
        <v>0</v>
      </c>
      <c r="AK336" s="4"/>
      <c r="AL336" s="27" t="b">
        <v>0</v>
      </c>
      <c r="AM336" s="4">
        <v>154.541</v>
      </c>
      <c r="AN336" s="4">
        <v>181.81</v>
      </c>
      <c r="AO336" s="4">
        <v>73.018500000000003</v>
      </c>
      <c r="AP336" s="4">
        <v>41.550199999999997</v>
      </c>
      <c r="AQ336" s="4">
        <v>24.0181</v>
      </c>
      <c r="AR336" s="4">
        <v>15.124499999999999</v>
      </c>
      <c r="AS336" s="4">
        <v>49.3932</v>
      </c>
      <c r="AT336" s="4">
        <v>18.978999999999999</v>
      </c>
      <c r="AU336" s="4">
        <v>15.0708</v>
      </c>
      <c r="AV336" s="4">
        <v>-0.18764700000000001</v>
      </c>
      <c r="AW336" s="4">
        <v>-0.14413000000000001</v>
      </c>
      <c r="AX336" s="4">
        <v>1.9207999999999999E-2</v>
      </c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1" t="s">
        <v>3599</v>
      </c>
      <c r="BJ336" s="1" t="s">
        <v>3793</v>
      </c>
      <c r="BK336" s="1">
        <v>1</v>
      </c>
      <c r="BL336" s="1"/>
      <c r="BM336" s="1" t="s">
        <v>211</v>
      </c>
      <c r="BN336" s="1" t="s">
        <v>2710</v>
      </c>
      <c r="BO336" s="1" t="s">
        <v>2711</v>
      </c>
      <c r="BP336" s="1">
        <v>7.65</v>
      </c>
      <c r="BQ336" s="1" t="s">
        <v>1003</v>
      </c>
      <c r="BR336" s="1">
        <v>23.85</v>
      </c>
      <c r="BS336" s="1">
        <v>120.82</v>
      </c>
      <c r="BT336" s="1">
        <v>8</v>
      </c>
      <c r="BU336" s="1" t="s">
        <v>1055</v>
      </c>
      <c r="BV336" s="1" t="s">
        <v>2834</v>
      </c>
      <c r="BW336" s="1">
        <v>209</v>
      </c>
      <c r="BX336" s="1">
        <v>68</v>
      </c>
      <c r="BY336" s="1">
        <v>89</v>
      </c>
      <c r="BZ336" s="1">
        <v>31</v>
      </c>
      <c r="CA336" s="1">
        <v>21</v>
      </c>
      <c r="CB336" s="1">
        <v>92</v>
      </c>
      <c r="CC336" s="1" t="s">
        <v>2808</v>
      </c>
      <c r="CD336" s="1" t="s">
        <v>862</v>
      </c>
      <c r="CE336" s="1">
        <v>1</v>
      </c>
      <c r="CF336" s="1">
        <v>7.58</v>
      </c>
      <c r="CG336" s="1">
        <v>5.6364999999999998</v>
      </c>
      <c r="CH336" s="1">
        <v>7322.4000000000005</v>
      </c>
      <c r="CI336" s="1" t="s">
        <v>863</v>
      </c>
      <c r="CJ336" s="1" t="s">
        <v>2812</v>
      </c>
      <c r="CK336" t="s">
        <v>1263</v>
      </c>
      <c r="CL336">
        <v>93</v>
      </c>
      <c r="CM336" t="s">
        <v>2845</v>
      </c>
    </row>
    <row r="337" spans="1:91" ht="19" customHeight="1">
      <c r="A337" s="1" t="s">
        <v>3794</v>
      </c>
      <c r="B337" s="1" t="s">
        <v>3597</v>
      </c>
      <c r="C337" s="1">
        <v>94</v>
      </c>
      <c r="D337" s="1" t="s">
        <v>1074</v>
      </c>
      <c r="E337" s="1">
        <v>1999</v>
      </c>
      <c r="F337" s="1" t="s">
        <v>878</v>
      </c>
      <c r="G337" s="1" t="s">
        <v>2120</v>
      </c>
      <c r="H337" s="4">
        <v>24.638000000000002</v>
      </c>
      <c r="I337" s="4">
        <v>120.86533300000001</v>
      </c>
      <c r="J337" s="1" t="s">
        <v>1404</v>
      </c>
      <c r="K337" s="1" t="s">
        <v>70</v>
      </c>
      <c r="L337" s="1" t="s">
        <v>2121</v>
      </c>
      <c r="M337" s="1" t="s">
        <v>3598</v>
      </c>
      <c r="N337" s="1"/>
      <c r="O337" s="1" t="s">
        <v>3095</v>
      </c>
      <c r="P337" s="1"/>
      <c r="Q337" s="4">
        <v>7.65</v>
      </c>
      <c r="R337" s="4"/>
      <c r="S337" s="4"/>
      <c r="T337" s="4"/>
      <c r="U337" s="4"/>
      <c r="V337" s="4">
        <v>35.610543</v>
      </c>
      <c r="W337" s="4"/>
      <c r="X337" s="4"/>
      <c r="Y337" s="4"/>
      <c r="Z337" s="4"/>
      <c r="AA337" s="4"/>
      <c r="AB337" s="4" t="s">
        <v>1055</v>
      </c>
      <c r="AC337" s="4"/>
      <c r="AD337" s="4">
        <v>23.85</v>
      </c>
      <c r="AE337" s="4">
        <v>120.82</v>
      </c>
      <c r="AF337" s="4">
        <v>8</v>
      </c>
      <c r="AG337" s="4">
        <v>391.56819999999999</v>
      </c>
      <c r="AH337" s="27" t="b">
        <v>1</v>
      </c>
      <c r="AI337" s="4">
        <v>8.8689999999999998</v>
      </c>
      <c r="AJ337" s="27" t="b">
        <v>0</v>
      </c>
      <c r="AK337" s="4"/>
      <c r="AL337" s="27" t="b">
        <v>1</v>
      </c>
      <c r="AM337" s="4">
        <v>247.935</v>
      </c>
      <c r="AN337" s="4">
        <v>103.25</v>
      </c>
      <c r="AO337" s="4">
        <v>70.258499999999998</v>
      </c>
      <c r="AP337" s="4">
        <v>43.2119</v>
      </c>
      <c r="AQ337" s="4">
        <v>24.278500000000001</v>
      </c>
      <c r="AR337" s="4">
        <v>12.0738</v>
      </c>
      <c r="AS337" s="4">
        <v>48.303899999999999</v>
      </c>
      <c r="AT337" s="4">
        <v>20.1539</v>
      </c>
      <c r="AU337" s="4">
        <v>13.175700000000001</v>
      </c>
      <c r="AV337" s="4">
        <v>-6.8035199999999998</v>
      </c>
      <c r="AW337" s="4">
        <v>-3.6987100000000002</v>
      </c>
      <c r="AX337" s="4">
        <v>4.3638300000000001</v>
      </c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1" t="s">
        <v>3599</v>
      </c>
      <c r="BJ337" s="1" t="s">
        <v>3795</v>
      </c>
      <c r="BK337" s="1">
        <v>1</v>
      </c>
      <c r="BL337" s="1"/>
      <c r="BM337" s="1" t="s">
        <v>211</v>
      </c>
      <c r="BN337" s="1" t="s">
        <v>2710</v>
      </c>
      <c r="BO337" s="1" t="s">
        <v>2711</v>
      </c>
      <c r="BP337" s="1">
        <v>7.65</v>
      </c>
      <c r="BQ337" s="1" t="s">
        <v>1003</v>
      </c>
      <c r="BR337" s="1">
        <v>23.85</v>
      </c>
      <c r="BS337" s="1">
        <v>120.82</v>
      </c>
      <c r="BT337" s="1">
        <v>8</v>
      </c>
      <c r="BU337" s="1" t="s">
        <v>1055</v>
      </c>
      <c r="BV337" s="1" t="s">
        <v>2834</v>
      </c>
      <c r="BW337" s="1">
        <v>209</v>
      </c>
      <c r="BX337" s="1">
        <v>68</v>
      </c>
      <c r="BY337" s="1">
        <v>89</v>
      </c>
      <c r="BZ337" s="1">
        <v>31</v>
      </c>
      <c r="CA337" s="1">
        <v>21</v>
      </c>
      <c r="CB337" s="1">
        <v>92</v>
      </c>
      <c r="CC337" s="1" t="s">
        <v>2808</v>
      </c>
      <c r="CD337" s="1" t="s">
        <v>862</v>
      </c>
      <c r="CE337" s="1">
        <v>1</v>
      </c>
      <c r="CF337" s="1">
        <v>7.58</v>
      </c>
      <c r="CG337" s="1">
        <v>5.6364999999999998</v>
      </c>
      <c r="CH337" s="1">
        <v>7322.4000000000005</v>
      </c>
      <c r="CI337" s="1" t="s">
        <v>863</v>
      </c>
      <c r="CJ337" s="1" t="s">
        <v>2812</v>
      </c>
      <c r="CK337" t="s">
        <v>1263</v>
      </c>
      <c r="CL337">
        <v>94</v>
      </c>
      <c r="CM337" t="s">
        <v>2845</v>
      </c>
    </row>
    <row r="338" spans="1:91" ht="19" customHeight="1">
      <c r="A338" s="1" t="s">
        <v>3796</v>
      </c>
      <c r="B338" s="1" t="s">
        <v>3597</v>
      </c>
      <c r="C338" s="1">
        <v>95</v>
      </c>
      <c r="D338" s="1" t="s">
        <v>1074</v>
      </c>
      <c r="E338" s="1">
        <v>1999</v>
      </c>
      <c r="F338" s="1" t="s">
        <v>879</v>
      </c>
      <c r="G338" s="1" t="s">
        <v>2123</v>
      </c>
      <c r="H338" s="4">
        <v>24.446833000000002</v>
      </c>
      <c r="I338" s="4">
        <v>120.70483299999999</v>
      </c>
      <c r="J338" s="1" t="s">
        <v>1404</v>
      </c>
      <c r="K338" s="1" t="s">
        <v>70</v>
      </c>
      <c r="L338" s="1" t="s">
        <v>2124</v>
      </c>
      <c r="M338" s="1" t="s">
        <v>3598</v>
      </c>
      <c r="N338" s="1"/>
      <c r="O338" s="1" t="s">
        <v>3095</v>
      </c>
      <c r="P338" s="1"/>
      <c r="Q338" s="4">
        <v>7.65</v>
      </c>
      <c r="R338" s="4"/>
      <c r="S338" s="4"/>
      <c r="T338" s="4"/>
      <c r="U338" s="4"/>
      <c r="V338" s="4">
        <v>19.331235</v>
      </c>
      <c r="W338" s="4"/>
      <c r="X338" s="4"/>
      <c r="Y338" s="4"/>
      <c r="Z338" s="4"/>
      <c r="AA338" s="4"/>
      <c r="AB338" s="4" t="s">
        <v>1055</v>
      </c>
      <c r="AC338" s="4"/>
      <c r="AD338" s="4">
        <v>23.85</v>
      </c>
      <c r="AE338" s="4">
        <v>120.82</v>
      </c>
      <c r="AF338" s="4">
        <v>8</v>
      </c>
      <c r="AG338" s="4">
        <v>483.13069999999999</v>
      </c>
      <c r="AH338" s="27" t="b">
        <v>1</v>
      </c>
      <c r="AI338" s="4">
        <v>5.383</v>
      </c>
      <c r="AJ338" s="27" t="b">
        <v>0</v>
      </c>
      <c r="AK338" s="4"/>
      <c r="AL338" s="27" t="b">
        <v>1</v>
      </c>
      <c r="AM338" s="4">
        <v>134.31200000000001</v>
      </c>
      <c r="AN338" s="4">
        <v>122.274</v>
      </c>
      <c r="AO338" s="4">
        <v>60.9679</v>
      </c>
      <c r="AP338" s="4">
        <v>60.256999999999998</v>
      </c>
      <c r="AQ338" s="4">
        <v>46.825200000000002</v>
      </c>
      <c r="AR338" s="4">
        <v>22.961500000000001</v>
      </c>
      <c r="AS338" s="4">
        <v>100.598</v>
      </c>
      <c r="AT338" s="4">
        <v>77.734300000000005</v>
      </c>
      <c r="AU338" s="4">
        <v>19.755299999999998</v>
      </c>
      <c r="AV338" s="4">
        <v>65.720799999999997</v>
      </c>
      <c r="AW338" s="4">
        <v>-28.434999999999999</v>
      </c>
      <c r="AX338" s="4">
        <v>11.231299999999999</v>
      </c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1" t="s">
        <v>3599</v>
      </c>
      <c r="BJ338" s="1" t="s">
        <v>3797</v>
      </c>
      <c r="BK338" s="1">
        <v>1</v>
      </c>
      <c r="BL338" s="1"/>
      <c r="BM338" s="1" t="s">
        <v>211</v>
      </c>
      <c r="BN338" s="1" t="s">
        <v>2710</v>
      </c>
      <c r="BO338" s="1" t="s">
        <v>2711</v>
      </c>
      <c r="BP338" s="1">
        <v>7.65</v>
      </c>
      <c r="BQ338" s="1" t="s">
        <v>1003</v>
      </c>
      <c r="BR338" s="1">
        <v>23.85</v>
      </c>
      <c r="BS338" s="1">
        <v>120.82</v>
      </c>
      <c r="BT338" s="1">
        <v>8</v>
      </c>
      <c r="BU338" s="1" t="s">
        <v>1055</v>
      </c>
      <c r="BV338" s="1" t="s">
        <v>2834</v>
      </c>
      <c r="BW338" s="1">
        <v>209</v>
      </c>
      <c r="BX338" s="1">
        <v>68</v>
      </c>
      <c r="BY338" s="1">
        <v>89</v>
      </c>
      <c r="BZ338" s="1">
        <v>31</v>
      </c>
      <c r="CA338" s="1">
        <v>21</v>
      </c>
      <c r="CB338" s="1">
        <v>92</v>
      </c>
      <c r="CC338" s="1" t="s">
        <v>2808</v>
      </c>
      <c r="CD338" s="1" t="s">
        <v>862</v>
      </c>
      <c r="CE338" s="1">
        <v>1</v>
      </c>
      <c r="CF338" s="1">
        <v>7.58</v>
      </c>
      <c r="CG338" s="1">
        <v>5.6364999999999998</v>
      </c>
      <c r="CH338" s="1">
        <v>7322.4000000000005</v>
      </c>
      <c r="CI338" s="1" t="s">
        <v>863</v>
      </c>
      <c r="CJ338" s="1" t="s">
        <v>2812</v>
      </c>
      <c r="CK338" t="s">
        <v>1263</v>
      </c>
      <c r="CL338">
        <v>95</v>
      </c>
      <c r="CM338" t="s">
        <v>2845</v>
      </c>
    </row>
    <row r="339" spans="1:91" ht="19" customHeight="1">
      <c r="A339" s="1" t="s">
        <v>3798</v>
      </c>
      <c r="B339" s="1" t="s">
        <v>3597</v>
      </c>
      <c r="C339" s="1">
        <v>96</v>
      </c>
      <c r="D339" s="1" t="s">
        <v>1074</v>
      </c>
      <c r="E339" s="1">
        <v>1999</v>
      </c>
      <c r="F339" s="1" t="s">
        <v>880</v>
      </c>
      <c r="G339" s="1" t="s">
        <v>2126</v>
      </c>
      <c r="H339" s="4">
        <v>24.491167000000001</v>
      </c>
      <c r="I339" s="4">
        <v>120.674167</v>
      </c>
      <c r="J339" s="1" t="s">
        <v>1404</v>
      </c>
      <c r="K339" s="1" t="s">
        <v>70</v>
      </c>
      <c r="L339" s="1" t="s">
        <v>2127</v>
      </c>
      <c r="M339" s="1" t="s">
        <v>3598</v>
      </c>
      <c r="N339" s="1"/>
      <c r="O339" s="1" t="s">
        <v>3095</v>
      </c>
      <c r="P339" s="1"/>
      <c r="Q339" s="4">
        <v>7.65</v>
      </c>
      <c r="R339" s="4"/>
      <c r="S339" s="4"/>
      <c r="T339" s="4"/>
      <c r="U339" s="4"/>
      <c r="V339" s="4">
        <v>24.999455000000001</v>
      </c>
      <c r="W339" s="4"/>
      <c r="X339" s="4"/>
      <c r="Y339" s="4"/>
      <c r="Z339" s="4"/>
      <c r="AA339" s="4"/>
      <c r="AB339" s="4" t="s">
        <v>1055</v>
      </c>
      <c r="AC339" s="4"/>
      <c r="AD339" s="4">
        <v>23.85</v>
      </c>
      <c r="AE339" s="4">
        <v>120.82</v>
      </c>
      <c r="AF339" s="4">
        <v>8</v>
      </c>
      <c r="AG339" s="4">
        <v>306.01293800000002</v>
      </c>
      <c r="AH339" s="27" t="b">
        <v>1</v>
      </c>
      <c r="AI339" s="4">
        <v>9.5760000000000005</v>
      </c>
      <c r="AJ339" s="27" t="b">
        <v>1</v>
      </c>
      <c r="AK339" s="4">
        <v>5.46</v>
      </c>
      <c r="AL339" s="27" t="b">
        <v>1</v>
      </c>
      <c r="AM339" s="4">
        <v>142.31399999999999</v>
      </c>
      <c r="AN339" s="4">
        <v>142.667</v>
      </c>
      <c r="AO339" s="4">
        <v>65.813599999999994</v>
      </c>
      <c r="AP339" s="4">
        <v>56.907200000000003</v>
      </c>
      <c r="AQ339" s="4">
        <v>39.012099999999997</v>
      </c>
      <c r="AR339" s="4">
        <v>32.921399999999998</v>
      </c>
      <c r="AS339" s="4">
        <v>68.314599999999999</v>
      </c>
      <c r="AT339" s="4">
        <v>64.818399999999997</v>
      </c>
      <c r="AU339" s="4">
        <v>26.690100000000001</v>
      </c>
      <c r="AV339" s="4">
        <v>23.908100000000001</v>
      </c>
      <c r="AW339" s="4">
        <v>-21.6539</v>
      </c>
      <c r="AX339" s="4">
        <v>9.5164500000000007</v>
      </c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1"/>
      <c r="BJ339" s="1" t="s">
        <v>3799</v>
      </c>
      <c r="BK339" s="1">
        <v>1</v>
      </c>
      <c r="BL339" s="1"/>
      <c r="BM339" s="1" t="s">
        <v>211</v>
      </c>
      <c r="BN339" s="1" t="s">
        <v>2710</v>
      </c>
      <c r="BO339" s="1" t="s">
        <v>2711</v>
      </c>
      <c r="BP339" s="1">
        <v>7.65</v>
      </c>
      <c r="BQ339" s="1" t="s">
        <v>1003</v>
      </c>
      <c r="BR339" s="1">
        <v>23.85</v>
      </c>
      <c r="BS339" s="1">
        <v>120.82</v>
      </c>
      <c r="BT339" s="1">
        <v>8</v>
      </c>
      <c r="BU339" s="1" t="s">
        <v>1055</v>
      </c>
      <c r="BV339" s="1" t="s">
        <v>2834</v>
      </c>
      <c r="BW339" s="1">
        <v>209</v>
      </c>
      <c r="BX339" s="1">
        <v>68</v>
      </c>
      <c r="BY339" s="1">
        <v>89</v>
      </c>
      <c r="BZ339" s="1">
        <v>31</v>
      </c>
      <c r="CA339" s="1">
        <v>21</v>
      </c>
      <c r="CB339" s="1">
        <v>92</v>
      </c>
      <c r="CC339" s="1" t="s">
        <v>2808</v>
      </c>
      <c r="CD339" s="1" t="s">
        <v>862</v>
      </c>
      <c r="CE339" s="1">
        <v>1</v>
      </c>
      <c r="CF339" s="1">
        <v>7.58</v>
      </c>
      <c r="CG339" s="1">
        <v>5.6364999999999998</v>
      </c>
      <c r="CH339" s="1">
        <v>7322.4000000000005</v>
      </c>
      <c r="CI339" s="1" t="s">
        <v>863</v>
      </c>
      <c r="CJ339" s="1" t="s">
        <v>2812</v>
      </c>
      <c r="CK339" t="s">
        <v>1263</v>
      </c>
      <c r="CL339">
        <v>96</v>
      </c>
      <c r="CM339" t="s">
        <v>2845</v>
      </c>
    </row>
    <row r="340" spans="1:91" ht="19" customHeight="1">
      <c r="A340" s="1" t="s">
        <v>3800</v>
      </c>
      <c r="B340" s="1" t="s">
        <v>3597</v>
      </c>
      <c r="C340" s="1">
        <v>97</v>
      </c>
      <c r="D340" s="1" t="s">
        <v>1074</v>
      </c>
      <c r="E340" s="1">
        <v>1999</v>
      </c>
      <c r="F340" s="1" t="s">
        <v>881</v>
      </c>
      <c r="G340" s="1" t="s">
        <v>2129</v>
      </c>
      <c r="H340" s="4">
        <v>24.489667000000001</v>
      </c>
      <c r="I340" s="4">
        <v>120.79083300000001</v>
      </c>
      <c r="J340" s="1" t="s">
        <v>1404</v>
      </c>
      <c r="K340" s="1" t="s">
        <v>70</v>
      </c>
      <c r="L340" s="1" t="s">
        <v>2130</v>
      </c>
      <c r="M340" s="1" t="s">
        <v>3598</v>
      </c>
      <c r="N340" s="1"/>
      <c r="O340" s="1" t="s">
        <v>3095</v>
      </c>
      <c r="P340" s="1"/>
      <c r="Q340" s="4">
        <v>7.65</v>
      </c>
      <c r="R340" s="4"/>
      <c r="S340" s="4"/>
      <c r="T340" s="4"/>
      <c r="U340" s="4"/>
      <c r="V340" s="4">
        <v>19.483107</v>
      </c>
      <c r="W340" s="4"/>
      <c r="X340" s="4"/>
      <c r="Y340" s="4"/>
      <c r="Z340" s="4"/>
      <c r="AA340" s="4"/>
      <c r="AB340" s="4" t="s">
        <v>1055</v>
      </c>
      <c r="AC340" s="4"/>
      <c r="AD340" s="4">
        <v>23.85</v>
      </c>
      <c r="AE340" s="4">
        <v>120.82</v>
      </c>
      <c r="AF340" s="4">
        <v>8</v>
      </c>
      <c r="AG340" s="4">
        <v>549.55119999999999</v>
      </c>
      <c r="AH340" s="27" t="b">
        <v>1</v>
      </c>
      <c r="AI340" s="4">
        <v>9.3309999999999995</v>
      </c>
      <c r="AJ340" s="27" t="b">
        <v>1</v>
      </c>
      <c r="AK340" s="4">
        <v>5.74</v>
      </c>
      <c r="AL340" s="27" t="b">
        <v>1</v>
      </c>
      <c r="AM340" s="4">
        <v>193.321</v>
      </c>
      <c r="AN340" s="4">
        <v>136.02799999999999</v>
      </c>
      <c r="AO340" s="4">
        <v>121.819</v>
      </c>
      <c r="AP340" s="4">
        <v>55.253599999999999</v>
      </c>
      <c r="AQ340" s="4">
        <v>57.277500000000003</v>
      </c>
      <c r="AR340" s="4">
        <v>52.478299999999997</v>
      </c>
      <c r="AS340" s="4">
        <v>66.811700000000002</v>
      </c>
      <c r="AT340" s="4">
        <v>73.206400000000002</v>
      </c>
      <c r="AU340" s="4">
        <v>45.589100000000002</v>
      </c>
      <c r="AV340" s="4">
        <v>10.722300000000001</v>
      </c>
      <c r="AW340" s="4">
        <v>-25.969000000000001</v>
      </c>
      <c r="AX340" s="4">
        <v>28.939900000000002</v>
      </c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1"/>
      <c r="BJ340" s="1" t="s">
        <v>3801</v>
      </c>
      <c r="BK340" s="1">
        <v>1</v>
      </c>
      <c r="BL340" s="1"/>
      <c r="BM340" s="1" t="s">
        <v>211</v>
      </c>
      <c r="BN340" s="1" t="s">
        <v>2710</v>
      </c>
      <c r="BO340" s="1" t="s">
        <v>2711</v>
      </c>
      <c r="BP340" s="1">
        <v>7.65</v>
      </c>
      <c r="BQ340" s="1" t="s">
        <v>1003</v>
      </c>
      <c r="BR340" s="1">
        <v>23.85</v>
      </c>
      <c r="BS340" s="1">
        <v>120.82</v>
      </c>
      <c r="BT340" s="1">
        <v>8</v>
      </c>
      <c r="BU340" s="1" t="s">
        <v>1055</v>
      </c>
      <c r="BV340" s="1" t="s">
        <v>2834</v>
      </c>
      <c r="BW340" s="1">
        <v>209</v>
      </c>
      <c r="BX340" s="1">
        <v>68</v>
      </c>
      <c r="BY340" s="1">
        <v>89</v>
      </c>
      <c r="BZ340" s="1">
        <v>31</v>
      </c>
      <c r="CA340" s="1">
        <v>21</v>
      </c>
      <c r="CB340" s="1">
        <v>92</v>
      </c>
      <c r="CC340" s="1" t="s">
        <v>2808</v>
      </c>
      <c r="CD340" s="1" t="s">
        <v>862</v>
      </c>
      <c r="CE340" s="1">
        <v>1</v>
      </c>
      <c r="CF340" s="1">
        <v>7.58</v>
      </c>
      <c r="CG340" s="1">
        <v>5.6364999999999998</v>
      </c>
      <c r="CH340" s="1">
        <v>7322.4000000000005</v>
      </c>
      <c r="CI340" s="1" t="s">
        <v>863</v>
      </c>
      <c r="CJ340" s="1" t="s">
        <v>2812</v>
      </c>
      <c r="CK340" t="s">
        <v>1263</v>
      </c>
      <c r="CL340">
        <v>97</v>
      </c>
      <c r="CM340" t="s">
        <v>2845</v>
      </c>
    </row>
    <row r="341" spans="1:91" ht="19" customHeight="1">
      <c r="A341" s="1" t="s">
        <v>3802</v>
      </c>
      <c r="B341" s="1" t="s">
        <v>3597</v>
      </c>
      <c r="C341" s="1">
        <v>98</v>
      </c>
      <c r="D341" s="1" t="s">
        <v>1074</v>
      </c>
      <c r="E341" s="1">
        <v>1999</v>
      </c>
      <c r="F341" s="1" t="s">
        <v>882</v>
      </c>
      <c r="G341" s="1" t="s">
        <v>2132</v>
      </c>
      <c r="H341" s="4">
        <v>24.448833</v>
      </c>
      <c r="I341" s="4">
        <v>120.655</v>
      </c>
      <c r="J341" s="1" t="s">
        <v>1404</v>
      </c>
      <c r="K341" s="1" t="s">
        <v>70</v>
      </c>
      <c r="L341" s="1" t="s">
        <v>2133</v>
      </c>
      <c r="M341" s="1" t="s">
        <v>3598</v>
      </c>
      <c r="N341" s="1"/>
      <c r="O341" s="1" t="s">
        <v>3095</v>
      </c>
      <c r="P341" s="1"/>
      <c r="Q341" s="4">
        <v>7.65</v>
      </c>
      <c r="R341" s="4"/>
      <c r="S341" s="4"/>
      <c r="T341" s="4"/>
      <c r="U341" s="4"/>
      <c r="V341" s="4">
        <v>21.483913999999999</v>
      </c>
      <c r="W341" s="4"/>
      <c r="X341" s="4"/>
      <c r="Y341" s="4"/>
      <c r="Z341" s="4"/>
      <c r="AA341" s="4"/>
      <c r="AB341" s="4" t="s">
        <v>1055</v>
      </c>
      <c r="AC341" s="4"/>
      <c r="AD341" s="4">
        <v>23.85</v>
      </c>
      <c r="AE341" s="4">
        <v>120.82</v>
      </c>
      <c r="AF341" s="4">
        <v>8</v>
      </c>
      <c r="AG341" s="4">
        <v>336.19099999999997</v>
      </c>
      <c r="AH341" s="27" t="b">
        <v>1</v>
      </c>
      <c r="AI341" s="4">
        <v>6.4119999999999999</v>
      </c>
      <c r="AJ341" s="27" t="b">
        <v>0</v>
      </c>
      <c r="AK341" s="4"/>
      <c r="AL341" s="27" t="b">
        <v>1</v>
      </c>
      <c r="AM341" s="4">
        <v>158.90600000000001</v>
      </c>
      <c r="AN341" s="4">
        <v>121.941</v>
      </c>
      <c r="AO341" s="4">
        <v>78.9756</v>
      </c>
      <c r="AP341" s="4">
        <v>56.600900000000003</v>
      </c>
      <c r="AQ341" s="4">
        <v>47.285899999999998</v>
      </c>
      <c r="AR341" s="4">
        <v>18.1157</v>
      </c>
      <c r="AS341" s="4">
        <v>73.231899999999996</v>
      </c>
      <c r="AT341" s="4">
        <v>69.263800000000003</v>
      </c>
      <c r="AU341" s="4">
        <v>17.302</v>
      </c>
      <c r="AV341" s="4">
        <v>24.6325</v>
      </c>
      <c r="AW341" s="4">
        <v>-17.7333</v>
      </c>
      <c r="AX341" s="4">
        <v>3.9460500000000001</v>
      </c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1" t="s">
        <v>3599</v>
      </c>
      <c r="BJ341" s="1" t="s">
        <v>3803</v>
      </c>
      <c r="BK341" s="1">
        <v>1</v>
      </c>
      <c r="BL341" s="1"/>
      <c r="BM341" s="1" t="s">
        <v>211</v>
      </c>
      <c r="BN341" s="1" t="s">
        <v>2710</v>
      </c>
      <c r="BO341" s="1" t="s">
        <v>2711</v>
      </c>
      <c r="BP341" s="1">
        <v>7.65</v>
      </c>
      <c r="BQ341" s="1" t="s">
        <v>1003</v>
      </c>
      <c r="BR341" s="1">
        <v>23.85</v>
      </c>
      <c r="BS341" s="1">
        <v>120.82</v>
      </c>
      <c r="BT341" s="1">
        <v>8</v>
      </c>
      <c r="BU341" s="1" t="s">
        <v>1055</v>
      </c>
      <c r="BV341" s="1" t="s">
        <v>2834</v>
      </c>
      <c r="BW341" s="1">
        <v>209</v>
      </c>
      <c r="BX341" s="1">
        <v>68</v>
      </c>
      <c r="BY341" s="1">
        <v>89</v>
      </c>
      <c r="BZ341" s="1">
        <v>31</v>
      </c>
      <c r="CA341" s="1">
        <v>21</v>
      </c>
      <c r="CB341" s="1">
        <v>92</v>
      </c>
      <c r="CC341" s="1" t="s">
        <v>2808</v>
      </c>
      <c r="CD341" s="1" t="s">
        <v>862</v>
      </c>
      <c r="CE341" s="1">
        <v>1</v>
      </c>
      <c r="CF341" s="1">
        <v>7.58</v>
      </c>
      <c r="CG341" s="1">
        <v>5.6364999999999998</v>
      </c>
      <c r="CH341" s="1">
        <v>7322.4000000000005</v>
      </c>
      <c r="CI341" s="1" t="s">
        <v>863</v>
      </c>
      <c r="CJ341" s="1" t="s">
        <v>2812</v>
      </c>
      <c r="CK341" t="s">
        <v>1263</v>
      </c>
      <c r="CL341">
        <v>98</v>
      </c>
      <c r="CM341" t="s">
        <v>2845</v>
      </c>
    </row>
    <row r="342" spans="1:91" ht="19" customHeight="1">
      <c r="A342" s="1" t="s">
        <v>3804</v>
      </c>
      <c r="B342" s="1" t="s">
        <v>3597</v>
      </c>
      <c r="C342" s="1">
        <v>99</v>
      </c>
      <c r="D342" s="1" t="s">
        <v>1074</v>
      </c>
      <c r="E342" s="1">
        <v>1999</v>
      </c>
      <c r="F342" s="1" t="s">
        <v>1075</v>
      </c>
      <c r="G342" s="1" t="s">
        <v>2135</v>
      </c>
      <c r="H342" s="4">
        <v>24.552667</v>
      </c>
      <c r="I342" s="4">
        <v>120.815</v>
      </c>
      <c r="J342" s="1" t="s">
        <v>1404</v>
      </c>
      <c r="K342" s="1" t="s">
        <v>70</v>
      </c>
      <c r="L342" s="1" t="s">
        <v>2136</v>
      </c>
      <c r="M342" s="1" t="s">
        <v>3598</v>
      </c>
      <c r="N342" s="1"/>
      <c r="O342" s="1" t="s">
        <v>3095</v>
      </c>
      <c r="P342" s="1"/>
      <c r="Q342" s="4">
        <v>7.65</v>
      </c>
      <c r="R342" s="4"/>
      <c r="S342" s="4"/>
      <c r="T342" s="4"/>
      <c r="U342" s="4"/>
      <c r="V342" s="4">
        <v>26.058855000000001</v>
      </c>
      <c r="W342" s="4"/>
      <c r="X342" s="4"/>
      <c r="Y342" s="4"/>
      <c r="Z342" s="4"/>
      <c r="AA342" s="4"/>
      <c r="AB342" s="4" t="s">
        <v>1055</v>
      </c>
      <c r="AC342" s="4"/>
      <c r="AD342" s="4">
        <v>23.85</v>
      </c>
      <c r="AE342" s="4">
        <v>120.82</v>
      </c>
      <c r="AF342" s="4">
        <v>8</v>
      </c>
      <c r="AG342" s="4">
        <v>573.50409999999999</v>
      </c>
      <c r="AH342" s="27" t="b">
        <v>1</v>
      </c>
      <c r="AI342" s="4">
        <v>9.8559999999999999</v>
      </c>
      <c r="AJ342" s="27" t="b">
        <v>0</v>
      </c>
      <c r="AK342" s="4"/>
      <c r="AL342" s="27" t="b">
        <v>0</v>
      </c>
      <c r="AM342" s="4">
        <v>242.84700000000001</v>
      </c>
      <c r="AN342" s="4">
        <v>207.536</v>
      </c>
      <c r="AO342" s="4">
        <v>82.909000000000006</v>
      </c>
      <c r="AP342" s="4">
        <v>41.645200000000003</v>
      </c>
      <c r="AQ342" s="4">
        <v>37.050899999999999</v>
      </c>
      <c r="AR342" s="4">
        <v>17.8401</v>
      </c>
      <c r="AS342" s="4">
        <v>40.188000000000002</v>
      </c>
      <c r="AT342" s="4">
        <v>26.662500000000001</v>
      </c>
      <c r="AU342" s="4">
        <v>21.881599999999999</v>
      </c>
      <c r="AV342" s="4">
        <v>6.3752700000000004</v>
      </c>
      <c r="AW342" s="4">
        <v>-6.0071300000000001</v>
      </c>
      <c r="AX342" s="4">
        <v>-1.70668</v>
      </c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1" t="s">
        <v>3599</v>
      </c>
      <c r="BJ342" s="1" t="s">
        <v>3805</v>
      </c>
      <c r="BK342" s="1">
        <v>1</v>
      </c>
      <c r="BL342" s="1"/>
      <c r="BM342" s="1" t="s">
        <v>211</v>
      </c>
      <c r="BN342" s="1" t="s">
        <v>2710</v>
      </c>
      <c r="BO342" s="1" t="s">
        <v>2711</v>
      </c>
      <c r="BP342" s="1">
        <v>7.65</v>
      </c>
      <c r="BQ342" s="1" t="s">
        <v>1003</v>
      </c>
      <c r="BR342" s="1">
        <v>23.85</v>
      </c>
      <c r="BS342" s="1">
        <v>120.82</v>
      </c>
      <c r="BT342" s="1">
        <v>8</v>
      </c>
      <c r="BU342" s="1" t="s">
        <v>1055</v>
      </c>
      <c r="BV342" s="1" t="s">
        <v>2834</v>
      </c>
      <c r="BW342" s="1">
        <v>209</v>
      </c>
      <c r="BX342" s="1">
        <v>68</v>
      </c>
      <c r="BY342" s="1">
        <v>89</v>
      </c>
      <c r="BZ342" s="1">
        <v>31</v>
      </c>
      <c r="CA342" s="1">
        <v>21</v>
      </c>
      <c r="CB342" s="1">
        <v>92</v>
      </c>
      <c r="CC342" s="1" t="s">
        <v>2808</v>
      </c>
      <c r="CD342" s="1" t="s">
        <v>862</v>
      </c>
      <c r="CE342" s="1">
        <v>1</v>
      </c>
      <c r="CF342" s="1">
        <v>7.58</v>
      </c>
      <c r="CG342" s="1">
        <v>5.6364999999999998</v>
      </c>
      <c r="CH342" s="1">
        <v>7322.4000000000005</v>
      </c>
      <c r="CI342" s="1" t="s">
        <v>863</v>
      </c>
      <c r="CJ342" s="1" t="s">
        <v>2812</v>
      </c>
      <c r="CK342" t="s">
        <v>1263</v>
      </c>
      <c r="CL342">
        <v>99</v>
      </c>
      <c r="CM342" t="s">
        <v>2845</v>
      </c>
    </row>
    <row r="343" spans="1:91" ht="19" customHeight="1">
      <c r="A343" s="1" t="s">
        <v>3806</v>
      </c>
      <c r="B343" s="1" t="s">
        <v>3597</v>
      </c>
      <c r="C343" s="1">
        <v>100</v>
      </c>
      <c r="D343" s="1" t="s">
        <v>1074</v>
      </c>
      <c r="E343" s="1">
        <v>1999</v>
      </c>
      <c r="F343" s="1" t="s">
        <v>883</v>
      </c>
      <c r="G343" s="1" t="s">
        <v>2137</v>
      </c>
      <c r="H343" s="4">
        <v>24.539833000000002</v>
      </c>
      <c r="I343" s="4">
        <v>120.9205</v>
      </c>
      <c r="J343" s="1" t="s">
        <v>1404</v>
      </c>
      <c r="K343" s="1" t="s">
        <v>70</v>
      </c>
      <c r="L343" s="1" t="s">
        <v>2138</v>
      </c>
      <c r="M343" s="1" t="s">
        <v>3598</v>
      </c>
      <c r="N343" s="1"/>
      <c r="O343" s="1" t="s">
        <v>3095</v>
      </c>
      <c r="P343" s="1"/>
      <c r="Q343" s="4">
        <v>7.65</v>
      </c>
      <c r="R343" s="4"/>
      <c r="S343" s="4"/>
      <c r="T343" s="4"/>
      <c r="U343" s="4"/>
      <c r="V343" s="4">
        <v>26.059996000000002</v>
      </c>
      <c r="W343" s="4"/>
      <c r="X343" s="4"/>
      <c r="Y343" s="4"/>
      <c r="Z343" s="4"/>
      <c r="AA343" s="4"/>
      <c r="AB343" s="4" t="s">
        <v>1055</v>
      </c>
      <c r="AC343" s="4"/>
      <c r="AD343" s="4">
        <v>23.85</v>
      </c>
      <c r="AE343" s="4">
        <v>120.82</v>
      </c>
      <c r="AF343" s="4">
        <v>8</v>
      </c>
      <c r="AG343" s="4">
        <v>706.96360000000004</v>
      </c>
      <c r="AH343" s="27" t="b">
        <v>1</v>
      </c>
      <c r="AI343" s="4">
        <v>9.3309999999999995</v>
      </c>
      <c r="AJ343" s="27" t="b">
        <v>0</v>
      </c>
      <c r="AK343" s="4"/>
      <c r="AL343" s="27" t="b">
        <v>1</v>
      </c>
      <c r="AM343" s="4">
        <v>463.34199999999998</v>
      </c>
      <c r="AN343" s="4">
        <v>511.65899999999999</v>
      </c>
      <c r="AO343" s="4">
        <v>353.20100000000002</v>
      </c>
      <c r="AP343" s="4">
        <v>49.634999999999998</v>
      </c>
      <c r="AQ343" s="4">
        <v>46.729599999999998</v>
      </c>
      <c r="AR343" s="4">
        <v>20.211200000000002</v>
      </c>
      <c r="AS343" s="4">
        <v>47.058399999999999</v>
      </c>
      <c r="AT343" s="4">
        <v>33.421399999999998</v>
      </c>
      <c r="AU343" s="4">
        <v>21.939</v>
      </c>
      <c r="AV343" s="4">
        <v>-25.132899999999999</v>
      </c>
      <c r="AW343" s="4">
        <v>-17.993500000000001</v>
      </c>
      <c r="AX343" s="4">
        <v>4.8323799999999997</v>
      </c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1" t="s">
        <v>3599</v>
      </c>
      <c r="BJ343" s="1" t="s">
        <v>3807</v>
      </c>
      <c r="BK343" s="1">
        <v>1</v>
      </c>
      <c r="BL343" s="1"/>
      <c r="BM343" s="1" t="s">
        <v>211</v>
      </c>
      <c r="BN343" s="1" t="s">
        <v>2710</v>
      </c>
      <c r="BO343" s="1" t="s">
        <v>2711</v>
      </c>
      <c r="BP343" s="1">
        <v>7.65</v>
      </c>
      <c r="BQ343" s="1" t="s">
        <v>1003</v>
      </c>
      <c r="BR343" s="1">
        <v>23.85</v>
      </c>
      <c r="BS343" s="1">
        <v>120.82</v>
      </c>
      <c r="BT343" s="1">
        <v>8</v>
      </c>
      <c r="BU343" s="1" t="s">
        <v>1055</v>
      </c>
      <c r="BV343" s="1" t="s">
        <v>2834</v>
      </c>
      <c r="BW343" s="1">
        <v>209</v>
      </c>
      <c r="BX343" s="1">
        <v>68</v>
      </c>
      <c r="BY343" s="1">
        <v>89</v>
      </c>
      <c r="BZ343" s="1">
        <v>31</v>
      </c>
      <c r="CA343" s="1">
        <v>21</v>
      </c>
      <c r="CB343" s="1">
        <v>92</v>
      </c>
      <c r="CC343" s="1" t="s">
        <v>2808</v>
      </c>
      <c r="CD343" s="1" t="s">
        <v>862</v>
      </c>
      <c r="CE343" s="1">
        <v>1</v>
      </c>
      <c r="CF343" s="1">
        <v>7.58</v>
      </c>
      <c r="CG343" s="1">
        <v>5.6364999999999998</v>
      </c>
      <c r="CH343" s="1">
        <v>7322.4000000000005</v>
      </c>
      <c r="CI343" s="1" t="s">
        <v>863</v>
      </c>
      <c r="CJ343" s="1" t="s">
        <v>2812</v>
      </c>
      <c r="CK343" t="s">
        <v>1263</v>
      </c>
      <c r="CL343">
        <v>100</v>
      </c>
      <c r="CM343" t="s">
        <v>2845</v>
      </c>
    </row>
    <row r="344" spans="1:91" ht="19" customHeight="1">
      <c r="A344" s="1" t="s">
        <v>3808</v>
      </c>
      <c r="B344" s="1" t="s">
        <v>3597</v>
      </c>
      <c r="C344" s="1">
        <v>101</v>
      </c>
      <c r="D344" s="1" t="s">
        <v>1074</v>
      </c>
      <c r="E344" s="1">
        <v>1999</v>
      </c>
      <c r="F344" s="1" t="s">
        <v>884</v>
      </c>
      <c r="G344" s="1" t="s">
        <v>2140</v>
      </c>
      <c r="H344" s="4">
        <v>24.466166999999999</v>
      </c>
      <c r="I344" s="4">
        <v>120.86116699999999</v>
      </c>
      <c r="J344" s="1" t="s">
        <v>1404</v>
      </c>
      <c r="K344" s="1" t="s">
        <v>70</v>
      </c>
      <c r="L344" s="1" t="s">
        <v>2141</v>
      </c>
      <c r="M344" s="1" t="s">
        <v>3598</v>
      </c>
      <c r="N344" s="1"/>
      <c r="O344" s="1" t="s">
        <v>3095</v>
      </c>
      <c r="P344" s="1"/>
      <c r="Q344" s="4">
        <v>7.65</v>
      </c>
      <c r="R344" s="4"/>
      <c r="S344" s="4"/>
      <c r="T344" s="4"/>
      <c r="U344" s="4"/>
      <c r="V344" s="4">
        <v>16.594709000000002</v>
      </c>
      <c r="W344" s="4"/>
      <c r="X344" s="4"/>
      <c r="Y344" s="4"/>
      <c r="Z344" s="4"/>
      <c r="AA344" s="4"/>
      <c r="AB344" s="4" t="s">
        <v>1055</v>
      </c>
      <c r="AC344" s="4"/>
      <c r="AD344" s="4">
        <v>23.85</v>
      </c>
      <c r="AE344" s="4">
        <v>120.82</v>
      </c>
      <c r="AF344" s="4">
        <v>8</v>
      </c>
      <c r="AG344" s="4">
        <v>462.60599999999999</v>
      </c>
      <c r="AH344" s="27" t="b">
        <v>1</v>
      </c>
      <c r="AI344" s="4">
        <v>10.401999999999999</v>
      </c>
      <c r="AJ344" s="27" t="b">
        <v>1</v>
      </c>
      <c r="AK344" s="4">
        <v>5.8869999999999996</v>
      </c>
      <c r="AL344" s="27" t="b">
        <v>1</v>
      </c>
      <c r="AM344" s="4">
        <v>139.501</v>
      </c>
      <c r="AN344" s="4">
        <v>116.32599999999999</v>
      </c>
      <c r="AO344" s="4">
        <v>96.689599999999999</v>
      </c>
      <c r="AP344" s="4">
        <v>28.917899999999999</v>
      </c>
      <c r="AQ344" s="4">
        <v>25.473299999999998</v>
      </c>
      <c r="AR344" s="4">
        <v>33.386699999999998</v>
      </c>
      <c r="AS344" s="4">
        <v>49.719200000000001</v>
      </c>
      <c r="AT344" s="4">
        <v>56.615000000000002</v>
      </c>
      <c r="AU344" s="4">
        <v>43.652000000000001</v>
      </c>
      <c r="AV344" s="4">
        <v>12.408300000000001</v>
      </c>
      <c r="AW344" s="4">
        <v>-38.959000000000003</v>
      </c>
      <c r="AX344" s="4">
        <v>-20.410399999999999</v>
      </c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1"/>
      <c r="BJ344" s="1" t="s">
        <v>3809</v>
      </c>
      <c r="BK344" s="1">
        <v>1</v>
      </c>
      <c r="BL344" s="1"/>
      <c r="BM344" s="1" t="s">
        <v>211</v>
      </c>
      <c r="BN344" s="1" t="s">
        <v>2710</v>
      </c>
      <c r="BO344" s="1" t="s">
        <v>2711</v>
      </c>
      <c r="BP344" s="1">
        <v>7.65</v>
      </c>
      <c r="BQ344" s="1" t="s">
        <v>1003</v>
      </c>
      <c r="BR344" s="1">
        <v>23.85</v>
      </c>
      <c r="BS344" s="1">
        <v>120.82</v>
      </c>
      <c r="BT344" s="1">
        <v>8</v>
      </c>
      <c r="BU344" s="1" t="s">
        <v>1055</v>
      </c>
      <c r="BV344" s="1" t="s">
        <v>2834</v>
      </c>
      <c r="BW344" s="1">
        <v>209</v>
      </c>
      <c r="BX344" s="1">
        <v>68</v>
      </c>
      <c r="BY344" s="1">
        <v>89</v>
      </c>
      <c r="BZ344" s="1">
        <v>31</v>
      </c>
      <c r="CA344" s="1">
        <v>21</v>
      </c>
      <c r="CB344" s="1">
        <v>92</v>
      </c>
      <c r="CC344" s="1" t="s">
        <v>2808</v>
      </c>
      <c r="CD344" s="1" t="s">
        <v>862</v>
      </c>
      <c r="CE344" s="1">
        <v>1</v>
      </c>
      <c r="CF344" s="1">
        <v>7.58</v>
      </c>
      <c r="CG344" s="1">
        <v>5.6364999999999998</v>
      </c>
      <c r="CH344" s="1">
        <v>7322.4000000000005</v>
      </c>
      <c r="CI344" s="1" t="s">
        <v>863</v>
      </c>
      <c r="CJ344" s="1" t="s">
        <v>2812</v>
      </c>
      <c r="CK344" t="s">
        <v>1263</v>
      </c>
      <c r="CL344">
        <v>101</v>
      </c>
      <c r="CM344" t="s">
        <v>2845</v>
      </c>
    </row>
    <row r="345" spans="1:91" ht="19" customHeight="1">
      <c r="A345" s="1" t="s">
        <v>3810</v>
      </c>
      <c r="B345" s="1" t="s">
        <v>3597</v>
      </c>
      <c r="C345" s="1">
        <v>102</v>
      </c>
      <c r="D345" s="1" t="s">
        <v>1074</v>
      </c>
      <c r="E345" s="1">
        <v>1999</v>
      </c>
      <c r="F345" s="1" t="s">
        <v>885</v>
      </c>
      <c r="G345" s="1" t="s">
        <v>2143</v>
      </c>
      <c r="H345" s="4">
        <v>24.617667000000001</v>
      </c>
      <c r="I345" s="4">
        <v>120.946167</v>
      </c>
      <c r="J345" s="1" t="s">
        <v>1404</v>
      </c>
      <c r="K345" s="1" t="s">
        <v>70</v>
      </c>
      <c r="L345" s="1" t="s">
        <v>2144</v>
      </c>
      <c r="M345" s="1" t="s">
        <v>3598</v>
      </c>
      <c r="N345" s="1"/>
      <c r="O345" s="1" t="s">
        <v>3095</v>
      </c>
      <c r="P345" s="1"/>
      <c r="Q345" s="4">
        <v>7.65</v>
      </c>
      <c r="R345" s="4"/>
      <c r="S345" s="4"/>
      <c r="T345" s="4"/>
      <c r="U345" s="4"/>
      <c r="V345" s="4">
        <v>35.094971000000001</v>
      </c>
      <c r="W345" s="4"/>
      <c r="X345" s="4"/>
      <c r="Y345" s="4"/>
      <c r="Z345" s="4"/>
      <c r="AA345" s="4"/>
      <c r="AB345" s="4" t="s">
        <v>1055</v>
      </c>
      <c r="AC345" s="4"/>
      <c r="AD345" s="4">
        <v>23.85</v>
      </c>
      <c r="AE345" s="4">
        <v>120.82</v>
      </c>
      <c r="AF345" s="4">
        <v>8</v>
      </c>
      <c r="AG345" s="4">
        <v>522.96699999999998</v>
      </c>
      <c r="AH345" s="27" t="b">
        <v>1</v>
      </c>
      <c r="AI345" s="4">
        <v>12.313000000000001</v>
      </c>
      <c r="AJ345" s="27" t="b">
        <v>0</v>
      </c>
      <c r="AK345" s="4"/>
      <c r="AL345" s="27" t="b">
        <v>1</v>
      </c>
      <c r="AM345" s="4">
        <v>291.75700000000001</v>
      </c>
      <c r="AN345" s="4">
        <v>399.42</v>
      </c>
      <c r="AO345" s="4">
        <v>261.00700000000001</v>
      </c>
      <c r="AP345" s="4">
        <v>42.223799999999997</v>
      </c>
      <c r="AQ345" s="4">
        <v>34.8249</v>
      </c>
      <c r="AR345" s="4">
        <v>21.514099999999999</v>
      </c>
      <c r="AS345" s="4">
        <v>42.894199999999998</v>
      </c>
      <c r="AT345" s="4">
        <v>35.801900000000003</v>
      </c>
      <c r="AU345" s="4">
        <v>34.842300000000002</v>
      </c>
      <c r="AV345" s="4">
        <v>0.121196</v>
      </c>
      <c r="AW345" s="4">
        <v>-9.0450199999999992</v>
      </c>
      <c r="AX345" s="4">
        <v>-14.4368</v>
      </c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1" t="s">
        <v>3599</v>
      </c>
      <c r="BJ345" s="1" t="s">
        <v>3811</v>
      </c>
      <c r="BK345" s="1">
        <v>1</v>
      </c>
      <c r="BL345" s="1"/>
      <c r="BM345" s="1" t="s">
        <v>211</v>
      </c>
      <c r="BN345" s="1" t="s">
        <v>2710</v>
      </c>
      <c r="BO345" s="1" t="s">
        <v>2711</v>
      </c>
      <c r="BP345" s="1">
        <v>7.65</v>
      </c>
      <c r="BQ345" s="1" t="s">
        <v>1003</v>
      </c>
      <c r="BR345" s="1">
        <v>23.85</v>
      </c>
      <c r="BS345" s="1">
        <v>120.82</v>
      </c>
      <c r="BT345" s="1">
        <v>8</v>
      </c>
      <c r="BU345" s="1" t="s">
        <v>1055</v>
      </c>
      <c r="BV345" s="1" t="s">
        <v>2834</v>
      </c>
      <c r="BW345" s="1">
        <v>209</v>
      </c>
      <c r="BX345" s="1">
        <v>68</v>
      </c>
      <c r="BY345" s="1">
        <v>89</v>
      </c>
      <c r="BZ345" s="1">
        <v>31</v>
      </c>
      <c r="CA345" s="1">
        <v>21</v>
      </c>
      <c r="CB345" s="1">
        <v>92</v>
      </c>
      <c r="CC345" s="1" t="s">
        <v>2808</v>
      </c>
      <c r="CD345" s="1" t="s">
        <v>862</v>
      </c>
      <c r="CE345" s="1">
        <v>1</v>
      </c>
      <c r="CF345" s="1">
        <v>7.58</v>
      </c>
      <c r="CG345" s="1">
        <v>5.6364999999999998</v>
      </c>
      <c r="CH345" s="1">
        <v>7322.4000000000005</v>
      </c>
      <c r="CI345" s="1" t="s">
        <v>863</v>
      </c>
      <c r="CJ345" s="1" t="s">
        <v>2812</v>
      </c>
      <c r="CK345" t="s">
        <v>1263</v>
      </c>
      <c r="CL345">
        <v>102</v>
      </c>
      <c r="CM345" t="s">
        <v>2845</v>
      </c>
    </row>
    <row r="346" spans="1:91" ht="19" customHeight="1">
      <c r="A346" s="1" t="s">
        <v>3812</v>
      </c>
      <c r="B346" s="1" t="s">
        <v>3597</v>
      </c>
      <c r="C346" s="1">
        <v>103</v>
      </c>
      <c r="D346" s="1" t="s">
        <v>1074</v>
      </c>
      <c r="E346" s="1">
        <v>1999</v>
      </c>
      <c r="F346" s="1" t="s">
        <v>886</v>
      </c>
      <c r="G346" s="1" t="s">
        <v>2146</v>
      </c>
      <c r="H346" s="4">
        <v>24.177333000000001</v>
      </c>
      <c r="I346" s="4">
        <v>120.69966700000001</v>
      </c>
      <c r="J346" s="1" t="s">
        <v>1404</v>
      </c>
      <c r="K346" s="1" t="s">
        <v>70</v>
      </c>
      <c r="L346" s="1" t="s">
        <v>2147</v>
      </c>
      <c r="M346" s="1" t="s">
        <v>3598</v>
      </c>
      <c r="N346" s="1"/>
      <c r="O346" s="1" t="s">
        <v>3095</v>
      </c>
      <c r="P346" s="1"/>
      <c r="Q346" s="4">
        <v>7.65</v>
      </c>
      <c r="R346" s="4"/>
      <c r="S346" s="4"/>
      <c r="T346" s="4"/>
      <c r="U346" s="4"/>
      <c r="V346" s="4">
        <v>2.794384</v>
      </c>
      <c r="W346" s="4"/>
      <c r="X346" s="4"/>
      <c r="Y346" s="4"/>
      <c r="Z346" s="4"/>
      <c r="AA346" s="4"/>
      <c r="AB346" s="4" t="s">
        <v>1055</v>
      </c>
      <c r="AC346" s="4"/>
      <c r="AD346" s="4">
        <v>23.85</v>
      </c>
      <c r="AE346" s="4">
        <v>120.82</v>
      </c>
      <c r="AF346" s="4">
        <v>8</v>
      </c>
      <c r="AG346" s="4">
        <v>469.74090000000001</v>
      </c>
      <c r="AH346" s="27" t="b">
        <v>1</v>
      </c>
      <c r="AI346" s="4">
        <v>10.220000000000001</v>
      </c>
      <c r="AJ346" s="27" t="b">
        <v>0</v>
      </c>
      <c r="AK346" s="4"/>
      <c r="AL346" s="27" t="b">
        <v>1</v>
      </c>
      <c r="AM346" s="4">
        <v>273.399</v>
      </c>
      <c r="AN346" s="4">
        <v>241.958</v>
      </c>
      <c r="AO346" s="4">
        <v>177.97900000000001</v>
      </c>
      <c r="AP346" s="4">
        <v>56.863500000000002</v>
      </c>
      <c r="AQ346" s="4">
        <v>59.388500000000001</v>
      </c>
      <c r="AR346" s="4">
        <v>26.765899999999998</v>
      </c>
      <c r="AS346" s="4">
        <v>125.117</v>
      </c>
      <c r="AT346" s="4">
        <v>115.77200000000001</v>
      </c>
      <c r="AU346" s="4">
        <v>29.216200000000001</v>
      </c>
      <c r="AV346" s="4">
        <v>68.618499999999997</v>
      </c>
      <c r="AW346" s="4">
        <v>-67.293999999999997</v>
      </c>
      <c r="AX346" s="4">
        <v>-21.447399999999998</v>
      </c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1" t="s">
        <v>3599</v>
      </c>
      <c r="BJ346" s="1" t="s">
        <v>3813</v>
      </c>
      <c r="BK346" s="1">
        <v>1</v>
      </c>
      <c r="BL346" s="1"/>
      <c r="BM346" s="1" t="s">
        <v>211</v>
      </c>
      <c r="BN346" s="1" t="s">
        <v>2710</v>
      </c>
      <c r="BO346" s="1" t="s">
        <v>2711</v>
      </c>
      <c r="BP346" s="1">
        <v>7.65</v>
      </c>
      <c r="BQ346" s="1" t="s">
        <v>1003</v>
      </c>
      <c r="BR346" s="1">
        <v>23.85</v>
      </c>
      <c r="BS346" s="1">
        <v>120.82</v>
      </c>
      <c r="BT346" s="1">
        <v>8</v>
      </c>
      <c r="BU346" s="1" t="s">
        <v>1055</v>
      </c>
      <c r="BV346" s="1" t="s">
        <v>2834</v>
      </c>
      <c r="BW346" s="1">
        <v>209</v>
      </c>
      <c r="BX346" s="1">
        <v>68</v>
      </c>
      <c r="BY346" s="1">
        <v>89</v>
      </c>
      <c r="BZ346" s="1">
        <v>31</v>
      </c>
      <c r="CA346" s="1">
        <v>21</v>
      </c>
      <c r="CB346" s="1">
        <v>92</v>
      </c>
      <c r="CC346" s="1" t="s">
        <v>2808</v>
      </c>
      <c r="CD346" s="1" t="s">
        <v>862</v>
      </c>
      <c r="CE346" s="1">
        <v>1</v>
      </c>
      <c r="CF346" s="1">
        <v>7.58</v>
      </c>
      <c r="CG346" s="1">
        <v>5.6364999999999998</v>
      </c>
      <c r="CH346" s="1">
        <v>7322.4000000000005</v>
      </c>
      <c r="CI346" s="1" t="s">
        <v>863</v>
      </c>
      <c r="CJ346" s="1" t="s">
        <v>2812</v>
      </c>
      <c r="CK346" t="s">
        <v>1263</v>
      </c>
      <c r="CL346">
        <v>103</v>
      </c>
      <c r="CM346" t="s">
        <v>2845</v>
      </c>
    </row>
    <row r="347" spans="1:91" ht="19" customHeight="1">
      <c r="A347" s="1" t="s">
        <v>3814</v>
      </c>
      <c r="B347" s="1" t="s">
        <v>3597</v>
      </c>
      <c r="C347" s="1">
        <v>104</v>
      </c>
      <c r="D347" s="1" t="s">
        <v>1074</v>
      </c>
      <c r="E347" s="1">
        <v>1999</v>
      </c>
      <c r="F347" s="1" t="s">
        <v>1076</v>
      </c>
      <c r="G347" s="1" t="s">
        <v>2149</v>
      </c>
      <c r="H347" s="4">
        <v>24.18</v>
      </c>
      <c r="I347" s="4">
        <v>120.641667</v>
      </c>
      <c r="J347" s="1" t="s">
        <v>1404</v>
      </c>
      <c r="K347" s="1" t="s">
        <v>70</v>
      </c>
      <c r="L347" s="1" t="s">
        <v>2150</v>
      </c>
      <c r="M347" s="1" t="s">
        <v>3598</v>
      </c>
      <c r="N347" s="1"/>
      <c r="O347" s="1" t="s">
        <v>3095</v>
      </c>
      <c r="P347" s="1"/>
      <c r="Q347" s="4">
        <v>7.65</v>
      </c>
      <c r="R347" s="4"/>
      <c r="S347" s="4"/>
      <c r="T347" s="4"/>
      <c r="U347" s="4"/>
      <c r="V347" s="4">
        <v>8.6810489999999998</v>
      </c>
      <c r="W347" s="4"/>
      <c r="X347" s="4"/>
      <c r="Y347" s="4"/>
      <c r="Z347" s="4"/>
      <c r="AA347" s="4"/>
      <c r="AB347" s="4" t="s">
        <v>1055</v>
      </c>
      <c r="AC347" s="4"/>
      <c r="AD347" s="4">
        <v>23.85</v>
      </c>
      <c r="AE347" s="4">
        <v>120.82</v>
      </c>
      <c r="AF347" s="4">
        <v>8</v>
      </c>
      <c r="AG347" s="4">
        <v>539.32579999999996</v>
      </c>
      <c r="AH347" s="27" t="b">
        <v>0</v>
      </c>
      <c r="AI347" s="4"/>
      <c r="AJ347" s="27" t="b">
        <v>1</v>
      </c>
      <c r="AK347" s="4">
        <v>6.0620000000000003</v>
      </c>
      <c r="AL347" s="27" t="b">
        <v>0</v>
      </c>
      <c r="AM347" s="4">
        <v>143</v>
      </c>
      <c r="AN347" s="4">
        <v>128.518</v>
      </c>
      <c r="AO347" s="4">
        <v>91.09</v>
      </c>
      <c r="AP347" s="4">
        <v>34.299100000000003</v>
      </c>
      <c r="AQ347" s="4">
        <v>43.4313</v>
      </c>
      <c r="AR347" s="4">
        <v>41.541800000000002</v>
      </c>
      <c r="AS347" s="4">
        <v>71.573899999999995</v>
      </c>
      <c r="AT347" s="4">
        <v>45.689399999999999</v>
      </c>
      <c r="AU347" s="4">
        <v>34.240699999999997</v>
      </c>
      <c r="AV347" s="4">
        <v>-2.0686</v>
      </c>
      <c r="AW347" s="4">
        <v>0.30505599999999999</v>
      </c>
      <c r="AX347" s="4">
        <v>5.5417199999999998</v>
      </c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1" t="s">
        <v>3651</v>
      </c>
      <c r="BJ347" s="1" t="s">
        <v>3815</v>
      </c>
      <c r="BK347" s="1">
        <v>1</v>
      </c>
      <c r="BL347" s="1"/>
      <c r="BM347" s="1" t="s">
        <v>211</v>
      </c>
      <c r="BN347" s="1" t="s">
        <v>2710</v>
      </c>
      <c r="BO347" s="1" t="s">
        <v>2711</v>
      </c>
      <c r="BP347" s="1">
        <v>7.65</v>
      </c>
      <c r="BQ347" s="1" t="s">
        <v>1003</v>
      </c>
      <c r="BR347" s="1">
        <v>23.85</v>
      </c>
      <c r="BS347" s="1">
        <v>120.82</v>
      </c>
      <c r="BT347" s="1">
        <v>8</v>
      </c>
      <c r="BU347" s="1" t="s">
        <v>1055</v>
      </c>
      <c r="BV347" s="1" t="s">
        <v>2834</v>
      </c>
      <c r="BW347" s="1">
        <v>209</v>
      </c>
      <c r="BX347" s="1">
        <v>68</v>
      </c>
      <c r="BY347" s="1">
        <v>89</v>
      </c>
      <c r="BZ347" s="1">
        <v>31</v>
      </c>
      <c r="CA347" s="1">
        <v>21</v>
      </c>
      <c r="CB347" s="1">
        <v>92</v>
      </c>
      <c r="CC347" s="1" t="s">
        <v>2808</v>
      </c>
      <c r="CD347" s="1" t="s">
        <v>862</v>
      </c>
      <c r="CE347" s="1">
        <v>1</v>
      </c>
      <c r="CF347" s="1">
        <v>7.58</v>
      </c>
      <c r="CG347" s="1">
        <v>5.6364999999999998</v>
      </c>
      <c r="CH347" s="1">
        <v>7322.4000000000005</v>
      </c>
      <c r="CI347" s="1" t="s">
        <v>863</v>
      </c>
      <c r="CJ347" s="1" t="s">
        <v>2812</v>
      </c>
      <c r="CK347" t="s">
        <v>1263</v>
      </c>
      <c r="CL347">
        <v>104</v>
      </c>
      <c r="CM347" t="s">
        <v>2845</v>
      </c>
    </row>
    <row r="348" spans="1:91" ht="19" customHeight="1">
      <c r="A348" s="1" t="s">
        <v>3816</v>
      </c>
      <c r="B348" s="1" t="s">
        <v>3597</v>
      </c>
      <c r="C348" s="1">
        <v>105</v>
      </c>
      <c r="D348" s="1" t="s">
        <v>1074</v>
      </c>
      <c r="E348" s="1">
        <v>1999</v>
      </c>
      <c r="F348" s="1" t="s">
        <v>887</v>
      </c>
      <c r="G348" s="1" t="s">
        <v>2151</v>
      </c>
      <c r="H348" s="4">
        <v>24.159832999999999</v>
      </c>
      <c r="I348" s="4">
        <v>120.659667</v>
      </c>
      <c r="J348" s="1" t="s">
        <v>1404</v>
      </c>
      <c r="K348" s="1" t="s">
        <v>70</v>
      </c>
      <c r="L348" s="1" t="s">
        <v>2152</v>
      </c>
      <c r="M348" s="1" t="s">
        <v>3598</v>
      </c>
      <c r="N348" s="1"/>
      <c r="O348" s="1" t="s">
        <v>3095</v>
      </c>
      <c r="P348" s="1"/>
      <c r="Q348" s="4">
        <v>7.65</v>
      </c>
      <c r="R348" s="4"/>
      <c r="S348" s="4"/>
      <c r="T348" s="4"/>
      <c r="U348" s="4"/>
      <c r="V348" s="4">
        <v>6.8291909999999998</v>
      </c>
      <c r="W348" s="4"/>
      <c r="X348" s="4"/>
      <c r="Y348" s="4"/>
      <c r="Z348" s="4"/>
      <c r="AA348" s="4"/>
      <c r="AB348" s="4" t="s">
        <v>1055</v>
      </c>
      <c r="AC348" s="4"/>
      <c r="AD348" s="4">
        <v>23.85</v>
      </c>
      <c r="AE348" s="4">
        <v>120.82</v>
      </c>
      <c r="AF348" s="4">
        <v>8</v>
      </c>
      <c r="AG348" s="4">
        <v>420.106426</v>
      </c>
      <c r="AH348" s="27" t="b">
        <v>1</v>
      </c>
      <c r="AI348" s="4">
        <v>10.381</v>
      </c>
      <c r="AJ348" s="27" t="b">
        <v>0</v>
      </c>
      <c r="AK348" s="4"/>
      <c r="AL348" s="27" t="b">
        <v>1</v>
      </c>
      <c r="AM348" s="4">
        <v>156.71799999999999</v>
      </c>
      <c r="AN348" s="4">
        <v>230.73</v>
      </c>
      <c r="AO348" s="4">
        <v>109.732</v>
      </c>
      <c r="AP348" s="4">
        <v>51.335900000000002</v>
      </c>
      <c r="AQ348" s="4">
        <v>42.3264</v>
      </c>
      <c r="AR348" s="4">
        <v>29.950399999999998</v>
      </c>
      <c r="AS348" s="4">
        <v>124.306</v>
      </c>
      <c r="AT348" s="4">
        <v>74.750600000000006</v>
      </c>
      <c r="AU348" s="4">
        <v>35.597000000000001</v>
      </c>
      <c r="AV348" s="4">
        <v>64.364000000000004</v>
      </c>
      <c r="AW348" s="4">
        <v>-32.069899999999997</v>
      </c>
      <c r="AX348" s="4">
        <v>10.6432</v>
      </c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1" t="s">
        <v>3599</v>
      </c>
      <c r="BJ348" s="1" t="s">
        <v>3817</v>
      </c>
      <c r="BK348" s="1">
        <v>1</v>
      </c>
      <c r="BL348" s="1"/>
      <c r="BM348" s="1" t="s">
        <v>211</v>
      </c>
      <c r="BN348" s="1" t="s">
        <v>2710</v>
      </c>
      <c r="BO348" s="1" t="s">
        <v>2711</v>
      </c>
      <c r="BP348" s="1">
        <v>7.65</v>
      </c>
      <c r="BQ348" s="1" t="s">
        <v>1003</v>
      </c>
      <c r="BR348" s="1">
        <v>23.85</v>
      </c>
      <c r="BS348" s="1">
        <v>120.82</v>
      </c>
      <c r="BT348" s="1">
        <v>8</v>
      </c>
      <c r="BU348" s="1" t="s">
        <v>1055</v>
      </c>
      <c r="BV348" s="1" t="s">
        <v>2834</v>
      </c>
      <c r="BW348" s="1">
        <v>209</v>
      </c>
      <c r="BX348" s="1">
        <v>68</v>
      </c>
      <c r="BY348" s="1">
        <v>89</v>
      </c>
      <c r="BZ348" s="1">
        <v>31</v>
      </c>
      <c r="CA348" s="1">
        <v>21</v>
      </c>
      <c r="CB348" s="1">
        <v>92</v>
      </c>
      <c r="CC348" s="1" t="s">
        <v>2808</v>
      </c>
      <c r="CD348" s="1" t="s">
        <v>862</v>
      </c>
      <c r="CE348" s="1">
        <v>1</v>
      </c>
      <c r="CF348" s="1">
        <v>7.58</v>
      </c>
      <c r="CG348" s="1">
        <v>5.6364999999999998</v>
      </c>
      <c r="CH348" s="1">
        <v>7322.4000000000005</v>
      </c>
      <c r="CI348" s="1" t="s">
        <v>863</v>
      </c>
      <c r="CJ348" s="1" t="s">
        <v>2812</v>
      </c>
      <c r="CK348" t="s">
        <v>1263</v>
      </c>
      <c r="CL348">
        <v>105</v>
      </c>
      <c r="CM348" t="s">
        <v>2845</v>
      </c>
    </row>
    <row r="349" spans="1:91" ht="19" customHeight="1">
      <c r="A349" s="1" t="s">
        <v>3818</v>
      </c>
      <c r="B349" s="1" t="s">
        <v>3597</v>
      </c>
      <c r="C349" s="1">
        <v>106</v>
      </c>
      <c r="D349" s="1" t="s">
        <v>1074</v>
      </c>
      <c r="E349" s="1">
        <v>1999</v>
      </c>
      <c r="F349" s="1" t="s">
        <v>888</v>
      </c>
      <c r="G349" s="1" t="s">
        <v>2154</v>
      </c>
      <c r="H349" s="4">
        <v>24.195833</v>
      </c>
      <c r="I349" s="4">
        <v>120.748</v>
      </c>
      <c r="J349" s="1" t="s">
        <v>1404</v>
      </c>
      <c r="K349" s="1" t="s">
        <v>70</v>
      </c>
      <c r="L349" s="1" t="s">
        <v>2155</v>
      </c>
      <c r="M349" s="1" t="s">
        <v>3598</v>
      </c>
      <c r="N349" s="1"/>
      <c r="O349" s="1" t="s">
        <v>3095</v>
      </c>
      <c r="P349" s="1"/>
      <c r="Q349" s="4">
        <v>7.65</v>
      </c>
      <c r="R349" s="4"/>
      <c r="S349" s="4"/>
      <c r="T349" s="4"/>
      <c r="U349" s="4"/>
      <c r="V349" s="4">
        <v>1.039873</v>
      </c>
      <c r="W349" s="4"/>
      <c r="X349" s="4"/>
      <c r="Y349" s="4"/>
      <c r="Z349" s="4"/>
      <c r="AA349" s="4"/>
      <c r="AB349" s="4" t="s">
        <v>1055</v>
      </c>
      <c r="AC349" s="4"/>
      <c r="AD349" s="4">
        <v>23.85</v>
      </c>
      <c r="AE349" s="4">
        <v>120.82</v>
      </c>
      <c r="AF349" s="4">
        <v>8</v>
      </c>
      <c r="AG349" s="4">
        <v>589.21730000000002</v>
      </c>
      <c r="AH349" s="27" t="b">
        <v>1</v>
      </c>
      <c r="AI349" s="4">
        <v>12.292</v>
      </c>
      <c r="AJ349" s="27" t="b">
        <v>1</v>
      </c>
      <c r="AK349" s="4">
        <v>10.241</v>
      </c>
      <c r="AL349" s="27" t="b">
        <v>1</v>
      </c>
      <c r="AM349" s="4">
        <v>348.654</v>
      </c>
      <c r="AN349" s="4">
        <v>438.69299999999998</v>
      </c>
      <c r="AO349" s="4">
        <v>193.95400000000001</v>
      </c>
      <c r="AP349" s="4">
        <v>183.80600000000001</v>
      </c>
      <c r="AQ349" s="4">
        <v>220.62200000000001</v>
      </c>
      <c r="AR349" s="4">
        <v>170.072</v>
      </c>
      <c r="AS349" s="4">
        <v>515.322</v>
      </c>
      <c r="AT349" s="4">
        <v>718.81</v>
      </c>
      <c r="AU349" s="4">
        <v>415.7</v>
      </c>
      <c r="AV349" s="4">
        <v>-439.10700000000003</v>
      </c>
      <c r="AW349" s="4">
        <v>652.44000000000005</v>
      </c>
      <c r="AX349" s="4">
        <v>365.66199999999998</v>
      </c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1"/>
      <c r="BJ349" s="1" t="s">
        <v>3819</v>
      </c>
      <c r="BK349" s="1">
        <v>1</v>
      </c>
      <c r="BL349" s="1"/>
      <c r="BM349" s="1" t="s">
        <v>211</v>
      </c>
      <c r="BN349" s="1" t="s">
        <v>2710</v>
      </c>
      <c r="BO349" s="1" t="s">
        <v>2711</v>
      </c>
      <c r="BP349" s="1">
        <v>7.65</v>
      </c>
      <c r="BQ349" s="1" t="s">
        <v>1003</v>
      </c>
      <c r="BR349" s="1">
        <v>23.85</v>
      </c>
      <c r="BS349" s="1">
        <v>120.82</v>
      </c>
      <c r="BT349" s="1">
        <v>8</v>
      </c>
      <c r="BU349" s="1" t="s">
        <v>1055</v>
      </c>
      <c r="BV349" s="1" t="s">
        <v>2834</v>
      </c>
      <c r="BW349" s="1">
        <v>209</v>
      </c>
      <c r="BX349" s="1">
        <v>68</v>
      </c>
      <c r="BY349" s="1">
        <v>89</v>
      </c>
      <c r="BZ349" s="1">
        <v>31</v>
      </c>
      <c r="CA349" s="1">
        <v>21</v>
      </c>
      <c r="CB349" s="1">
        <v>92</v>
      </c>
      <c r="CC349" s="1" t="s">
        <v>2808</v>
      </c>
      <c r="CD349" s="1" t="s">
        <v>862</v>
      </c>
      <c r="CE349" s="1">
        <v>1</v>
      </c>
      <c r="CF349" s="1">
        <v>7.58</v>
      </c>
      <c r="CG349" s="1">
        <v>5.6364999999999998</v>
      </c>
      <c r="CH349" s="1">
        <v>7322.4000000000005</v>
      </c>
      <c r="CI349" s="1" t="s">
        <v>863</v>
      </c>
      <c r="CJ349" s="1" t="s">
        <v>2812</v>
      </c>
      <c r="CK349" t="s">
        <v>1263</v>
      </c>
      <c r="CL349">
        <v>106</v>
      </c>
      <c r="CM349" t="s">
        <v>2845</v>
      </c>
    </row>
    <row r="350" spans="1:91" ht="19" customHeight="1">
      <c r="A350" s="1" t="s">
        <v>3820</v>
      </c>
      <c r="B350" s="1" t="s">
        <v>3597</v>
      </c>
      <c r="C350" s="1">
        <v>107</v>
      </c>
      <c r="D350" s="1" t="s">
        <v>1074</v>
      </c>
      <c r="E350" s="1">
        <v>1999</v>
      </c>
      <c r="F350" s="1" t="s">
        <v>889</v>
      </c>
      <c r="G350" s="1" t="s">
        <v>2157</v>
      </c>
      <c r="H350" s="4">
        <v>24.191666999999999</v>
      </c>
      <c r="I350" s="4">
        <v>120.678833</v>
      </c>
      <c r="J350" s="1" t="s">
        <v>1404</v>
      </c>
      <c r="K350" s="1" t="s">
        <v>70</v>
      </c>
      <c r="L350" s="1" t="s">
        <v>2158</v>
      </c>
      <c r="M350" s="1" t="s">
        <v>3598</v>
      </c>
      <c r="N350" s="1"/>
      <c r="O350" s="1" t="s">
        <v>3095</v>
      </c>
      <c r="P350" s="1"/>
      <c r="Q350" s="4">
        <v>7.65</v>
      </c>
      <c r="R350" s="4"/>
      <c r="S350" s="4"/>
      <c r="T350" s="4"/>
      <c r="U350" s="4"/>
      <c r="V350" s="4">
        <v>4.9331680000000002</v>
      </c>
      <c r="W350" s="4"/>
      <c r="X350" s="4"/>
      <c r="Y350" s="4"/>
      <c r="Z350" s="4"/>
      <c r="AA350" s="4"/>
      <c r="AB350" s="4" t="s">
        <v>1055</v>
      </c>
      <c r="AC350" s="4"/>
      <c r="AD350" s="4">
        <v>23.85</v>
      </c>
      <c r="AE350" s="4">
        <v>120.82</v>
      </c>
      <c r="AF350" s="4">
        <v>8</v>
      </c>
      <c r="AG350" s="4">
        <v>452.11360000000002</v>
      </c>
      <c r="AH350" s="27" t="b">
        <v>1</v>
      </c>
      <c r="AI350" s="4">
        <v>13.118</v>
      </c>
      <c r="AJ350" s="27" t="b">
        <v>0</v>
      </c>
      <c r="AK350" s="4"/>
      <c r="AL350" s="27" t="b">
        <v>1</v>
      </c>
      <c r="AM350" s="4">
        <v>224.87299999999999</v>
      </c>
      <c r="AN350" s="4">
        <v>132.036</v>
      </c>
      <c r="AO350" s="4">
        <v>120.852</v>
      </c>
      <c r="AP350" s="4">
        <v>42.991300000000003</v>
      </c>
      <c r="AQ350" s="4">
        <v>44.303800000000003</v>
      </c>
      <c r="AR350" s="4">
        <v>32.3095</v>
      </c>
      <c r="AS350" s="4">
        <v>118.85599999999999</v>
      </c>
      <c r="AT350" s="4">
        <v>96.781599999999997</v>
      </c>
      <c r="AU350" s="4">
        <v>27.217099999999999</v>
      </c>
      <c r="AV350" s="4">
        <v>66.223500000000001</v>
      </c>
      <c r="AW350" s="4">
        <v>-43.815600000000003</v>
      </c>
      <c r="AX350" s="4">
        <v>-3.2547999999999999</v>
      </c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1" t="s">
        <v>3599</v>
      </c>
      <c r="BJ350" s="1" t="s">
        <v>3821</v>
      </c>
      <c r="BK350" s="1">
        <v>1</v>
      </c>
      <c r="BL350" s="1"/>
      <c r="BM350" s="1" t="s">
        <v>211</v>
      </c>
      <c r="BN350" s="1" t="s">
        <v>2710</v>
      </c>
      <c r="BO350" s="1" t="s">
        <v>2711</v>
      </c>
      <c r="BP350" s="1">
        <v>7.65</v>
      </c>
      <c r="BQ350" s="1" t="s">
        <v>1003</v>
      </c>
      <c r="BR350" s="1">
        <v>23.85</v>
      </c>
      <c r="BS350" s="1">
        <v>120.82</v>
      </c>
      <c r="BT350" s="1">
        <v>8</v>
      </c>
      <c r="BU350" s="1" t="s">
        <v>1055</v>
      </c>
      <c r="BV350" s="1" t="s">
        <v>2834</v>
      </c>
      <c r="BW350" s="1">
        <v>209</v>
      </c>
      <c r="BX350" s="1">
        <v>68</v>
      </c>
      <c r="BY350" s="1">
        <v>89</v>
      </c>
      <c r="BZ350" s="1">
        <v>31</v>
      </c>
      <c r="CA350" s="1">
        <v>21</v>
      </c>
      <c r="CB350" s="1">
        <v>92</v>
      </c>
      <c r="CC350" s="1" t="s">
        <v>2808</v>
      </c>
      <c r="CD350" s="1" t="s">
        <v>862</v>
      </c>
      <c r="CE350" s="1">
        <v>1</v>
      </c>
      <c r="CF350" s="1">
        <v>7.58</v>
      </c>
      <c r="CG350" s="1">
        <v>5.6364999999999998</v>
      </c>
      <c r="CH350" s="1">
        <v>7322.4000000000005</v>
      </c>
      <c r="CI350" s="1" t="s">
        <v>863</v>
      </c>
      <c r="CJ350" s="1" t="s">
        <v>2812</v>
      </c>
      <c r="CK350" t="s">
        <v>1263</v>
      </c>
      <c r="CL350">
        <v>107</v>
      </c>
      <c r="CM350" t="s">
        <v>2845</v>
      </c>
    </row>
    <row r="351" spans="1:91" ht="19" customHeight="1">
      <c r="A351" s="1" t="s">
        <v>3822</v>
      </c>
      <c r="B351" s="1" t="s">
        <v>3597</v>
      </c>
      <c r="C351" s="1">
        <v>108</v>
      </c>
      <c r="D351" s="1" t="s">
        <v>1074</v>
      </c>
      <c r="E351" s="1">
        <v>1999</v>
      </c>
      <c r="F351" s="1" t="s">
        <v>1077</v>
      </c>
      <c r="G351" s="1" t="s">
        <v>2160</v>
      </c>
      <c r="H351" s="4">
        <v>24.16</v>
      </c>
      <c r="I351" s="4">
        <v>120.684833</v>
      </c>
      <c r="J351" s="1" t="s">
        <v>1404</v>
      </c>
      <c r="K351" s="1" t="s">
        <v>70</v>
      </c>
      <c r="L351" s="1" t="s">
        <v>2161</v>
      </c>
      <c r="M351" s="1" t="s">
        <v>3598</v>
      </c>
      <c r="N351" s="1"/>
      <c r="O351" s="1" t="s">
        <v>3095</v>
      </c>
      <c r="P351" s="1"/>
      <c r="Q351" s="4">
        <v>7.65</v>
      </c>
      <c r="R351" s="4"/>
      <c r="S351" s="4"/>
      <c r="T351" s="4"/>
      <c r="U351" s="4"/>
      <c r="V351" s="4">
        <v>4.2830919999999999</v>
      </c>
      <c r="W351" s="4"/>
      <c r="X351" s="4"/>
      <c r="Y351" s="4"/>
      <c r="Z351" s="4"/>
      <c r="AA351" s="4"/>
      <c r="AB351" s="4" t="s">
        <v>1055</v>
      </c>
      <c r="AC351" s="4"/>
      <c r="AD351" s="4">
        <v>23.85</v>
      </c>
      <c r="AE351" s="4">
        <v>120.82</v>
      </c>
      <c r="AF351" s="4">
        <v>8</v>
      </c>
      <c r="AG351" s="4">
        <v>436.99919999999997</v>
      </c>
      <c r="AH351" s="27" t="b">
        <v>1</v>
      </c>
      <c r="AI351" s="4">
        <v>11.837</v>
      </c>
      <c r="AJ351" s="27" t="b">
        <v>0</v>
      </c>
      <c r="AK351" s="4"/>
      <c r="AL351" s="27" t="b">
        <v>0</v>
      </c>
      <c r="AM351" s="4">
        <v>143.89400000000001</v>
      </c>
      <c r="AN351" s="4">
        <v>189.69900000000001</v>
      </c>
      <c r="AO351" s="4">
        <v>130.846</v>
      </c>
      <c r="AP351" s="4">
        <v>51.268700000000003</v>
      </c>
      <c r="AQ351" s="4">
        <v>37.972099999999998</v>
      </c>
      <c r="AR351" s="4">
        <v>30.540600000000001</v>
      </c>
      <c r="AS351" s="4">
        <v>96.224299999999999</v>
      </c>
      <c r="AT351" s="4">
        <v>73.192499999999995</v>
      </c>
      <c r="AU351" s="4">
        <v>24.4054</v>
      </c>
      <c r="AV351" s="4">
        <v>-10.035600000000001</v>
      </c>
      <c r="AW351" s="4">
        <v>56.163400000000003</v>
      </c>
      <c r="AX351" s="4">
        <v>6.9961599999999997</v>
      </c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1" t="s">
        <v>3599</v>
      </c>
      <c r="BJ351" s="1" t="s">
        <v>3823</v>
      </c>
      <c r="BK351" s="1">
        <v>1</v>
      </c>
      <c r="BL351" s="1"/>
      <c r="BM351" s="1" t="s">
        <v>211</v>
      </c>
      <c r="BN351" s="1" t="s">
        <v>2710</v>
      </c>
      <c r="BO351" s="1" t="s">
        <v>2711</v>
      </c>
      <c r="BP351" s="1">
        <v>7.65</v>
      </c>
      <c r="BQ351" s="1" t="s">
        <v>1003</v>
      </c>
      <c r="BR351" s="1">
        <v>23.85</v>
      </c>
      <c r="BS351" s="1">
        <v>120.82</v>
      </c>
      <c r="BT351" s="1">
        <v>8</v>
      </c>
      <c r="BU351" s="1" t="s">
        <v>1055</v>
      </c>
      <c r="BV351" s="1" t="s">
        <v>2834</v>
      </c>
      <c r="BW351" s="1">
        <v>209</v>
      </c>
      <c r="BX351" s="1">
        <v>68</v>
      </c>
      <c r="BY351" s="1">
        <v>89</v>
      </c>
      <c r="BZ351" s="1">
        <v>31</v>
      </c>
      <c r="CA351" s="1">
        <v>21</v>
      </c>
      <c r="CB351" s="1">
        <v>92</v>
      </c>
      <c r="CC351" s="1" t="s">
        <v>2808</v>
      </c>
      <c r="CD351" s="1" t="s">
        <v>862</v>
      </c>
      <c r="CE351" s="1">
        <v>1</v>
      </c>
      <c r="CF351" s="1">
        <v>7.58</v>
      </c>
      <c r="CG351" s="1">
        <v>5.6364999999999998</v>
      </c>
      <c r="CH351" s="1">
        <v>7322.4000000000005</v>
      </c>
      <c r="CI351" s="1" t="s">
        <v>863</v>
      </c>
      <c r="CJ351" s="1" t="s">
        <v>2812</v>
      </c>
      <c r="CK351" t="s">
        <v>1263</v>
      </c>
      <c r="CL351">
        <v>108</v>
      </c>
      <c r="CM351" t="s">
        <v>2845</v>
      </c>
    </row>
    <row r="352" spans="1:91" ht="19" customHeight="1">
      <c r="A352" s="1" t="s">
        <v>3824</v>
      </c>
      <c r="B352" s="1" t="s">
        <v>3597</v>
      </c>
      <c r="C352" s="1">
        <v>109</v>
      </c>
      <c r="D352" s="1" t="s">
        <v>1074</v>
      </c>
      <c r="E352" s="1">
        <v>1999</v>
      </c>
      <c r="F352" s="1" t="s">
        <v>1078</v>
      </c>
      <c r="G352" s="1" t="s">
        <v>2162</v>
      </c>
      <c r="H352" s="4">
        <v>24.138200000000001</v>
      </c>
      <c r="I352" s="4">
        <v>120.6748</v>
      </c>
      <c r="J352" s="1" t="s">
        <v>1404</v>
      </c>
      <c r="K352" s="1" t="s">
        <v>70</v>
      </c>
      <c r="L352" s="1" t="s">
        <v>2163</v>
      </c>
      <c r="M352" s="1" t="s">
        <v>3598</v>
      </c>
      <c r="N352" s="1"/>
      <c r="O352" s="1" t="s">
        <v>3095</v>
      </c>
      <c r="P352" s="1"/>
      <c r="Q352" s="4">
        <v>7.65</v>
      </c>
      <c r="R352" s="4"/>
      <c r="S352" s="4"/>
      <c r="T352" s="4"/>
      <c r="U352" s="4"/>
      <c r="V352" s="4">
        <v>5.2839</v>
      </c>
      <c r="W352" s="4"/>
      <c r="X352" s="4"/>
      <c r="Y352" s="4"/>
      <c r="Z352" s="4"/>
      <c r="AA352" s="4"/>
      <c r="AB352" s="4" t="s">
        <v>1055</v>
      </c>
      <c r="AC352" s="4"/>
      <c r="AD352" s="4">
        <v>23.85</v>
      </c>
      <c r="AE352" s="4">
        <v>120.82</v>
      </c>
      <c r="AF352" s="4">
        <v>8</v>
      </c>
      <c r="AG352" s="4">
        <v>423.81</v>
      </c>
      <c r="AH352" s="27" t="b">
        <v>0</v>
      </c>
      <c r="AI352" s="4"/>
      <c r="AJ352" s="27" t="b">
        <v>1</v>
      </c>
      <c r="AK352" s="4">
        <v>5.992</v>
      </c>
      <c r="AL352" s="27" t="b">
        <v>0</v>
      </c>
      <c r="AM352" s="4">
        <v>222.178482</v>
      </c>
      <c r="AN352" s="4">
        <v>201.280179</v>
      </c>
      <c r="AO352" s="4">
        <v>160.268372</v>
      </c>
      <c r="AP352" s="4">
        <v>36.326779999999999</v>
      </c>
      <c r="AQ352" s="4">
        <v>32.517924999999998</v>
      </c>
      <c r="AR352" s="4">
        <v>44.745085000000003</v>
      </c>
      <c r="AS352" s="4">
        <v>27.815196</v>
      </c>
      <c r="AT352" s="4">
        <v>18.643820999999999</v>
      </c>
      <c r="AU352" s="4">
        <v>34.158679999999997</v>
      </c>
      <c r="AV352" s="4">
        <v>-1.2733129999999999</v>
      </c>
      <c r="AW352" s="4">
        <v>-1.3636299999999999</v>
      </c>
      <c r="AX352" s="4">
        <v>8.7804649999999995</v>
      </c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1" t="s">
        <v>3651</v>
      </c>
      <c r="BJ352" s="1" t="s">
        <v>3825</v>
      </c>
      <c r="BK352" s="1">
        <v>1</v>
      </c>
      <c r="BL352" s="1"/>
      <c r="BM352" s="1" t="s">
        <v>211</v>
      </c>
      <c r="BN352" s="1" t="s">
        <v>2710</v>
      </c>
      <c r="BO352" s="1" t="s">
        <v>2711</v>
      </c>
      <c r="BP352" s="1">
        <v>7.65</v>
      </c>
      <c r="BQ352" s="1" t="s">
        <v>1003</v>
      </c>
      <c r="BR352" s="1">
        <v>23.85</v>
      </c>
      <c r="BS352" s="1">
        <v>120.82</v>
      </c>
      <c r="BT352" s="1">
        <v>8</v>
      </c>
      <c r="BU352" s="1" t="s">
        <v>1055</v>
      </c>
      <c r="BV352" s="1" t="s">
        <v>2834</v>
      </c>
      <c r="BW352" s="1">
        <v>209</v>
      </c>
      <c r="BX352" s="1">
        <v>68</v>
      </c>
      <c r="BY352" s="1">
        <v>89</v>
      </c>
      <c r="BZ352" s="1">
        <v>31</v>
      </c>
      <c r="CA352" s="1">
        <v>21</v>
      </c>
      <c r="CB352" s="1">
        <v>92</v>
      </c>
      <c r="CC352" s="1" t="s">
        <v>2808</v>
      </c>
      <c r="CD352" s="1" t="s">
        <v>862</v>
      </c>
      <c r="CE352" s="1">
        <v>1</v>
      </c>
      <c r="CF352" s="1">
        <v>7.58</v>
      </c>
      <c r="CG352" s="1">
        <v>5.6364999999999998</v>
      </c>
      <c r="CH352" s="1">
        <v>7322.4000000000005</v>
      </c>
      <c r="CI352" s="1" t="s">
        <v>863</v>
      </c>
      <c r="CJ352" s="1" t="s">
        <v>2812</v>
      </c>
      <c r="CK352" t="s">
        <v>1263</v>
      </c>
      <c r="CL352">
        <v>109</v>
      </c>
      <c r="CM352" t="s">
        <v>2845</v>
      </c>
    </row>
    <row r="353" spans="1:91" ht="19" customHeight="1">
      <c r="A353" s="1" t="s">
        <v>3826</v>
      </c>
      <c r="B353" s="1" t="s">
        <v>3597</v>
      </c>
      <c r="C353" s="1">
        <v>110</v>
      </c>
      <c r="D353" s="1" t="s">
        <v>1074</v>
      </c>
      <c r="E353" s="1">
        <v>1999</v>
      </c>
      <c r="F353" s="1" t="s">
        <v>890</v>
      </c>
      <c r="G353" s="1" t="s">
        <v>2164</v>
      </c>
      <c r="H353" s="4">
        <v>24.157</v>
      </c>
      <c r="I353" s="4">
        <v>120.6335</v>
      </c>
      <c r="J353" s="1" t="s">
        <v>1404</v>
      </c>
      <c r="K353" s="1" t="s">
        <v>70</v>
      </c>
      <c r="L353" s="1" t="s">
        <v>2165</v>
      </c>
      <c r="M353" s="1" t="s">
        <v>3598</v>
      </c>
      <c r="N353" s="1"/>
      <c r="O353" s="1" t="s">
        <v>3095</v>
      </c>
      <c r="P353" s="1"/>
      <c r="Q353" s="4">
        <v>7.65</v>
      </c>
      <c r="R353" s="4"/>
      <c r="S353" s="4"/>
      <c r="T353" s="4"/>
      <c r="U353" s="4"/>
      <c r="V353" s="4">
        <v>9.4835960000000004</v>
      </c>
      <c r="W353" s="4"/>
      <c r="X353" s="4"/>
      <c r="Y353" s="4"/>
      <c r="Z353" s="4"/>
      <c r="AA353" s="4"/>
      <c r="AB353" s="4" t="s">
        <v>1055</v>
      </c>
      <c r="AC353" s="4"/>
      <c r="AD353" s="4">
        <v>23.85</v>
      </c>
      <c r="AE353" s="4">
        <v>120.82</v>
      </c>
      <c r="AF353" s="4">
        <v>8</v>
      </c>
      <c r="AG353" s="4">
        <v>401.1902</v>
      </c>
      <c r="AH353" s="27" t="b">
        <v>1</v>
      </c>
      <c r="AI353" s="4">
        <v>9.0299999999999994</v>
      </c>
      <c r="AJ353" s="27" t="b">
        <v>0</v>
      </c>
      <c r="AK353" s="4"/>
      <c r="AL353" s="27" t="b">
        <v>1</v>
      </c>
      <c r="AM353" s="4">
        <v>153.815</v>
      </c>
      <c r="AN353" s="4">
        <v>140.316</v>
      </c>
      <c r="AO353" s="4">
        <v>116.845</v>
      </c>
      <c r="AP353" s="4">
        <v>41.148000000000003</v>
      </c>
      <c r="AQ353" s="4">
        <v>39.289499999999997</v>
      </c>
      <c r="AR353" s="4">
        <v>40.806100000000001</v>
      </c>
      <c r="AS353" s="4">
        <v>112.252</v>
      </c>
      <c r="AT353" s="4">
        <v>85.797300000000007</v>
      </c>
      <c r="AU353" s="4">
        <v>37.955599999999997</v>
      </c>
      <c r="AV353" s="4">
        <v>65.025300000000001</v>
      </c>
      <c r="AW353" s="4">
        <v>-43.721600000000002</v>
      </c>
      <c r="AX353" s="4">
        <v>-9.6624599999999994</v>
      </c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1" t="s">
        <v>3599</v>
      </c>
      <c r="BJ353" s="1" t="s">
        <v>3827</v>
      </c>
      <c r="BK353" s="1">
        <v>1</v>
      </c>
      <c r="BL353" s="1"/>
      <c r="BM353" s="1" t="s">
        <v>211</v>
      </c>
      <c r="BN353" s="1" t="s">
        <v>2710</v>
      </c>
      <c r="BO353" s="1" t="s">
        <v>2711</v>
      </c>
      <c r="BP353" s="1">
        <v>7.65</v>
      </c>
      <c r="BQ353" s="1" t="s">
        <v>1003</v>
      </c>
      <c r="BR353" s="1">
        <v>23.85</v>
      </c>
      <c r="BS353" s="1">
        <v>120.82</v>
      </c>
      <c r="BT353" s="1">
        <v>8</v>
      </c>
      <c r="BU353" s="1" t="s">
        <v>1055</v>
      </c>
      <c r="BV353" s="1" t="s">
        <v>2834</v>
      </c>
      <c r="BW353" s="1">
        <v>209</v>
      </c>
      <c r="BX353" s="1">
        <v>68</v>
      </c>
      <c r="BY353" s="1">
        <v>89</v>
      </c>
      <c r="BZ353" s="1">
        <v>31</v>
      </c>
      <c r="CA353" s="1">
        <v>21</v>
      </c>
      <c r="CB353" s="1">
        <v>92</v>
      </c>
      <c r="CC353" s="1" t="s">
        <v>2808</v>
      </c>
      <c r="CD353" s="1" t="s">
        <v>862</v>
      </c>
      <c r="CE353" s="1">
        <v>1</v>
      </c>
      <c r="CF353" s="1">
        <v>7.58</v>
      </c>
      <c r="CG353" s="1">
        <v>5.6364999999999998</v>
      </c>
      <c r="CH353" s="1">
        <v>7322.4000000000005</v>
      </c>
      <c r="CI353" s="1" t="s">
        <v>863</v>
      </c>
      <c r="CJ353" s="1" t="s">
        <v>2812</v>
      </c>
      <c r="CK353" t="s">
        <v>1263</v>
      </c>
      <c r="CL353">
        <v>110</v>
      </c>
      <c r="CM353" t="s">
        <v>2845</v>
      </c>
    </row>
    <row r="354" spans="1:91" ht="19" customHeight="1">
      <c r="A354" s="1" t="s">
        <v>3828</v>
      </c>
      <c r="B354" s="1" t="s">
        <v>3597</v>
      </c>
      <c r="C354" s="1">
        <v>111</v>
      </c>
      <c r="D354" s="1" t="s">
        <v>1074</v>
      </c>
      <c r="E354" s="1">
        <v>1999</v>
      </c>
      <c r="F354" s="1" t="s">
        <v>891</v>
      </c>
      <c r="G354" s="1" t="s">
        <v>2167</v>
      </c>
      <c r="H354" s="4">
        <v>24.266999999999999</v>
      </c>
      <c r="I354" s="4">
        <v>120.571833</v>
      </c>
      <c r="J354" s="1" t="s">
        <v>1404</v>
      </c>
      <c r="K354" s="1" t="s">
        <v>70</v>
      </c>
      <c r="L354" s="1" t="s">
        <v>2168</v>
      </c>
      <c r="M354" s="1" t="s">
        <v>3598</v>
      </c>
      <c r="N354" s="1"/>
      <c r="O354" s="1" t="s">
        <v>3095</v>
      </c>
      <c r="P354" s="1"/>
      <c r="Q354" s="4">
        <v>7.65</v>
      </c>
      <c r="R354" s="4"/>
      <c r="S354" s="4"/>
      <c r="T354" s="4"/>
      <c r="U354" s="4"/>
      <c r="V354" s="4">
        <v>16.255703</v>
      </c>
      <c r="W354" s="4"/>
      <c r="X354" s="4"/>
      <c r="Y354" s="4"/>
      <c r="Z354" s="4"/>
      <c r="AA354" s="4"/>
      <c r="AB354" s="4" t="s">
        <v>1055</v>
      </c>
      <c r="AC354" s="4"/>
      <c r="AD354" s="4">
        <v>23.85</v>
      </c>
      <c r="AE354" s="4">
        <v>120.82</v>
      </c>
      <c r="AF354" s="4">
        <v>8</v>
      </c>
      <c r="AG354" s="4">
        <v>232.1892</v>
      </c>
      <c r="AH354" s="27" t="b">
        <v>1</v>
      </c>
      <c r="AI354" s="4">
        <v>7.7839999999999998</v>
      </c>
      <c r="AJ354" s="27" t="b">
        <v>0</v>
      </c>
      <c r="AK354" s="4"/>
      <c r="AL354" s="27" t="b">
        <v>1</v>
      </c>
      <c r="AM354" s="4">
        <v>156.73400000000001</v>
      </c>
      <c r="AN354" s="4">
        <v>161.86699999999999</v>
      </c>
      <c r="AO354" s="4">
        <v>64.483099999999993</v>
      </c>
      <c r="AP354" s="4">
        <v>50.771799999999999</v>
      </c>
      <c r="AQ354" s="4">
        <v>53.844200000000001</v>
      </c>
      <c r="AR354" s="4">
        <v>14.2843</v>
      </c>
      <c r="AS354" s="4">
        <v>84.582099999999997</v>
      </c>
      <c r="AT354" s="4">
        <v>77.403000000000006</v>
      </c>
      <c r="AU354" s="4">
        <v>24.328399999999998</v>
      </c>
      <c r="AV354" s="4">
        <v>43.6798</v>
      </c>
      <c r="AW354" s="4">
        <v>-33.329300000000003</v>
      </c>
      <c r="AX354" s="4">
        <v>9.2062399999999993</v>
      </c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1" t="s">
        <v>3599</v>
      </c>
      <c r="BJ354" s="1" t="s">
        <v>3829</v>
      </c>
      <c r="BK354" s="1">
        <v>1</v>
      </c>
      <c r="BL354" s="1"/>
      <c r="BM354" s="1" t="s">
        <v>211</v>
      </c>
      <c r="BN354" s="1" t="s">
        <v>2710</v>
      </c>
      <c r="BO354" s="1" t="s">
        <v>2711</v>
      </c>
      <c r="BP354" s="1">
        <v>7.65</v>
      </c>
      <c r="BQ354" s="1" t="s">
        <v>1003</v>
      </c>
      <c r="BR354" s="1">
        <v>23.85</v>
      </c>
      <c r="BS354" s="1">
        <v>120.82</v>
      </c>
      <c r="BT354" s="1">
        <v>8</v>
      </c>
      <c r="BU354" s="1" t="s">
        <v>1055</v>
      </c>
      <c r="BV354" s="1" t="s">
        <v>2834</v>
      </c>
      <c r="BW354" s="1">
        <v>209</v>
      </c>
      <c r="BX354" s="1">
        <v>68</v>
      </c>
      <c r="BY354" s="1">
        <v>89</v>
      </c>
      <c r="BZ354" s="1">
        <v>31</v>
      </c>
      <c r="CA354" s="1">
        <v>21</v>
      </c>
      <c r="CB354" s="1">
        <v>92</v>
      </c>
      <c r="CC354" s="1" t="s">
        <v>2808</v>
      </c>
      <c r="CD354" s="1" t="s">
        <v>862</v>
      </c>
      <c r="CE354" s="1">
        <v>1</v>
      </c>
      <c r="CF354" s="1">
        <v>7.58</v>
      </c>
      <c r="CG354" s="1">
        <v>5.6364999999999998</v>
      </c>
      <c r="CH354" s="1">
        <v>7322.4000000000005</v>
      </c>
      <c r="CI354" s="1" t="s">
        <v>863</v>
      </c>
      <c r="CJ354" s="1" t="s">
        <v>2812</v>
      </c>
      <c r="CK354" t="s">
        <v>1263</v>
      </c>
      <c r="CL354">
        <v>111</v>
      </c>
      <c r="CM354" t="s">
        <v>2845</v>
      </c>
    </row>
    <row r="355" spans="1:91" ht="19" customHeight="1">
      <c r="A355" s="1" t="s">
        <v>3830</v>
      </c>
      <c r="B355" s="1" t="s">
        <v>3597</v>
      </c>
      <c r="C355" s="1">
        <v>112</v>
      </c>
      <c r="D355" s="1" t="s">
        <v>1074</v>
      </c>
      <c r="E355" s="1">
        <v>1999</v>
      </c>
      <c r="F355" s="1" t="s">
        <v>892</v>
      </c>
      <c r="G355" s="1" t="s">
        <v>2170</v>
      </c>
      <c r="H355" s="4">
        <v>24.107832999999999</v>
      </c>
      <c r="I355" s="4">
        <v>120.623833</v>
      </c>
      <c r="J355" s="1" t="s">
        <v>1404</v>
      </c>
      <c r="K355" s="1" t="s">
        <v>70</v>
      </c>
      <c r="L355" s="1" t="s">
        <v>2171</v>
      </c>
      <c r="M355" s="1" t="s">
        <v>3598</v>
      </c>
      <c r="N355" s="1"/>
      <c r="O355" s="1" t="s">
        <v>3095</v>
      </c>
      <c r="P355" s="1"/>
      <c r="Q355" s="4">
        <v>7.65</v>
      </c>
      <c r="R355" s="4"/>
      <c r="S355" s="4"/>
      <c r="T355" s="4"/>
      <c r="U355" s="4"/>
      <c r="V355" s="4">
        <v>9.0694669999999995</v>
      </c>
      <c r="W355" s="4"/>
      <c r="X355" s="4"/>
      <c r="Y355" s="4"/>
      <c r="Z355" s="4"/>
      <c r="AA355" s="4"/>
      <c r="AB355" s="4" t="s">
        <v>1055</v>
      </c>
      <c r="AC355" s="4"/>
      <c r="AD355" s="4">
        <v>23.85</v>
      </c>
      <c r="AE355" s="4">
        <v>120.82</v>
      </c>
      <c r="AF355" s="4">
        <v>8</v>
      </c>
      <c r="AG355" s="4">
        <v>476.15269999999998</v>
      </c>
      <c r="AH355" s="27" t="b">
        <v>1</v>
      </c>
      <c r="AI355" s="4">
        <v>6.5519999999999996</v>
      </c>
      <c r="AJ355" s="27" t="b">
        <v>0</v>
      </c>
      <c r="AK355" s="4"/>
      <c r="AL355" s="27" t="b">
        <v>1</v>
      </c>
      <c r="AM355" s="4">
        <v>179.41399999999999</v>
      </c>
      <c r="AN355" s="4">
        <v>129.98699999999999</v>
      </c>
      <c r="AO355" s="4">
        <v>132.99700000000001</v>
      </c>
      <c r="AP355" s="4">
        <v>44.383600000000001</v>
      </c>
      <c r="AQ355" s="4">
        <v>82.262</v>
      </c>
      <c r="AR355" s="4">
        <v>57.037199999999999</v>
      </c>
      <c r="AS355" s="4">
        <v>107.90600000000001</v>
      </c>
      <c r="AT355" s="4">
        <v>73.687299999999993</v>
      </c>
      <c r="AU355" s="4">
        <v>53.228499999999997</v>
      </c>
      <c r="AV355" s="4">
        <v>72.1982</v>
      </c>
      <c r="AW355" s="4">
        <v>-21.9559</v>
      </c>
      <c r="AX355" s="4">
        <v>10.0901</v>
      </c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1" t="s">
        <v>3599</v>
      </c>
      <c r="BJ355" s="1" t="s">
        <v>3831</v>
      </c>
      <c r="BK355" s="1">
        <v>1</v>
      </c>
      <c r="BL355" s="1"/>
      <c r="BM355" s="1" t="s">
        <v>211</v>
      </c>
      <c r="BN355" s="1" t="s">
        <v>2710</v>
      </c>
      <c r="BO355" s="1" t="s">
        <v>2711</v>
      </c>
      <c r="BP355" s="1">
        <v>7.65</v>
      </c>
      <c r="BQ355" s="1" t="s">
        <v>1003</v>
      </c>
      <c r="BR355" s="1">
        <v>23.85</v>
      </c>
      <c r="BS355" s="1">
        <v>120.82</v>
      </c>
      <c r="BT355" s="1">
        <v>8</v>
      </c>
      <c r="BU355" s="1" t="s">
        <v>1055</v>
      </c>
      <c r="BV355" s="1" t="s">
        <v>2834</v>
      </c>
      <c r="BW355" s="1">
        <v>209</v>
      </c>
      <c r="BX355" s="1">
        <v>68</v>
      </c>
      <c r="BY355" s="1">
        <v>89</v>
      </c>
      <c r="BZ355" s="1">
        <v>31</v>
      </c>
      <c r="CA355" s="1">
        <v>21</v>
      </c>
      <c r="CB355" s="1">
        <v>92</v>
      </c>
      <c r="CC355" s="1" t="s">
        <v>2808</v>
      </c>
      <c r="CD355" s="1" t="s">
        <v>862</v>
      </c>
      <c r="CE355" s="1">
        <v>1</v>
      </c>
      <c r="CF355" s="1">
        <v>7.58</v>
      </c>
      <c r="CG355" s="1">
        <v>5.6364999999999998</v>
      </c>
      <c r="CH355" s="1">
        <v>7322.4000000000005</v>
      </c>
      <c r="CI355" s="1" t="s">
        <v>863</v>
      </c>
      <c r="CJ355" s="1" t="s">
        <v>2812</v>
      </c>
      <c r="CK355" t="s">
        <v>1263</v>
      </c>
      <c r="CL355">
        <v>112</v>
      </c>
      <c r="CM355" t="s">
        <v>2845</v>
      </c>
    </row>
    <row r="356" spans="1:91" ht="19" customHeight="1">
      <c r="A356" s="1" t="s">
        <v>3832</v>
      </c>
      <c r="B356" s="1" t="s">
        <v>3597</v>
      </c>
      <c r="C356" s="1">
        <v>113</v>
      </c>
      <c r="D356" s="1" t="s">
        <v>1074</v>
      </c>
      <c r="E356" s="1">
        <v>1999</v>
      </c>
      <c r="F356" s="1" t="s">
        <v>893</v>
      </c>
      <c r="G356" s="1" t="s">
        <v>2173</v>
      </c>
      <c r="H356" s="4">
        <v>24.3445</v>
      </c>
      <c r="I356" s="4">
        <v>120.619333</v>
      </c>
      <c r="J356" s="1" t="s">
        <v>1404</v>
      </c>
      <c r="K356" s="1" t="s">
        <v>70</v>
      </c>
      <c r="L356" s="1" t="s">
        <v>2174</v>
      </c>
      <c r="M356" s="1" t="s">
        <v>3598</v>
      </c>
      <c r="N356" s="1"/>
      <c r="O356" s="1" t="s">
        <v>3095</v>
      </c>
      <c r="P356" s="1"/>
      <c r="Q356" s="4">
        <v>7.65</v>
      </c>
      <c r="R356" s="4"/>
      <c r="S356" s="4"/>
      <c r="T356" s="4"/>
      <c r="U356" s="4"/>
      <c r="V356" s="4">
        <v>15.701266</v>
      </c>
      <c r="W356" s="4"/>
      <c r="X356" s="4"/>
      <c r="Y356" s="4"/>
      <c r="Z356" s="4"/>
      <c r="AA356" s="4"/>
      <c r="AB356" s="4" t="s">
        <v>1055</v>
      </c>
      <c r="AC356" s="4"/>
      <c r="AD356" s="4">
        <v>23.85</v>
      </c>
      <c r="AE356" s="4">
        <v>120.82</v>
      </c>
      <c r="AF356" s="4">
        <v>8</v>
      </c>
      <c r="AG356" s="4">
        <v>646.97</v>
      </c>
      <c r="AH356" s="27" t="b">
        <v>1</v>
      </c>
      <c r="AI356" s="4">
        <v>8.4559999999999995</v>
      </c>
      <c r="AJ356" s="27" t="b">
        <v>0</v>
      </c>
      <c r="AK356" s="4"/>
      <c r="AL356" s="27" t="b">
        <v>1</v>
      </c>
      <c r="AM356" s="4">
        <v>108.94799999999999</v>
      </c>
      <c r="AN356" s="4">
        <v>113.45099999999999</v>
      </c>
      <c r="AO356" s="4">
        <v>82.3566</v>
      </c>
      <c r="AP356" s="4">
        <v>45.342300000000002</v>
      </c>
      <c r="AQ356" s="4">
        <v>55.6738</v>
      </c>
      <c r="AR356" s="4">
        <v>33.348799999999997</v>
      </c>
      <c r="AS356" s="4">
        <v>92.375900000000001</v>
      </c>
      <c r="AT356" s="4">
        <v>83.691100000000006</v>
      </c>
      <c r="AU356" s="4">
        <v>43.719700000000003</v>
      </c>
      <c r="AV356" s="4">
        <v>61.743899999999996</v>
      </c>
      <c r="AW356" s="4">
        <v>-26.734999999999999</v>
      </c>
      <c r="AX356" s="4">
        <v>34.897300000000001</v>
      </c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1" t="s">
        <v>3599</v>
      </c>
      <c r="BJ356" s="1" t="s">
        <v>3833</v>
      </c>
      <c r="BK356" s="1">
        <v>1</v>
      </c>
      <c r="BL356" s="1"/>
      <c r="BM356" s="1" t="s">
        <v>211</v>
      </c>
      <c r="BN356" s="1" t="s">
        <v>2710</v>
      </c>
      <c r="BO356" s="1" t="s">
        <v>2711</v>
      </c>
      <c r="BP356" s="1">
        <v>7.65</v>
      </c>
      <c r="BQ356" s="1" t="s">
        <v>1003</v>
      </c>
      <c r="BR356" s="1">
        <v>23.85</v>
      </c>
      <c r="BS356" s="1">
        <v>120.82</v>
      </c>
      <c r="BT356" s="1">
        <v>8</v>
      </c>
      <c r="BU356" s="1" t="s">
        <v>1055</v>
      </c>
      <c r="BV356" s="1" t="s">
        <v>2834</v>
      </c>
      <c r="BW356" s="1">
        <v>209</v>
      </c>
      <c r="BX356" s="1">
        <v>68</v>
      </c>
      <c r="BY356" s="1">
        <v>89</v>
      </c>
      <c r="BZ356" s="1">
        <v>31</v>
      </c>
      <c r="CA356" s="1">
        <v>21</v>
      </c>
      <c r="CB356" s="1">
        <v>92</v>
      </c>
      <c r="CC356" s="1" t="s">
        <v>2808</v>
      </c>
      <c r="CD356" s="1" t="s">
        <v>862</v>
      </c>
      <c r="CE356" s="1">
        <v>1</v>
      </c>
      <c r="CF356" s="1">
        <v>7.58</v>
      </c>
      <c r="CG356" s="1">
        <v>5.6364999999999998</v>
      </c>
      <c r="CH356" s="1">
        <v>7322.4000000000005</v>
      </c>
      <c r="CI356" s="1" t="s">
        <v>863</v>
      </c>
      <c r="CJ356" s="1" t="s">
        <v>2812</v>
      </c>
      <c r="CK356" t="s">
        <v>1263</v>
      </c>
      <c r="CL356">
        <v>113</v>
      </c>
      <c r="CM356" t="s">
        <v>2845</v>
      </c>
    </row>
    <row r="357" spans="1:91" ht="19" customHeight="1">
      <c r="A357" s="1" t="s">
        <v>3834</v>
      </c>
      <c r="B357" s="1" t="s">
        <v>3597</v>
      </c>
      <c r="C357" s="1">
        <v>114</v>
      </c>
      <c r="D357" s="1" t="s">
        <v>1074</v>
      </c>
      <c r="E357" s="1">
        <v>1999</v>
      </c>
      <c r="F357" s="1" t="s">
        <v>894</v>
      </c>
      <c r="G357" s="1" t="s">
        <v>2176</v>
      </c>
      <c r="H357" s="4">
        <v>24.056166999999999</v>
      </c>
      <c r="I357" s="4">
        <v>120.699833</v>
      </c>
      <c r="J357" s="1" t="s">
        <v>1404</v>
      </c>
      <c r="K357" s="1" t="s">
        <v>70</v>
      </c>
      <c r="L357" s="1" t="s">
        <v>3835</v>
      </c>
      <c r="M357" s="1" t="s">
        <v>3598</v>
      </c>
      <c r="N357" s="1"/>
      <c r="O357" s="1" t="s">
        <v>3095</v>
      </c>
      <c r="P357" s="1"/>
      <c r="Q357" s="4">
        <v>7.65</v>
      </c>
      <c r="R357" s="4"/>
      <c r="S357" s="4"/>
      <c r="T357" s="4"/>
      <c r="U357" s="4"/>
      <c r="V357" s="4">
        <v>0.17556099999999999</v>
      </c>
      <c r="W357" s="4"/>
      <c r="X357" s="4"/>
      <c r="Y357" s="4"/>
      <c r="Z357" s="4"/>
      <c r="AA357" s="4"/>
      <c r="AB357" s="4" t="s">
        <v>1055</v>
      </c>
      <c r="AC357" s="4"/>
      <c r="AD357" s="4">
        <v>23.85</v>
      </c>
      <c r="AE357" s="4">
        <v>120.82</v>
      </c>
      <c r="AF357" s="4">
        <v>8</v>
      </c>
      <c r="AG357" s="4">
        <v>290.10730000000001</v>
      </c>
      <c r="AH357" s="27" t="b">
        <v>1</v>
      </c>
      <c r="AI357" s="4">
        <v>5.74</v>
      </c>
      <c r="AJ357" s="27" t="b">
        <v>1</v>
      </c>
      <c r="AK357" s="4">
        <v>4.8579999999999997</v>
      </c>
      <c r="AL357" s="27" t="b">
        <v>1</v>
      </c>
      <c r="AM357" s="4">
        <v>773.67499999999995</v>
      </c>
      <c r="AN357" s="4">
        <v>563.30700000000002</v>
      </c>
      <c r="AO357" s="4">
        <v>257.74099999999999</v>
      </c>
      <c r="AP357" s="4">
        <v>132.55699999999999</v>
      </c>
      <c r="AQ357" s="4">
        <v>90.242599999999996</v>
      </c>
      <c r="AR357" s="4">
        <v>68.365399999999994</v>
      </c>
      <c r="AS357" s="4">
        <v>186.56</v>
      </c>
      <c r="AT357" s="4">
        <v>138.75700000000001</v>
      </c>
      <c r="AU357" s="4">
        <v>68.891300000000001</v>
      </c>
      <c r="AV357" s="4">
        <v>133.21600000000001</v>
      </c>
      <c r="AW357" s="4">
        <v>-86.197699999999998</v>
      </c>
      <c r="AX357" s="4">
        <v>-19.285499999999999</v>
      </c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1"/>
      <c r="BJ357" s="1" t="s">
        <v>3836</v>
      </c>
      <c r="BK357" s="1">
        <v>1</v>
      </c>
      <c r="BL357" s="1"/>
      <c r="BM357" s="1" t="s">
        <v>211</v>
      </c>
      <c r="BN357" s="1" t="s">
        <v>2710</v>
      </c>
      <c r="BO357" s="1" t="s">
        <v>2711</v>
      </c>
      <c r="BP357" s="1">
        <v>7.65</v>
      </c>
      <c r="BQ357" s="1" t="s">
        <v>1003</v>
      </c>
      <c r="BR357" s="1">
        <v>23.85</v>
      </c>
      <c r="BS357" s="1">
        <v>120.82</v>
      </c>
      <c r="BT357" s="1">
        <v>8</v>
      </c>
      <c r="BU357" s="1" t="s">
        <v>1055</v>
      </c>
      <c r="BV357" s="1" t="s">
        <v>2834</v>
      </c>
      <c r="BW357" s="1">
        <v>209</v>
      </c>
      <c r="BX357" s="1">
        <v>68</v>
      </c>
      <c r="BY357" s="1">
        <v>89</v>
      </c>
      <c r="BZ357" s="1">
        <v>31</v>
      </c>
      <c r="CA357" s="1">
        <v>21</v>
      </c>
      <c r="CB357" s="1">
        <v>92</v>
      </c>
      <c r="CC357" s="1" t="s">
        <v>2808</v>
      </c>
      <c r="CD357" s="1" t="s">
        <v>862</v>
      </c>
      <c r="CE357" s="1">
        <v>1</v>
      </c>
      <c r="CF357" s="1">
        <v>7.58</v>
      </c>
      <c r="CG357" s="1">
        <v>5.6364999999999998</v>
      </c>
      <c r="CH357" s="1">
        <v>7322.4000000000005</v>
      </c>
      <c r="CI357" s="1" t="s">
        <v>863</v>
      </c>
      <c r="CJ357" s="1" t="s">
        <v>2812</v>
      </c>
      <c r="CK357" t="s">
        <v>1263</v>
      </c>
      <c r="CL357">
        <v>114</v>
      </c>
      <c r="CM357" t="s">
        <v>2845</v>
      </c>
    </row>
    <row r="358" spans="1:91" ht="19" customHeight="1">
      <c r="A358" s="1" t="s">
        <v>3837</v>
      </c>
      <c r="B358" s="1" t="s">
        <v>3597</v>
      </c>
      <c r="C358" s="1">
        <v>115</v>
      </c>
      <c r="D358" s="1" t="s">
        <v>1074</v>
      </c>
      <c r="E358" s="1">
        <v>1999</v>
      </c>
      <c r="F358" s="1" t="s">
        <v>1068</v>
      </c>
      <c r="G358" s="1" t="s">
        <v>2181</v>
      </c>
      <c r="H358" s="4">
        <v>24.09</v>
      </c>
      <c r="I358" s="4">
        <v>120.728167</v>
      </c>
      <c r="J358" s="1" t="s">
        <v>1404</v>
      </c>
      <c r="K358" s="1" t="s">
        <v>70</v>
      </c>
      <c r="L358" s="1" t="s">
        <v>3838</v>
      </c>
      <c r="M358" s="1" t="s">
        <v>3598</v>
      </c>
      <c r="N358" s="1"/>
      <c r="O358" s="1" t="s">
        <v>3095</v>
      </c>
      <c r="P358" s="1"/>
      <c r="Q358" s="4">
        <v>7.65</v>
      </c>
      <c r="R358" s="4"/>
      <c r="S358" s="4"/>
      <c r="T358" s="4"/>
      <c r="U358" s="4"/>
      <c r="V358" s="4">
        <v>0.10695300000000001</v>
      </c>
      <c r="W358" s="4"/>
      <c r="X358" s="4"/>
      <c r="Y358" s="4"/>
      <c r="Z358" s="4"/>
      <c r="AA358" s="4"/>
      <c r="AB358" s="4" t="s">
        <v>1055</v>
      </c>
      <c r="AC358" s="4"/>
      <c r="AD358" s="4">
        <v>23.85</v>
      </c>
      <c r="AE358" s="4">
        <v>120.82</v>
      </c>
      <c r="AF358" s="4">
        <v>8</v>
      </c>
      <c r="AG358" s="4">
        <v>440.3023</v>
      </c>
      <c r="AH358" s="27" t="b">
        <v>0</v>
      </c>
      <c r="AI358" s="4"/>
      <c r="AJ358" s="27" t="b">
        <v>1</v>
      </c>
      <c r="AK358" s="4">
        <v>5.8449999999999998</v>
      </c>
      <c r="AL358" s="27" t="b">
        <v>1</v>
      </c>
      <c r="AM358" s="4">
        <v>488.80099999999999</v>
      </c>
      <c r="AN358" s="4">
        <v>312.887</v>
      </c>
      <c r="AO358" s="4">
        <v>230.364</v>
      </c>
      <c r="AP358" s="4">
        <v>97.560400000000001</v>
      </c>
      <c r="AQ358" s="4">
        <v>55.170900000000003</v>
      </c>
      <c r="AR358" s="4">
        <v>49.453899999999997</v>
      </c>
      <c r="AS358" s="4">
        <v>186.244</v>
      </c>
      <c r="AT358" s="4">
        <v>95.653999999999996</v>
      </c>
      <c r="AU358" s="4">
        <v>47.991100000000003</v>
      </c>
      <c r="AV358" s="4">
        <v>133.52199999999999</v>
      </c>
      <c r="AW358" s="4">
        <v>-50.859200000000001</v>
      </c>
      <c r="AX358" s="4">
        <v>-6.6316899999999999</v>
      </c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1" t="s">
        <v>3651</v>
      </c>
      <c r="BJ358" s="1" t="s">
        <v>3839</v>
      </c>
      <c r="BK358" s="1">
        <v>1</v>
      </c>
      <c r="BL358" s="1"/>
      <c r="BM358" s="1" t="s">
        <v>211</v>
      </c>
      <c r="BN358" s="1" t="s">
        <v>2710</v>
      </c>
      <c r="BO358" s="1" t="s">
        <v>2711</v>
      </c>
      <c r="BP358" s="1">
        <v>7.65</v>
      </c>
      <c r="BQ358" s="1" t="s">
        <v>1003</v>
      </c>
      <c r="BR358" s="1">
        <v>23.85</v>
      </c>
      <c r="BS358" s="1">
        <v>120.82</v>
      </c>
      <c r="BT358" s="1">
        <v>8</v>
      </c>
      <c r="BU358" s="1" t="s">
        <v>1055</v>
      </c>
      <c r="BV358" s="1" t="s">
        <v>2834</v>
      </c>
      <c r="BW358" s="1">
        <v>209</v>
      </c>
      <c r="BX358" s="1">
        <v>68</v>
      </c>
      <c r="BY358" s="1">
        <v>89</v>
      </c>
      <c r="BZ358" s="1">
        <v>31</v>
      </c>
      <c r="CA358" s="1">
        <v>21</v>
      </c>
      <c r="CB358" s="1">
        <v>92</v>
      </c>
      <c r="CC358" s="1" t="s">
        <v>2808</v>
      </c>
      <c r="CD358" s="1" t="s">
        <v>862</v>
      </c>
      <c r="CE358" s="1">
        <v>1</v>
      </c>
      <c r="CF358" s="1">
        <v>7.58</v>
      </c>
      <c r="CG358" s="1">
        <v>5.6364999999999998</v>
      </c>
      <c r="CH358" s="1">
        <v>7322.4000000000005</v>
      </c>
      <c r="CI358" s="1" t="s">
        <v>863</v>
      </c>
      <c r="CJ358" s="1" t="s">
        <v>2812</v>
      </c>
      <c r="CK358" t="s">
        <v>1263</v>
      </c>
      <c r="CL358">
        <v>115</v>
      </c>
      <c r="CM358" t="s">
        <v>2845</v>
      </c>
    </row>
    <row r="359" spans="1:91" ht="19" customHeight="1">
      <c r="A359" s="1" t="s">
        <v>3840</v>
      </c>
      <c r="B359" s="1" t="s">
        <v>3597</v>
      </c>
      <c r="C359" s="1">
        <v>116</v>
      </c>
      <c r="D359" s="1" t="s">
        <v>1074</v>
      </c>
      <c r="E359" s="1">
        <v>1999</v>
      </c>
      <c r="F359" s="1" t="s">
        <v>895</v>
      </c>
      <c r="G359" s="1" t="s">
        <v>2184</v>
      </c>
      <c r="H359" s="4">
        <v>24.276</v>
      </c>
      <c r="I359" s="4">
        <v>120.773167</v>
      </c>
      <c r="J359" s="1" t="s">
        <v>1404</v>
      </c>
      <c r="K359" s="1" t="s">
        <v>70</v>
      </c>
      <c r="L359" s="1" t="s">
        <v>2185</v>
      </c>
      <c r="M359" s="1" t="s">
        <v>3598</v>
      </c>
      <c r="N359" s="1"/>
      <c r="O359" s="1" t="s">
        <v>3095</v>
      </c>
      <c r="P359" s="1"/>
      <c r="Q359" s="4">
        <v>7.65</v>
      </c>
      <c r="R359" s="4"/>
      <c r="S359" s="4"/>
      <c r="T359" s="4"/>
      <c r="U359" s="4"/>
      <c r="V359" s="4">
        <v>0.42922300000000002</v>
      </c>
      <c r="W359" s="4"/>
      <c r="X359" s="4"/>
      <c r="Y359" s="4"/>
      <c r="Z359" s="4"/>
      <c r="AA359" s="4"/>
      <c r="AB359" s="4" t="s">
        <v>1055</v>
      </c>
      <c r="AC359" s="4"/>
      <c r="AD359" s="4">
        <v>23.85</v>
      </c>
      <c r="AE359" s="4">
        <v>120.82</v>
      </c>
      <c r="AF359" s="4">
        <v>8</v>
      </c>
      <c r="AG359" s="4">
        <v>489.99590000000001</v>
      </c>
      <c r="AH359" s="27" t="b">
        <v>1</v>
      </c>
      <c r="AI359" s="4">
        <v>12.285</v>
      </c>
      <c r="AJ359" s="27" t="b">
        <v>1</v>
      </c>
      <c r="AK359" s="4">
        <v>10.744999999999999</v>
      </c>
      <c r="AL359" s="27" t="b">
        <v>1</v>
      </c>
      <c r="AM359" s="4">
        <v>501.55700000000002</v>
      </c>
      <c r="AN359" s="4">
        <v>361.92200000000003</v>
      </c>
      <c r="AO359" s="4">
        <v>519.39800000000002</v>
      </c>
      <c r="AP359" s="4">
        <v>280.11200000000002</v>
      </c>
      <c r="AQ359" s="4">
        <v>305.71899999999999</v>
      </c>
      <c r="AR359" s="4">
        <v>228.77699999999999</v>
      </c>
      <c r="AS359" s="4">
        <v>699.67499999999995</v>
      </c>
      <c r="AT359" s="4">
        <v>944.21900000000005</v>
      </c>
      <c r="AU359" s="4">
        <v>453.81799999999998</v>
      </c>
      <c r="AV359" s="4">
        <v>-514.18299999999999</v>
      </c>
      <c r="AW359" s="4">
        <v>931.80600000000004</v>
      </c>
      <c r="AX359" s="4">
        <v>337.31400000000002</v>
      </c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1"/>
      <c r="BJ359" s="1" t="s">
        <v>3841</v>
      </c>
      <c r="BK359" s="1">
        <v>1</v>
      </c>
      <c r="BL359" s="1"/>
      <c r="BM359" s="1" t="s">
        <v>211</v>
      </c>
      <c r="BN359" s="1" t="s">
        <v>2710</v>
      </c>
      <c r="BO359" s="1" t="s">
        <v>2711</v>
      </c>
      <c r="BP359" s="1">
        <v>7.65</v>
      </c>
      <c r="BQ359" s="1" t="s">
        <v>1003</v>
      </c>
      <c r="BR359" s="1">
        <v>23.85</v>
      </c>
      <c r="BS359" s="1">
        <v>120.82</v>
      </c>
      <c r="BT359" s="1">
        <v>8</v>
      </c>
      <c r="BU359" s="1" t="s">
        <v>1055</v>
      </c>
      <c r="BV359" s="1" t="s">
        <v>2834</v>
      </c>
      <c r="BW359" s="1">
        <v>209</v>
      </c>
      <c r="BX359" s="1">
        <v>68</v>
      </c>
      <c r="BY359" s="1">
        <v>89</v>
      </c>
      <c r="BZ359" s="1">
        <v>31</v>
      </c>
      <c r="CA359" s="1">
        <v>21</v>
      </c>
      <c r="CB359" s="1">
        <v>92</v>
      </c>
      <c r="CC359" s="1" t="s">
        <v>2808</v>
      </c>
      <c r="CD359" s="1" t="s">
        <v>862</v>
      </c>
      <c r="CE359" s="1">
        <v>1</v>
      </c>
      <c r="CF359" s="1">
        <v>7.58</v>
      </c>
      <c r="CG359" s="1">
        <v>5.6364999999999998</v>
      </c>
      <c r="CH359" s="1">
        <v>7322.4000000000005</v>
      </c>
      <c r="CI359" s="1" t="s">
        <v>863</v>
      </c>
      <c r="CJ359" s="1" t="s">
        <v>2812</v>
      </c>
      <c r="CK359" t="s">
        <v>1263</v>
      </c>
      <c r="CL359">
        <v>116</v>
      </c>
      <c r="CM359" t="s">
        <v>2845</v>
      </c>
    </row>
    <row r="360" spans="1:91" ht="19" customHeight="1">
      <c r="A360" s="1" t="s">
        <v>3842</v>
      </c>
      <c r="B360" s="1" t="s">
        <v>3597</v>
      </c>
      <c r="C360" s="1">
        <v>117</v>
      </c>
      <c r="D360" s="1" t="s">
        <v>1074</v>
      </c>
      <c r="E360" s="1">
        <v>1999</v>
      </c>
      <c r="F360" s="1" t="s">
        <v>1069</v>
      </c>
      <c r="G360" s="1" t="s">
        <v>2187</v>
      </c>
      <c r="H360" s="4">
        <v>23.984000000000002</v>
      </c>
      <c r="I360" s="4">
        <v>120.79519999999999</v>
      </c>
      <c r="J360" s="1" t="s">
        <v>1404</v>
      </c>
      <c r="K360" s="1" t="s">
        <v>70</v>
      </c>
      <c r="L360" s="1" t="s">
        <v>2189</v>
      </c>
      <c r="M360" s="1" t="s">
        <v>3598</v>
      </c>
      <c r="N360" s="1"/>
      <c r="O360" s="1" t="s">
        <v>3095</v>
      </c>
      <c r="P360" s="1"/>
      <c r="Q360" s="4">
        <v>7.65</v>
      </c>
      <c r="R360" s="4"/>
      <c r="S360" s="4"/>
      <c r="T360" s="4"/>
      <c r="U360" s="4"/>
      <c r="V360" s="4">
        <v>4.7282000000000002</v>
      </c>
      <c r="W360" s="4"/>
      <c r="X360" s="4"/>
      <c r="Y360" s="4"/>
      <c r="Z360" s="4"/>
      <c r="AA360" s="4"/>
      <c r="AB360" s="4" t="s">
        <v>1055</v>
      </c>
      <c r="AC360" s="4"/>
      <c r="AD360" s="4">
        <v>23.85</v>
      </c>
      <c r="AE360" s="4">
        <v>120.82</v>
      </c>
      <c r="AF360" s="4">
        <v>8</v>
      </c>
      <c r="AG360" s="4">
        <v>614.75</v>
      </c>
      <c r="AH360" s="27" t="b">
        <v>0</v>
      </c>
      <c r="AI360" s="4"/>
      <c r="AJ360" s="27" t="b">
        <v>1</v>
      </c>
      <c r="AK360" s="4">
        <v>7.5949999999999998</v>
      </c>
      <c r="AL360" s="27" t="b">
        <v>0</v>
      </c>
      <c r="AM360" s="4">
        <v>520.58466699999997</v>
      </c>
      <c r="AN360" s="4">
        <v>701.11469399999999</v>
      </c>
      <c r="AO360" s="4">
        <v>422.805995</v>
      </c>
      <c r="AP360" s="4">
        <v>51.631019999999999</v>
      </c>
      <c r="AQ360" s="4">
        <v>42.710909999999998</v>
      </c>
      <c r="AR360" s="4">
        <v>48.771115000000002</v>
      </c>
      <c r="AS360" s="4">
        <v>24.313393000000001</v>
      </c>
      <c r="AT360" s="4">
        <v>11.110416000000001</v>
      </c>
      <c r="AU360" s="4">
        <v>45.664603999999997</v>
      </c>
      <c r="AV360" s="4">
        <v>-0.425178</v>
      </c>
      <c r="AW360" s="4">
        <v>8.3320000000000009E-3</v>
      </c>
      <c r="AX360" s="4">
        <v>-5.5856999999999997E-2</v>
      </c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1" t="s">
        <v>3651</v>
      </c>
      <c r="BJ360" s="1" t="s">
        <v>3843</v>
      </c>
      <c r="BK360" s="1">
        <v>1</v>
      </c>
      <c r="BL360" s="1"/>
      <c r="BM360" s="1" t="s">
        <v>211</v>
      </c>
      <c r="BN360" s="1" t="s">
        <v>2710</v>
      </c>
      <c r="BO360" s="1" t="s">
        <v>2711</v>
      </c>
      <c r="BP360" s="1">
        <v>7.65</v>
      </c>
      <c r="BQ360" s="1" t="s">
        <v>1003</v>
      </c>
      <c r="BR360" s="1">
        <v>23.85</v>
      </c>
      <c r="BS360" s="1">
        <v>120.82</v>
      </c>
      <c r="BT360" s="1">
        <v>8</v>
      </c>
      <c r="BU360" s="1" t="s">
        <v>1055</v>
      </c>
      <c r="BV360" s="1" t="s">
        <v>2834</v>
      </c>
      <c r="BW360" s="1">
        <v>209</v>
      </c>
      <c r="BX360" s="1">
        <v>68</v>
      </c>
      <c r="BY360" s="1">
        <v>89</v>
      </c>
      <c r="BZ360" s="1">
        <v>31</v>
      </c>
      <c r="CA360" s="1">
        <v>21</v>
      </c>
      <c r="CB360" s="1">
        <v>92</v>
      </c>
      <c r="CC360" s="1" t="s">
        <v>2808</v>
      </c>
      <c r="CD360" s="1" t="s">
        <v>862</v>
      </c>
      <c r="CE360" s="1">
        <v>1</v>
      </c>
      <c r="CF360" s="1">
        <v>7.58</v>
      </c>
      <c r="CG360" s="1">
        <v>5.6364999999999998</v>
      </c>
      <c r="CH360" s="1">
        <v>7322.4000000000005</v>
      </c>
      <c r="CI360" s="1" t="s">
        <v>863</v>
      </c>
      <c r="CJ360" s="1" t="s">
        <v>2812</v>
      </c>
      <c r="CK360" t="s">
        <v>1263</v>
      </c>
      <c r="CL360">
        <v>117</v>
      </c>
      <c r="CM360" t="s">
        <v>2845</v>
      </c>
    </row>
    <row r="361" spans="1:91" ht="19" customHeight="1">
      <c r="A361" s="1" t="s">
        <v>3844</v>
      </c>
      <c r="B361" s="1" t="s">
        <v>3597</v>
      </c>
      <c r="C361" s="1">
        <v>118</v>
      </c>
      <c r="D361" s="1" t="s">
        <v>1074</v>
      </c>
      <c r="E361" s="1">
        <v>1999</v>
      </c>
      <c r="F361" s="1" t="s">
        <v>896</v>
      </c>
      <c r="G361" s="1" t="s">
        <v>2192</v>
      </c>
      <c r="H361" s="4">
        <v>23.9815</v>
      </c>
      <c r="I361" s="4">
        <v>120.687667</v>
      </c>
      <c r="J361" s="1" t="s">
        <v>1404</v>
      </c>
      <c r="K361" s="1" t="s">
        <v>70</v>
      </c>
      <c r="L361" s="1" t="s">
        <v>2193</v>
      </c>
      <c r="M361" s="1" t="s">
        <v>3598</v>
      </c>
      <c r="N361" s="1"/>
      <c r="O361" s="1" t="s">
        <v>3095</v>
      </c>
      <c r="P361" s="1"/>
      <c r="Q361" s="4">
        <v>7.65</v>
      </c>
      <c r="R361" s="4"/>
      <c r="S361" s="4"/>
      <c r="T361" s="4"/>
      <c r="U361" s="4"/>
      <c r="V361" s="4">
        <v>6.6804000000000002E-2</v>
      </c>
      <c r="W361" s="4"/>
      <c r="X361" s="4"/>
      <c r="Y361" s="4"/>
      <c r="Z361" s="4"/>
      <c r="AA361" s="4"/>
      <c r="AB361" s="4" t="s">
        <v>1055</v>
      </c>
      <c r="AC361" s="4"/>
      <c r="AD361" s="4">
        <v>23.85</v>
      </c>
      <c r="AE361" s="4">
        <v>120.82</v>
      </c>
      <c r="AF361" s="4">
        <v>8</v>
      </c>
      <c r="AG361" s="4">
        <v>521.24059999999997</v>
      </c>
      <c r="AH361" s="27" t="b">
        <v>1</v>
      </c>
      <c r="AI361" s="4">
        <v>4.984</v>
      </c>
      <c r="AJ361" s="27" t="b">
        <v>1</v>
      </c>
      <c r="AK361" s="4">
        <v>4.2</v>
      </c>
      <c r="AL361" s="27" t="b">
        <v>1</v>
      </c>
      <c r="AM361" s="4">
        <v>325.38200000000001</v>
      </c>
      <c r="AN361" s="4">
        <v>257.27</v>
      </c>
      <c r="AO361" s="4">
        <v>223.863</v>
      </c>
      <c r="AP361" s="4">
        <v>116.413</v>
      </c>
      <c r="AQ361" s="4">
        <v>37.166600000000003</v>
      </c>
      <c r="AR361" s="4">
        <v>49.746299999999998</v>
      </c>
      <c r="AS361" s="4">
        <v>174.45599999999999</v>
      </c>
      <c r="AT361" s="4">
        <v>57.685299999999998</v>
      </c>
      <c r="AU361" s="4">
        <v>44.306800000000003</v>
      </c>
      <c r="AV361" s="4">
        <v>120.70399999999999</v>
      </c>
      <c r="AW361" s="4">
        <v>-32.676400000000001</v>
      </c>
      <c r="AX361" s="4">
        <v>-18.0275</v>
      </c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1"/>
      <c r="BJ361" s="1" t="s">
        <v>3845</v>
      </c>
      <c r="BK361" s="1">
        <v>1</v>
      </c>
      <c r="BL361" s="1"/>
      <c r="BM361" s="1" t="s">
        <v>211</v>
      </c>
      <c r="BN361" s="1" t="s">
        <v>2710</v>
      </c>
      <c r="BO361" s="1" t="s">
        <v>2711</v>
      </c>
      <c r="BP361" s="1">
        <v>7.65</v>
      </c>
      <c r="BQ361" s="1" t="s">
        <v>1003</v>
      </c>
      <c r="BR361" s="1">
        <v>23.85</v>
      </c>
      <c r="BS361" s="1">
        <v>120.82</v>
      </c>
      <c r="BT361" s="1">
        <v>8</v>
      </c>
      <c r="BU361" s="1" t="s">
        <v>1055</v>
      </c>
      <c r="BV361" s="1" t="s">
        <v>2834</v>
      </c>
      <c r="BW361" s="1">
        <v>209</v>
      </c>
      <c r="BX361" s="1">
        <v>68</v>
      </c>
      <c r="BY361" s="1">
        <v>89</v>
      </c>
      <c r="BZ361" s="1">
        <v>31</v>
      </c>
      <c r="CA361" s="1">
        <v>21</v>
      </c>
      <c r="CB361" s="1">
        <v>92</v>
      </c>
      <c r="CC361" s="1" t="s">
        <v>2808</v>
      </c>
      <c r="CD361" s="1" t="s">
        <v>862</v>
      </c>
      <c r="CE361" s="1">
        <v>1</v>
      </c>
      <c r="CF361" s="1">
        <v>7.58</v>
      </c>
      <c r="CG361" s="1">
        <v>5.6364999999999998</v>
      </c>
      <c r="CH361" s="1">
        <v>7322.4000000000005</v>
      </c>
      <c r="CI361" s="1" t="s">
        <v>863</v>
      </c>
      <c r="CJ361" s="1" t="s">
        <v>2812</v>
      </c>
      <c r="CK361" t="s">
        <v>1263</v>
      </c>
      <c r="CL361">
        <v>118</v>
      </c>
      <c r="CM361" t="s">
        <v>2845</v>
      </c>
    </row>
    <row r="362" spans="1:91" ht="19" customHeight="1">
      <c r="A362" s="1" t="s">
        <v>3846</v>
      </c>
      <c r="B362" s="1" t="s">
        <v>3597</v>
      </c>
      <c r="C362" s="1">
        <v>119</v>
      </c>
      <c r="D362" s="1" t="s">
        <v>1074</v>
      </c>
      <c r="E362" s="1">
        <v>1999</v>
      </c>
      <c r="F362" s="1" t="s">
        <v>897</v>
      </c>
      <c r="G362" s="1" t="s">
        <v>2195</v>
      </c>
      <c r="H362" s="4">
        <v>23.906500000000001</v>
      </c>
      <c r="I362" s="4">
        <v>120.6835</v>
      </c>
      <c r="J362" s="1" t="s">
        <v>1404</v>
      </c>
      <c r="K362" s="1" t="s">
        <v>70</v>
      </c>
      <c r="L362" s="1" t="s">
        <v>3847</v>
      </c>
      <c r="M362" s="1" t="s">
        <v>3598</v>
      </c>
      <c r="N362" s="1"/>
      <c r="O362" s="1" t="s">
        <v>3095</v>
      </c>
      <c r="P362" s="1"/>
      <c r="Q362" s="4">
        <v>7.65</v>
      </c>
      <c r="R362" s="4"/>
      <c r="S362" s="4"/>
      <c r="T362" s="4"/>
      <c r="U362" s="4"/>
      <c r="V362" s="4">
        <v>1.9529000000000001</v>
      </c>
      <c r="W362" s="4"/>
      <c r="X362" s="4"/>
      <c r="Y362" s="4"/>
      <c r="Z362" s="4"/>
      <c r="AA362" s="4"/>
      <c r="AB362" s="4" t="s">
        <v>1055</v>
      </c>
      <c r="AC362" s="4"/>
      <c r="AD362" s="4">
        <v>23.85</v>
      </c>
      <c r="AE362" s="4">
        <v>120.82</v>
      </c>
      <c r="AF362" s="4">
        <v>8</v>
      </c>
      <c r="AG362" s="4">
        <v>573.23</v>
      </c>
      <c r="AH362" s="27" t="b">
        <v>1</v>
      </c>
      <c r="AI362" s="4">
        <v>4.0810000000000004</v>
      </c>
      <c r="AJ362" s="27" t="b">
        <v>0</v>
      </c>
      <c r="AK362" s="4"/>
      <c r="AL362" s="27" t="b">
        <v>0</v>
      </c>
      <c r="AM362" s="4">
        <v>291.44108599999998</v>
      </c>
      <c r="AN362" s="4">
        <v>379.65000300000003</v>
      </c>
      <c r="AO362" s="4">
        <v>264.74887699999999</v>
      </c>
      <c r="AP362" s="4">
        <v>62.007429999999999</v>
      </c>
      <c r="AQ362" s="4">
        <v>65.218834999999999</v>
      </c>
      <c r="AR362" s="4">
        <v>27.263394999999999</v>
      </c>
      <c r="AS362" s="4">
        <v>31.882560999999999</v>
      </c>
      <c r="AT362" s="4">
        <v>23.218240000000002</v>
      </c>
      <c r="AU362" s="4">
        <v>14.593202</v>
      </c>
      <c r="AV362" s="4">
        <v>0.146458</v>
      </c>
      <c r="AW362" s="4">
        <v>-0.58447499999999997</v>
      </c>
      <c r="AX362" s="4">
        <v>-0.228072</v>
      </c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1" t="s">
        <v>3599</v>
      </c>
      <c r="BJ362" s="1" t="s">
        <v>3848</v>
      </c>
      <c r="BK362" s="1">
        <v>1</v>
      </c>
      <c r="BL362" s="1"/>
      <c r="BM362" s="1" t="s">
        <v>211</v>
      </c>
      <c r="BN362" s="1" t="s">
        <v>2710</v>
      </c>
      <c r="BO362" s="1" t="s">
        <v>2711</v>
      </c>
      <c r="BP362" s="1">
        <v>7.65</v>
      </c>
      <c r="BQ362" s="1" t="s">
        <v>1003</v>
      </c>
      <c r="BR362" s="1">
        <v>23.85</v>
      </c>
      <c r="BS362" s="1">
        <v>120.82</v>
      </c>
      <c r="BT362" s="1">
        <v>8</v>
      </c>
      <c r="BU362" s="1" t="s">
        <v>1055</v>
      </c>
      <c r="BV362" s="1" t="s">
        <v>2834</v>
      </c>
      <c r="BW362" s="1">
        <v>209</v>
      </c>
      <c r="BX362" s="1">
        <v>68</v>
      </c>
      <c r="BY362" s="1">
        <v>89</v>
      </c>
      <c r="BZ362" s="1">
        <v>31</v>
      </c>
      <c r="CA362" s="1">
        <v>21</v>
      </c>
      <c r="CB362" s="1">
        <v>92</v>
      </c>
      <c r="CC362" s="1" t="s">
        <v>2808</v>
      </c>
      <c r="CD362" s="1" t="s">
        <v>862</v>
      </c>
      <c r="CE362" s="1">
        <v>1</v>
      </c>
      <c r="CF362" s="1">
        <v>7.58</v>
      </c>
      <c r="CG362" s="1">
        <v>5.6364999999999998</v>
      </c>
      <c r="CH362" s="1">
        <v>7322.4000000000005</v>
      </c>
      <c r="CI362" s="1" t="s">
        <v>863</v>
      </c>
      <c r="CJ362" s="1" t="s">
        <v>2812</v>
      </c>
      <c r="CK362" t="s">
        <v>1263</v>
      </c>
      <c r="CL362">
        <v>119</v>
      </c>
      <c r="CM362" t="s">
        <v>2845</v>
      </c>
    </row>
    <row r="363" spans="1:91" ht="19" customHeight="1">
      <c r="A363" s="1" t="s">
        <v>3849</v>
      </c>
      <c r="B363" s="1" t="s">
        <v>3597</v>
      </c>
      <c r="C363" s="1">
        <v>120</v>
      </c>
      <c r="D363" s="1" t="s">
        <v>1074</v>
      </c>
      <c r="E363" s="1">
        <v>1999</v>
      </c>
      <c r="F363" s="1" t="s">
        <v>898</v>
      </c>
      <c r="G363" s="1" t="s">
        <v>2213</v>
      </c>
      <c r="H363" s="4">
        <v>24.828333000000001</v>
      </c>
      <c r="I363" s="4">
        <v>121.014167</v>
      </c>
      <c r="J363" s="1" t="s">
        <v>1404</v>
      </c>
      <c r="K363" s="1" t="s">
        <v>70</v>
      </c>
      <c r="L363" s="1" t="s">
        <v>2215</v>
      </c>
      <c r="M363" s="1" t="s">
        <v>3598</v>
      </c>
      <c r="N363" s="1"/>
      <c r="O363" s="1" t="s">
        <v>3095</v>
      </c>
      <c r="P363" s="1"/>
      <c r="Q363" s="4">
        <v>7.65</v>
      </c>
      <c r="R363" s="4"/>
      <c r="S363" s="4"/>
      <c r="T363" s="4"/>
      <c r="U363" s="4"/>
      <c r="V363" s="4">
        <v>59.484960999999998</v>
      </c>
      <c r="W363" s="4"/>
      <c r="X363" s="4"/>
      <c r="Y363" s="4"/>
      <c r="Z363" s="4"/>
      <c r="AA363" s="4"/>
      <c r="AB363" s="4" t="s">
        <v>1055</v>
      </c>
      <c r="AC363" s="4"/>
      <c r="AD363" s="4">
        <v>23.85</v>
      </c>
      <c r="AE363" s="4">
        <v>120.82</v>
      </c>
      <c r="AF363" s="4">
        <v>8</v>
      </c>
      <c r="AG363" s="4">
        <v>427.13749999999999</v>
      </c>
      <c r="AH363" s="27" t="b">
        <v>1</v>
      </c>
      <c r="AI363" s="4">
        <v>9.6180000000000003</v>
      </c>
      <c r="AJ363" s="27" t="b">
        <v>0</v>
      </c>
      <c r="AK363" s="4"/>
      <c r="AL363" s="27" t="b">
        <v>0</v>
      </c>
      <c r="AM363" s="4">
        <v>76.438000000000002</v>
      </c>
      <c r="AN363" s="4">
        <v>93.013000000000005</v>
      </c>
      <c r="AO363" s="4">
        <v>35.564999999999998</v>
      </c>
      <c r="AP363" s="4">
        <v>41.310499999999998</v>
      </c>
      <c r="AQ363" s="4">
        <v>33.691800000000001</v>
      </c>
      <c r="AR363" s="4">
        <v>17.148800000000001</v>
      </c>
      <c r="AS363" s="4">
        <v>49.362499999999997</v>
      </c>
      <c r="AT363" s="4">
        <v>26.508400000000002</v>
      </c>
      <c r="AU363" s="4">
        <v>17.652899999999999</v>
      </c>
      <c r="AV363" s="4">
        <v>4.3692099999999998</v>
      </c>
      <c r="AW363" s="4">
        <v>8.2113600000000009</v>
      </c>
      <c r="AX363" s="4">
        <v>7.4142799999999998</v>
      </c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1" t="s">
        <v>3599</v>
      </c>
      <c r="BJ363" s="1" t="s">
        <v>3850</v>
      </c>
      <c r="BK363" s="1">
        <v>1</v>
      </c>
      <c r="BL363" s="1"/>
      <c r="BM363" s="1" t="s">
        <v>211</v>
      </c>
      <c r="BN363" s="1" t="s">
        <v>2710</v>
      </c>
      <c r="BO363" s="1" t="s">
        <v>2711</v>
      </c>
      <c r="BP363" s="1">
        <v>7.65</v>
      </c>
      <c r="BQ363" s="1" t="s">
        <v>1003</v>
      </c>
      <c r="BR363" s="1">
        <v>23.85</v>
      </c>
      <c r="BS363" s="1">
        <v>120.82</v>
      </c>
      <c r="BT363" s="1">
        <v>8</v>
      </c>
      <c r="BU363" s="1" t="s">
        <v>1055</v>
      </c>
      <c r="BV363" s="1" t="s">
        <v>2834</v>
      </c>
      <c r="BW363" s="1">
        <v>209</v>
      </c>
      <c r="BX363" s="1">
        <v>68</v>
      </c>
      <c r="BY363" s="1">
        <v>89</v>
      </c>
      <c r="BZ363" s="1">
        <v>31</v>
      </c>
      <c r="CA363" s="1">
        <v>21</v>
      </c>
      <c r="CB363" s="1">
        <v>92</v>
      </c>
      <c r="CC363" s="1" t="s">
        <v>2808</v>
      </c>
      <c r="CD363" s="1" t="s">
        <v>862</v>
      </c>
      <c r="CE363" s="1">
        <v>1</v>
      </c>
      <c r="CF363" s="1">
        <v>7.58</v>
      </c>
      <c r="CG363" s="1">
        <v>5.6364999999999998</v>
      </c>
      <c r="CH363" s="1">
        <v>7322.4000000000005</v>
      </c>
      <c r="CI363" s="1" t="s">
        <v>863</v>
      </c>
      <c r="CJ363" s="1" t="s">
        <v>2812</v>
      </c>
      <c r="CK363" t="s">
        <v>1263</v>
      </c>
      <c r="CL363">
        <v>120</v>
      </c>
      <c r="CM363" t="s">
        <v>2845</v>
      </c>
    </row>
    <row r="364" spans="1:91" ht="19" customHeight="1">
      <c r="A364" s="1" t="s">
        <v>3851</v>
      </c>
      <c r="B364" s="1" t="s">
        <v>3597</v>
      </c>
      <c r="C364" s="1">
        <v>121</v>
      </c>
      <c r="D364" s="1" t="s">
        <v>1074</v>
      </c>
      <c r="E364" s="1">
        <v>1999</v>
      </c>
      <c r="F364" s="1" t="s">
        <v>899</v>
      </c>
      <c r="G364" s="1" t="s">
        <v>2216</v>
      </c>
      <c r="H364" s="4">
        <v>24.145667</v>
      </c>
      <c r="I364" s="4">
        <v>120.684167</v>
      </c>
      <c r="J364" s="1" t="s">
        <v>1404</v>
      </c>
      <c r="K364" s="1" t="s">
        <v>70</v>
      </c>
      <c r="L364" s="1" t="s">
        <v>2217</v>
      </c>
      <c r="M364" s="1" t="s">
        <v>3598</v>
      </c>
      <c r="N364" s="1"/>
      <c r="O364" s="1" t="s">
        <v>3095</v>
      </c>
      <c r="P364" s="1"/>
      <c r="Q364" s="4">
        <v>7.65</v>
      </c>
      <c r="R364" s="4"/>
      <c r="S364" s="4"/>
      <c r="T364" s="4"/>
      <c r="U364" s="4"/>
      <c r="V364" s="4">
        <v>4.3252300000000004</v>
      </c>
      <c r="W364" s="4"/>
      <c r="X364" s="4"/>
      <c r="Y364" s="4"/>
      <c r="Z364" s="4"/>
      <c r="AA364" s="4"/>
      <c r="AB364" s="4" t="s">
        <v>1055</v>
      </c>
      <c r="AC364" s="4"/>
      <c r="AD364" s="4">
        <v>23.85</v>
      </c>
      <c r="AE364" s="4">
        <v>120.82</v>
      </c>
      <c r="AF364" s="4">
        <v>8</v>
      </c>
      <c r="AG364" s="4">
        <v>469.3734</v>
      </c>
      <c r="AH364" s="27" t="b">
        <v>1</v>
      </c>
      <c r="AI364" s="4">
        <v>8.0990000000000002</v>
      </c>
      <c r="AJ364" s="27" t="b">
        <v>0</v>
      </c>
      <c r="AK364" s="4"/>
      <c r="AL364" s="27" t="b">
        <v>1</v>
      </c>
      <c r="AM364" s="4">
        <v>221.02799999999999</v>
      </c>
      <c r="AN364" s="4">
        <v>182.51300000000001</v>
      </c>
      <c r="AO364" s="4">
        <v>129.21799999999999</v>
      </c>
      <c r="AP364" s="4">
        <v>51.504399999999997</v>
      </c>
      <c r="AQ364" s="4">
        <v>43.028399999999998</v>
      </c>
      <c r="AR364" s="4">
        <v>35.442399999999999</v>
      </c>
      <c r="AS364" s="4">
        <v>153.209</v>
      </c>
      <c r="AT364" s="4">
        <v>97.104799999999997</v>
      </c>
      <c r="AU364" s="4">
        <v>31.653700000000001</v>
      </c>
      <c r="AV364" s="4">
        <v>78.972200000000001</v>
      </c>
      <c r="AW364" s="4">
        <v>-52.0321</v>
      </c>
      <c r="AX364" s="4">
        <v>-9.6518999999999995</v>
      </c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1" t="s">
        <v>3599</v>
      </c>
      <c r="BJ364" s="1" t="s">
        <v>3852</v>
      </c>
      <c r="BK364" s="1">
        <v>1</v>
      </c>
      <c r="BL364" s="1"/>
      <c r="BM364" s="1" t="s">
        <v>211</v>
      </c>
      <c r="BN364" s="1" t="s">
        <v>2710</v>
      </c>
      <c r="BO364" s="1" t="s">
        <v>2711</v>
      </c>
      <c r="BP364" s="1">
        <v>7.65</v>
      </c>
      <c r="BQ364" s="1" t="s">
        <v>1003</v>
      </c>
      <c r="BR364" s="1">
        <v>23.85</v>
      </c>
      <c r="BS364" s="1">
        <v>120.82</v>
      </c>
      <c r="BT364" s="1">
        <v>8</v>
      </c>
      <c r="BU364" s="1" t="s">
        <v>1055</v>
      </c>
      <c r="BV364" s="1" t="s">
        <v>2834</v>
      </c>
      <c r="BW364" s="1">
        <v>209</v>
      </c>
      <c r="BX364" s="1">
        <v>68</v>
      </c>
      <c r="BY364" s="1">
        <v>89</v>
      </c>
      <c r="BZ364" s="1">
        <v>31</v>
      </c>
      <c r="CA364" s="1">
        <v>21</v>
      </c>
      <c r="CB364" s="1">
        <v>92</v>
      </c>
      <c r="CC364" s="1" t="s">
        <v>2808</v>
      </c>
      <c r="CD364" s="1" t="s">
        <v>862</v>
      </c>
      <c r="CE364" s="1">
        <v>1</v>
      </c>
      <c r="CF364" s="1">
        <v>7.58</v>
      </c>
      <c r="CG364" s="1">
        <v>5.6364999999999998</v>
      </c>
      <c r="CH364" s="1">
        <v>7322.4000000000005</v>
      </c>
      <c r="CI364" s="1" t="s">
        <v>863</v>
      </c>
      <c r="CJ364" s="1" t="s">
        <v>2812</v>
      </c>
      <c r="CK364" t="s">
        <v>1263</v>
      </c>
      <c r="CL364">
        <v>121</v>
      </c>
      <c r="CM364" t="s">
        <v>2845</v>
      </c>
    </row>
    <row r="365" spans="1:91" ht="19" customHeight="1">
      <c r="A365" s="1" t="s">
        <v>3853</v>
      </c>
      <c r="B365" s="1" t="s">
        <v>3597</v>
      </c>
      <c r="C365" s="1">
        <v>122</v>
      </c>
      <c r="D365" s="1" t="s">
        <v>1074</v>
      </c>
      <c r="E365" s="1">
        <v>1999</v>
      </c>
      <c r="F365" s="1" t="s">
        <v>900</v>
      </c>
      <c r="G365" s="1" t="s">
        <v>2222</v>
      </c>
      <c r="H365" s="4">
        <v>24.346499999999999</v>
      </c>
      <c r="I365" s="4">
        <v>120.780833</v>
      </c>
      <c r="J365" s="1" t="s">
        <v>1404</v>
      </c>
      <c r="K365" s="1" t="s">
        <v>70</v>
      </c>
      <c r="L365" s="1" t="s">
        <v>2223</v>
      </c>
      <c r="M365" s="1" t="s">
        <v>3598</v>
      </c>
      <c r="N365" s="1"/>
      <c r="O365" s="1" t="s">
        <v>3095</v>
      </c>
      <c r="P365" s="1"/>
      <c r="Q365" s="4">
        <v>7.65</v>
      </c>
      <c r="R365" s="4"/>
      <c r="S365" s="4"/>
      <c r="T365" s="4"/>
      <c r="U365" s="4"/>
      <c r="V365" s="4">
        <v>6.2147550000000003</v>
      </c>
      <c r="W365" s="4"/>
      <c r="X365" s="4"/>
      <c r="Y365" s="4"/>
      <c r="Z365" s="4"/>
      <c r="AA365" s="4"/>
      <c r="AB365" s="4" t="s">
        <v>1055</v>
      </c>
      <c r="AC365" s="4"/>
      <c r="AD365" s="4">
        <v>23.85</v>
      </c>
      <c r="AE365" s="4">
        <v>120.82</v>
      </c>
      <c r="AF365" s="4">
        <v>8</v>
      </c>
      <c r="AG365" s="4">
        <v>460.48</v>
      </c>
      <c r="AH365" s="27" t="b">
        <v>1</v>
      </c>
      <c r="AI365" s="4">
        <v>10.395</v>
      </c>
      <c r="AJ365" s="27" t="b">
        <v>1</v>
      </c>
      <c r="AK365" s="4">
        <v>5.3550000000000004</v>
      </c>
      <c r="AL365" s="27" t="b">
        <v>1</v>
      </c>
      <c r="AM365" s="4">
        <v>119.096</v>
      </c>
      <c r="AN365" s="4">
        <v>111.524</v>
      </c>
      <c r="AO365" s="4">
        <v>91.071799999999996</v>
      </c>
      <c r="AP365" s="4">
        <v>42.667200000000001</v>
      </c>
      <c r="AQ365" s="4">
        <v>45.183500000000002</v>
      </c>
      <c r="AR365" s="4">
        <v>58.46</v>
      </c>
      <c r="AS365" s="4">
        <v>86.489199999999997</v>
      </c>
      <c r="AT365" s="4">
        <v>90.635499999999993</v>
      </c>
      <c r="AU365" s="4">
        <v>58.214300000000001</v>
      </c>
      <c r="AV365" s="4">
        <v>31.8428</v>
      </c>
      <c r="AW365" s="4">
        <v>-65.370400000000004</v>
      </c>
      <c r="AX365" s="4">
        <v>-9.6117100000000004</v>
      </c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1"/>
      <c r="BJ365" s="1" t="s">
        <v>3854</v>
      </c>
      <c r="BK365" s="1">
        <v>1</v>
      </c>
      <c r="BL365" s="1"/>
      <c r="BM365" s="1" t="s">
        <v>211</v>
      </c>
      <c r="BN365" s="1" t="s">
        <v>2710</v>
      </c>
      <c r="BO365" s="1" t="s">
        <v>2711</v>
      </c>
      <c r="BP365" s="1">
        <v>7.65</v>
      </c>
      <c r="BQ365" s="1" t="s">
        <v>1003</v>
      </c>
      <c r="BR365" s="1">
        <v>23.85</v>
      </c>
      <c r="BS365" s="1">
        <v>120.82</v>
      </c>
      <c r="BT365" s="1">
        <v>8</v>
      </c>
      <c r="BU365" s="1" t="s">
        <v>1055</v>
      </c>
      <c r="BV365" s="1" t="s">
        <v>2834</v>
      </c>
      <c r="BW365" s="1">
        <v>209</v>
      </c>
      <c r="BX365" s="1">
        <v>68</v>
      </c>
      <c r="BY365" s="1">
        <v>89</v>
      </c>
      <c r="BZ365" s="1">
        <v>31</v>
      </c>
      <c r="CA365" s="1">
        <v>21</v>
      </c>
      <c r="CB365" s="1">
        <v>92</v>
      </c>
      <c r="CC365" s="1" t="s">
        <v>2808</v>
      </c>
      <c r="CD365" s="1" t="s">
        <v>862</v>
      </c>
      <c r="CE365" s="1">
        <v>1</v>
      </c>
      <c r="CF365" s="1">
        <v>7.58</v>
      </c>
      <c r="CG365" s="1">
        <v>5.6364999999999998</v>
      </c>
      <c r="CH365" s="1">
        <v>7322.4000000000005</v>
      </c>
      <c r="CI365" s="1" t="s">
        <v>863</v>
      </c>
      <c r="CJ365" s="1" t="s">
        <v>2812</v>
      </c>
      <c r="CK365" t="s">
        <v>1263</v>
      </c>
      <c r="CL365">
        <v>122</v>
      </c>
      <c r="CM365" t="s">
        <v>2845</v>
      </c>
    </row>
    <row r="366" spans="1:91" ht="19" customHeight="1">
      <c r="A366" s="1" t="s">
        <v>3855</v>
      </c>
      <c r="B366" s="1" t="s">
        <v>3597</v>
      </c>
      <c r="C366" s="1">
        <v>123</v>
      </c>
      <c r="D366" s="1" t="s">
        <v>1074</v>
      </c>
      <c r="E366" s="1">
        <v>1999</v>
      </c>
      <c r="F366" s="1" t="s">
        <v>902</v>
      </c>
      <c r="G366" s="1" t="s">
        <v>2227</v>
      </c>
      <c r="H366" s="4">
        <v>24.766999999999999</v>
      </c>
      <c r="I366" s="4">
        <v>121.058167</v>
      </c>
      <c r="J366" s="1" t="s">
        <v>1404</v>
      </c>
      <c r="K366" s="1" t="s">
        <v>70</v>
      </c>
      <c r="L366" s="1" t="s">
        <v>2228</v>
      </c>
      <c r="M366" s="1" t="s">
        <v>3598</v>
      </c>
      <c r="N366" s="1"/>
      <c r="O366" s="1" t="s">
        <v>3095</v>
      </c>
      <c r="P366" s="1"/>
      <c r="Q366" s="4">
        <v>7.65</v>
      </c>
      <c r="R366" s="4"/>
      <c r="S366" s="4"/>
      <c r="T366" s="4"/>
      <c r="U366" s="4"/>
      <c r="V366" s="4">
        <v>54.567636</v>
      </c>
      <c r="W366" s="4"/>
      <c r="X366" s="4"/>
      <c r="Y366" s="4"/>
      <c r="Z366" s="4"/>
      <c r="AA366" s="4"/>
      <c r="AB366" s="4" t="s">
        <v>1055</v>
      </c>
      <c r="AC366" s="4"/>
      <c r="AD366" s="4">
        <v>23.85</v>
      </c>
      <c r="AE366" s="4">
        <v>120.82</v>
      </c>
      <c r="AF366" s="4">
        <v>8</v>
      </c>
      <c r="AG366" s="4">
        <v>581.45169999999996</v>
      </c>
      <c r="AH366" s="27" t="b">
        <v>1</v>
      </c>
      <c r="AI366" s="4">
        <v>8.5890000000000004</v>
      </c>
      <c r="AJ366" s="27" t="b">
        <v>0</v>
      </c>
      <c r="AK366" s="4"/>
      <c r="AL366" s="27" t="b">
        <v>0</v>
      </c>
      <c r="AM366" s="4">
        <v>67.632000000000005</v>
      </c>
      <c r="AN366" s="4">
        <v>89.369</v>
      </c>
      <c r="AO366" s="4">
        <v>39.031999999999996</v>
      </c>
      <c r="AP366" s="4">
        <v>37.709099999999999</v>
      </c>
      <c r="AQ366" s="4">
        <v>26.116</v>
      </c>
      <c r="AR366" s="4">
        <v>16.799499999999998</v>
      </c>
      <c r="AS366" s="4">
        <v>43.902900000000002</v>
      </c>
      <c r="AT366" s="4">
        <v>24.624300000000002</v>
      </c>
      <c r="AU366" s="4">
        <v>21.202200000000001</v>
      </c>
      <c r="AV366" s="4">
        <v>20.249600000000001</v>
      </c>
      <c r="AW366" s="4">
        <v>1.9245699999999999</v>
      </c>
      <c r="AX366" s="4">
        <v>-6.7644999999999997E-2</v>
      </c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1" t="s">
        <v>3599</v>
      </c>
      <c r="BJ366" s="1" t="s">
        <v>3856</v>
      </c>
      <c r="BK366" s="1">
        <v>1</v>
      </c>
      <c r="BL366" s="1"/>
      <c r="BM366" s="1" t="s">
        <v>211</v>
      </c>
      <c r="BN366" s="1" t="s">
        <v>2710</v>
      </c>
      <c r="BO366" s="1" t="s">
        <v>2711</v>
      </c>
      <c r="BP366" s="1">
        <v>7.65</v>
      </c>
      <c r="BQ366" s="1" t="s">
        <v>1003</v>
      </c>
      <c r="BR366" s="1">
        <v>23.85</v>
      </c>
      <c r="BS366" s="1">
        <v>120.82</v>
      </c>
      <c r="BT366" s="1">
        <v>8</v>
      </c>
      <c r="BU366" s="1" t="s">
        <v>1055</v>
      </c>
      <c r="BV366" s="1" t="s">
        <v>2834</v>
      </c>
      <c r="BW366" s="1">
        <v>209</v>
      </c>
      <c r="BX366" s="1">
        <v>68</v>
      </c>
      <c r="BY366" s="1">
        <v>89</v>
      </c>
      <c r="BZ366" s="1">
        <v>31</v>
      </c>
      <c r="CA366" s="1">
        <v>21</v>
      </c>
      <c r="CB366" s="1">
        <v>92</v>
      </c>
      <c r="CC366" s="1" t="s">
        <v>2808</v>
      </c>
      <c r="CD366" s="1" t="s">
        <v>862</v>
      </c>
      <c r="CE366" s="1">
        <v>1</v>
      </c>
      <c r="CF366" s="1">
        <v>7.58</v>
      </c>
      <c r="CG366" s="1">
        <v>5.6364999999999998</v>
      </c>
      <c r="CH366" s="1">
        <v>7322.4000000000005</v>
      </c>
      <c r="CI366" s="1" t="s">
        <v>863</v>
      </c>
      <c r="CJ366" s="1" t="s">
        <v>2812</v>
      </c>
      <c r="CK366" t="s">
        <v>1263</v>
      </c>
      <c r="CL366">
        <v>123</v>
      </c>
      <c r="CM366" t="s">
        <v>2845</v>
      </c>
    </row>
    <row r="367" spans="1:91" ht="19" customHeight="1">
      <c r="A367" s="1" t="s">
        <v>3857</v>
      </c>
      <c r="B367" s="1" t="s">
        <v>3597</v>
      </c>
      <c r="C367" s="1">
        <v>124</v>
      </c>
      <c r="D367" s="1" t="s">
        <v>1074</v>
      </c>
      <c r="E367" s="1">
        <v>1999</v>
      </c>
      <c r="F367" s="1" t="s">
        <v>903</v>
      </c>
      <c r="G367" s="1" t="s">
        <v>2230</v>
      </c>
      <c r="H367" s="4">
        <v>24.688832999999999</v>
      </c>
      <c r="I367" s="4">
        <v>121.02</v>
      </c>
      <c r="J367" s="1" t="s">
        <v>1404</v>
      </c>
      <c r="K367" s="1" t="s">
        <v>70</v>
      </c>
      <c r="L367" s="1" t="s">
        <v>2231</v>
      </c>
      <c r="M367" s="1" t="s">
        <v>3598</v>
      </c>
      <c r="N367" s="1"/>
      <c r="O367" s="1" t="s">
        <v>3095</v>
      </c>
      <c r="P367" s="1"/>
      <c r="Q367" s="4">
        <v>7.65</v>
      </c>
      <c r="R367" s="4"/>
      <c r="S367" s="4"/>
      <c r="T367" s="4"/>
      <c r="U367" s="4"/>
      <c r="V367" s="4">
        <v>45.076472000000003</v>
      </c>
      <c r="W367" s="4"/>
      <c r="X367" s="4"/>
      <c r="Y367" s="4"/>
      <c r="Z367" s="4"/>
      <c r="AA367" s="4"/>
      <c r="AB367" s="4" t="s">
        <v>1055</v>
      </c>
      <c r="AC367" s="4"/>
      <c r="AD367" s="4">
        <v>23.85</v>
      </c>
      <c r="AE367" s="4">
        <v>120.82</v>
      </c>
      <c r="AF367" s="4">
        <v>8</v>
      </c>
      <c r="AG367" s="4">
        <v>454.09820000000002</v>
      </c>
      <c r="AH367" s="27" t="b">
        <v>1</v>
      </c>
      <c r="AI367" s="4">
        <v>8.6869999999999994</v>
      </c>
      <c r="AJ367" s="27" t="b">
        <v>0</v>
      </c>
      <c r="AK367" s="4"/>
      <c r="AL367" s="27" t="b">
        <v>0</v>
      </c>
      <c r="AM367" s="4">
        <v>381.16300000000001</v>
      </c>
      <c r="AN367" s="4">
        <v>704.93799999999999</v>
      </c>
      <c r="AO367" s="4">
        <v>244.4</v>
      </c>
      <c r="AP367" s="4">
        <v>57.994100000000003</v>
      </c>
      <c r="AQ367" s="4">
        <v>49.284100000000002</v>
      </c>
      <c r="AR367" s="4">
        <v>23.605799999999999</v>
      </c>
      <c r="AS367" s="4">
        <v>32.536200000000001</v>
      </c>
      <c r="AT367" s="4">
        <v>23.551100000000002</v>
      </c>
      <c r="AU367" s="4">
        <v>15.5792</v>
      </c>
      <c r="AV367" s="4">
        <v>0.75937100000000002</v>
      </c>
      <c r="AW367" s="4">
        <v>1.74244</v>
      </c>
      <c r="AX367" s="4">
        <v>0.69275399999999998</v>
      </c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1" t="s">
        <v>3599</v>
      </c>
      <c r="BJ367" s="1" t="s">
        <v>3858</v>
      </c>
      <c r="BK367" s="1">
        <v>1</v>
      </c>
      <c r="BL367" s="1"/>
      <c r="BM367" s="1" t="s">
        <v>211</v>
      </c>
      <c r="BN367" s="1" t="s">
        <v>2710</v>
      </c>
      <c r="BO367" s="1" t="s">
        <v>2711</v>
      </c>
      <c r="BP367" s="1">
        <v>7.65</v>
      </c>
      <c r="BQ367" s="1" t="s">
        <v>1003</v>
      </c>
      <c r="BR367" s="1">
        <v>23.85</v>
      </c>
      <c r="BS367" s="1">
        <v>120.82</v>
      </c>
      <c r="BT367" s="1">
        <v>8</v>
      </c>
      <c r="BU367" s="1" t="s">
        <v>1055</v>
      </c>
      <c r="BV367" s="1" t="s">
        <v>2834</v>
      </c>
      <c r="BW367" s="1">
        <v>209</v>
      </c>
      <c r="BX367" s="1">
        <v>68</v>
      </c>
      <c r="BY367" s="1">
        <v>89</v>
      </c>
      <c r="BZ367" s="1">
        <v>31</v>
      </c>
      <c r="CA367" s="1">
        <v>21</v>
      </c>
      <c r="CB367" s="1">
        <v>92</v>
      </c>
      <c r="CC367" s="1" t="s">
        <v>2808</v>
      </c>
      <c r="CD367" s="1" t="s">
        <v>862</v>
      </c>
      <c r="CE367" s="1">
        <v>1</v>
      </c>
      <c r="CF367" s="1">
        <v>7.58</v>
      </c>
      <c r="CG367" s="1">
        <v>5.6364999999999998</v>
      </c>
      <c r="CH367" s="1">
        <v>7322.4000000000005</v>
      </c>
      <c r="CI367" s="1" t="s">
        <v>863</v>
      </c>
      <c r="CJ367" s="1" t="s">
        <v>2812</v>
      </c>
      <c r="CK367" t="s">
        <v>1263</v>
      </c>
      <c r="CL367">
        <v>124</v>
      </c>
      <c r="CM367" t="s">
        <v>2845</v>
      </c>
    </row>
    <row r="368" spans="1:91" ht="19" customHeight="1">
      <c r="A368" s="1" t="s">
        <v>3859</v>
      </c>
      <c r="B368" s="1" t="s">
        <v>3597</v>
      </c>
      <c r="C368" s="1">
        <v>125</v>
      </c>
      <c r="D368" s="1" t="s">
        <v>1074</v>
      </c>
      <c r="E368" s="1">
        <v>1999</v>
      </c>
      <c r="F368" s="1" t="s">
        <v>904</v>
      </c>
      <c r="G368" s="1" t="s">
        <v>2233</v>
      </c>
      <c r="H368" s="4">
        <v>24.792332999999999</v>
      </c>
      <c r="I368" s="4">
        <v>120.96599999999999</v>
      </c>
      <c r="J368" s="1" t="s">
        <v>1404</v>
      </c>
      <c r="K368" s="1" t="s">
        <v>70</v>
      </c>
      <c r="L368" s="1" t="s">
        <v>2234</v>
      </c>
      <c r="M368" s="1" t="s">
        <v>3598</v>
      </c>
      <c r="N368" s="1"/>
      <c r="O368" s="1" t="s">
        <v>3095</v>
      </c>
      <c r="P368" s="1"/>
      <c r="Q368" s="4">
        <v>7.65</v>
      </c>
      <c r="R368" s="4"/>
      <c r="S368" s="4"/>
      <c r="T368" s="4"/>
      <c r="U368" s="4"/>
      <c r="V368" s="4">
        <v>54.290481</v>
      </c>
      <c r="W368" s="4"/>
      <c r="X368" s="4"/>
      <c r="Y368" s="4"/>
      <c r="Z368" s="4"/>
      <c r="AA368" s="4"/>
      <c r="AB368" s="4" t="s">
        <v>1055</v>
      </c>
      <c r="AC368" s="4"/>
      <c r="AD368" s="4">
        <v>23.85</v>
      </c>
      <c r="AE368" s="4">
        <v>120.82</v>
      </c>
      <c r="AF368" s="4">
        <v>8</v>
      </c>
      <c r="AG368" s="4">
        <v>456.89920000000001</v>
      </c>
      <c r="AH368" s="27" t="b">
        <v>1</v>
      </c>
      <c r="AI368" s="4">
        <v>8.4559999999999995</v>
      </c>
      <c r="AJ368" s="27" t="b">
        <v>0</v>
      </c>
      <c r="AK368" s="4"/>
      <c r="AL368" s="27" t="b">
        <v>0</v>
      </c>
      <c r="AM368" s="4">
        <v>61.091999999999999</v>
      </c>
      <c r="AN368" s="4">
        <v>105.67</v>
      </c>
      <c r="AO368" s="4">
        <v>33.780999999999999</v>
      </c>
      <c r="AP368" s="4">
        <v>26.4407</v>
      </c>
      <c r="AQ368" s="4">
        <v>24.279599999999999</v>
      </c>
      <c r="AR368" s="4">
        <v>15.241300000000001</v>
      </c>
      <c r="AS368" s="4">
        <v>38.7102</v>
      </c>
      <c r="AT368" s="4">
        <v>27.549099999999999</v>
      </c>
      <c r="AU368" s="4">
        <v>10.921799999999999</v>
      </c>
      <c r="AV368" s="4">
        <v>-9.7270999999999996E-2</v>
      </c>
      <c r="AW368" s="4">
        <v>1.95747</v>
      </c>
      <c r="AX368" s="4">
        <v>0.39347199999999999</v>
      </c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1" t="s">
        <v>3599</v>
      </c>
      <c r="BJ368" s="1" t="s">
        <v>3860</v>
      </c>
      <c r="BK368" s="1">
        <v>1</v>
      </c>
      <c r="BL368" s="1"/>
      <c r="BM368" s="1" t="s">
        <v>211</v>
      </c>
      <c r="BN368" s="1" t="s">
        <v>2710</v>
      </c>
      <c r="BO368" s="1" t="s">
        <v>2711</v>
      </c>
      <c r="BP368" s="1">
        <v>7.65</v>
      </c>
      <c r="BQ368" s="1" t="s">
        <v>1003</v>
      </c>
      <c r="BR368" s="1">
        <v>23.85</v>
      </c>
      <c r="BS368" s="1">
        <v>120.82</v>
      </c>
      <c r="BT368" s="1">
        <v>8</v>
      </c>
      <c r="BU368" s="1" t="s">
        <v>1055</v>
      </c>
      <c r="BV368" s="1" t="s">
        <v>2834</v>
      </c>
      <c r="BW368" s="1">
        <v>209</v>
      </c>
      <c r="BX368" s="1">
        <v>68</v>
      </c>
      <c r="BY368" s="1">
        <v>89</v>
      </c>
      <c r="BZ368" s="1">
        <v>31</v>
      </c>
      <c r="CA368" s="1">
        <v>21</v>
      </c>
      <c r="CB368" s="1">
        <v>92</v>
      </c>
      <c r="CC368" s="1" t="s">
        <v>2808</v>
      </c>
      <c r="CD368" s="1" t="s">
        <v>862</v>
      </c>
      <c r="CE368" s="1">
        <v>1</v>
      </c>
      <c r="CF368" s="1">
        <v>7.58</v>
      </c>
      <c r="CG368" s="1">
        <v>5.6364999999999998</v>
      </c>
      <c r="CH368" s="1">
        <v>7322.4000000000005</v>
      </c>
      <c r="CI368" s="1" t="s">
        <v>863</v>
      </c>
      <c r="CJ368" s="1" t="s">
        <v>2812</v>
      </c>
      <c r="CK368" t="s">
        <v>1263</v>
      </c>
      <c r="CL368">
        <v>125</v>
      </c>
      <c r="CM368" t="s">
        <v>2845</v>
      </c>
    </row>
    <row r="369" spans="1:91" ht="19" customHeight="1">
      <c r="A369" s="1" t="s">
        <v>3861</v>
      </c>
      <c r="B369" s="1" t="s">
        <v>3597</v>
      </c>
      <c r="C369" s="1">
        <v>126</v>
      </c>
      <c r="D369" s="1" t="s">
        <v>1074</v>
      </c>
      <c r="E369" s="1">
        <v>1999</v>
      </c>
      <c r="F369" s="1" t="s">
        <v>905</v>
      </c>
      <c r="G369" s="1" t="s">
        <v>2236</v>
      </c>
      <c r="H369" s="4">
        <v>24.742000000000001</v>
      </c>
      <c r="I369" s="4">
        <v>120.907167</v>
      </c>
      <c r="J369" s="1" t="s">
        <v>1404</v>
      </c>
      <c r="K369" s="1" t="s">
        <v>70</v>
      </c>
      <c r="L369" s="1" t="s">
        <v>2237</v>
      </c>
      <c r="M369" s="1" t="s">
        <v>3598</v>
      </c>
      <c r="N369" s="1"/>
      <c r="O369" s="1" t="s">
        <v>3095</v>
      </c>
      <c r="P369" s="1"/>
      <c r="Q369" s="4">
        <v>7.65</v>
      </c>
      <c r="R369" s="4"/>
      <c r="S369" s="4"/>
      <c r="T369" s="4"/>
      <c r="U369" s="4"/>
      <c r="V369" s="4">
        <v>47.611621999999997</v>
      </c>
      <c r="W369" s="4"/>
      <c r="X369" s="4"/>
      <c r="Y369" s="4"/>
      <c r="Z369" s="4"/>
      <c r="AA369" s="4"/>
      <c r="AB369" s="4" t="s">
        <v>1055</v>
      </c>
      <c r="AC369" s="4"/>
      <c r="AD369" s="4">
        <v>23.85</v>
      </c>
      <c r="AE369" s="4">
        <v>120.82</v>
      </c>
      <c r="AF369" s="4">
        <v>8</v>
      </c>
      <c r="AG369" s="4">
        <v>346.286113</v>
      </c>
      <c r="AH369" s="27" t="b">
        <v>1</v>
      </c>
      <c r="AI369" s="4">
        <v>9.4849999999999994</v>
      </c>
      <c r="AJ369" s="27" t="b">
        <v>0</v>
      </c>
      <c r="AK369" s="4"/>
      <c r="AL369" s="27" t="b">
        <v>0</v>
      </c>
      <c r="AM369" s="4">
        <v>100.45399999999999</v>
      </c>
      <c r="AN369" s="4">
        <v>96.712999999999994</v>
      </c>
      <c r="AO369" s="4">
        <v>48.805</v>
      </c>
      <c r="AP369" s="4">
        <v>44.221600000000002</v>
      </c>
      <c r="AQ369" s="4">
        <v>27.215900000000001</v>
      </c>
      <c r="AR369" s="4">
        <v>15.5267</v>
      </c>
      <c r="AS369" s="4">
        <v>43.890900000000002</v>
      </c>
      <c r="AT369" s="4">
        <v>26.8916</v>
      </c>
      <c r="AU369" s="4">
        <v>16.396100000000001</v>
      </c>
      <c r="AV369" s="4">
        <v>8.0452200000000005</v>
      </c>
      <c r="AW369" s="4">
        <v>-6.46495</v>
      </c>
      <c r="AX369" s="4">
        <v>-1.02582</v>
      </c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1" t="s">
        <v>3599</v>
      </c>
      <c r="BJ369" s="1" t="s">
        <v>3862</v>
      </c>
      <c r="BK369" s="1">
        <v>1</v>
      </c>
      <c r="BL369" s="1"/>
      <c r="BM369" s="1" t="s">
        <v>211</v>
      </c>
      <c r="BN369" s="1" t="s">
        <v>2710</v>
      </c>
      <c r="BO369" s="1" t="s">
        <v>2711</v>
      </c>
      <c r="BP369" s="1">
        <v>7.65</v>
      </c>
      <c r="BQ369" s="1" t="s">
        <v>1003</v>
      </c>
      <c r="BR369" s="1">
        <v>23.85</v>
      </c>
      <c r="BS369" s="1">
        <v>120.82</v>
      </c>
      <c r="BT369" s="1">
        <v>8</v>
      </c>
      <c r="BU369" s="1" t="s">
        <v>1055</v>
      </c>
      <c r="BV369" s="1" t="s">
        <v>2834</v>
      </c>
      <c r="BW369" s="1">
        <v>209</v>
      </c>
      <c r="BX369" s="1">
        <v>68</v>
      </c>
      <c r="BY369" s="1">
        <v>89</v>
      </c>
      <c r="BZ369" s="1">
        <v>31</v>
      </c>
      <c r="CA369" s="1">
        <v>21</v>
      </c>
      <c r="CB369" s="1">
        <v>92</v>
      </c>
      <c r="CC369" s="1" t="s">
        <v>2808</v>
      </c>
      <c r="CD369" s="1" t="s">
        <v>862</v>
      </c>
      <c r="CE369" s="1">
        <v>1</v>
      </c>
      <c r="CF369" s="1">
        <v>7.58</v>
      </c>
      <c r="CG369" s="1">
        <v>5.6364999999999998</v>
      </c>
      <c r="CH369" s="1">
        <v>7322.4000000000005</v>
      </c>
      <c r="CI369" s="1" t="s">
        <v>863</v>
      </c>
      <c r="CJ369" s="1" t="s">
        <v>2812</v>
      </c>
      <c r="CK369" t="s">
        <v>1263</v>
      </c>
      <c r="CL369">
        <v>126</v>
      </c>
      <c r="CM369" t="s">
        <v>2845</v>
      </c>
    </row>
    <row r="370" spans="1:91" ht="19" customHeight="1">
      <c r="A370" s="1" t="s">
        <v>3863</v>
      </c>
      <c r="B370" s="1" t="s">
        <v>3597</v>
      </c>
      <c r="C370" s="1">
        <v>127</v>
      </c>
      <c r="D370" s="1" t="s">
        <v>1074</v>
      </c>
      <c r="E370" s="1">
        <v>1999</v>
      </c>
      <c r="F370" s="1" t="s">
        <v>1079</v>
      </c>
      <c r="G370" s="1" t="s">
        <v>2239</v>
      </c>
      <c r="H370" s="4">
        <v>24.183833</v>
      </c>
      <c r="I370" s="4">
        <v>120.625</v>
      </c>
      <c r="J370" s="1" t="s">
        <v>1404</v>
      </c>
      <c r="K370" s="1" t="s">
        <v>70</v>
      </c>
      <c r="L370" s="1" t="s">
        <v>2240</v>
      </c>
      <c r="M370" s="1" t="s">
        <v>3598</v>
      </c>
      <c r="N370" s="1"/>
      <c r="O370" s="1" t="s">
        <v>3095</v>
      </c>
      <c r="P370" s="1"/>
      <c r="Q370" s="4">
        <v>7.65</v>
      </c>
      <c r="R370" s="4"/>
      <c r="S370" s="4"/>
      <c r="T370" s="4"/>
      <c r="U370" s="4"/>
      <c r="V370" s="4">
        <v>10.379778</v>
      </c>
      <c r="W370" s="4"/>
      <c r="X370" s="4"/>
      <c r="Y370" s="4"/>
      <c r="Z370" s="4"/>
      <c r="AA370" s="4"/>
      <c r="AB370" s="4" t="s">
        <v>1055</v>
      </c>
      <c r="AC370" s="4"/>
      <c r="AD370" s="4">
        <v>23.85</v>
      </c>
      <c r="AE370" s="4">
        <v>120.82</v>
      </c>
      <c r="AF370" s="4">
        <v>8</v>
      </c>
      <c r="AG370" s="4">
        <v>500.81730800000003</v>
      </c>
      <c r="AH370" s="27" t="b">
        <v>0</v>
      </c>
      <c r="AI370" s="4"/>
      <c r="AJ370" s="27" t="b">
        <v>1</v>
      </c>
      <c r="AK370" s="4">
        <v>5.3129999999999997</v>
      </c>
      <c r="AL370" s="27" t="b">
        <v>0</v>
      </c>
      <c r="AM370" s="4">
        <v>110.779</v>
      </c>
      <c r="AN370" s="4">
        <v>112.062</v>
      </c>
      <c r="AO370" s="4">
        <v>84.841999999999999</v>
      </c>
      <c r="AP370" s="4">
        <v>32.018700000000003</v>
      </c>
      <c r="AQ370" s="4">
        <v>41.8262</v>
      </c>
      <c r="AR370" s="4">
        <v>37.892699999999998</v>
      </c>
      <c r="AS370" s="4">
        <v>66.936199999999999</v>
      </c>
      <c r="AT370" s="4">
        <v>54.059399999999997</v>
      </c>
      <c r="AU370" s="4">
        <v>35.147100000000002</v>
      </c>
      <c r="AV370" s="4">
        <v>12.3972</v>
      </c>
      <c r="AW370" s="4">
        <v>21.634499999999999</v>
      </c>
      <c r="AX370" s="4">
        <v>-0.58621400000000001</v>
      </c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1" t="s">
        <v>3651</v>
      </c>
      <c r="BJ370" s="1" t="s">
        <v>3864</v>
      </c>
      <c r="BK370" s="1">
        <v>1</v>
      </c>
      <c r="BL370" s="1"/>
      <c r="BM370" s="1" t="s">
        <v>211</v>
      </c>
      <c r="BN370" s="1" t="s">
        <v>2710</v>
      </c>
      <c r="BO370" s="1" t="s">
        <v>2711</v>
      </c>
      <c r="BP370" s="1">
        <v>7.65</v>
      </c>
      <c r="BQ370" s="1" t="s">
        <v>1003</v>
      </c>
      <c r="BR370" s="1">
        <v>23.85</v>
      </c>
      <c r="BS370" s="1">
        <v>120.82</v>
      </c>
      <c r="BT370" s="1">
        <v>8</v>
      </c>
      <c r="BU370" s="1" t="s">
        <v>1055</v>
      </c>
      <c r="BV370" s="1" t="s">
        <v>2834</v>
      </c>
      <c r="BW370" s="1">
        <v>209</v>
      </c>
      <c r="BX370" s="1">
        <v>68</v>
      </c>
      <c r="BY370" s="1">
        <v>89</v>
      </c>
      <c r="BZ370" s="1">
        <v>31</v>
      </c>
      <c r="CA370" s="1">
        <v>21</v>
      </c>
      <c r="CB370" s="1">
        <v>92</v>
      </c>
      <c r="CC370" s="1" t="s">
        <v>2808</v>
      </c>
      <c r="CD370" s="1" t="s">
        <v>862</v>
      </c>
      <c r="CE370" s="1">
        <v>1</v>
      </c>
      <c r="CF370" s="1">
        <v>7.58</v>
      </c>
      <c r="CG370" s="1">
        <v>5.6364999999999998</v>
      </c>
      <c r="CH370" s="1">
        <v>7322.4000000000005</v>
      </c>
      <c r="CI370" s="1" t="s">
        <v>863</v>
      </c>
      <c r="CJ370" s="1" t="s">
        <v>2812</v>
      </c>
      <c r="CK370" t="s">
        <v>1263</v>
      </c>
      <c r="CL370">
        <v>127</v>
      </c>
      <c r="CM370" t="s">
        <v>2845</v>
      </c>
    </row>
    <row r="371" spans="1:91" ht="19" customHeight="1">
      <c r="A371" s="1" t="s">
        <v>3865</v>
      </c>
      <c r="B371" s="1" t="s">
        <v>3597</v>
      </c>
      <c r="C371" s="1">
        <v>128</v>
      </c>
      <c r="D371" s="1" t="s">
        <v>1074</v>
      </c>
      <c r="E371" s="1">
        <v>1999</v>
      </c>
      <c r="F371" s="1" t="s">
        <v>906</v>
      </c>
      <c r="G371" s="1" t="s">
        <v>2241</v>
      </c>
      <c r="H371" s="4">
        <v>24.239332999999998</v>
      </c>
      <c r="I371" s="4">
        <v>120.717167</v>
      </c>
      <c r="J371" s="1" t="s">
        <v>1404</v>
      </c>
      <c r="K371" s="1" t="s">
        <v>70</v>
      </c>
      <c r="L371" s="1" t="s">
        <v>2242</v>
      </c>
      <c r="M371" s="1" t="s">
        <v>3598</v>
      </c>
      <c r="N371" s="1"/>
      <c r="O371" s="1" t="s">
        <v>3095</v>
      </c>
      <c r="P371" s="1"/>
      <c r="Q371" s="4">
        <v>7.65</v>
      </c>
      <c r="R371" s="4"/>
      <c r="S371" s="4"/>
      <c r="T371" s="4"/>
      <c r="U371" s="4"/>
      <c r="V371" s="4">
        <v>1.2435879999999999</v>
      </c>
      <c r="W371" s="4"/>
      <c r="X371" s="4"/>
      <c r="Y371" s="4"/>
      <c r="Z371" s="4"/>
      <c r="AA371" s="4"/>
      <c r="AB371" s="4" t="s">
        <v>1055</v>
      </c>
      <c r="AC371" s="4"/>
      <c r="AD371" s="4">
        <v>23.85</v>
      </c>
      <c r="AE371" s="4">
        <v>120.82</v>
      </c>
      <c r="AF371" s="4">
        <v>8</v>
      </c>
      <c r="AG371" s="4">
        <v>720.69</v>
      </c>
      <c r="AH371" s="27" t="b">
        <v>1</v>
      </c>
      <c r="AI371" s="4">
        <v>10.318</v>
      </c>
      <c r="AJ371" s="27" t="b">
        <v>1</v>
      </c>
      <c r="AK371" s="4">
        <v>5.194</v>
      </c>
      <c r="AL371" s="27" t="b">
        <v>0</v>
      </c>
      <c r="AM371" s="4">
        <v>207.89400000000001</v>
      </c>
      <c r="AN371" s="4">
        <v>253.57900000000001</v>
      </c>
      <c r="AO371" s="4">
        <v>164.02799999999999</v>
      </c>
      <c r="AP371" s="4">
        <v>76.813900000000004</v>
      </c>
      <c r="AQ371" s="4">
        <v>50.974299999999999</v>
      </c>
      <c r="AR371" s="4">
        <v>46.703499999999998</v>
      </c>
      <c r="AS371" s="4">
        <v>73.462400000000002</v>
      </c>
      <c r="AT371" s="4">
        <v>35.964799999999997</v>
      </c>
      <c r="AU371" s="4">
        <v>48.365400000000001</v>
      </c>
      <c r="AV371" s="4">
        <v>-0.55395899999999998</v>
      </c>
      <c r="AW371" s="4">
        <v>0.203149</v>
      </c>
      <c r="AX371" s="4">
        <v>-0.49779699999999999</v>
      </c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1"/>
      <c r="BJ371" s="1" t="s">
        <v>3866</v>
      </c>
      <c r="BK371" s="1">
        <v>1</v>
      </c>
      <c r="BL371" s="1"/>
      <c r="BM371" s="1" t="s">
        <v>211</v>
      </c>
      <c r="BN371" s="1" t="s">
        <v>2710</v>
      </c>
      <c r="BO371" s="1" t="s">
        <v>2711</v>
      </c>
      <c r="BP371" s="1">
        <v>7.65</v>
      </c>
      <c r="BQ371" s="1" t="s">
        <v>1003</v>
      </c>
      <c r="BR371" s="1">
        <v>23.85</v>
      </c>
      <c r="BS371" s="1">
        <v>120.82</v>
      </c>
      <c r="BT371" s="1">
        <v>8</v>
      </c>
      <c r="BU371" s="1" t="s">
        <v>1055</v>
      </c>
      <c r="BV371" s="1" t="s">
        <v>2834</v>
      </c>
      <c r="BW371" s="1">
        <v>209</v>
      </c>
      <c r="BX371" s="1">
        <v>68</v>
      </c>
      <c r="BY371" s="1">
        <v>89</v>
      </c>
      <c r="BZ371" s="1">
        <v>31</v>
      </c>
      <c r="CA371" s="1">
        <v>21</v>
      </c>
      <c r="CB371" s="1">
        <v>92</v>
      </c>
      <c r="CC371" s="1" t="s">
        <v>2808</v>
      </c>
      <c r="CD371" s="1" t="s">
        <v>862</v>
      </c>
      <c r="CE371" s="1">
        <v>1</v>
      </c>
      <c r="CF371" s="1">
        <v>7.58</v>
      </c>
      <c r="CG371" s="1">
        <v>5.6364999999999998</v>
      </c>
      <c r="CH371" s="1">
        <v>7322.4000000000005</v>
      </c>
      <c r="CI371" s="1" t="s">
        <v>863</v>
      </c>
      <c r="CJ371" s="1" t="s">
        <v>2812</v>
      </c>
      <c r="CK371" t="s">
        <v>1263</v>
      </c>
      <c r="CL371">
        <v>128</v>
      </c>
      <c r="CM371" t="s">
        <v>2845</v>
      </c>
    </row>
    <row r="372" spans="1:91" ht="19" customHeight="1">
      <c r="A372" s="1" t="s">
        <v>3867</v>
      </c>
      <c r="B372" s="1" t="s">
        <v>3597</v>
      </c>
      <c r="C372" s="1">
        <v>129</v>
      </c>
      <c r="D372" s="1" t="s">
        <v>1074</v>
      </c>
      <c r="E372" s="1">
        <v>1999</v>
      </c>
      <c r="F372" s="1" t="s">
        <v>907</v>
      </c>
      <c r="G372" s="1" t="s">
        <v>2244</v>
      </c>
      <c r="H372" s="4">
        <v>24.247</v>
      </c>
      <c r="I372" s="4">
        <v>120.728667</v>
      </c>
      <c r="J372" s="1" t="s">
        <v>1404</v>
      </c>
      <c r="K372" s="1" t="s">
        <v>70</v>
      </c>
      <c r="L372" s="1" t="s">
        <v>2245</v>
      </c>
      <c r="M372" s="1" t="s">
        <v>3598</v>
      </c>
      <c r="N372" s="1"/>
      <c r="O372" s="1" t="s">
        <v>3095</v>
      </c>
      <c r="P372" s="1"/>
      <c r="Q372" s="4">
        <v>7.65</v>
      </c>
      <c r="R372" s="4"/>
      <c r="S372" s="4"/>
      <c r="T372" s="4"/>
      <c r="U372" s="4"/>
      <c r="V372" s="4">
        <v>0.66602899999999998</v>
      </c>
      <c r="W372" s="4"/>
      <c r="X372" s="4"/>
      <c r="Y372" s="4"/>
      <c r="Z372" s="4"/>
      <c r="AA372" s="4"/>
      <c r="AB372" s="4" t="s">
        <v>1055</v>
      </c>
      <c r="AC372" s="4"/>
      <c r="AD372" s="4">
        <v>23.85</v>
      </c>
      <c r="AE372" s="4">
        <v>120.82</v>
      </c>
      <c r="AF372" s="4">
        <v>8</v>
      </c>
      <c r="AG372" s="4">
        <v>706.20540000000005</v>
      </c>
      <c r="AH372" s="27" t="b">
        <v>1</v>
      </c>
      <c r="AI372" s="4">
        <v>9.6460000000000008</v>
      </c>
      <c r="AJ372" s="27" t="b">
        <v>1</v>
      </c>
      <c r="AK372" s="4">
        <v>3.157</v>
      </c>
      <c r="AL372" s="27" t="b">
        <v>1</v>
      </c>
      <c r="AM372" s="4">
        <v>298.387</v>
      </c>
      <c r="AN372" s="4">
        <v>169.018</v>
      </c>
      <c r="AO372" s="4">
        <v>173.33099999999999</v>
      </c>
      <c r="AP372" s="4">
        <v>87.717299999999994</v>
      </c>
      <c r="AQ372" s="4">
        <v>72.254000000000005</v>
      </c>
      <c r="AR372" s="4">
        <v>68.256299999999996</v>
      </c>
      <c r="AS372" s="4">
        <v>166.22499999999999</v>
      </c>
      <c r="AT372" s="4">
        <v>123.995</v>
      </c>
      <c r="AU372" s="4">
        <v>54.7943</v>
      </c>
      <c r="AV372" s="4">
        <v>74.019499999999994</v>
      </c>
      <c r="AW372" s="4">
        <v>-87.728800000000007</v>
      </c>
      <c r="AX372" s="4">
        <v>-5.6905999999999999</v>
      </c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1"/>
      <c r="BJ372" s="1" t="s">
        <v>3868</v>
      </c>
      <c r="BK372" s="1">
        <v>1</v>
      </c>
      <c r="BL372" s="1"/>
      <c r="BM372" s="1" t="s">
        <v>211</v>
      </c>
      <c r="BN372" s="1" t="s">
        <v>2710</v>
      </c>
      <c r="BO372" s="1" t="s">
        <v>2711</v>
      </c>
      <c r="BP372" s="1">
        <v>7.65</v>
      </c>
      <c r="BQ372" s="1" t="s">
        <v>1003</v>
      </c>
      <c r="BR372" s="1">
        <v>23.85</v>
      </c>
      <c r="BS372" s="1">
        <v>120.82</v>
      </c>
      <c r="BT372" s="1">
        <v>8</v>
      </c>
      <c r="BU372" s="1" t="s">
        <v>1055</v>
      </c>
      <c r="BV372" s="1" t="s">
        <v>2834</v>
      </c>
      <c r="BW372" s="1">
        <v>209</v>
      </c>
      <c r="BX372" s="1">
        <v>68</v>
      </c>
      <c r="BY372" s="1">
        <v>89</v>
      </c>
      <c r="BZ372" s="1">
        <v>31</v>
      </c>
      <c r="CA372" s="1">
        <v>21</v>
      </c>
      <c r="CB372" s="1">
        <v>92</v>
      </c>
      <c r="CC372" s="1" t="s">
        <v>2808</v>
      </c>
      <c r="CD372" s="1" t="s">
        <v>862</v>
      </c>
      <c r="CE372" s="1">
        <v>1</v>
      </c>
      <c r="CF372" s="1">
        <v>7.58</v>
      </c>
      <c r="CG372" s="1">
        <v>5.6364999999999998</v>
      </c>
      <c r="CH372" s="1">
        <v>7322.4000000000005</v>
      </c>
      <c r="CI372" s="1" t="s">
        <v>863</v>
      </c>
      <c r="CJ372" s="1" t="s">
        <v>2812</v>
      </c>
      <c r="CK372" t="s">
        <v>1263</v>
      </c>
      <c r="CL372">
        <v>129</v>
      </c>
      <c r="CM372" t="s">
        <v>2845</v>
      </c>
    </row>
    <row r="373" spans="1:91" ht="19" customHeight="1">
      <c r="A373" s="1" t="s">
        <v>3869</v>
      </c>
      <c r="B373" s="1" t="s">
        <v>3597</v>
      </c>
      <c r="C373" s="1">
        <v>130</v>
      </c>
      <c r="D373" s="1" t="s">
        <v>1074</v>
      </c>
      <c r="E373" s="1">
        <v>1999</v>
      </c>
      <c r="F373" s="1" t="s">
        <v>908</v>
      </c>
      <c r="G373" s="1" t="s">
        <v>2247</v>
      </c>
      <c r="H373" s="4">
        <v>24.307500000000001</v>
      </c>
      <c r="I373" s="4">
        <v>120.715</v>
      </c>
      <c r="J373" s="1" t="s">
        <v>1404</v>
      </c>
      <c r="K373" s="1" t="s">
        <v>70</v>
      </c>
      <c r="L373" s="1" t="s">
        <v>2248</v>
      </c>
      <c r="M373" s="1" t="s">
        <v>3598</v>
      </c>
      <c r="N373" s="1"/>
      <c r="O373" s="1" t="s">
        <v>3095</v>
      </c>
      <c r="P373" s="1"/>
      <c r="Q373" s="4">
        <v>7.65</v>
      </c>
      <c r="R373" s="4"/>
      <c r="S373" s="4"/>
      <c r="T373" s="4"/>
      <c r="U373" s="4"/>
      <c r="V373" s="4">
        <v>5.2803849999999999</v>
      </c>
      <c r="W373" s="4"/>
      <c r="X373" s="4"/>
      <c r="Y373" s="4"/>
      <c r="Z373" s="4"/>
      <c r="AA373" s="4"/>
      <c r="AB373" s="4" t="s">
        <v>1055</v>
      </c>
      <c r="AC373" s="4"/>
      <c r="AD373" s="4">
        <v>23.85</v>
      </c>
      <c r="AE373" s="4">
        <v>120.82</v>
      </c>
      <c r="AF373" s="4">
        <v>8</v>
      </c>
      <c r="AG373" s="4">
        <v>488.6789</v>
      </c>
      <c r="AH373" s="27" t="b">
        <v>1</v>
      </c>
      <c r="AI373" s="4">
        <v>8.6869999999999994</v>
      </c>
      <c r="AJ373" s="27" t="b">
        <v>1</v>
      </c>
      <c r="AK373" s="4">
        <v>6.8529999999999998</v>
      </c>
      <c r="AL373" s="27" t="b">
        <v>1</v>
      </c>
      <c r="AM373" s="4">
        <v>126.432</v>
      </c>
      <c r="AN373" s="4">
        <v>149.25</v>
      </c>
      <c r="AO373" s="4">
        <v>142.285</v>
      </c>
      <c r="AP373" s="4">
        <v>68.588700000000003</v>
      </c>
      <c r="AQ373" s="4">
        <v>22.4513</v>
      </c>
      <c r="AR373" s="4">
        <v>60.793100000000003</v>
      </c>
      <c r="AS373" s="4">
        <v>98.488699999999994</v>
      </c>
      <c r="AT373" s="4">
        <v>77.251099999999994</v>
      </c>
      <c r="AU373" s="4">
        <v>54.076300000000003</v>
      </c>
      <c r="AV373" s="4">
        <v>46.520899999999997</v>
      </c>
      <c r="AW373" s="4">
        <v>-56.764800000000001</v>
      </c>
      <c r="AX373" s="4">
        <v>7.3743400000000001</v>
      </c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1"/>
      <c r="BJ373" s="1" t="s">
        <v>3870</v>
      </c>
      <c r="BK373" s="1">
        <v>1</v>
      </c>
      <c r="BL373" s="1"/>
      <c r="BM373" s="1" t="s">
        <v>211</v>
      </c>
      <c r="BN373" s="1" t="s">
        <v>2710</v>
      </c>
      <c r="BO373" s="1" t="s">
        <v>2711</v>
      </c>
      <c r="BP373" s="1">
        <v>7.65</v>
      </c>
      <c r="BQ373" s="1" t="s">
        <v>1003</v>
      </c>
      <c r="BR373" s="1">
        <v>23.85</v>
      </c>
      <c r="BS373" s="1">
        <v>120.82</v>
      </c>
      <c r="BT373" s="1">
        <v>8</v>
      </c>
      <c r="BU373" s="1" t="s">
        <v>1055</v>
      </c>
      <c r="BV373" s="1" t="s">
        <v>2834</v>
      </c>
      <c r="BW373" s="1">
        <v>209</v>
      </c>
      <c r="BX373" s="1">
        <v>68</v>
      </c>
      <c r="BY373" s="1">
        <v>89</v>
      </c>
      <c r="BZ373" s="1">
        <v>31</v>
      </c>
      <c r="CA373" s="1">
        <v>21</v>
      </c>
      <c r="CB373" s="1">
        <v>92</v>
      </c>
      <c r="CC373" s="1" t="s">
        <v>2808</v>
      </c>
      <c r="CD373" s="1" t="s">
        <v>862</v>
      </c>
      <c r="CE373" s="1">
        <v>1</v>
      </c>
      <c r="CF373" s="1">
        <v>7.58</v>
      </c>
      <c r="CG373" s="1">
        <v>5.6364999999999998</v>
      </c>
      <c r="CH373" s="1">
        <v>7322.4000000000005</v>
      </c>
      <c r="CI373" s="1" t="s">
        <v>863</v>
      </c>
      <c r="CJ373" s="1" t="s">
        <v>2812</v>
      </c>
      <c r="CK373" t="s">
        <v>1263</v>
      </c>
      <c r="CL373">
        <v>130</v>
      </c>
      <c r="CM373" t="s">
        <v>2845</v>
      </c>
    </row>
    <row r="374" spans="1:91" ht="19" customHeight="1">
      <c r="A374" s="1" t="s">
        <v>3871</v>
      </c>
      <c r="B374" s="1" t="s">
        <v>3597</v>
      </c>
      <c r="C374" s="1">
        <v>131</v>
      </c>
      <c r="D374" s="1" t="s">
        <v>1074</v>
      </c>
      <c r="E374" s="1">
        <v>1999</v>
      </c>
      <c r="F374" s="1" t="s">
        <v>909</v>
      </c>
      <c r="G374" s="1" t="s">
        <v>2250</v>
      </c>
      <c r="H374" s="4">
        <v>24.244333000000001</v>
      </c>
      <c r="I374" s="4">
        <v>120.609167</v>
      </c>
      <c r="J374" s="1" t="s">
        <v>1404</v>
      </c>
      <c r="K374" s="1" t="s">
        <v>70</v>
      </c>
      <c r="L374" s="1" t="s">
        <v>2251</v>
      </c>
      <c r="M374" s="1" t="s">
        <v>3598</v>
      </c>
      <c r="N374" s="1"/>
      <c r="O374" s="1" t="s">
        <v>3095</v>
      </c>
      <c r="P374" s="1"/>
      <c r="Q374" s="4">
        <v>7.65</v>
      </c>
      <c r="R374" s="4"/>
      <c r="S374" s="4"/>
      <c r="T374" s="4"/>
      <c r="U374" s="4"/>
      <c r="V374" s="4">
        <v>12.099795</v>
      </c>
      <c r="W374" s="4"/>
      <c r="X374" s="4"/>
      <c r="Y374" s="4"/>
      <c r="Z374" s="4"/>
      <c r="AA374" s="4"/>
      <c r="AB374" s="4" t="s">
        <v>1055</v>
      </c>
      <c r="AC374" s="4"/>
      <c r="AD374" s="4">
        <v>23.85</v>
      </c>
      <c r="AE374" s="4">
        <v>120.82</v>
      </c>
      <c r="AF374" s="4">
        <v>8</v>
      </c>
      <c r="AG374" s="4">
        <v>403.46980000000002</v>
      </c>
      <c r="AH374" s="27" t="b">
        <v>1</v>
      </c>
      <c r="AI374" s="4">
        <v>7.1890000000000001</v>
      </c>
      <c r="AJ374" s="27" t="b">
        <v>0</v>
      </c>
      <c r="AK374" s="4"/>
      <c r="AL374" s="27" t="b">
        <v>1</v>
      </c>
      <c r="AM374" s="4">
        <v>101.479</v>
      </c>
      <c r="AN374" s="4">
        <v>86.819800000000001</v>
      </c>
      <c r="AO374" s="4">
        <v>90.461500000000001</v>
      </c>
      <c r="AP374" s="4">
        <v>30.709900000000001</v>
      </c>
      <c r="AQ374" s="4">
        <v>48.776800000000001</v>
      </c>
      <c r="AR374" s="4">
        <v>23.3216</v>
      </c>
      <c r="AS374" s="4">
        <v>69.388300000000001</v>
      </c>
      <c r="AT374" s="4">
        <v>96.382300000000001</v>
      </c>
      <c r="AU374" s="4">
        <v>18.970099999999999</v>
      </c>
      <c r="AV374" s="4">
        <v>41.994599999999998</v>
      </c>
      <c r="AW374" s="4">
        <v>-43.773000000000003</v>
      </c>
      <c r="AX374" s="4">
        <v>-1.3539000000000001</v>
      </c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1" t="s">
        <v>3599</v>
      </c>
      <c r="BJ374" s="1" t="s">
        <v>3872</v>
      </c>
      <c r="BK374" s="1">
        <v>1</v>
      </c>
      <c r="BL374" s="1"/>
      <c r="BM374" s="1" t="s">
        <v>211</v>
      </c>
      <c r="BN374" s="1" t="s">
        <v>2710</v>
      </c>
      <c r="BO374" s="1" t="s">
        <v>2711</v>
      </c>
      <c r="BP374" s="1">
        <v>7.65</v>
      </c>
      <c r="BQ374" s="1" t="s">
        <v>1003</v>
      </c>
      <c r="BR374" s="1">
        <v>23.85</v>
      </c>
      <c r="BS374" s="1">
        <v>120.82</v>
      </c>
      <c r="BT374" s="1">
        <v>8</v>
      </c>
      <c r="BU374" s="1" t="s">
        <v>1055</v>
      </c>
      <c r="BV374" s="1" t="s">
        <v>2834</v>
      </c>
      <c r="BW374" s="1">
        <v>209</v>
      </c>
      <c r="BX374" s="1">
        <v>68</v>
      </c>
      <c r="BY374" s="1">
        <v>89</v>
      </c>
      <c r="BZ374" s="1">
        <v>31</v>
      </c>
      <c r="CA374" s="1">
        <v>21</v>
      </c>
      <c r="CB374" s="1">
        <v>92</v>
      </c>
      <c r="CC374" s="1" t="s">
        <v>2808</v>
      </c>
      <c r="CD374" s="1" t="s">
        <v>862</v>
      </c>
      <c r="CE374" s="1">
        <v>1</v>
      </c>
      <c r="CF374" s="1">
        <v>7.58</v>
      </c>
      <c r="CG374" s="1">
        <v>5.6364999999999998</v>
      </c>
      <c r="CH374" s="1">
        <v>7322.4000000000005</v>
      </c>
      <c r="CI374" s="1" t="s">
        <v>863</v>
      </c>
      <c r="CJ374" s="1" t="s">
        <v>2812</v>
      </c>
      <c r="CK374" t="s">
        <v>1263</v>
      </c>
      <c r="CL374">
        <v>131</v>
      </c>
      <c r="CM374" t="s">
        <v>2845</v>
      </c>
    </row>
    <row r="375" spans="1:91" ht="19" customHeight="1">
      <c r="A375" s="1" t="s">
        <v>3873</v>
      </c>
      <c r="B375" s="1" t="s">
        <v>3597</v>
      </c>
      <c r="C375" s="1">
        <v>132</v>
      </c>
      <c r="D375" s="1" t="s">
        <v>1074</v>
      </c>
      <c r="E375" s="1">
        <v>1999</v>
      </c>
      <c r="F375" s="1" t="s">
        <v>910</v>
      </c>
      <c r="G375" s="1" t="s">
        <v>2262</v>
      </c>
      <c r="H375" s="4">
        <v>24.4145</v>
      </c>
      <c r="I375" s="4">
        <v>120.769667</v>
      </c>
      <c r="J375" s="1" t="s">
        <v>1404</v>
      </c>
      <c r="K375" s="1" t="s">
        <v>70</v>
      </c>
      <c r="L375" s="1" t="s">
        <v>2263</v>
      </c>
      <c r="M375" s="1" t="s">
        <v>3598</v>
      </c>
      <c r="N375" s="1"/>
      <c r="O375" s="1" t="s">
        <v>3095</v>
      </c>
      <c r="P375" s="1"/>
      <c r="Q375" s="4">
        <v>7.65</v>
      </c>
      <c r="R375" s="4"/>
      <c r="S375" s="4"/>
      <c r="T375" s="4"/>
      <c r="U375" s="4"/>
      <c r="V375" s="4">
        <v>12.46795</v>
      </c>
      <c r="W375" s="4"/>
      <c r="X375" s="4"/>
      <c r="Y375" s="4"/>
      <c r="Z375" s="4"/>
      <c r="AA375" s="4"/>
      <c r="AB375" s="4" t="s">
        <v>1055</v>
      </c>
      <c r="AC375" s="4"/>
      <c r="AD375" s="4">
        <v>23.85</v>
      </c>
      <c r="AE375" s="4">
        <v>120.82</v>
      </c>
      <c r="AF375" s="4">
        <v>8</v>
      </c>
      <c r="AG375" s="4">
        <v>591.94949999999994</v>
      </c>
      <c r="AH375" s="27" t="b">
        <v>1</v>
      </c>
      <c r="AI375" s="4">
        <v>9.0440000000000005</v>
      </c>
      <c r="AJ375" s="27" t="b">
        <v>1</v>
      </c>
      <c r="AK375" s="4">
        <v>5.0469999999999997</v>
      </c>
      <c r="AL375" s="27" t="b">
        <v>1</v>
      </c>
      <c r="AM375" s="4">
        <v>141.19200000000001</v>
      </c>
      <c r="AN375" s="4">
        <v>163.17699999999999</v>
      </c>
      <c r="AO375" s="4">
        <v>90.374799999999993</v>
      </c>
      <c r="AP375" s="4">
        <v>62.640599999999999</v>
      </c>
      <c r="AQ375" s="4">
        <v>62.508000000000003</v>
      </c>
      <c r="AR375" s="4">
        <v>46.916400000000003</v>
      </c>
      <c r="AS375" s="4">
        <v>75.787400000000005</v>
      </c>
      <c r="AT375" s="4">
        <v>90.411100000000005</v>
      </c>
      <c r="AU375" s="4">
        <v>43.549500000000002</v>
      </c>
      <c r="AV375" s="4">
        <v>32.318600000000004</v>
      </c>
      <c r="AW375" s="4">
        <v>-40.422699999999999</v>
      </c>
      <c r="AX375" s="4">
        <v>30.9237</v>
      </c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1"/>
      <c r="BJ375" s="1" t="s">
        <v>3874</v>
      </c>
      <c r="BK375" s="1">
        <v>1</v>
      </c>
      <c r="BL375" s="1"/>
      <c r="BM375" s="1" t="s">
        <v>211</v>
      </c>
      <c r="BN375" s="1" t="s">
        <v>2710</v>
      </c>
      <c r="BO375" s="1" t="s">
        <v>2711</v>
      </c>
      <c r="BP375" s="1">
        <v>7.65</v>
      </c>
      <c r="BQ375" s="1" t="s">
        <v>1003</v>
      </c>
      <c r="BR375" s="1">
        <v>23.85</v>
      </c>
      <c r="BS375" s="1">
        <v>120.82</v>
      </c>
      <c r="BT375" s="1">
        <v>8</v>
      </c>
      <c r="BU375" s="1" t="s">
        <v>1055</v>
      </c>
      <c r="BV375" s="1" t="s">
        <v>2834</v>
      </c>
      <c r="BW375" s="1">
        <v>209</v>
      </c>
      <c r="BX375" s="1">
        <v>68</v>
      </c>
      <c r="BY375" s="1">
        <v>89</v>
      </c>
      <c r="BZ375" s="1">
        <v>31</v>
      </c>
      <c r="CA375" s="1">
        <v>21</v>
      </c>
      <c r="CB375" s="1">
        <v>92</v>
      </c>
      <c r="CC375" s="1" t="s">
        <v>2808</v>
      </c>
      <c r="CD375" s="1" t="s">
        <v>862</v>
      </c>
      <c r="CE375" s="1">
        <v>1</v>
      </c>
      <c r="CF375" s="1">
        <v>7.58</v>
      </c>
      <c r="CG375" s="1">
        <v>5.6364999999999998</v>
      </c>
      <c r="CH375" s="1">
        <v>7322.4000000000005</v>
      </c>
      <c r="CI375" s="1" t="s">
        <v>863</v>
      </c>
      <c r="CJ375" s="1" t="s">
        <v>2812</v>
      </c>
      <c r="CK375" t="s">
        <v>1263</v>
      </c>
      <c r="CL375">
        <v>132</v>
      </c>
      <c r="CM375" t="s">
        <v>2845</v>
      </c>
    </row>
    <row r="376" spans="1:91" ht="19" customHeight="1">
      <c r="A376" s="1" t="s">
        <v>3875</v>
      </c>
      <c r="B376" s="1" t="s">
        <v>3597</v>
      </c>
      <c r="C376" s="1">
        <v>133</v>
      </c>
      <c r="D376" s="1" t="s">
        <v>1074</v>
      </c>
      <c r="E376" s="1">
        <v>1999</v>
      </c>
      <c r="F376" s="1" t="s">
        <v>1080</v>
      </c>
      <c r="G376" s="1" t="s">
        <v>2265</v>
      </c>
      <c r="H376" s="4">
        <v>23.8765</v>
      </c>
      <c r="I376" s="4">
        <v>120.6925</v>
      </c>
      <c r="J376" s="1" t="s">
        <v>1404</v>
      </c>
      <c r="K376" s="1" t="s">
        <v>70</v>
      </c>
      <c r="L376" s="1" t="s">
        <v>2266</v>
      </c>
      <c r="M376" s="1" t="s">
        <v>3598</v>
      </c>
      <c r="N376" s="1"/>
      <c r="O376" s="1" t="s">
        <v>3095</v>
      </c>
      <c r="P376" s="1"/>
      <c r="Q376" s="4">
        <v>7.65</v>
      </c>
      <c r="R376" s="4"/>
      <c r="S376" s="4"/>
      <c r="T376" s="4"/>
      <c r="U376" s="4"/>
      <c r="V376" s="4">
        <v>0.99049799999999999</v>
      </c>
      <c r="W376" s="4"/>
      <c r="X376" s="4"/>
      <c r="Y376" s="4"/>
      <c r="Z376" s="4"/>
      <c r="AA376" s="4"/>
      <c r="AB376" s="4" t="s">
        <v>1055</v>
      </c>
      <c r="AC376" s="4"/>
      <c r="AD376" s="4">
        <v>23.85</v>
      </c>
      <c r="AE376" s="4">
        <v>120.82</v>
      </c>
      <c r="AF376" s="4">
        <v>8</v>
      </c>
      <c r="AG376" s="4">
        <v>506.45729999999998</v>
      </c>
      <c r="AH376" s="27" t="b">
        <v>1</v>
      </c>
      <c r="AI376" s="4">
        <v>8.1270000000000007</v>
      </c>
      <c r="AJ376" s="27" t="b">
        <v>0</v>
      </c>
      <c r="AK376" s="4"/>
      <c r="AL376" s="27" t="b">
        <v>1</v>
      </c>
      <c r="AM376" s="4">
        <v>961.678</v>
      </c>
      <c r="AN376" s="4">
        <v>601.46299999999997</v>
      </c>
      <c r="AO376" s="4">
        <v>331.18799999999999</v>
      </c>
      <c r="AP376" s="4">
        <v>68.898799999999994</v>
      </c>
      <c r="AQ376" s="4">
        <v>54.470199999999998</v>
      </c>
      <c r="AR376" s="4">
        <v>37.764400000000002</v>
      </c>
      <c r="AS376" s="4">
        <v>158.70699999999999</v>
      </c>
      <c r="AT376" s="4">
        <v>51.952100000000002</v>
      </c>
      <c r="AU376" s="4">
        <v>34.947099999999999</v>
      </c>
      <c r="AV376" s="4">
        <v>155.328</v>
      </c>
      <c r="AW376" s="4">
        <v>-45.936999999999998</v>
      </c>
      <c r="AX376" s="4">
        <v>-7.9420900000000003</v>
      </c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1" t="s">
        <v>3599</v>
      </c>
      <c r="BJ376" s="1" t="s">
        <v>3876</v>
      </c>
      <c r="BK376" s="1">
        <v>1</v>
      </c>
      <c r="BL376" s="1"/>
      <c r="BM376" s="1" t="s">
        <v>211</v>
      </c>
      <c r="BN376" s="1" t="s">
        <v>2710</v>
      </c>
      <c r="BO376" s="1" t="s">
        <v>2711</v>
      </c>
      <c r="BP376" s="1">
        <v>7.65</v>
      </c>
      <c r="BQ376" s="1" t="s">
        <v>1003</v>
      </c>
      <c r="BR376" s="1">
        <v>23.85</v>
      </c>
      <c r="BS376" s="1">
        <v>120.82</v>
      </c>
      <c r="BT376" s="1">
        <v>8</v>
      </c>
      <c r="BU376" s="1" t="s">
        <v>1055</v>
      </c>
      <c r="BV376" s="1" t="s">
        <v>2834</v>
      </c>
      <c r="BW376" s="1">
        <v>209</v>
      </c>
      <c r="BX376" s="1">
        <v>68</v>
      </c>
      <c r="BY376" s="1">
        <v>89</v>
      </c>
      <c r="BZ376" s="1">
        <v>31</v>
      </c>
      <c r="CA376" s="1">
        <v>21</v>
      </c>
      <c r="CB376" s="1">
        <v>92</v>
      </c>
      <c r="CC376" s="1" t="s">
        <v>2808</v>
      </c>
      <c r="CD376" s="1" t="s">
        <v>862</v>
      </c>
      <c r="CE376" s="1">
        <v>1</v>
      </c>
      <c r="CF376" s="1">
        <v>7.58</v>
      </c>
      <c r="CG376" s="1">
        <v>5.6364999999999998</v>
      </c>
      <c r="CH376" s="1">
        <v>7322.4000000000005</v>
      </c>
      <c r="CI376" s="1" t="s">
        <v>863</v>
      </c>
      <c r="CJ376" s="1" t="s">
        <v>2812</v>
      </c>
      <c r="CK376" t="s">
        <v>1263</v>
      </c>
      <c r="CL376">
        <v>133</v>
      </c>
      <c r="CM376" t="s">
        <v>2845</v>
      </c>
    </row>
    <row r="377" spans="1:91" ht="19" customHeight="1">
      <c r="A377" s="1" t="s">
        <v>3877</v>
      </c>
      <c r="B377" s="1" t="s">
        <v>3597</v>
      </c>
      <c r="C377" s="1">
        <v>134</v>
      </c>
      <c r="D377" s="1" t="s">
        <v>1074</v>
      </c>
      <c r="E377" s="1">
        <v>1999</v>
      </c>
      <c r="F377" s="1" t="s">
        <v>1072</v>
      </c>
      <c r="G377" s="1" t="s">
        <v>2267</v>
      </c>
      <c r="H377" s="4">
        <v>24.134333000000002</v>
      </c>
      <c r="I377" s="4">
        <v>120.659333</v>
      </c>
      <c r="J377" s="1" t="s">
        <v>1404</v>
      </c>
      <c r="K377" s="1" t="s">
        <v>70</v>
      </c>
      <c r="L377" s="1" t="s">
        <v>3878</v>
      </c>
      <c r="M377" s="1" t="s">
        <v>3598</v>
      </c>
      <c r="N377" s="1"/>
      <c r="O377" s="1" t="s">
        <v>3095</v>
      </c>
      <c r="P377" s="1"/>
      <c r="Q377" s="4">
        <v>7.65</v>
      </c>
      <c r="R377" s="4"/>
      <c r="S377" s="4"/>
      <c r="T377" s="4"/>
      <c r="U377" s="4"/>
      <c r="V377" s="4">
        <v>6.8535009999999996</v>
      </c>
      <c r="W377" s="4"/>
      <c r="X377" s="4"/>
      <c r="Y377" s="4"/>
      <c r="Z377" s="4"/>
      <c r="AA377" s="4"/>
      <c r="AB377" s="4" t="s">
        <v>1055</v>
      </c>
      <c r="AC377" s="4"/>
      <c r="AD377" s="4">
        <v>23.85</v>
      </c>
      <c r="AE377" s="4">
        <v>120.82</v>
      </c>
      <c r="AF377" s="4">
        <v>8</v>
      </c>
      <c r="AG377" s="4">
        <v>424.43783999999999</v>
      </c>
      <c r="AH377" s="27" t="b">
        <v>1</v>
      </c>
      <c r="AI377" s="4">
        <v>7.4032</v>
      </c>
      <c r="AJ377" s="27" t="b">
        <v>1</v>
      </c>
      <c r="AK377" s="4">
        <v>5.8071999999999999</v>
      </c>
      <c r="AL377" s="27" t="b">
        <v>1</v>
      </c>
      <c r="AM377" s="4">
        <v>281.45299999999997</v>
      </c>
      <c r="AN377" s="4">
        <v>258.89299999999997</v>
      </c>
      <c r="AO377" s="4">
        <v>238.31700000000001</v>
      </c>
      <c r="AP377" s="4">
        <v>72.8202</v>
      </c>
      <c r="AQ377" s="4">
        <v>81.422399999999996</v>
      </c>
      <c r="AR377" s="4">
        <v>68.079499999999996</v>
      </c>
      <c r="AS377" s="4">
        <v>191.036</v>
      </c>
      <c r="AT377" s="4">
        <v>109.15300000000001</v>
      </c>
      <c r="AU377" s="4">
        <v>60.733400000000003</v>
      </c>
      <c r="AV377" s="4">
        <v>-101.944</v>
      </c>
      <c r="AW377" s="4">
        <v>-4.6140299999999996</v>
      </c>
      <c r="AX377" s="4">
        <v>-40.981400000000001</v>
      </c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1"/>
      <c r="BJ377" s="1" t="s">
        <v>3879</v>
      </c>
      <c r="BK377" s="1">
        <v>1</v>
      </c>
      <c r="BL377" s="1"/>
      <c r="BM377" s="1" t="s">
        <v>211</v>
      </c>
      <c r="BN377" s="1" t="s">
        <v>2710</v>
      </c>
      <c r="BO377" s="1" t="s">
        <v>2711</v>
      </c>
      <c r="BP377" s="1">
        <v>7.65</v>
      </c>
      <c r="BQ377" s="1" t="s">
        <v>1003</v>
      </c>
      <c r="BR377" s="1">
        <v>23.85</v>
      </c>
      <c r="BS377" s="1">
        <v>120.82</v>
      </c>
      <c r="BT377" s="1">
        <v>8</v>
      </c>
      <c r="BU377" s="1" t="s">
        <v>1055</v>
      </c>
      <c r="BV377" s="1" t="s">
        <v>2834</v>
      </c>
      <c r="BW377" s="1">
        <v>209</v>
      </c>
      <c r="BX377" s="1">
        <v>68</v>
      </c>
      <c r="BY377" s="1">
        <v>89</v>
      </c>
      <c r="BZ377" s="1">
        <v>31</v>
      </c>
      <c r="CA377" s="1">
        <v>21</v>
      </c>
      <c r="CB377" s="1">
        <v>92</v>
      </c>
      <c r="CC377" s="1" t="s">
        <v>2808</v>
      </c>
      <c r="CD377" s="1" t="s">
        <v>862</v>
      </c>
      <c r="CE377" s="1">
        <v>1</v>
      </c>
      <c r="CF377" s="1">
        <v>7.58</v>
      </c>
      <c r="CG377" s="1">
        <v>5.6364999999999998</v>
      </c>
      <c r="CH377" s="1">
        <v>7322.4000000000005</v>
      </c>
      <c r="CI377" s="1" t="s">
        <v>863</v>
      </c>
      <c r="CJ377" s="1" t="s">
        <v>2812</v>
      </c>
      <c r="CK377" t="s">
        <v>1263</v>
      </c>
      <c r="CL377">
        <v>134</v>
      </c>
      <c r="CM377" t="s">
        <v>2845</v>
      </c>
    </row>
    <row r="378" spans="1:91" ht="19" customHeight="1">
      <c r="A378" s="1" t="s">
        <v>3880</v>
      </c>
      <c r="B378" s="1" t="s">
        <v>3597</v>
      </c>
      <c r="C378" s="1">
        <v>135</v>
      </c>
      <c r="D378" s="1" t="s">
        <v>1074</v>
      </c>
      <c r="E378" s="1">
        <v>1999</v>
      </c>
      <c r="F378" s="1" t="s">
        <v>911</v>
      </c>
      <c r="G378" s="1" t="s">
        <v>2269</v>
      </c>
      <c r="H378" s="4">
        <v>24.258333</v>
      </c>
      <c r="I378" s="4">
        <v>120.65866699999999</v>
      </c>
      <c r="J378" s="1" t="s">
        <v>1404</v>
      </c>
      <c r="K378" s="1" t="s">
        <v>70</v>
      </c>
      <c r="L378" s="1" t="s">
        <v>2270</v>
      </c>
      <c r="M378" s="1" t="s">
        <v>3598</v>
      </c>
      <c r="N378" s="1"/>
      <c r="O378" s="1" t="s">
        <v>3095</v>
      </c>
      <c r="P378" s="1"/>
      <c r="Q378" s="4">
        <v>7.65</v>
      </c>
      <c r="R378" s="4"/>
      <c r="S378" s="4"/>
      <c r="T378" s="4"/>
      <c r="U378" s="4"/>
      <c r="V378" s="4">
        <v>7.5277890000000003</v>
      </c>
      <c r="W378" s="4"/>
      <c r="X378" s="4"/>
      <c r="Y378" s="4"/>
      <c r="Z378" s="4"/>
      <c r="AA378" s="4"/>
      <c r="AB378" s="4" t="s">
        <v>1055</v>
      </c>
      <c r="AC378" s="4"/>
      <c r="AD378" s="4">
        <v>23.85</v>
      </c>
      <c r="AE378" s="4">
        <v>120.82</v>
      </c>
      <c r="AF378" s="4">
        <v>8</v>
      </c>
      <c r="AG378" s="4">
        <v>458.01530000000002</v>
      </c>
      <c r="AH378" s="27" t="b">
        <v>1</v>
      </c>
      <c r="AI378" s="4">
        <v>8.8816000000000006</v>
      </c>
      <c r="AJ378" s="27" t="b">
        <v>0</v>
      </c>
      <c r="AK378" s="4"/>
      <c r="AL378" s="27" t="b">
        <v>1</v>
      </c>
      <c r="AM378" s="4">
        <v>166.80600000000001</v>
      </c>
      <c r="AN378" s="4">
        <v>170.83199999999999</v>
      </c>
      <c r="AO378" s="4">
        <v>111.651</v>
      </c>
      <c r="AP378" s="4">
        <v>43.476500000000001</v>
      </c>
      <c r="AQ378" s="4">
        <v>53.1614</v>
      </c>
      <c r="AR378" s="4">
        <v>31.991099999999999</v>
      </c>
      <c r="AS378" s="4">
        <v>109.663</v>
      </c>
      <c r="AT378" s="4">
        <v>93.570099999999996</v>
      </c>
      <c r="AU378" s="4">
        <v>47.343800000000002</v>
      </c>
      <c r="AV378" s="4">
        <v>52.906700000000001</v>
      </c>
      <c r="AW378" s="4">
        <v>-49.996600000000001</v>
      </c>
      <c r="AX378" s="4">
        <v>36.759500000000003</v>
      </c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1" t="s">
        <v>3599</v>
      </c>
      <c r="BJ378" s="1" t="s">
        <v>3881</v>
      </c>
      <c r="BK378" s="1">
        <v>1</v>
      </c>
      <c r="BL378" s="1"/>
      <c r="BM378" s="1" t="s">
        <v>211</v>
      </c>
      <c r="BN378" s="1" t="s">
        <v>2710</v>
      </c>
      <c r="BO378" s="1" t="s">
        <v>2711</v>
      </c>
      <c r="BP378" s="1">
        <v>7.65</v>
      </c>
      <c r="BQ378" s="1" t="s">
        <v>1003</v>
      </c>
      <c r="BR378" s="1">
        <v>23.85</v>
      </c>
      <c r="BS378" s="1">
        <v>120.82</v>
      </c>
      <c r="BT378" s="1">
        <v>8</v>
      </c>
      <c r="BU378" s="1" t="s">
        <v>1055</v>
      </c>
      <c r="BV378" s="1" t="s">
        <v>2834</v>
      </c>
      <c r="BW378" s="1">
        <v>209</v>
      </c>
      <c r="BX378" s="1">
        <v>68</v>
      </c>
      <c r="BY378" s="1">
        <v>89</v>
      </c>
      <c r="BZ378" s="1">
        <v>31</v>
      </c>
      <c r="CA378" s="1">
        <v>21</v>
      </c>
      <c r="CB378" s="1">
        <v>92</v>
      </c>
      <c r="CC378" s="1" t="s">
        <v>2808</v>
      </c>
      <c r="CD378" s="1" t="s">
        <v>862</v>
      </c>
      <c r="CE378" s="1">
        <v>1</v>
      </c>
      <c r="CF378" s="1">
        <v>7.58</v>
      </c>
      <c r="CG378" s="1">
        <v>5.6364999999999998</v>
      </c>
      <c r="CH378" s="1">
        <v>7322.4000000000005</v>
      </c>
      <c r="CI378" s="1" t="s">
        <v>863</v>
      </c>
      <c r="CJ378" s="1" t="s">
        <v>2812</v>
      </c>
      <c r="CK378" t="s">
        <v>1263</v>
      </c>
      <c r="CL378">
        <v>135</v>
      </c>
      <c r="CM378" t="s">
        <v>2845</v>
      </c>
    </row>
    <row r="379" spans="1:91" ht="19" customHeight="1">
      <c r="A379" s="1" t="s">
        <v>3882</v>
      </c>
      <c r="B379" s="1" t="s">
        <v>3597</v>
      </c>
      <c r="C379" s="1">
        <v>136</v>
      </c>
      <c r="D379" s="1" t="s">
        <v>1074</v>
      </c>
      <c r="E379" s="1">
        <v>1999</v>
      </c>
      <c r="F379" s="1" t="s">
        <v>1081</v>
      </c>
      <c r="G379" s="1" t="s">
        <v>2272</v>
      </c>
      <c r="H379" s="4">
        <v>24.183499999999999</v>
      </c>
      <c r="I379" s="4">
        <v>120.930167</v>
      </c>
      <c r="J379" s="1" t="s">
        <v>1404</v>
      </c>
      <c r="K379" s="1" t="s">
        <v>70</v>
      </c>
      <c r="L379" s="1" t="s">
        <v>2273</v>
      </c>
      <c r="M379" s="1" t="s">
        <v>3598</v>
      </c>
      <c r="N379" s="1"/>
      <c r="O379" s="1" t="s">
        <v>3095</v>
      </c>
      <c r="P379" s="1"/>
      <c r="Q379" s="4">
        <v>7.65</v>
      </c>
      <c r="R379" s="4"/>
      <c r="S379" s="4"/>
      <c r="T379" s="4"/>
      <c r="U379" s="4"/>
      <c r="V379" s="4">
        <v>7.8723590000000003</v>
      </c>
      <c r="W379" s="4"/>
      <c r="X379" s="4"/>
      <c r="Y379" s="4"/>
      <c r="Z379" s="4"/>
      <c r="AA379" s="4"/>
      <c r="AB379" s="4" t="s">
        <v>1055</v>
      </c>
      <c r="AC379" s="4"/>
      <c r="AD379" s="4">
        <v>23.85</v>
      </c>
      <c r="AE379" s="4">
        <v>120.82</v>
      </c>
      <c r="AF379" s="4">
        <v>8</v>
      </c>
      <c r="AG379" s="4">
        <v>533.62</v>
      </c>
      <c r="AH379" s="27" t="b">
        <v>1</v>
      </c>
      <c r="AI379" s="4">
        <v>15.0808</v>
      </c>
      <c r="AJ379" s="27" t="b">
        <v>1</v>
      </c>
      <c r="AK379" s="4">
        <v>15.086399999999999</v>
      </c>
      <c r="AL379" s="27" t="b">
        <v>1</v>
      </c>
      <c r="AM379" s="4">
        <v>514.42700000000002</v>
      </c>
      <c r="AN379" s="4">
        <v>402.14800000000002</v>
      </c>
      <c r="AO379" s="4">
        <v>321.58999999999997</v>
      </c>
      <c r="AP379" s="4">
        <v>82.099199999999996</v>
      </c>
      <c r="AQ379" s="4">
        <v>73.628299999999996</v>
      </c>
      <c r="AR379" s="4">
        <v>80.292299999999997</v>
      </c>
      <c r="AS379" s="4">
        <v>247.08699999999999</v>
      </c>
      <c r="AT379" s="4">
        <v>246.2</v>
      </c>
      <c r="AU379" s="4">
        <v>258.80500000000001</v>
      </c>
      <c r="AV379" s="4">
        <v>-185.78200000000001</v>
      </c>
      <c r="AW379" s="4">
        <v>183.49199999999999</v>
      </c>
      <c r="AX379" s="4">
        <v>208.58199999999999</v>
      </c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1"/>
      <c r="BJ379" s="1" t="s">
        <v>3883</v>
      </c>
      <c r="BK379" s="1">
        <v>1</v>
      </c>
      <c r="BL379" s="1"/>
      <c r="BM379" s="1" t="s">
        <v>211</v>
      </c>
      <c r="BN379" s="1" t="s">
        <v>2710</v>
      </c>
      <c r="BO379" s="1" t="s">
        <v>2711</v>
      </c>
      <c r="BP379" s="1">
        <v>7.65</v>
      </c>
      <c r="BQ379" s="1" t="s">
        <v>1003</v>
      </c>
      <c r="BR379" s="1">
        <v>23.85</v>
      </c>
      <c r="BS379" s="1">
        <v>120.82</v>
      </c>
      <c r="BT379" s="1">
        <v>8</v>
      </c>
      <c r="BU379" s="1" t="s">
        <v>1055</v>
      </c>
      <c r="BV379" s="1" t="s">
        <v>2834</v>
      </c>
      <c r="BW379" s="1">
        <v>209</v>
      </c>
      <c r="BX379" s="1">
        <v>68</v>
      </c>
      <c r="BY379" s="1">
        <v>89</v>
      </c>
      <c r="BZ379" s="1">
        <v>31</v>
      </c>
      <c r="CA379" s="1">
        <v>21</v>
      </c>
      <c r="CB379" s="1">
        <v>92</v>
      </c>
      <c r="CC379" s="1" t="s">
        <v>2808</v>
      </c>
      <c r="CD379" s="1" t="s">
        <v>862</v>
      </c>
      <c r="CE379" s="1">
        <v>1</v>
      </c>
      <c r="CF379" s="1">
        <v>7.58</v>
      </c>
      <c r="CG379" s="1">
        <v>5.6364999999999998</v>
      </c>
      <c r="CH379" s="1">
        <v>7322.4000000000005</v>
      </c>
      <c r="CI379" s="1" t="s">
        <v>863</v>
      </c>
      <c r="CJ379" s="1" t="s">
        <v>2812</v>
      </c>
      <c r="CK379" t="s">
        <v>1263</v>
      </c>
      <c r="CL379">
        <v>136</v>
      </c>
      <c r="CM379" t="s">
        <v>2845</v>
      </c>
    </row>
    <row r="380" spans="1:91" ht="19" customHeight="1">
      <c r="A380" s="1" t="s">
        <v>3884</v>
      </c>
      <c r="B380" s="1" t="s">
        <v>3597</v>
      </c>
      <c r="C380" s="1">
        <v>137</v>
      </c>
      <c r="D380" s="1" t="s">
        <v>448</v>
      </c>
      <c r="E380" s="1">
        <v>1999</v>
      </c>
      <c r="F380" s="1" t="s">
        <v>861</v>
      </c>
      <c r="G380" s="1" t="s">
        <v>1769</v>
      </c>
      <c r="H380" s="4">
        <v>23.579499999999999</v>
      </c>
      <c r="I380" s="4">
        <v>120.56016700000001</v>
      </c>
      <c r="J380" s="1" t="s">
        <v>1404</v>
      </c>
      <c r="K380" s="1" t="s">
        <v>70</v>
      </c>
      <c r="L380" s="1" t="s">
        <v>3885</v>
      </c>
      <c r="M380" s="1" t="s">
        <v>3598</v>
      </c>
      <c r="N380" s="1"/>
      <c r="O380" s="1" t="s">
        <v>3095</v>
      </c>
      <c r="P380" s="1"/>
      <c r="Q380" s="4">
        <v>5.86</v>
      </c>
      <c r="R380" s="4"/>
      <c r="S380" s="4"/>
      <c r="T380" s="4"/>
      <c r="U380" s="4"/>
      <c r="V380" s="4">
        <v>14.08405</v>
      </c>
      <c r="W380" s="4"/>
      <c r="X380" s="4"/>
      <c r="Y380" s="4"/>
      <c r="Z380" s="4"/>
      <c r="AA380" s="4"/>
      <c r="AB380" s="4" t="s">
        <v>1028</v>
      </c>
      <c r="AC380" s="4"/>
      <c r="AD380" s="4">
        <v>23.529199999999999</v>
      </c>
      <c r="AE380" s="4">
        <v>120.45059999999999</v>
      </c>
      <c r="AF380" s="4">
        <v>16</v>
      </c>
      <c r="AG380" s="4">
        <v>422.68400000000003</v>
      </c>
      <c r="AH380" s="27" t="b">
        <v>1</v>
      </c>
      <c r="AI380" s="4">
        <v>0.72240000000000004</v>
      </c>
      <c r="AJ380" s="27" t="b">
        <v>0</v>
      </c>
      <c r="AK380" s="4"/>
      <c r="AL380" s="27" t="b">
        <v>0</v>
      </c>
      <c r="AM380" s="4">
        <v>387.05399999999997</v>
      </c>
      <c r="AN380" s="4">
        <v>193.54900000000001</v>
      </c>
      <c r="AO380" s="4">
        <v>126.81699999999999</v>
      </c>
      <c r="AP380" s="4">
        <v>27.1737</v>
      </c>
      <c r="AQ380" s="4">
        <v>12.7217</v>
      </c>
      <c r="AR380" s="4">
        <v>6.5263799999999996</v>
      </c>
      <c r="AS380" s="4">
        <v>3.7330899999999998</v>
      </c>
      <c r="AT380" s="4">
        <v>3.4804900000000001</v>
      </c>
      <c r="AU380" s="4">
        <v>0.89027599999999996</v>
      </c>
      <c r="AV380" s="4">
        <v>-1.9408000000000002E-2</v>
      </c>
      <c r="AW380" s="4">
        <v>-7.5779999999999997E-3</v>
      </c>
      <c r="AX380" s="4">
        <v>-2.3869000000000001E-2</v>
      </c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1" t="s">
        <v>3599</v>
      </c>
      <c r="BJ380" s="1" t="s">
        <v>3886</v>
      </c>
      <c r="BK380" s="1">
        <v>1</v>
      </c>
      <c r="BL380" s="1"/>
      <c r="BM380" s="1" t="s">
        <v>447</v>
      </c>
      <c r="BN380" s="1" t="s">
        <v>2847</v>
      </c>
      <c r="BO380" s="1" t="s">
        <v>2848</v>
      </c>
      <c r="BP380" s="1">
        <v>5.86</v>
      </c>
      <c r="BQ380" s="1" t="s">
        <v>1003</v>
      </c>
      <c r="BR380" s="1">
        <v>23.529199999999999</v>
      </c>
      <c r="BS380" s="1">
        <v>120.45059999999999</v>
      </c>
      <c r="BT380" s="1">
        <v>16</v>
      </c>
      <c r="BU380" s="1" t="s">
        <v>1028</v>
      </c>
      <c r="BV380" s="1" t="s">
        <v>2834</v>
      </c>
      <c r="BW380" s="1">
        <v>178</v>
      </c>
      <c r="BX380" s="1">
        <v>49</v>
      </c>
      <c r="BY380" s="1">
        <v>54</v>
      </c>
      <c r="BZ380" s="1">
        <v>46</v>
      </c>
      <c r="CA380" s="1">
        <v>52</v>
      </c>
      <c r="CB380" s="1">
        <v>125</v>
      </c>
      <c r="CC380" s="1" t="s">
        <v>2808</v>
      </c>
      <c r="CD380" s="1" t="s">
        <v>731</v>
      </c>
      <c r="CE380" s="1"/>
      <c r="CF380" s="1"/>
      <c r="CG380" s="1"/>
      <c r="CH380" s="1"/>
      <c r="CI380" s="1"/>
      <c r="CJ380" s="1" t="s">
        <v>2812</v>
      </c>
      <c r="CK380" t="s">
        <v>1263</v>
      </c>
      <c r="CL380">
        <v>137</v>
      </c>
      <c r="CM380" t="s">
        <v>2850</v>
      </c>
    </row>
    <row r="381" spans="1:91" ht="19" customHeight="1">
      <c r="A381" s="1" t="s">
        <v>3887</v>
      </c>
      <c r="B381" s="1" t="s">
        <v>3597</v>
      </c>
      <c r="C381" s="1">
        <v>138</v>
      </c>
      <c r="D381" s="1" t="s">
        <v>448</v>
      </c>
      <c r="E381" s="1">
        <v>1999</v>
      </c>
      <c r="F381" s="1" t="s">
        <v>1082</v>
      </c>
      <c r="G381" s="1" t="s">
        <v>1776</v>
      </c>
      <c r="H381" s="4">
        <v>23.472667000000001</v>
      </c>
      <c r="I381" s="4">
        <v>120.41633299999999</v>
      </c>
      <c r="J381" s="1" t="s">
        <v>1404</v>
      </c>
      <c r="K381" s="1" t="s">
        <v>70</v>
      </c>
      <c r="L381" s="1" t="s">
        <v>1778</v>
      </c>
      <c r="M381" s="1" t="s">
        <v>3598</v>
      </c>
      <c r="N381" s="1"/>
      <c r="O381" s="1" t="s">
        <v>3095</v>
      </c>
      <c r="P381" s="1"/>
      <c r="Q381" s="4">
        <v>5.86</v>
      </c>
      <c r="R381" s="4"/>
      <c r="S381" s="4"/>
      <c r="T381" s="4"/>
      <c r="U381" s="4"/>
      <c r="V381" s="4">
        <v>7.4184429999999999</v>
      </c>
      <c r="W381" s="4"/>
      <c r="X381" s="4"/>
      <c r="Y381" s="4"/>
      <c r="Z381" s="4"/>
      <c r="AA381" s="4"/>
      <c r="AB381" s="4" t="s">
        <v>1028</v>
      </c>
      <c r="AC381" s="4"/>
      <c r="AD381" s="4">
        <v>23.529199999999999</v>
      </c>
      <c r="AE381" s="4">
        <v>120.45059999999999</v>
      </c>
      <c r="AF381" s="4">
        <v>16</v>
      </c>
      <c r="AG381" s="4">
        <v>226.1079</v>
      </c>
      <c r="AH381" s="27" t="b">
        <v>1</v>
      </c>
      <c r="AI381" s="4">
        <v>1.1872</v>
      </c>
      <c r="AJ381" s="27" t="b">
        <v>0</v>
      </c>
      <c r="AK381" s="4"/>
      <c r="AL381" s="27" t="b">
        <v>0</v>
      </c>
      <c r="AM381" s="4">
        <v>327.363</v>
      </c>
      <c r="AN381" s="4">
        <v>188.64699999999999</v>
      </c>
      <c r="AO381" s="4">
        <v>408.42700000000002</v>
      </c>
      <c r="AP381" s="4">
        <v>39.615400000000001</v>
      </c>
      <c r="AQ381" s="4">
        <v>27.141999999999999</v>
      </c>
      <c r="AR381" s="4">
        <v>9.3440799999999999</v>
      </c>
      <c r="AS381" s="4">
        <v>12.281700000000001</v>
      </c>
      <c r="AT381" s="4">
        <v>5.5514000000000001</v>
      </c>
      <c r="AU381" s="4">
        <v>2.2793299999999999</v>
      </c>
      <c r="AV381" s="4">
        <v>0.131521</v>
      </c>
      <c r="AW381" s="4">
        <v>6.9281999999999996E-2</v>
      </c>
      <c r="AX381" s="4">
        <v>-8.0940000000000005E-3</v>
      </c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1" t="s">
        <v>3599</v>
      </c>
      <c r="BJ381" s="1" t="s">
        <v>3888</v>
      </c>
      <c r="BK381" s="1">
        <v>1</v>
      </c>
      <c r="BL381" s="1"/>
      <c r="BM381" s="1" t="s">
        <v>447</v>
      </c>
      <c r="BN381" s="1" t="s">
        <v>2847</v>
      </c>
      <c r="BO381" s="1" t="s">
        <v>2848</v>
      </c>
      <c r="BP381" s="1">
        <v>5.86</v>
      </c>
      <c r="BQ381" s="1" t="s">
        <v>1003</v>
      </c>
      <c r="BR381" s="1">
        <v>23.529199999999999</v>
      </c>
      <c r="BS381" s="1">
        <v>120.45059999999999</v>
      </c>
      <c r="BT381" s="1">
        <v>16</v>
      </c>
      <c r="BU381" s="1" t="s">
        <v>1028</v>
      </c>
      <c r="BV381" s="1" t="s">
        <v>2834</v>
      </c>
      <c r="BW381" s="1">
        <v>178</v>
      </c>
      <c r="BX381" s="1">
        <v>49</v>
      </c>
      <c r="BY381" s="1">
        <v>54</v>
      </c>
      <c r="BZ381" s="1">
        <v>46</v>
      </c>
      <c r="CA381" s="1">
        <v>52</v>
      </c>
      <c r="CB381" s="1">
        <v>125</v>
      </c>
      <c r="CC381" s="1" t="s">
        <v>2808</v>
      </c>
      <c r="CD381" s="1" t="s">
        <v>731</v>
      </c>
      <c r="CE381" s="1"/>
      <c r="CF381" s="1"/>
      <c r="CG381" s="1"/>
      <c r="CH381" s="1"/>
      <c r="CI381" s="1"/>
      <c r="CJ381" s="1" t="s">
        <v>2812</v>
      </c>
      <c r="CK381" t="s">
        <v>1263</v>
      </c>
      <c r="CL381">
        <v>138</v>
      </c>
      <c r="CM381" t="s">
        <v>2850</v>
      </c>
    </row>
    <row r="382" spans="1:91" ht="19" customHeight="1">
      <c r="A382" s="1" t="s">
        <v>3889</v>
      </c>
      <c r="B382" s="1" t="s">
        <v>3597</v>
      </c>
      <c r="C382" s="1">
        <v>139</v>
      </c>
      <c r="D382" s="1" t="s">
        <v>448</v>
      </c>
      <c r="E382" s="1">
        <v>1999</v>
      </c>
      <c r="F382" s="1" t="s">
        <v>1083</v>
      </c>
      <c r="G382" s="1" t="s">
        <v>1779</v>
      </c>
      <c r="H382" s="4">
        <v>23.463000000000001</v>
      </c>
      <c r="I382" s="4">
        <v>120.553</v>
      </c>
      <c r="J382" s="1" t="s">
        <v>1404</v>
      </c>
      <c r="K382" s="1" t="s">
        <v>70</v>
      </c>
      <c r="L382" s="1" t="s">
        <v>1780</v>
      </c>
      <c r="M382" s="1" t="s">
        <v>3598</v>
      </c>
      <c r="N382" s="1"/>
      <c r="O382" s="1" t="s">
        <v>3095</v>
      </c>
      <c r="P382" s="1"/>
      <c r="Q382" s="4">
        <v>5.86</v>
      </c>
      <c r="R382" s="4"/>
      <c r="S382" s="4"/>
      <c r="T382" s="4"/>
      <c r="U382" s="4"/>
      <c r="V382" s="4">
        <v>16.384063999999999</v>
      </c>
      <c r="W382" s="4"/>
      <c r="X382" s="4"/>
      <c r="Y382" s="4"/>
      <c r="Z382" s="4"/>
      <c r="AA382" s="4"/>
      <c r="AB382" s="4" t="s">
        <v>1028</v>
      </c>
      <c r="AC382" s="4"/>
      <c r="AD382" s="4">
        <v>23.529199999999999</v>
      </c>
      <c r="AE382" s="4">
        <v>120.45059999999999</v>
      </c>
      <c r="AF382" s="4">
        <v>16</v>
      </c>
      <c r="AG382" s="4">
        <v>816.86</v>
      </c>
      <c r="AH382" s="27" t="b">
        <v>1</v>
      </c>
      <c r="AI382" s="4">
        <v>0.57679999999999998</v>
      </c>
      <c r="AJ382" s="27" t="b">
        <v>0</v>
      </c>
      <c r="AK382" s="4"/>
      <c r="AL382" s="27" t="b">
        <v>0</v>
      </c>
      <c r="AM382" s="4">
        <v>458.91199999999998</v>
      </c>
      <c r="AN382" s="4">
        <v>532.11500000000001</v>
      </c>
      <c r="AO382" s="4">
        <v>671.351</v>
      </c>
      <c r="AP382" s="4">
        <v>42.147500000000001</v>
      </c>
      <c r="AQ382" s="4">
        <v>15.987299999999999</v>
      </c>
      <c r="AR382" s="4">
        <v>11.9451</v>
      </c>
      <c r="AS382" s="4">
        <v>6.9137599999999999</v>
      </c>
      <c r="AT382" s="4">
        <v>1.7101500000000001</v>
      </c>
      <c r="AU382" s="4">
        <v>3.6751499999999999</v>
      </c>
      <c r="AV382" s="4">
        <v>2.2235999999999999E-2</v>
      </c>
      <c r="AW382" s="4">
        <v>-5.4911000000000001E-2</v>
      </c>
      <c r="AX382" s="4">
        <v>-2.4795000000000001E-2</v>
      </c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1" t="s">
        <v>3599</v>
      </c>
      <c r="BJ382" s="1" t="s">
        <v>3890</v>
      </c>
      <c r="BK382" s="1">
        <v>1</v>
      </c>
      <c r="BL382" s="1"/>
      <c r="BM382" s="1" t="s">
        <v>447</v>
      </c>
      <c r="BN382" s="1" t="s">
        <v>2847</v>
      </c>
      <c r="BO382" s="1" t="s">
        <v>2848</v>
      </c>
      <c r="BP382" s="1">
        <v>5.86</v>
      </c>
      <c r="BQ382" s="1" t="s">
        <v>1003</v>
      </c>
      <c r="BR382" s="1">
        <v>23.529199999999999</v>
      </c>
      <c r="BS382" s="1">
        <v>120.45059999999999</v>
      </c>
      <c r="BT382" s="1">
        <v>16</v>
      </c>
      <c r="BU382" s="1" t="s">
        <v>1028</v>
      </c>
      <c r="BV382" s="1" t="s">
        <v>2834</v>
      </c>
      <c r="BW382" s="1">
        <v>178</v>
      </c>
      <c r="BX382" s="1">
        <v>49</v>
      </c>
      <c r="BY382" s="1">
        <v>54</v>
      </c>
      <c r="BZ382" s="1">
        <v>46</v>
      </c>
      <c r="CA382" s="1">
        <v>52</v>
      </c>
      <c r="CB382" s="1">
        <v>125</v>
      </c>
      <c r="CC382" s="1" t="s">
        <v>2808</v>
      </c>
      <c r="CD382" s="1" t="s">
        <v>731</v>
      </c>
      <c r="CE382" s="1"/>
      <c r="CF382" s="1"/>
      <c r="CG382" s="1"/>
      <c r="CH382" s="1"/>
      <c r="CI382" s="1"/>
      <c r="CJ382" s="1" t="s">
        <v>2812</v>
      </c>
      <c r="CK382" t="s">
        <v>1263</v>
      </c>
      <c r="CL382">
        <v>139</v>
      </c>
      <c r="CM382" t="s">
        <v>2850</v>
      </c>
    </row>
    <row r="383" spans="1:91" ht="19" customHeight="1">
      <c r="A383" s="1" t="s">
        <v>3891</v>
      </c>
      <c r="B383" s="1" t="s">
        <v>3597</v>
      </c>
      <c r="C383" s="1">
        <v>140</v>
      </c>
      <c r="D383" s="1" t="s">
        <v>448</v>
      </c>
      <c r="E383" s="1">
        <v>1999</v>
      </c>
      <c r="F383" s="1" t="s">
        <v>1084</v>
      </c>
      <c r="G383" s="1" t="s">
        <v>1806</v>
      </c>
      <c r="H383" s="4">
        <v>23.520667</v>
      </c>
      <c r="I383" s="4">
        <v>120.55249999999999</v>
      </c>
      <c r="J383" s="1" t="s">
        <v>1404</v>
      </c>
      <c r="K383" s="1" t="s">
        <v>70</v>
      </c>
      <c r="L383" s="1" t="s">
        <v>1807</v>
      </c>
      <c r="M383" s="1" t="s">
        <v>3598</v>
      </c>
      <c r="N383" s="1"/>
      <c r="O383" s="1" t="s">
        <v>3095</v>
      </c>
      <c r="P383" s="1"/>
      <c r="Q383" s="4">
        <v>5.86</v>
      </c>
      <c r="R383" s="4"/>
      <c r="S383" s="4"/>
      <c r="T383" s="4"/>
      <c r="U383" s="4"/>
      <c r="V383" s="4">
        <v>14.407868000000001</v>
      </c>
      <c r="W383" s="4"/>
      <c r="X383" s="4"/>
      <c r="Y383" s="4"/>
      <c r="Z383" s="4"/>
      <c r="AA383" s="4"/>
      <c r="AB383" s="4" t="s">
        <v>1028</v>
      </c>
      <c r="AC383" s="4"/>
      <c r="AD383" s="4">
        <v>23.529199999999999</v>
      </c>
      <c r="AE383" s="4">
        <v>120.45059999999999</v>
      </c>
      <c r="AF383" s="4">
        <v>16</v>
      </c>
      <c r="AG383" s="4">
        <v>383.14179999999999</v>
      </c>
      <c r="AH383" s="27" t="b">
        <v>1</v>
      </c>
      <c r="AI383" s="4">
        <v>1.3495999999999999</v>
      </c>
      <c r="AJ383" s="27" t="b">
        <v>0</v>
      </c>
      <c r="AK383" s="4"/>
      <c r="AL383" s="27" t="b">
        <v>0</v>
      </c>
      <c r="AM383" s="4">
        <v>273.584</v>
      </c>
      <c r="AN383" s="4">
        <v>173.05799999999999</v>
      </c>
      <c r="AO383" s="4">
        <v>143.35</v>
      </c>
      <c r="AP383" s="4">
        <v>39.403500000000001</v>
      </c>
      <c r="AQ383" s="4">
        <v>19.776199999999999</v>
      </c>
      <c r="AR383" s="4">
        <v>6.3854199999999999</v>
      </c>
      <c r="AS383" s="4">
        <v>6.3141100000000003</v>
      </c>
      <c r="AT383" s="4">
        <v>3.8291300000000001</v>
      </c>
      <c r="AU383" s="4">
        <v>1.84419</v>
      </c>
      <c r="AV383" s="4">
        <v>4.5014999999999999E-2</v>
      </c>
      <c r="AW383" s="4">
        <v>-5.5050000000000003E-3</v>
      </c>
      <c r="AX383" s="4">
        <v>6.7100999999999994E-2</v>
      </c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1" t="s">
        <v>3599</v>
      </c>
      <c r="BJ383" s="1" t="s">
        <v>3892</v>
      </c>
      <c r="BK383" s="1">
        <v>1</v>
      </c>
      <c r="BL383" s="1"/>
      <c r="BM383" s="1" t="s">
        <v>447</v>
      </c>
      <c r="BN383" s="1" t="s">
        <v>2847</v>
      </c>
      <c r="BO383" s="1" t="s">
        <v>2848</v>
      </c>
      <c r="BP383" s="1">
        <v>5.86</v>
      </c>
      <c r="BQ383" s="1" t="s">
        <v>1003</v>
      </c>
      <c r="BR383" s="1">
        <v>23.529199999999999</v>
      </c>
      <c r="BS383" s="1">
        <v>120.45059999999999</v>
      </c>
      <c r="BT383" s="1">
        <v>16</v>
      </c>
      <c r="BU383" s="1" t="s">
        <v>1028</v>
      </c>
      <c r="BV383" s="1" t="s">
        <v>2834</v>
      </c>
      <c r="BW383" s="1">
        <v>178</v>
      </c>
      <c r="BX383" s="1">
        <v>49</v>
      </c>
      <c r="BY383" s="1">
        <v>54</v>
      </c>
      <c r="BZ383" s="1">
        <v>46</v>
      </c>
      <c r="CA383" s="1">
        <v>52</v>
      </c>
      <c r="CB383" s="1">
        <v>125</v>
      </c>
      <c r="CC383" s="1" t="s">
        <v>2808</v>
      </c>
      <c r="CD383" s="1" t="s">
        <v>731</v>
      </c>
      <c r="CE383" s="1"/>
      <c r="CF383" s="1"/>
      <c r="CG383" s="1"/>
      <c r="CH383" s="1"/>
      <c r="CI383" s="1"/>
      <c r="CJ383" s="1" t="s">
        <v>2812</v>
      </c>
      <c r="CK383" t="s">
        <v>1263</v>
      </c>
      <c r="CL383">
        <v>140</v>
      </c>
      <c r="CM383" t="s">
        <v>2850</v>
      </c>
    </row>
    <row r="384" spans="1:91" ht="19" customHeight="1">
      <c r="A384" s="1" t="s">
        <v>3893</v>
      </c>
      <c r="B384" s="1" t="s">
        <v>3597</v>
      </c>
      <c r="C384" s="1">
        <v>141</v>
      </c>
      <c r="D384" s="1" t="s">
        <v>448</v>
      </c>
      <c r="E384" s="1">
        <v>1999</v>
      </c>
      <c r="F384" s="1" t="s">
        <v>1085</v>
      </c>
      <c r="G384" s="1" t="s">
        <v>1811</v>
      </c>
      <c r="H384" s="4">
        <v>23.605167000000002</v>
      </c>
      <c r="I384" s="4">
        <v>120.488</v>
      </c>
      <c r="J384" s="1" t="s">
        <v>1404</v>
      </c>
      <c r="K384" s="1" t="s">
        <v>70</v>
      </c>
      <c r="L384" s="1" t="s">
        <v>1812</v>
      </c>
      <c r="M384" s="1" t="s">
        <v>3598</v>
      </c>
      <c r="N384" s="1"/>
      <c r="O384" s="1" t="s">
        <v>3095</v>
      </c>
      <c r="P384" s="1"/>
      <c r="Q384" s="4">
        <v>5.86</v>
      </c>
      <c r="R384" s="4"/>
      <c r="S384" s="4"/>
      <c r="T384" s="4"/>
      <c r="U384" s="4"/>
      <c r="V384" s="4">
        <v>9.4980189999999993</v>
      </c>
      <c r="W384" s="4"/>
      <c r="X384" s="4"/>
      <c r="Y384" s="4"/>
      <c r="Z384" s="4"/>
      <c r="AA384" s="4"/>
      <c r="AB384" s="4" t="s">
        <v>1028</v>
      </c>
      <c r="AC384" s="4"/>
      <c r="AD384" s="4">
        <v>23.529199999999999</v>
      </c>
      <c r="AE384" s="4">
        <v>120.45059999999999</v>
      </c>
      <c r="AF384" s="4">
        <v>16</v>
      </c>
      <c r="AG384" s="4">
        <v>236.0532</v>
      </c>
      <c r="AH384" s="27" t="b">
        <v>1</v>
      </c>
      <c r="AI384" s="4">
        <v>1.099</v>
      </c>
      <c r="AJ384" s="27" t="b">
        <v>0</v>
      </c>
      <c r="AK384" s="4"/>
      <c r="AL384" s="27" t="b">
        <v>0</v>
      </c>
      <c r="AM384" s="4">
        <v>264.161</v>
      </c>
      <c r="AN384" s="4">
        <v>435.29300000000001</v>
      </c>
      <c r="AO384" s="4">
        <v>206.779</v>
      </c>
      <c r="AP384" s="4">
        <v>26.006699999999999</v>
      </c>
      <c r="AQ384" s="4">
        <v>22.439800000000002</v>
      </c>
      <c r="AR384" s="4">
        <v>2.8513199999999999</v>
      </c>
      <c r="AS384" s="4">
        <v>3.5798700000000001</v>
      </c>
      <c r="AT384" s="4">
        <v>3.6360800000000002</v>
      </c>
      <c r="AU384" s="4">
        <v>0.45875100000000002</v>
      </c>
      <c r="AV384" s="4">
        <v>-1.1605000000000001E-2</v>
      </c>
      <c r="AW384" s="4">
        <v>9.9260000000000008E-3</v>
      </c>
      <c r="AX384" s="4">
        <v>-5.0913E-2</v>
      </c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1" t="s">
        <v>3599</v>
      </c>
      <c r="BJ384" s="1" t="s">
        <v>3894</v>
      </c>
      <c r="BK384" s="1">
        <v>1</v>
      </c>
      <c r="BL384" s="1"/>
      <c r="BM384" s="1" t="s">
        <v>447</v>
      </c>
      <c r="BN384" s="1" t="s">
        <v>2847</v>
      </c>
      <c r="BO384" s="1" t="s">
        <v>2848</v>
      </c>
      <c r="BP384" s="1">
        <v>5.86</v>
      </c>
      <c r="BQ384" s="1" t="s">
        <v>1003</v>
      </c>
      <c r="BR384" s="1">
        <v>23.529199999999999</v>
      </c>
      <c r="BS384" s="1">
        <v>120.45059999999999</v>
      </c>
      <c r="BT384" s="1">
        <v>16</v>
      </c>
      <c r="BU384" s="1" t="s">
        <v>1028</v>
      </c>
      <c r="BV384" s="1" t="s">
        <v>2834</v>
      </c>
      <c r="BW384" s="1">
        <v>178</v>
      </c>
      <c r="BX384" s="1">
        <v>49</v>
      </c>
      <c r="BY384" s="1">
        <v>54</v>
      </c>
      <c r="BZ384" s="1">
        <v>46</v>
      </c>
      <c r="CA384" s="1">
        <v>52</v>
      </c>
      <c r="CB384" s="1">
        <v>125</v>
      </c>
      <c r="CC384" s="1" t="s">
        <v>2808</v>
      </c>
      <c r="CD384" s="1" t="s">
        <v>731</v>
      </c>
      <c r="CE384" s="1"/>
      <c r="CF384" s="1"/>
      <c r="CG384" s="1"/>
      <c r="CH384" s="1"/>
      <c r="CI384" s="1"/>
      <c r="CJ384" s="1" t="s">
        <v>2812</v>
      </c>
      <c r="CK384" t="s">
        <v>1263</v>
      </c>
      <c r="CL384">
        <v>141</v>
      </c>
      <c r="CM384" t="s">
        <v>2850</v>
      </c>
    </row>
    <row r="385" spans="1:91" ht="19" customHeight="1">
      <c r="A385" s="1" t="s">
        <v>3895</v>
      </c>
      <c r="B385" s="1" t="s">
        <v>3597</v>
      </c>
      <c r="C385" s="1">
        <v>142</v>
      </c>
      <c r="D385" s="1" t="s">
        <v>448</v>
      </c>
      <c r="E385" s="1">
        <v>1999</v>
      </c>
      <c r="F385" s="1" t="s">
        <v>1086</v>
      </c>
      <c r="G385" s="1" t="s">
        <v>1813</v>
      </c>
      <c r="H385" s="4">
        <v>23.554500000000001</v>
      </c>
      <c r="I385" s="4">
        <v>120.42916700000001</v>
      </c>
      <c r="J385" s="1" t="s">
        <v>1404</v>
      </c>
      <c r="K385" s="1" t="s">
        <v>70</v>
      </c>
      <c r="L385" s="1" t="s">
        <v>1814</v>
      </c>
      <c r="M385" s="1" t="s">
        <v>3598</v>
      </c>
      <c r="N385" s="1"/>
      <c r="O385" s="1" t="s">
        <v>3095</v>
      </c>
      <c r="P385" s="1"/>
      <c r="Q385" s="4">
        <v>5.86</v>
      </c>
      <c r="R385" s="4"/>
      <c r="S385" s="4"/>
      <c r="T385" s="4"/>
      <c r="U385" s="4"/>
      <c r="V385" s="4">
        <v>7.3521450000000002</v>
      </c>
      <c r="W385" s="4"/>
      <c r="X385" s="4"/>
      <c r="Y385" s="4"/>
      <c r="Z385" s="4"/>
      <c r="AA385" s="4"/>
      <c r="AB385" s="4" t="s">
        <v>1028</v>
      </c>
      <c r="AC385" s="4"/>
      <c r="AD385" s="4">
        <v>23.529199999999999</v>
      </c>
      <c r="AE385" s="4">
        <v>120.45059999999999</v>
      </c>
      <c r="AF385" s="4">
        <v>16</v>
      </c>
      <c r="AG385" s="4">
        <v>208.77549999999999</v>
      </c>
      <c r="AH385" s="27" t="b">
        <v>1</v>
      </c>
      <c r="AI385" s="4">
        <v>1.204</v>
      </c>
      <c r="AJ385" s="27" t="b">
        <v>0</v>
      </c>
      <c r="AK385" s="4"/>
      <c r="AL385" s="27" t="b">
        <v>0</v>
      </c>
      <c r="AM385" s="4">
        <v>357.11</v>
      </c>
      <c r="AN385" s="4">
        <v>217.96</v>
      </c>
      <c r="AO385" s="4">
        <v>222.75700000000001</v>
      </c>
      <c r="AP385" s="4">
        <v>43.623899999999999</v>
      </c>
      <c r="AQ385" s="4">
        <v>30.038499999999999</v>
      </c>
      <c r="AR385" s="4">
        <v>5.2310800000000004</v>
      </c>
      <c r="AS385" s="4">
        <v>8.5289400000000004</v>
      </c>
      <c r="AT385" s="4">
        <v>9.7834800000000008</v>
      </c>
      <c r="AU385" s="4">
        <v>0.55447100000000005</v>
      </c>
      <c r="AV385" s="4">
        <v>-2.1985000000000001E-2</v>
      </c>
      <c r="AW385" s="4">
        <v>-0.124413</v>
      </c>
      <c r="AX385" s="4">
        <v>3.4909000000000003E-2</v>
      </c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1" t="s">
        <v>3599</v>
      </c>
      <c r="BJ385" s="1" t="s">
        <v>3896</v>
      </c>
      <c r="BK385" s="1">
        <v>1</v>
      </c>
      <c r="BL385" s="1"/>
      <c r="BM385" s="1" t="s">
        <v>447</v>
      </c>
      <c r="BN385" s="1" t="s">
        <v>2847</v>
      </c>
      <c r="BO385" s="1" t="s">
        <v>2848</v>
      </c>
      <c r="BP385" s="1">
        <v>5.86</v>
      </c>
      <c r="BQ385" s="1" t="s">
        <v>1003</v>
      </c>
      <c r="BR385" s="1">
        <v>23.529199999999999</v>
      </c>
      <c r="BS385" s="1">
        <v>120.45059999999999</v>
      </c>
      <c r="BT385" s="1">
        <v>16</v>
      </c>
      <c r="BU385" s="1" t="s">
        <v>1028</v>
      </c>
      <c r="BV385" s="1" t="s">
        <v>2834</v>
      </c>
      <c r="BW385" s="1">
        <v>178</v>
      </c>
      <c r="BX385" s="1">
        <v>49</v>
      </c>
      <c r="BY385" s="1">
        <v>54</v>
      </c>
      <c r="BZ385" s="1">
        <v>46</v>
      </c>
      <c r="CA385" s="1">
        <v>52</v>
      </c>
      <c r="CB385" s="1">
        <v>125</v>
      </c>
      <c r="CC385" s="1" t="s">
        <v>2808</v>
      </c>
      <c r="CD385" s="1" t="s">
        <v>731</v>
      </c>
      <c r="CE385" s="1"/>
      <c r="CF385" s="1"/>
      <c r="CG385" s="1"/>
      <c r="CH385" s="1"/>
      <c r="CI385" s="1"/>
      <c r="CJ385" s="1" t="s">
        <v>2812</v>
      </c>
      <c r="CK385" t="s">
        <v>1263</v>
      </c>
      <c r="CL385">
        <v>142</v>
      </c>
      <c r="CM385" t="s">
        <v>2850</v>
      </c>
    </row>
    <row r="386" spans="1:91" ht="19" customHeight="1">
      <c r="A386" s="1" t="s">
        <v>3897</v>
      </c>
      <c r="B386" s="1" t="s">
        <v>3597</v>
      </c>
      <c r="C386" s="1">
        <v>143</v>
      </c>
      <c r="D386" s="1" t="s">
        <v>448</v>
      </c>
      <c r="E386" s="1">
        <v>1999</v>
      </c>
      <c r="F386" s="1" t="s">
        <v>1087</v>
      </c>
      <c r="G386" s="1" t="s">
        <v>1816</v>
      </c>
      <c r="H386" s="4">
        <v>23.534333</v>
      </c>
      <c r="I386" s="4">
        <v>120.4555</v>
      </c>
      <c r="J386" s="1" t="s">
        <v>1404</v>
      </c>
      <c r="K386" s="1" t="s">
        <v>70</v>
      </c>
      <c r="L386" s="1" t="s">
        <v>1817</v>
      </c>
      <c r="M386" s="1" t="s">
        <v>3598</v>
      </c>
      <c r="N386" s="1"/>
      <c r="O386" s="1" t="s">
        <v>3095</v>
      </c>
      <c r="P386" s="1"/>
      <c r="Q386" s="4">
        <v>5.86</v>
      </c>
      <c r="R386" s="4"/>
      <c r="S386" s="4"/>
      <c r="T386" s="4"/>
      <c r="U386" s="4"/>
      <c r="V386" s="4">
        <v>7.7683669999999996</v>
      </c>
      <c r="W386" s="4"/>
      <c r="X386" s="4"/>
      <c r="Y386" s="4"/>
      <c r="Z386" s="4"/>
      <c r="AA386" s="4"/>
      <c r="AB386" s="4" t="s">
        <v>1028</v>
      </c>
      <c r="AC386" s="4"/>
      <c r="AD386" s="4">
        <v>23.529199999999999</v>
      </c>
      <c r="AE386" s="4">
        <v>120.45059999999999</v>
      </c>
      <c r="AF386" s="4">
        <v>16</v>
      </c>
      <c r="AG386" s="4">
        <v>372.87920000000003</v>
      </c>
      <c r="AH386" s="27" t="b">
        <v>1</v>
      </c>
      <c r="AI386" s="4">
        <v>0.73360000000000003</v>
      </c>
      <c r="AJ386" s="27" t="b">
        <v>0</v>
      </c>
      <c r="AK386" s="4"/>
      <c r="AL386" s="27" t="b">
        <v>0</v>
      </c>
      <c r="AM386" s="4">
        <v>735.11900000000003</v>
      </c>
      <c r="AN386" s="4">
        <v>398.35199999999998</v>
      </c>
      <c r="AO386" s="4">
        <v>236.852</v>
      </c>
      <c r="AP386" s="4">
        <v>41.7134</v>
      </c>
      <c r="AQ386" s="4">
        <v>30.8063</v>
      </c>
      <c r="AR386" s="4">
        <v>7.4676</v>
      </c>
      <c r="AS386" s="4">
        <v>3.96245</v>
      </c>
      <c r="AT386" s="4">
        <v>5.9800399999999998</v>
      </c>
      <c r="AU386" s="4">
        <v>2.2958099999999999</v>
      </c>
      <c r="AV386" s="4">
        <v>7.0116999999999999E-2</v>
      </c>
      <c r="AW386" s="4">
        <v>-4.15E-3</v>
      </c>
      <c r="AX386" s="4">
        <v>0.196546</v>
      </c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1" t="s">
        <v>3599</v>
      </c>
      <c r="BJ386" s="1" t="s">
        <v>3898</v>
      </c>
      <c r="BK386" s="1">
        <v>1</v>
      </c>
      <c r="BL386" s="1"/>
      <c r="BM386" s="1" t="s">
        <v>447</v>
      </c>
      <c r="BN386" s="1" t="s">
        <v>2847</v>
      </c>
      <c r="BO386" s="1" t="s">
        <v>2848</v>
      </c>
      <c r="BP386" s="1">
        <v>5.86</v>
      </c>
      <c r="BQ386" s="1" t="s">
        <v>1003</v>
      </c>
      <c r="BR386" s="1">
        <v>23.529199999999999</v>
      </c>
      <c r="BS386" s="1">
        <v>120.45059999999999</v>
      </c>
      <c r="BT386" s="1">
        <v>16</v>
      </c>
      <c r="BU386" s="1" t="s">
        <v>1028</v>
      </c>
      <c r="BV386" s="1" t="s">
        <v>2834</v>
      </c>
      <c r="BW386" s="1">
        <v>178</v>
      </c>
      <c r="BX386" s="1">
        <v>49</v>
      </c>
      <c r="BY386" s="1">
        <v>54</v>
      </c>
      <c r="BZ386" s="1">
        <v>46</v>
      </c>
      <c r="CA386" s="1">
        <v>52</v>
      </c>
      <c r="CB386" s="1">
        <v>125</v>
      </c>
      <c r="CC386" s="1" t="s">
        <v>2808</v>
      </c>
      <c r="CD386" s="1" t="s">
        <v>731</v>
      </c>
      <c r="CE386" s="1"/>
      <c r="CF386" s="1"/>
      <c r="CG386" s="1"/>
      <c r="CH386" s="1"/>
      <c r="CI386" s="1"/>
      <c r="CJ386" s="1" t="s">
        <v>2812</v>
      </c>
      <c r="CK386" t="s">
        <v>1263</v>
      </c>
      <c r="CL386">
        <v>143</v>
      </c>
      <c r="CM386" t="s">
        <v>2850</v>
      </c>
    </row>
    <row r="387" spans="1:91" ht="19" customHeight="1">
      <c r="A387" s="1" t="s">
        <v>3899</v>
      </c>
      <c r="B387" s="1" t="s">
        <v>3597</v>
      </c>
      <c r="C387" s="1">
        <v>144</v>
      </c>
      <c r="D387" s="1" t="s">
        <v>448</v>
      </c>
      <c r="E387" s="1">
        <v>1999</v>
      </c>
      <c r="F387" s="1" t="s">
        <v>1088</v>
      </c>
      <c r="G387" s="1" t="s">
        <v>1823</v>
      </c>
      <c r="H387" s="4">
        <v>23.475332999999999</v>
      </c>
      <c r="I387" s="4">
        <v>120.471333</v>
      </c>
      <c r="J387" s="1" t="s">
        <v>1404</v>
      </c>
      <c r="K387" s="1" t="s">
        <v>70</v>
      </c>
      <c r="L387" s="1" t="s">
        <v>1824</v>
      </c>
      <c r="M387" s="1" t="s">
        <v>3598</v>
      </c>
      <c r="N387" s="1"/>
      <c r="O387" s="1" t="s">
        <v>3095</v>
      </c>
      <c r="P387" s="1"/>
      <c r="Q387" s="4">
        <v>5.86</v>
      </c>
      <c r="R387" s="4"/>
      <c r="S387" s="4"/>
      <c r="T387" s="4"/>
      <c r="U387" s="4"/>
      <c r="V387" s="4">
        <v>9.6974540000000005</v>
      </c>
      <c r="W387" s="4"/>
      <c r="X387" s="4"/>
      <c r="Y387" s="4"/>
      <c r="Z387" s="4"/>
      <c r="AA387" s="4"/>
      <c r="AB387" s="4" t="s">
        <v>1028</v>
      </c>
      <c r="AC387" s="4"/>
      <c r="AD387" s="4">
        <v>23.529199999999999</v>
      </c>
      <c r="AE387" s="4">
        <v>120.45059999999999</v>
      </c>
      <c r="AF387" s="4">
        <v>16</v>
      </c>
      <c r="AG387" s="4">
        <v>446.46179999999998</v>
      </c>
      <c r="AH387" s="27" t="b">
        <v>1</v>
      </c>
      <c r="AI387" s="4">
        <v>1.4630000000000001</v>
      </c>
      <c r="AJ387" s="27" t="b">
        <v>0</v>
      </c>
      <c r="AK387" s="4"/>
      <c r="AL387" s="27" t="b">
        <v>0</v>
      </c>
      <c r="AM387" s="4">
        <v>308.702</v>
      </c>
      <c r="AN387" s="4">
        <v>257.82</v>
      </c>
      <c r="AO387" s="4">
        <v>256.06900000000002</v>
      </c>
      <c r="AP387" s="4">
        <v>31.4969</v>
      </c>
      <c r="AQ387" s="4">
        <v>17.9834</v>
      </c>
      <c r="AR387" s="4">
        <v>10.123699999999999</v>
      </c>
      <c r="AS387" s="4">
        <v>8.0268599999999992</v>
      </c>
      <c r="AT387" s="4">
        <v>3.5619200000000002</v>
      </c>
      <c r="AU387" s="4">
        <v>1.2283599999999999</v>
      </c>
      <c r="AV387" s="4">
        <v>1.9907999999999999E-2</v>
      </c>
      <c r="AW387" s="4">
        <v>3.7499999999999999E-2</v>
      </c>
      <c r="AX387" s="4">
        <v>-4.4079999999999996E-3</v>
      </c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1" t="s">
        <v>3599</v>
      </c>
      <c r="BJ387" s="1" t="s">
        <v>3900</v>
      </c>
      <c r="BK387" s="1">
        <v>1</v>
      </c>
      <c r="BL387" s="1"/>
      <c r="BM387" s="1" t="s">
        <v>447</v>
      </c>
      <c r="BN387" s="1" t="s">
        <v>2847</v>
      </c>
      <c r="BO387" s="1" t="s">
        <v>2848</v>
      </c>
      <c r="BP387" s="1">
        <v>5.86</v>
      </c>
      <c r="BQ387" s="1" t="s">
        <v>1003</v>
      </c>
      <c r="BR387" s="1">
        <v>23.529199999999999</v>
      </c>
      <c r="BS387" s="1">
        <v>120.45059999999999</v>
      </c>
      <c r="BT387" s="1">
        <v>16</v>
      </c>
      <c r="BU387" s="1" t="s">
        <v>1028</v>
      </c>
      <c r="BV387" s="1" t="s">
        <v>2834</v>
      </c>
      <c r="BW387" s="1">
        <v>178</v>
      </c>
      <c r="BX387" s="1">
        <v>49</v>
      </c>
      <c r="BY387" s="1">
        <v>54</v>
      </c>
      <c r="BZ387" s="1">
        <v>46</v>
      </c>
      <c r="CA387" s="1">
        <v>52</v>
      </c>
      <c r="CB387" s="1">
        <v>125</v>
      </c>
      <c r="CC387" s="1" t="s">
        <v>2808</v>
      </c>
      <c r="CD387" s="1" t="s">
        <v>731</v>
      </c>
      <c r="CE387" s="1"/>
      <c r="CF387" s="1"/>
      <c r="CG387" s="1"/>
      <c r="CH387" s="1"/>
      <c r="CI387" s="1"/>
      <c r="CJ387" s="1" t="s">
        <v>2812</v>
      </c>
      <c r="CK387" t="s">
        <v>1263</v>
      </c>
      <c r="CL387">
        <v>144</v>
      </c>
      <c r="CM387" t="s">
        <v>2850</v>
      </c>
    </row>
    <row r="388" spans="1:91" ht="19" customHeight="1">
      <c r="A388" s="1" t="s">
        <v>3901</v>
      </c>
      <c r="B388" s="1" t="s">
        <v>3597</v>
      </c>
      <c r="C388" s="1">
        <v>145</v>
      </c>
      <c r="D388" s="1" t="s">
        <v>448</v>
      </c>
      <c r="E388" s="1">
        <v>1999</v>
      </c>
      <c r="F388" s="1" t="s">
        <v>1089</v>
      </c>
      <c r="G388" s="1" t="s">
        <v>1825</v>
      </c>
      <c r="H388" s="4">
        <v>23.493666999999999</v>
      </c>
      <c r="I388" s="4">
        <v>120.455333</v>
      </c>
      <c r="J388" s="1" t="s">
        <v>1404</v>
      </c>
      <c r="K388" s="1" t="s">
        <v>70</v>
      </c>
      <c r="L388" s="1" t="s">
        <v>1826</v>
      </c>
      <c r="M388" s="1" t="s">
        <v>3598</v>
      </c>
      <c r="N388" s="1"/>
      <c r="O388" s="1" t="s">
        <v>3095</v>
      </c>
      <c r="P388" s="1"/>
      <c r="Q388" s="4">
        <v>5.86</v>
      </c>
      <c r="R388" s="4"/>
      <c r="S388" s="4"/>
      <c r="T388" s="4"/>
      <c r="U388" s="4"/>
      <c r="V388" s="4">
        <v>8.4032929999999997</v>
      </c>
      <c r="W388" s="4"/>
      <c r="X388" s="4"/>
      <c r="Y388" s="4"/>
      <c r="Z388" s="4"/>
      <c r="AA388" s="4"/>
      <c r="AB388" s="4" t="s">
        <v>1028</v>
      </c>
      <c r="AC388" s="4"/>
      <c r="AD388" s="4">
        <v>23.529199999999999</v>
      </c>
      <c r="AE388" s="4">
        <v>120.45059999999999</v>
      </c>
      <c r="AF388" s="4">
        <v>16</v>
      </c>
      <c r="AG388" s="4">
        <v>183.51740000000001</v>
      </c>
      <c r="AH388" s="27" t="b">
        <v>1</v>
      </c>
      <c r="AI388" s="4">
        <v>0.69440000000000002</v>
      </c>
      <c r="AJ388" s="27" t="b">
        <v>0</v>
      </c>
      <c r="AK388" s="4"/>
      <c r="AL388" s="27" t="b">
        <v>0</v>
      </c>
      <c r="AM388" s="4">
        <v>352.57499999999999</v>
      </c>
      <c r="AN388" s="4">
        <v>510.12599999999998</v>
      </c>
      <c r="AO388" s="4">
        <v>351.94900000000001</v>
      </c>
      <c r="AP388" s="4">
        <v>23.901900000000001</v>
      </c>
      <c r="AQ388" s="4">
        <v>35.500500000000002</v>
      </c>
      <c r="AR388" s="4">
        <v>11.397399999999999</v>
      </c>
      <c r="AS388" s="4">
        <v>3.2651599999999998</v>
      </c>
      <c r="AT388" s="4">
        <v>6.9032299999999998</v>
      </c>
      <c r="AU388" s="4">
        <v>4.1173799999999998</v>
      </c>
      <c r="AV388" s="4">
        <v>-2.0871000000000001E-2</v>
      </c>
      <c r="AW388" s="4">
        <v>-9.4879999999999999E-3</v>
      </c>
      <c r="AX388" s="4">
        <v>4.5844999999999997E-2</v>
      </c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1" t="s">
        <v>3599</v>
      </c>
      <c r="BJ388" s="1" t="s">
        <v>3902</v>
      </c>
      <c r="BK388" s="1">
        <v>1</v>
      </c>
      <c r="BL388" s="1"/>
      <c r="BM388" s="1" t="s">
        <v>447</v>
      </c>
      <c r="BN388" s="1" t="s">
        <v>2847</v>
      </c>
      <c r="BO388" s="1" t="s">
        <v>2848</v>
      </c>
      <c r="BP388" s="1">
        <v>5.86</v>
      </c>
      <c r="BQ388" s="1" t="s">
        <v>1003</v>
      </c>
      <c r="BR388" s="1">
        <v>23.529199999999999</v>
      </c>
      <c r="BS388" s="1">
        <v>120.45059999999999</v>
      </c>
      <c r="BT388" s="1">
        <v>16</v>
      </c>
      <c r="BU388" s="1" t="s">
        <v>1028</v>
      </c>
      <c r="BV388" s="1" t="s">
        <v>2834</v>
      </c>
      <c r="BW388" s="1">
        <v>178</v>
      </c>
      <c r="BX388" s="1">
        <v>49</v>
      </c>
      <c r="BY388" s="1">
        <v>54</v>
      </c>
      <c r="BZ388" s="1">
        <v>46</v>
      </c>
      <c r="CA388" s="1">
        <v>52</v>
      </c>
      <c r="CB388" s="1">
        <v>125</v>
      </c>
      <c r="CC388" s="1" t="s">
        <v>2808</v>
      </c>
      <c r="CD388" s="1" t="s">
        <v>731</v>
      </c>
      <c r="CE388" s="1"/>
      <c r="CF388" s="1"/>
      <c r="CG388" s="1"/>
      <c r="CH388" s="1"/>
      <c r="CI388" s="1"/>
      <c r="CJ388" s="1" t="s">
        <v>2812</v>
      </c>
      <c r="CK388" t="s">
        <v>1263</v>
      </c>
      <c r="CL388">
        <v>145</v>
      </c>
      <c r="CM388" t="s">
        <v>2850</v>
      </c>
    </row>
    <row r="389" spans="1:91" ht="19" customHeight="1">
      <c r="A389" s="1" t="s">
        <v>3903</v>
      </c>
      <c r="B389" s="1" t="s">
        <v>3597</v>
      </c>
      <c r="C389" s="1">
        <v>146</v>
      </c>
      <c r="D389" s="1" t="s">
        <v>448</v>
      </c>
      <c r="E389" s="1">
        <v>1999</v>
      </c>
      <c r="F389" s="1" t="s">
        <v>1090</v>
      </c>
      <c r="G389" s="1" t="s">
        <v>1862</v>
      </c>
      <c r="H389" s="4">
        <v>23.496333</v>
      </c>
      <c r="I389" s="4">
        <v>120.4325</v>
      </c>
      <c r="J389" s="1" t="s">
        <v>1404</v>
      </c>
      <c r="K389" s="1" t="s">
        <v>70</v>
      </c>
      <c r="L389" s="1" t="s">
        <v>1863</v>
      </c>
      <c r="M389" s="1" t="s">
        <v>3598</v>
      </c>
      <c r="N389" s="1"/>
      <c r="O389" s="1" t="s">
        <v>3095</v>
      </c>
      <c r="P389" s="1"/>
      <c r="Q389" s="4">
        <v>5.86</v>
      </c>
      <c r="R389" s="4"/>
      <c r="S389" s="4"/>
      <c r="T389" s="4"/>
      <c r="U389" s="4"/>
      <c r="V389" s="4">
        <v>7.548565</v>
      </c>
      <c r="W389" s="4"/>
      <c r="X389" s="4"/>
      <c r="Y389" s="4"/>
      <c r="Z389" s="4"/>
      <c r="AA389" s="4"/>
      <c r="AB389" s="4" t="s">
        <v>1028</v>
      </c>
      <c r="AC389" s="4"/>
      <c r="AD389" s="4">
        <v>23.529199999999999</v>
      </c>
      <c r="AE389" s="4">
        <v>120.45059999999999</v>
      </c>
      <c r="AF389" s="4">
        <v>16</v>
      </c>
      <c r="AG389" s="4">
        <v>201.47749999999999</v>
      </c>
      <c r="AH389" s="27" t="b">
        <v>1</v>
      </c>
      <c r="AI389" s="4">
        <v>1.127</v>
      </c>
      <c r="AJ389" s="27" t="b">
        <v>0</v>
      </c>
      <c r="AK389" s="4"/>
      <c r="AL389" s="27" t="b">
        <v>0</v>
      </c>
      <c r="AM389" s="4">
        <v>430.49799999999999</v>
      </c>
      <c r="AN389" s="4">
        <v>314.27699999999999</v>
      </c>
      <c r="AO389" s="4">
        <v>327.08800000000002</v>
      </c>
      <c r="AP389" s="4">
        <v>49.020299999999999</v>
      </c>
      <c r="AQ389" s="4">
        <v>35.540799999999997</v>
      </c>
      <c r="AR389" s="4">
        <v>6.7093800000000003</v>
      </c>
      <c r="AS389" s="4">
        <v>12.1907</v>
      </c>
      <c r="AT389" s="4">
        <v>7.4131600000000004</v>
      </c>
      <c r="AU389" s="4">
        <v>1.52905</v>
      </c>
      <c r="AV389" s="4">
        <v>-5.4501000000000001E-2</v>
      </c>
      <c r="AW389" s="4">
        <v>0.139817</v>
      </c>
      <c r="AX389" s="4">
        <v>1.9300000000000001E-2</v>
      </c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1" t="s">
        <v>3599</v>
      </c>
      <c r="BJ389" s="1" t="s">
        <v>3904</v>
      </c>
      <c r="BK389" s="1">
        <v>1</v>
      </c>
      <c r="BL389" s="1"/>
      <c r="BM389" s="1" t="s">
        <v>447</v>
      </c>
      <c r="BN389" s="1" t="s">
        <v>2847</v>
      </c>
      <c r="BO389" s="1" t="s">
        <v>2848</v>
      </c>
      <c r="BP389" s="1">
        <v>5.86</v>
      </c>
      <c r="BQ389" s="1" t="s">
        <v>1003</v>
      </c>
      <c r="BR389" s="1">
        <v>23.529199999999999</v>
      </c>
      <c r="BS389" s="1">
        <v>120.45059999999999</v>
      </c>
      <c r="BT389" s="1">
        <v>16</v>
      </c>
      <c r="BU389" s="1" t="s">
        <v>1028</v>
      </c>
      <c r="BV389" s="1" t="s">
        <v>2834</v>
      </c>
      <c r="BW389" s="1">
        <v>178</v>
      </c>
      <c r="BX389" s="1">
        <v>49</v>
      </c>
      <c r="BY389" s="1">
        <v>54</v>
      </c>
      <c r="BZ389" s="1">
        <v>46</v>
      </c>
      <c r="CA389" s="1">
        <v>52</v>
      </c>
      <c r="CB389" s="1">
        <v>125</v>
      </c>
      <c r="CC389" s="1" t="s">
        <v>2808</v>
      </c>
      <c r="CD389" s="1" t="s">
        <v>731</v>
      </c>
      <c r="CE389" s="1"/>
      <c r="CF389" s="1"/>
      <c r="CG389" s="1"/>
      <c r="CH389" s="1"/>
      <c r="CI389" s="1"/>
      <c r="CJ389" s="1" t="s">
        <v>2812</v>
      </c>
      <c r="CK389" t="s">
        <v>1263</v>
      </c>
      <c r="CL389">
        <v>146</v>
      </c>
      <c r="CM389" t="s">
        <v>2850</v>
      </c>
    </row>
    <row r="390" spans="1:91" ht="19" customHeight="1">
      <c r="A390" s="1" t="s">
        <v>3905</v>
      </c>
      <c r="B390" s="1" t="s">
        <v>3597</v>
      </c>
      <c r="C390" s="1">
        <v>147</v>
      </c>
      <c r="D390" s="1" t="s">
        <v>448</v>
      </c>
      <c r="E390" s="1">
        <v>1999</v>
      </c>
      <c r="F390" s="1" t="s">
        <v>1091</v>
      </c>
      <c r="G390" s="1" t="s">
        <v>1892</v>
      </c>
      <c r="H390" s="4">
        <v>23.436333000000001</v>
      </c>
      <c r="I390" s="4">
        <v>120.41466699999999</v>
      </c>
      <c r="J390" s="1" t="s">
        <v>1404</v>
      </c>
      <c r="K390" s="1" t="s">
        <v>70</v>
      </c>
      <c r="L390" s="1" t="s">
        <v>1894</v>
      </c>
      <c r="M390" s="1" t="s">
        <v>3598</v>
      </c>
      <c r="N390" s="1"/>
      <c r="O390" s="1" t="s">
        <v>3095</v>
      </c>
      <c r="P390" s="1"/>
      <c r="Q390" s="4">
        <v>5.86</v>
      </c>
      <c r="R390" s="4"/>
      <c r="S390" s="4"/>
      <c r="T390" s="4"/>
      <c r="U390" s="4"/>
      <c r="V390" s="4">
        <v>8.7103470000000005</v>
      </c>
      <c r="W390" s="4"/>
      <c r="X390" s="4"/>
      <c r="Y390" s="4"/>
      <c r="Z390" s="4"/>
      <c r="AA390" s="4"/>
      <c r="AB390" s="4" t="s">
        <v>1028</v>
      </c>
      <c r="AC390" s="4"/>
      <c r="AD390" s="4">
        <v>23.529199999999999</v>
      </c>
      <c r="AE390" s="4">
        <v>120.45059999999999</v>
      </c>
      <c r="AF390" s="4">
        <v>16</v>
      </c>
      <c r="AG390" s="4">
        <v>227.63489999999999</v>
      </c>
      <c r="AH390" s="27" t="b">
        <v>1</v>
      </c>
      <c r="AI390" s="4">
        <v>1.4448000000000001</v>
      </c>
      <c r="AJ390" s="27" t="b">
        <v>0</v>
      </c>
      <c r="AK390" s="4"/>
      <c r="AL390" s="27" t="b">
        <v>0</v>
      </c>
      <c r="AM390" s="4">
        <v>352.94099999999997</v>
      </c>
      <c r="AN390" s="4">
        <v>359.363</v>
      </c>
      <c r="AO390" s="4">
        <v>658.16399999999999</v>
      </c>
      <c r="AP390" s="4">
        <v>41.6066</v>
      </c>
      <c r="AQ390" s="4">
        <v>32.536299999999997</v>
      </c>
      <c r="AR390" s="4">
        <v>14.101000000000001</v>
      </c>
      <c r="AS390" s="4">
        <v>10.379300000000001</v>
      </c>
      <c r="AT390" s="4">
        <v>4.6121299999999996</v>
      </c>
      <c r="AU390" s="4">
        <v>1.43791</v>
      </c>
      <c r="AV390" s="4">
        <v>-0.23208300000000001</v>
      </c>
      <c r="AW390" s="4">
        <v>-7.2431999999999996E-2</v>
      </c>
      <c r="AX390" s="4">
        <v>-1.4408000000000001E-2</v>
      </c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1" t="s">
        <v>3599</v>
      </c>
      <c r="BJ390" s="1" t="s">
        <v>3906</v>
      </c>
      <c r="BK390" s="1">
        <v>1</v>
      </c>
      <c r="BL390" s="1"/>
      <c r="BM390" s="1" t="s">
        <v>447</v>
      </c>
      <c r="BN390" s="1" t="s">
        <v>2847</v>
      </c>
      <c r="BO390" s="1" t="s">
        <v>2848</v>
      </c>
      <c r="BP390" s="1">
        <v>5.86</v>
      </c>
      <c r="BQ390" s="1" t="s">
        <v>1003</v>
      </c>
      <c r="BR390" s="1">
        <v>23.529199999999999</v>
      </c>
      <c r="BS390" s="1">
        <v>120.45059999999999</v>
      </c>
      <c r="BT390" s="1">
        <v>16</v>
      </c>
      <c r="BU390" s="1" t="s">
        <v>1028</v>
      </c>
      <c r="BV390" s="1" t="s">
        <v>2834</v>
      </c>
      <c r="BW390" s="1">
        <v>178</v>
      </c>
      <c r="BX390" s="1">
        <v>49</v>
      </c>
      <c r="BY390" s="1">
        <v>54</v>
      </c>
      <c r="BZ390" s="1">
        <v>46</v>
      </c>
      <c r="CA390" s="1">
        <v>52</v>
      </c>
      <c r="CB390" s="1">
        <v>125</v>
      </c>
      <c r="CC390" s="1" t="s">
        <v>2808</v>
      </c>
      <c r="CD390" s="1" t="s">
        <v>731</v>
      </c>
      <c r="CE390" s="1"/>
      <c r="CF390" s="1"/>
      <c r="CG390" s="1"/>
      <c r="CH390" s="1"/>
      <c r="CI390" s="1"/>
      <c r="CJ390" s="1" t="s">
        <v>2812</v>
      </c>
      <c r="CK390" t="s">
        <v>1263</v>
      </c>
      <c r="CL390">
        <v>147</v>
      </c>
      <c r="CM390" t="s">
        <v>2850</v>
      </c>
    </row>
    <row r="391" spans="1:91" ht="19" customHeight="1">
      <c r="A391" s="1" t="s">
        <v>3907</v>
      </c>
      <c r="B391" s="1" t="s">
        <v>3597</v>
      </c>
      <c r="C391" s="1">
        <v>148</v>
      </c>
      <c r="D391" s="1" t="s">
        <v>454</v>
      </c>
      <c r="E391" s="1">
        <v>1999</v>
      </c>
      <c r="F391" s="1" t="s">
        <v>1092</v>
      </c>
      <c r="G391" s="1" t="s">
        <v>1773</v>
      </c>
      <c r="H391" s="4">
        <v>23.483699999999999</v>
      </c>
      <c r="I391" s="4">
        <v>120.2775</v>
      </c>
      <c r="J391" s="1" t="s">
        <v>1404</v>
      </c>
      <c r="K391" s="1" t="s">
        <v>70</v>
      </c>
      <c r="L391" s="1" t="s">
        <v>1775</v>
      </c>
      <c r="M391" s="1" t="s">
        <v>3598</v>
      </c>
      <c r="N391" s="1"/>
      <c r="O391" s="1" t="s">
        <v>3095</v>
      </c>
      <c r="P391" s="1"/>
      <c r="Q391" s="4">
        <v>5.57</v>
      </c>
      <c r="R391" s="4"/>
      <c r="S391" s="4"/>
      <c r="T391" s="4"/>
      <c r="U391" s="4"/>
      <c r="V391" s="4">
        <v>18.480699999999999</v>
      </c>
      <c r="W391" s="4"/>
      <c r="X391" s="4"/>
      <c r="Y391" s="4"/>
      <c r="Z391" s="4"/>
      <c r="AA391" s="4"/>
      <c r="AB391" s="4" t="s">
        <v>1032</v>
      </c>
      <c r="AC391" s="4"/>
      <c r="AD391" s="4">
        <v>23.533100000000001</v>
      </c>
      <c r="AE391" s="4">
        <v>120.4308</v>
      </c>
      <c r="AF391" s="4">
        <v>16.739999999999998</v>
      </c>
      <c r="AG391" s="4">
        <v>209.5</v>
      </c>
      <c r="AH391" s="27" t="b">
        <v>1</v>
      </c>
      <c r="AI391" s="4">
        <v>1.0136000000000001</v>
      </c>
      <c r="AJ391" s="27" t="b">
        <v>0</v>
      </c>
      <c r="AK391" s="4"/>
      <c r="AL391" s="27" t="b">
        <v>0</v>
      </c>
      <c r="AM391" s="4">
        <v>213.03416000000001</v>
      </c>
      <c r="AN391" s="4">
        <v>241.81049400000001</v>
      </c>
      <c r="AO391" s="4">
        <v>154.99900099999999</v>
      </c>
      <c r="AP391" s="4">
        <v>19.792124000000001</v>
      </c>
      <c r="AQ391" s="4">
        <v>25.245944000000001</v>
      </c>
      <c r="AR391" s="4">
        <v>7.6075759999999999</v>
      </c>
      <c r="AS391" s="4">
        <v>1.4945440000000001</v>
      </c>
      <c r="AT391" s="4">
        <v>3.184177</v>
      </c>
      <c r="AU391" s="4">
        <v>0.56513199999999997</v>
      </c>
      <c r="AV391" s="4">
        <v>2.7729999999999999E-3</v>
      </c>
      <c r="AW391" s="4">
        <v>-1.7929E-2</v>
      </c>
      <c r="AX391" s="4">
        <v>2.1329999999999999E-3</v>
      </c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1" t="s">
        <v>3599</v>
      </c>
      <c r="BJ391" s="1" t="s">
        <v>3908</v>
      </c>
      <c r="BK391" s="1">
        <v>1</v>
      </c>
      <c r="BL391" s="1"/>
      <c r="BM391" s="1" t="s">
        <v>453</v>
      </c>
      <c r="BN391" s="1" t="s">
        <v>2847</v>
      </c>
      <c r="BO391" s="1" t="s">
        <v>2852</v>
      </c>
      <c r="BP391" s="1">
        <v>5.57</v>
      </c>
      <c r="BQ391" s="1" t="s">
        <v>1003</v>
      </c>
      <c r="BR391" s="1">
        <v>23.533100000000001</v>
      </c>
      <c r="BS391" s="1">
        <v>120.4308</v>
      </c>
      <c r="BT391" s="1">
        <v>16.739999999999998</v>
      </c>
      <c r="BU391" s="1" t="s">
        <v>1032</v>
      </c>
      <c r="BV391" s="1" t="s">
        <v>2834</v>
      </c>
      <c r="BW391" s="1">
        <v>327</v>
      </c>
      <c r="BX391" s="1">
        <v>78</v>
      </c>
      <c r="BY391" s="1">
        <v>0</v>
      </c>
      <c r="BZ391" s="1">
        <v>237</v>
      </c>
      <c r="CA391" s="1">
        <v>90</v>
      </c>
      <c r="CB391" s="1">
        <v>168</v>
      </c>
      <c r="CC391" s="1" t="s">
        <v>2808</v>
      </c>
      <c r="CD391" s="1" t="s">
        <v>731</v>
      </c>
      <c r="CE391" s="1"/>
      <c r="CF391" s="1"/>
      <c r="CG391" s="1"/>
      <c r="CH391" s="1"/>
      <c r="CI391" s="1"/>
      <c r="CJ391" s="1" t="s">
        <v>2812</v>
      </c>
      <c r="CK391" t="s">
        <v>1263</v>
      </c>
      <c r="CL391">
        <v>148</v>
      </c>
      <c r="CM391" t="s">
        <v>2854</v>
      </c>
    </row>
    <row r="392" spans="1:91" ht="19" customHeight="1">
      <c r="A392" s="1" t="s">
        <v>3909</v>
      </c>
      <c r="B392" s="1" t="s">
        <v>3597</v>
      </c>
      <c r="C392" s="1">
        <v>149</v>
      </c>
      <c r="D392" s="1" t="s">
        <v>454</v>
      </c>
      <c r="E392" s="1">
        <v>1999</v>
      </c>
      <c r="F392" s="1" t="s">
        <v>1082</v>
      </c>
      <c r="G392" s="1" t="s">
        <v>1776</v>
      </c>
      <c r="H392" s="4">
        <v>23.472667000000001</v>
      </c>
      <c r="I392" s="4">
        <v>120.41633299999999</v>
      </c>
      <c r="J392" s="1" t="s">
        <v>1404</v>
      </c>
      <c r="K392" s="1" t="s">
        <v>70</v>
      </c>
      <c r="L392" s="1" t="s">
        <v>3910</v>
      </c>
      <c r="M392" s="1" t="s">
        <v>3598</v>
      </c>
      <c r="N392" s="1"/>
      <c r="O392" s="1" t="s">
        <v>3095</v>
      </c>
      <c r="P392" s="1"/>
      <c r="Q392" s="4">
        <v>5.57</v>
      </c>
      <c r="R392" s="4"/>
      <c r="S392" s="4"/>
      <c r="T392" s="4"/>
      <c r="U392" s="4"/>
      <c r="V392" s="4">
        <v>15.452185999999999</v>
      </c>
      <c r="W392" s="4"/>
      <c r="X392" s="4"/>
      <c r="Y392" s="4"/>
      <c r="Z392" s="4"/>
      <c r="AA392" s="4"/>
      <c r="AB392" s="4" t="s">
        <v>1032</v>
      </c>
      <c r="AC392" s="4"/>
      <c r="AD392" s="4">
        <v>23.533100000000001</v>
      </c>
      <c r="AE392" s="4">
        <v>120.4308</v>
      </c>
      <c r="AF392" s="4">
        <v>16.739999999999998</v>
      </c>
      <c r="AG392" s="4">
        <v>226.1079</v>
      </c>
      <c r="AH392" s="27" t="b">
        <v>1</v>
      </c>
      <c r="AI392" s="4">
        <v>0.91839999999999999</v>
      </c>
      <c r="AJ392" s="27" t="b">
        <v>0</v>
      </c>
      <c r="AK392" s="4"/>
      <c r="AL392" s="27" t="b">
        <v>0</v>
      </c>
      <c r="AM392" s="4">
        <v>233.46700000000001</v>
      </c>
      <c r="AN392" s="4">
        <v>183.63900000000001</v>
      </c>
      <c r="AO392" s="4">
        <v>188.60900000000001</v>
      </c>
      <c r="AP392" s="4">
        <v>23.164999999999999</v>
      </c>
      <c r="AQ392" s="4">
        <v>13.9191</v>
      </c>
      <c r="AR392" s="4">
        <v>6.1157599999999999</v>
      </c>
      <c r="AS392" s="4">
        <v>3.25475</v>
      </c>
      <c r="AT392" s="4">
        <v>2.7266699999999999</v>
      </c>
      <c r="AU392" s="4">
        <v>0.74903600000000004</v>
      </c>
      <c r="AV392" s="4">
        <v>-7.9249999999999998E-3</v>
      </c>
      <c r="AW392" s="4">
        <v>2.1419999999999998E-3</v>
      </c>
      <c r="AX392" s="4">
        <v>-1.8564000000000001E-2</v>
      </c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1" t="s">
        <v>3599</v>
      </c>
      <c r="BJ392" s="1" t="s">
        <v>3911</v>
      </c>
      <c r="BK392" s="1">
        <v>1</v>
      </c>
      <c r="BL392" s="1"/>
      <c r="BM392" s="1" t="s">
        <v>453</v>
      </c>
      <c r="BN392" s="1" t="s">
        <v>2847</v>
      </c>
      <c r="BO392" s="1" t="s">
        <v>2852</v>
      </c>
      <c r="BP392" s="1">
        <v>5.57</v>
      </c>
      <c r="BQ392" s="1" t="s">
        <v>1003</v>
      </c>
      <c r="BR392" s="1">
        <v>23.533100000000001</v>
      </c>
      <c r="BS392" s="1">
        <v>120.4308</v>
      </c>
      <c r="BT392" s="1">
        <v>16.739999999999998</v>
      </c>
      <c r="BU392" s="1" t="s">
        <v>1032</v>
      </c>
      <c r="BV392" s="1" t="s">
        <v>2834</v>
      </c>
      <c r="BW392" s="1">
        <v>327</v>
      </c>
      <c r="BX392" s="1">
        <v>78</v>
      </c>
      <c r="BY392" s="1">
        <v>0</v>
      </c>
      <c r="BZ392" s="1">
        <v>237</v>
      </c>
      <c r="CA392" s="1">
        <v>90</v>
      </c>
      <c r="CB392" s="1">
        <v>168</v>
      </c>
      <c r="CC392" s="1" t="s">
        <v>2808</v>
      </c>
      <c r="CD392" s="1" t="s">
        <v>731</v>
      </c>
      <c r="CE392" s="1"/>
      <c r="CF392" s="1"/>
      <c r="CG392" s="1"/>
      <c r="CH392" s="1"/>
      <c r="CI392" s="1"/>
      <c r="CJ392" s="1" t="s">
        <v>2812</v>
      </c>
      <c r="CK392" t="s">
        <v>1263</v>
      </c>
      <c r="CL392">
        <v>149</v>
      </c>
      <c r="CM392" t="s">
        <v>2854</v>
      </c>
    </row>
    <row r="393" spans="1:91" ht="19" customHeight="1">
      <c r="A393" s="1" t="s">
        <v>3912</v>
      </c>
      <c r="B393" s="1" t="s">
        <v>3597</v>
      </c>
      <c r="C393" s="1">
        <v>150</v>
      </c>
      <c r="D393" s="1" t="s">
        <v>454</v>
      </c>
      <c r="E393" s="1">
        <v>1999</v>
      </c>
      <c r="F393" s="1" t="s">
        <v>1093</v>
      </c>
      <c r="G393" s="1" t="s">
        <v>1785</v>
      </c>
      <c r="H393" s="4">
        <v>23.356166999999999</v>
      </c>
      <c r="I393" s="4">
        <v>120.273833</v>
      </c>
      <c r="J393" s="1" t="s">
        <v>1404</v>
      </c>
      <c r="K393" s="1" t="s">
        <v>70</v>
      </c>
      <c r="L393" s="1" t="s">
        <v>1786</v>
      </c>
      <c r="M393" s="1" t="s">
        <v>3598</v>
      </c>
      <c r="N393" s="1"/>
      <c r="O393" s="1" t="s">
        <v>3095</v>
      </c>
      <c r="P393" s="1"/>
      <c r="Q393" s="4">
        <v>5.57</v>
      </c>
      <c r="R393" s="4"/>
      <c r="S393" s="4"/>
      <c r="T393" s="4"/>
      <c r="U393" s="4"/>
      <c r="V393" s="4">
        <v>26.799876999999999</v>
      </c>
      <c r="W393" s="4"/>
      <c r="X393" s="4"/>
      <c r="Y393" s="4"/>
      <c r="Z393" s="4"/>
      <c r="AA393" s="4"/>
      <c r="AB393" s="4" t="s">
        <v>1032</v>
      </c>
      <c r="AC393" s="4"/>
      <c r="AD393" s="4">
        <v>23.533100000000001</v>
      </c>
      <c r="AE393" s="4">
        <v>120.4308</v>
      </c>
      <c r="AF393" s="4">
        <v>16.739999999999998</v>
      </c>
      <c r="AG393" s="4">
        <v>216.23179999999999</v>
      </c>
      <c r="AH393" s="27" t="b">
        <v>1</v>
      </c>
      <c r="AI393" s="4">
        <v>0.83440000000000003</v>
      </c>
      <c r="AJ393" s="27" t="b">
        <v>0</v>
      </c>
      <c r="AK393" s="4"/>
      <c r="AL393" s="27" t="b">
        <v>0</v>
      </c>
      <c r="AM393" s="4">
        <v>289.714</v>
      </c>
      <c r="AN393" s="4">
        <v>160.518</v>
      </c>
      <c r="AO393" s="4">
        <v>98.572000000000003</v>
      </c>
      <c r="AP393" s="4">
        <v>26.490200000000002</v>
      </c>
      <c r="AQ393" s="4">
        <v>15.7805</v>
      </c>
      <c r="AR393" s="4">
        <v>7.6263899999999998</v>
      </c>
      <c r="AS393" s="4">
        <v>4.7481499999999999</v>
      </c>
      <c r="AT393" s="4">
        <v>3.1005600000000002</v>
      </c>
      <c r="AU393" s="4">
        <v>1.3976599999999999</v>
      </c>
      <c r="AV393" s="4">
        <v>-1.9651999999999999E-2</v>
      </c>
      <c r="AW393" s="4">
        <v>-5.5449999999999996E-3</v>
      </c>
      <c r="AX393" s="4">
        <v>-1.077E-2</v>
      </c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1" t="s">
        <v>3599</v>
      </c>
      <c r="BJ393" s="1" t="s">
        <v>3913</v>
      </c>
      <c r="BK393" s="1">
        <v>1</v>
      </c>
      <c r="BL393" s="1"/>
      <c r="BM393" s="1" t="s">
        <v>453</v>
      </c>
      <c r="BN393" s="1" t="s">
        <v>2847</v>
      </c>
      <c r="BO393" s="1" t="s">
        <v>2852</v>
      </c>
      <c r="BP393" s="1">
        <v>5.57</v>
      </c>
      <c r="BQ393" s="1" t="s">
        <v>1003</v>
      </c>
      <c r="BR393" s="1">
        <v>23.533100000000001</v>
      </c>
      <c r="BS393" s="1">
        <v>120.4308</v>
      </c>
      <c r="BT393" s="1">
        <v>16.739999999999998</v>
      </c>
      <c r="BU393" s="1" t="s">
        <v>1032</v>
      </c>
      <c r="BV393" s="1" t="s">
        <v>2834</v>
      </c>
      <c r="BW393" s="1">
        <v>327</v>
      </c>
      <c r="BX393" s="1">
        <v>78</v>
      </c>
      <c r="BY393" s="1">
        <v>0</v>
      </c>
      <c r="BZ393" s="1">
        <v>237</v>
      </c>
      <c r="CA393" s="1">
        <v>90</v>
      </c>
      <c r="CB393" s="1">
        <v>168</v>
      </c>
      <c r="CC393" s="1" t="s">
        <v>2808</v>
      </c>
      <c r="CD393" s="1" t="s">
        <v>731</v>
      </c>
      <c r="CE393" s="1"/>
      <c r="CF393" s="1"/>
      <c r="CG393" s="1"/>
      <c r="CH393" s="1"/>
      <c r="CI393" s="1"/>
      <c r="CJ393" s="1" t="s">
        <v>2812</v>
      </c>
      <c r="CK393" t="s">
        <v>1263</v>
      </c>
      <c r="CL393">
        <v>150</v>
      </c>
      <c r="CM393" t="s">
        <v>2854</v>
      </c>
    </row>
    <row r="394" spans="1:91" ht="19" customHeight="1">
      <c r="A394" s="1" t="s">
        <v>3914</v>
      </c>
      <c r="B394" s="1" t="s">
        <v>3597</v>
      </c>
      <c r="C394" s="1">
        <v>151</v>
      </c>
      <c r="D394" s="1" t="s">
        <v>454</v>
      </c>
      <c r="E394" s="1">
        <v>1999</v>
      </c>
      <c r="F394" s="1" t="s">
        <v>1094</v>
      </c>
      <c r="G394" s="1" t="s">
        <v>1804</v>
      </c>
      <c r="H394" s="4">
        <v>23.577000000000002</v>
      </c>
      <c r="I394" s="4">
        <v>120.301833</v>
      </c>
      <c r="J394" s="1" t="s">
        <v>1404</v>
      </c>
      <c r="K394" s="1" t="s">
        <v>70</v>
      </c>
      <c r="L394" s="1" t="s">
        <v>1805</v>
      </c>
      <c r="M394" s="1" t="s">
        <v>3598</v>
      </c>
      <c r="N394" s="1"/>
      <c r="O394" s="1" t="s">
        <v>3095</v>
      </c>
      <c r="P394" s="1"/>
      <c r="Q394" s="4">
        <v>5.57</v>
      </c>
      <c r="R394" s="4"/>
      <c r="S394" s="4"/>
      <c r="T394" s="4"/>
      <c r="U394" s="4"/>
      <c r="V394" s="4">
        <v>19.697555000000001</v>
      </c>
      <c r="W394" s="4"/>
      <c r="X394" s="4"/>
      <c r="Y394" s="4"/>
      <c r="Z394" s="4"/>
      <c r="AA394" s="4"/>
      <c r="AB394" s="4" t="s">
        <v>1032</v>
      </c>
      <c r="AC394" s="4"/>
      <c r="AD394" s="4">
        <v>23.533100000000001</v>
      </c>
      <c r="AE394" s="4">
        <v>120.4308</v>
      </c>
      <c r="AF394" s="4">
        <v>16.739999999999998</v>
      </c>
      <c r="AG394" s="4">
        <v>192.5669</v>
      </c>
      <c r="AH394" s="27" t="b">
        <v>1</v>
      </c>
      <c r="AI394" s="4">
        <v>1.1759999999999999</v>
      </c>
      <c r="AJ394" s="27" t="b">
        <v>0</v>
      </c>
      <c r="AK394" s="4"/>
      <c r="AL394" s="27" t="b">
        <v>0</v>
      </c>
      <c r="AM394" s="4">
        <v>163.44200000000001</v>
      </c>
      <c r="AN394" s="4">
        <v>118.648</v>
      </c>
      <c r="AO394" s="4">
        <v>158.99</v>
      </c>
      <c r="AP394" s="4">
        <v>18.653300000000002</v>
      </c>
      <c r="AQ394" s="4">
        <v>14.457800000000001</v>
      </c>
      <c r="AR394" s="4">
        <v>2.2013799999999999</v>
      </c>
      <c r="AS394" s="4">
        <v>3.9338299999999999</v>
      </c>
      <c r="AT394" s="4">
        <v>3.4679099999999998</v>
      </c>
      <c r="AU394" s="4">
        <v>0.49738300000000002</v>
      </c>
      <c r="AV394" s="4">
        <v>1.0276E-2</v>
      </c>
      <c r="AW394" s="4">
        <v>6.535E-3</v>
      </c>
      <c r="AX394" s="4">
        <v>-1.8828999999999999E-2</v>
      </c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1" t="s">
        <v>3599</v>
      </c>
      <c r="BJ394" s="1" t="s">
        <v>3915</v>
      </c>
      <c r="BK394" s="1">
        <v>1</v>
      </c>
      <c r="BL394" s="1"/>
      <c r="BM394" s="1" t="s">
        <v>453</v>
      </c>
      <c r="BN394" s="1" t="s">
        <v>2847</v>
      </c>
      <c r="BO394" s="1" t="s">
        <v>2852</v>
      </c>
      <c r="BP394" s="1">
        <v>5.57</v>
      </c>
      <c r="BQ394" s="1" t="s">
        <v>1003</v>
      </c>
      <c r="BR394" s="1">
        <v>23.533100000000001</v>
      </c>
      <c r="BS394" s="1">
        <v>120.4308</v>
      </c>
      <c r="BT394" s="1">
        <v>16.739999999999998</v>
      </c>
      <c r="BU394" s="1" t="s">
        <v>1032</v>
      </c>
      <c r="BV394" s="1" t="s">
        <v>2834</v>
      </c>
      <c r="BW394" s="1">
        <v>327</v>
      </c>
      <c r="BX394" s="1">
        <v>78</v>
      </c>
      <c r="BY394" s="1">
        <v>0</v>
      </c>
      <c r="BZ394" s="1">
        <v>237</v>
      </c>
      <c r="CA394" s="1">
        <v>90</v>
      </c>
      <c r="CB394" s="1">
        <v>168</v>
      </c>
      <c r="CC394" s="1" t="s">
        <v>2808</v>
      </c>
      <c r="CD394" s="1" t="s">
        <v>731</v>
      </c>
      <c r="CE394" s="1"/>
      <c r="CF394" s="1"/>
      <c r="CG394" s="1"/>
      <c r="CH394" s="1"/>
      <c r="CI394" s="1"/>
      <c r="CJ394" s="1" t="s">
        <v>2812</v>
      </c>
      <c r="CK394" t="s">
        <v>1263</v>
      </c>
      <c r="CL394">
        <v>151</v>
      </c>
      <c r="CM394" t="s">
        <v>2854</v>
      </c>
    </row>
    <row r="395" spans="1:91" ht="19" customHeight="1">
      <c r="A395" s="1" t="s">
        <v>3916</v>
      </c>
      <c r="B395" s="1" t="s">
        <v>3597</v>
      </c>
      <c r="C395" s="1">
        <v>152</v>
      </c>
      <c r="D395" s="1" t="s">
        <v>454</v>
      </c>
      <c r="E395" s="1">
        <v>1999</v>
      </c>
      <c r="F395" s="1" t="s">
        <v>1095</v>
      </c>
      <c r="G395" s="1" t="s">
        <v>1818</v>
      </c>
      <c r="H395" s="4">
        <v>23.519333</v>
      </c>
      <c r="I395" s="4">
        <v>120.351167</v>
      </c>
      <c r="J395" s="1" t="s">
        <v>1404</v>
      </c>
      <c r="K395" s="1" t="s">
        <v>70</v>
      </c>
      <c r="L395" s="1" t="s">
        <v>1820</v>
      </c>
      <c r="M395" s="1" t="s">
        <v>3598</v>
      </c>
      <c r="N395" s="1"/>
      <c r="O395" s="1" t="s">
        <v>3095</v>
      </c>
      <c r="P395" s="1"/>
      <c r="Q395" s="4">
        <v>5.57</v>
      </c>
      <c r="R395" s="4"/>
      <c r="S395" s="4"/>
      <c r="T395" s="4"/>
      <c r="U395" s="4"/>
      <c r="V395" s="4">
        <v>15.923492</v>
      </c>
      <c r="W395" s="4"/>
      <c r="X395" s="4"/>
      <c r="Y395" s="4"/>
      <c r="Z395" s="4"/>
      <c r="AA395" s="4"/>
      <c r="AB395" s="4" t="s">
        <v>1032</v>
      </c>
      <c r="AC395" s="4"/>
      <c r="AD395" s="4">
        <v>23.533100000000001</v>
      </c>
      <c r="AE395" s="4">
        <v>120.4308</v>
      </c>
      <c r="AF395" s="4">
        <v>16.739999999999998</v>
      </c>
      <c r="AG395" s="4">
        <v>195.14949999999999</v>
      </c>
      <c r="AH395" s="27" t="b">
        <v>1</v>
      </c>
      <c r="AI395" s="4">
        <v>1.022</v>
      </c>
      <c r="AJ395" s="27" t="b">
        <v>0</v>
      </c>
      <c r="AK395" s="4"/>
      <c r="AL395" s="27" t="b">
        <v>0</v>
      </c>
      <c r="AM395" s="4">
        <v>226.78200000000001</v>
      </c>
      <c r="AN395" s="4">
        <v>123.806</v>
      </c>
      <c r="AO395" s="4">
        <v>128.35300000000001</v>
      </c>
      <c r="AP395" s="4">
        <v>24.549600000000002</v>
      </c>
      <c r="AQ395" s="4">
        <v>8.9145500000000002</v>
      </c>
      <c r="AR395" s="4">
        <v>3.5866400000000001</v>
      </c>
      <c r="AS395" s="4">
        <v>4.3805100000000001</v>
      </c>
      <c r="AT395" s="4">
        <v>1.4347399999999999</v>
      </c>
      <c r="AU395" s="4">
        <v>0.40001500000000001</v>
      </c>
      <c r="AV395" s="4">
        <v>2.0005999999999999E-2</v>
      </c>
      <c r="AW395" s="4">
        <v>-4.2523999999999999E-2</v>
      </c>
      <c r="AX395" s="4">
        <v>-9.1299999999999992E-3</v>
      </c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1" t="s">
        <v>3599</v>
      </c>
      <c r="BJ395" s="1" t="s">
        <v>3917</v>
      </c>
      <c r="BK395" s="1">
        <v>1</v>
      </c>
      <c r="BL395" s="1"/>
      <c r="BM395" s="1" t="s">
        <v>453</v>
      </c>
      <c r="BN395" s="1" t="s">
        <v>2847</v>
      </c>
      <c r="BO395" s="1" t="s">
        <v>2852</v>
      </c>
      <c r="BP395" s="1">
        <v>5.57</v>
      </c>
      <c r="BQ395" s="1" t="s">
        <v>1003</v>
      </c>
      <c r="BR395" s="1">
        <v>23.533100000000001</v>
      </c>
      <c r="BS395" s="1">
        <v>120.4308</v>
      </c>
      <c r="BT395" s="1">
        <v>16.739999999999998</v>
      </c>
      <c r="BU395" s="1" t="s">
        <v>1032</v>
      </c>
      <c r="BV395" s="1" t="s">
        <v>2834</v>
      </c>
      <c r="BW395" s="1">
        <v>327</v>
      </c>
      <c r="BX395" s="1">
        <v>78</v>
      </c>
      <c r="BY395" s="1">
        <v>0</v>
      </c>
      <c r="BZ395" s="1">
        <v>237</v>
      </c>
      <c r="CA395" s="1">
        <v>90</v>
      </c>
      <c r="CB395" s="1">
        <v>168</v>
      </c>
      <c r="CC395" s="1" t="s">
        <v>2808</v>
      </c>
      <c r="CD395" s="1" t="s">
        <v>731</v>
      </c>
      <c r="CE395" s="1"/>
      <c r="CF395" s="1"/>
      <c r="CG395" s="1"/>
      <c r="CH395" s="1"/>
      <c r="CI395" s="1"/>
      <c r="CJ395" s="1" t="s">
        <v>2812</v>
      </c>
      <c r="CK395" t="s">
        <v>1263</v>
      </c>
      <c r="CL395">
        <v>152</v>
      </c>
      <c r="CM395" t="s">
        <v>2854</v>
      </c>
    </row>
    <row r="396" spans="1:91" ht="19" customHeight="1">
      <c r="A396" s="1" t="s">
        <v>3918</v>
      </c>
      <c r="B396" s="1" t="s">
        <v>3597</v>
      </c>
      <c r="C396" s="1">
        <v>153</v>
      </c>
      <c r="D396" s="1" t="s">
        <v>454</v>
      </c>
      <c r="E396" s="1">
        <v>1999</v>
      </c>
      <c r="F396" s="1" t="s">
        <v>1096</v>
      </c>
      <c r="G396" s="1" t="s">
        <v>1878</v>
      </c>
      <c r="H396" s="4">
        <v>23.456</v>
      </c>
      <c r="I396" s="4">
        <v>120.33066700000001</v>
      </c>
      <c r="J396" s="1" t="s">
        <v>1404</v>
      </c>
      <c r="K396" s="1" t="s">
        <v>70</v>
      </c>
      <c r="L396" s="1" t="s">
        <v>1879</v>
      </c>
      <c r="M396" s="1" t="s">
        <v>3598</v>
      </c>
      <c r="N396" s="1"/>
      <c r="O396" s="1" t="s">
        <v>3095</v>
      </c>
      <c r="P396" s="1"/>
      <c r="Q396" s="4">
        <v>5.57</v>
      </c>
      <c r="R396" s="4"/>
      <c r="S396" s="4"/>
      <c r="T396" s="4"/>
      <c r="U396" s="4"/>
      <c r="V396" s="4">
        <v>18.007390000000001</v>
      </c>
      <c r="W396" s="4"/>
      <c r="X396" s="4"/>
      <c r="Y396" s="4"/>
      <c r="Z396" s="4"/>
      <c r="AA396" s="4"/>
      <c r="AB396" s="4" t="s">
        <v>1032</v>
      </c>
      <c r="AC396" s="4"/>
      <c r="AD396" s="4">
        <v>23.533100000000001</v>
      </c>
      <c r="AE396" s="4">
        <v>120.4308</v>
      </c>
      <c r="AF396" s="4">
        <v>16.739999999999998</v>
      </c>
      <c r="AG396" s="4">
        <v>216.36439999999999</v>
      </c>
      <c r="AH396" s="27" t="b">
        <v>1</v>
      </c>
      <c r="AI396" s="4">
        <v>0.99680000000000002</v>
      </c>
      <c r="AJ396" s="27" t="b">
        <v>0</v>
      </c>
      <c r="AK396" s="4"/>
      <c r="AL396" s="27" t="b">
        <v>0</v>
      </c>
      <c r="AM396" s="4">
        <v>271.63</v>
      </c>
      <c r="AN396" s="4">
        <v>245.02099999999999</v>
      </c>
      <c r="AO396" s="4">
        <v>107.94</v>
      </c>
      <c r="AP396" s="4">
        <v>24.733499999999999</v>
      </c>
      <c r="AQ396" s="4">
        <v>24.307200000000002</v>
      </c>
      <c r="AR396" s="4">
        <v>7.4413499999999999</v>
      </c>
      <c r="AS396" s="4">
        <v>5.1051200000000003</v>
      </c>
      <c r="AT396" s="4">
        <v>5.9922800000000001</v>
      </c>
      <c r="AU396" s="4">
        <v>1.70377</v>
      </c>
      <c r="AV396" s="4">
        <v>-2.4316999999999998E-2</v>
      </c>
      <c r="AW396" s="4">
        <v>-2.0778000000000001E-2</v>
      </c>
      <c r="AX396" s="4">
        <v>-3.4112999999999997E-2</v>
      </c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1" t="s">
        <v>3599</v>
      </c>
      <c r="BJ396" s="1" t="s">
        <v>3919</v>
      </c>
      <c r="BK396" s="1">
        <v>1</v>
      </c>
      <c r="BL396" s="1"/>
      <c r="BM396" s="1" t="s">
        <v>453</v>
      </c>
      <c r="BN396" s="1" t="s">
        <v>2847</v>
      </c>
      <c r="BO396" s="1" t="s">
        <v>2852</v>
      </c>
      <c r="BP396" s="1">
        <v>5.57</v>
      </c>
      <c r="BQ396" s="1" t="s">
        <v>1003</v>
      </c>
      <c r="BR396" s="1">
        <v>23.533100000000001</v>
      </c>
      <c r="BS396" s="1">
        <v>120.4308</v>
      </c>
      <c r="BT396" s="1">
        <v>16.739999999999998</v>
      </c>
      <c r="BU396" s="1" t="s">
        <v>1032</v>
      </c>
      <c r="BV396" s="1" t="s">
        <v>2834</v>
      </c>
      <c r="BW396" s="1">
        <v>327</v>
      </c>
      <c r="BX396" s="1">
        <v>78</v>
      </c>
      <c r="BY396" s="1">
        <v>0</v>
      </c>
      <c r="BZ396" s="1">
        <v>237</v>
      </c>
      <c r="CA396" s="1">
        <v>90</v>
      </c>
      <c r="CB396" s="1">
        <v>168</v>
      </c>
      <c r="CC396" s="1" t="s">
        <v>2808</v>
      </c>
      <c r="CD396" s="1" t="s">
        <v>731</v>
      </c>
      <c r="CE396" s="1"/>
      <c r="CF396" s="1"/>
      <c r="CG396" s="1"/>
      <c r="CH396" s="1"/>
      <c r="CI396" s="1"/>
      <c r="CJ396" s="1" t="s">
        <v>2812</v>
      </c>
      <c r="CK396" t="s">
        <v>1263</v>
      </c>
      <c r="CL396">
        <v>153</v>
      </c>
      <c r="CM396" t="s">
        <v>2854</v>
      </c>
    </row>
    <row r="397" spans="1:91" ht="19" customHeight="1">
      <c r="A397" s="1" t="s">
        <v>3920</v>
      </c>
      <c r="B397" s="1" t="s">
        <v>3597</v>
      </c>
      <c r="C397" s="1">
        <v>154</v>
      </c>
      <c r="D397" s="1" t="s">
        <v>454</v>
      </c>
      <c r="E397" s="1">
        <v>1999</v>
      </c>
      <c r="F397" s="1" t="s">
        <v>1091</v>
      </c>
      <c r="G397" s="1" t="s">
        <v>1892</v>
      </c>
      <c r="H397" s="4">
        <v>23.436299999999999</v>
      </c>
      <c r="I397" s="4">
        <v>120.4147</v>
      </c>
      <c r="J397" s="1" t="s">
        <v>1404</v>
      </c>
      <c r="K397" s="1" t="s">
        <v>70</v>
      </c>
      <c r="L397" s="1" t="s">
        <v>1893</v>
      </c>
      <c r="M397" s="1" t="s">
        <v>3598</v>
      </c>
      <c r="N397" s="1"/>
      <c r="O397" s="1" t="s">
        <v>3095</v>
      </c>
      <c r="P397" s="1"/>
      <c r="Q397" s="4">
        <v>5.57</v>
      </c>
      <c r="R397" s="4"/>
      <c r="S397" s="4"/>
      <c r="T397" s="4"/>
      <c r="U397" s="4"/>
      <c r="V397" s="4">
        <v>12.957599999999999</v>
      </c>
      <c r="W397" s="4"/>
      <c r="X397" s="4"/>
      <c r="Y397" s="4"/>
      <c r="Z397" s="4"/>
      <c r="AA397" s="4"/>
      <c r="AB397" s="4" t="s">
        <v>1032</v>
      </c>
      <c r="AC397" s="4"/>
      <c r="AD397" s="4">
        <v>23.533100000000001</v>
      </c>
      <c r="AE397" s="4">
        <v>120.4308</v>
      </c>
      <c r="AF397" s="4">
        <v>16.739999999999998</v>
      </c>
      <c r="AG397" s="4">
        <v>227.63</v>
      </c>
      <c r="AH397" s="27" t="b">
        <v>1</v>
      </c>
      <c r="AI397" s="4">
        <v>1.0136000000000001</v>
      </c>
      <c r="AJ397" s="27" t="b">
        <v>0</v>
      </c>
      <c r="AK397" s="4"/>
      <c r="AL397" s="27" t="b">
        <v>0</v>
      </c>
      <c r="AM397" s="4">
        <v>371.36055299999998</v>
      </c>
      <c r="AN397" s="4">
        <v>328.95032099999997</v>
      </c>
      <c r="AO397" s="4">
        <v>231.25673599999999</v>
      </c>
      <c r="AP397" s="4">
        <v>22.927420000000001</v>
      </c>
      <c r="AQ397" s="4">
        <v>27.006091999999999</v>
      </c>
      <c r="AR397" s="4">
        <v>4.4931840000000003</v>
      </c>
      <c r="AS397" s="4">
        <v>3.2205560000000002</v>
      </c>
      <c r="AT397" s="4">
        <v>2.885856</v>
      </c>
      <c r="AU397" s="4">
        <v>0.38480799999999998</v>
      </c>
      <c r="AV397" s="4">
        <v>2.8349999999999998E-3</v>
      </c>
      <c r="AW397" s="4">
        <v>2.1429999999999999E-3</v>
      </c>
      <c r="AX397" s="4">
        <v>-3.5119999999999999E-3</v>
      </c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1" t="s">
        <v>3599</v>
      </c>
      <c r="BJ397" s="1" t="s">
        <v>3921</v>
      </c>
      <c r="BK397" s="1">
        <v>1</v>
      </c>
      <c r="BL397" s="1"/>
      <c r="BM397" s="1" t="s">
        <v>453</v>
      </c>
      <c r="BN397" s="1" t="s">
        <v>2847</v>
      </c>
      <c r="BO397" s="1" t="s">
        <v>2852</v>
      </c>
      <c r="BP397" s="1">
        <v>5.57</v>
      </c>
      <c r="BQ397" s="1" t="s">
        <v>1003</v>
      </c>
      <c r="BR397" s="1">
        <v>23.533100000000001</v>
      </c>
      <c r="BS397" s="1">
        <v>120.4308</v>
      </c>
      <c r="BT397" s="1">
        <v>16.739999999999998</v>
      </c>
      <c r="BU397" s="1" t="s">
        <v>1032</v>
      </c>
      <c r="BV397" s="1" t="s">
        <v>2834</v>
      </c>
      <c r="BW397" s="1">
        <v>327</v>
      </c>
      <c r="BX397" s="1">
        <v>78</v>
      </c>
      <c r="BY397" s="1">
        <v>0</v>
      </c>
      <c r="BZ397" s="1">
        <v>237</v>
      </c>
      <c r="CA397" s="1">
        <v>90</v>
      </c>
      <c r="CB397" s="1">
        <v>168</v>
      </c>
      <c r="CC397" s="1" t="s">
        <v>2808</v>
      </c>
      <c r="CD397" s="1" t="s">
        <v>731</v>
      </c>
      <c r="CE397" s="1"/>
      <c r="CF397" s="1"/>
      <c r="CG397" s="1"/>
      <c r="CH397" s="1"/>
      <c r="CI397" s="1"/>
      <c r="CJ397" s="1" t="s">
        <v>2812</v>
      </c>
      <c r="CK397" t="s">
        <v>1263</v>
      </c>
      <c r="CL397">
        <v>154</v>
      </c>
      <c r="CM397" t="s">
        <v>2854</v>
      </c>
    </row>
    <row r="398" spans="1:91" ht="19" customHeight="1">
      <c r="A398" s="1" t="s">
        <v>3922</v>
      </c>
      <c r="B398" s="1" t="s">
        <v>3597</v>
      </c>
      <c r="C398" s="1">
        <v>155</v>
      </c>
      <c r="D398" s="1" t="s">
        <v>1097</v>
      </c>
      <c r="E398" s="1">
        <v>1999</v>
      </c>
      <c r="F398" s="1" t="s">
        <v>920</v>
      </c>
      <c r="G398" s="1" t="s">
        <v>1864</v>
      </c>
      <c r="H398" s="4">
        <v>23.508333</v>
      </c>
      <c r="I398" s="4">
        <v>120.813333</v>
      </c>
      <c r="J398" s="1" t="s">
        <v>1404</v>
      </c>
      <c r="K398" s="1" t="s">
        <v>70</v>
      </c>
      <c r="L398" s="1" t="s">
        <v>1865</v>
      </c>
      <c r="M398" s="1" t="s">
        <v>3598</v>
      </c>
      <c r="N398" s="1"/>
      <c r="O398" s="1" t="s">
        <v>3095</v>
      </c>
      <c r="P398" s="1"/>
      <c r="Q398" s="4">
        <v>6.42</v>
      </c>
      <c r="R398" s="4"/>
      <c r="S398" s="4"/>
      <c r="T398" s="4"/>
      <c r="U398" s="4"/>
      <c r="V398" s="4">
        <v>5.6140650000000001</v>
      </c>
      <c r="W398" s="4"/>
      <c r="X398" s="4"/>
      <c r="Y398" s="4"/>
      <c r="Z398" s="4"/>
      <c r="AA398" s="4"/>
      <c r="AB398" s="4" t="s">
        <v>1032</v>
      </c>
      <c r="AC398" s="4"/>
      <c r="AD398" s="4">
        <v>23.6</v>
      </c>
      <c r="AE398" s="4">
        <v>120.82</v>
      </c>
      <c r="AF398" s="4">
        <v>18</v>
      </c>
      <c r="AG398" s="4">
        <v>524.61310000000003</v>
      </c>
      <c r="AH398" s="27" t="b">
        <v>1</v>
      </c>
      <c r="AI398" s="4">
        <v>2.4359999999999999</v>
      </c>
      <c r="AJ398" s="27" t="b">
        <v>0</v>
      </c>
      <c r="AK398" s="4"/>
      <c r="AL398" s="27" t="b">
        <v>0</v>
      </c>
      <c r="AM398" s="4">
        <v>316.13499999999999</v>
      </c>
      <c r="AN398" s="4">
        <v>334.73700000000002</v>
      </c>
      <c r="AO398" s="4">
        <v>291.79899999999998</v>
      </c>
      <c r="AP398" s="4">
        <v>32.881799999999998</v>
      </c>
      <c r="AQ398" s="4">
        <v>43.517200000000003</v>
      </c>
      <c r="AR398" s="4">
        <v>16.695599999999999</v>
      </c>
      <c r="AS398" s="4">
        <v>10.1267</v>
      </c>
      <c r="AT398" s="4">
        <v>16.173200000000001</v>
      </c>
      <c r="AU398" s="4">
        <v>5.2738399999999999</v>
      </c>
      <c r="AV398" s="4">
        <v>3.1931000000000001E-2</v>
      </c>
      <c r="AW398" s="4">
        <v>3.4099999999999998E-2</v>
      </c>
      <c r="AX398" s="4">
        <v>5.6099999999999998E-4</v>
      </c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1" t="s">
        <v>3599</v>
      </c>
      <c r="BJ398" s="1" t="s">
        <v>3923</v>
      </c>
      <c r="BK398" s="1">
        <v>1</v>
      </c>
      <c r="BL398" s="1"/>
      <c r="BM398" s="1" t="s">
        <v>469</v>
      </c>
      <c r="BN398" s="1" t="s">
        <v>2710</v>
      </c>
      <c r="BO398" s="1" t="s">
        <v>2727</v>
      </c>
      <c r="BP398" s="1">
        <v>6.42</v>
      </c>
      <c r="BQ398" s="1" t="s">
        <v>1003</v>
      </c>
      <c r="BR398" s="1">
        <v>23.6</v>
      </c>
      <c r="BS398" s="1">
        <v>120.82</v>
      </c>
      <c r="BT398" s="1">
        <v>18</v>
      </c>
      <c r="BU398" s="1" t="s">
        <v>1032</v>
      </c>
      <c r="BV398" s="1" t="s">
        <v>2809</v>
      </c>
      <c r="BW398" s="1">
        <v>330</v>
      </c>
      <c r="BX398" s="1">
        <v>89</v>
      </c>
      <c r="BY398" s="1">
        <v>15</v>
      </c>
      <c r="BZ398" s="1"/>
      <c r="CA398" s="1"/>
      <c r="CB398" s="1"/>
      <c r="CC398" s="1" t="s">
        <v>2808</v>
      </c>
      <c r="CD398" s="1" t="s">
        <v>731</v>
      </c>
      <c r="CE398" s="1"/>
      <c r="CF398" s="1"/>
      <c r="CG398" s="1"/>
      <c r="CH398" s="1"/>
      <c r="CI398" s="1"/>
      <c r="CJ398" s="1" t="s">
        <v>2812</v>
      </c>
      <c r="CK398" t="s">
        <v>1263</v>
      </c>
      <c r="CL398">
        <v>155</v>
      </c>
      <c r="CM398" t="s">
        <v>2855</v>
      </c>
    </row>
    <row r="399" spans="1:91" ht="19" customHeight="1">
      <c r="A399" s="1" t="s">
        <v>3924</v>
      </c>
      <c r="B399" s="1" t="s">
        <v>3597</v>
      </c>
      <c r="C399" s="1">
        <v>156</v>
      </c>
      <c r="D399" s="1" t="s">
        <v>1098</v>
      </c>
      <c r="E399" s="1">
        <v>1999</v>
      </c>
      <c r="F399" s="1" t="s">
        <v>922</v>
      </c>
      <c r="G399" s="1" t="s">
        <v>1746</v>
      </c>
      <c r="H399" s="4">
        <v>40.744999999999997</v>
      </c>
      <c r="I399" s="4">
        <v>31.61</v>
      </c>
      <c r="J399" s="1" t="s">
        <v>1404</v>
      </c>
      <c r="K399" s="1" t="s">
        <v>70</v>
      </c>
      <c r="L399" s="1" t="s">
        <v>1748</v>
      </c>
      <c r="M399" s="1" t="s">
        <v>3598</v>
      </c>
      <c r="N399" s="1"/>
      <c r="O399" s="1" t="s">
        <v>3095</v>
      </c>
      <c r="P399" s="1"/>
      <c r="Q399" s="4">
        <v>7.1</v>
      </c>
      <c r="R399" s="4"/>
      <c r="S399" s="4"/>
      <c r="T399" s="4"/>
      <c r="U399" s="4"/>
      <c r="V399" s="4">
        <v>12.04</v>
      </c>
      <c r="W399" s="4"/>
      <c r="X399" s="4"/>
      <c r="Y399" s="4"/>
      <c r="Z399" s="4"/>
      <c r="AA399" s="4"/>
      <c r="AB399" s="4" t="s">
        <v>1032</v>
      </c>
      <c r="AC399" s="4"/>
      <c r="AD399" s="4">
        <v>40.834499999999998</v>
      </c>
      <c r="AE399" s="4">
        <v>31.134599999999999</v>
      </c>
      <c r="AF399" s="4">
        <v>14</v>
      </c>
      <c r="AG399" s="4">
        <v>293.57</v>
      </c>
      <c r="AH399" s="27" t="b">
        <v>1</v>
      </c>
      <c r="AI399" s="4">
        <v>0.88200000000000001</v>
      </c>
      <c r="AJ399" s="27" t="b">
        <v>0</v>
      </c>
      <c r="AK399" s="4"/>
      <c r="AL399" s="27" t="b">
        <v>0</v>
      </c>
      <c r="AM399" s="4">
        <v>725.20100000000002</v>
      </c>
      <c r="AN399" s="4">
        <v>790.37199999999996</v>
      </c>
      <c r="AO399" s="4">
        <v>196.244</v>
      </c>
      <c r="AP399" s="4">
        <v>55.945900000000002</v>
      </c>
      <c r="AQ399" s="4">
        <v>65.936000000000007</v>
      </c>
      <c r="AR399" s="4">
        <v>23.599299999999999</v>
      </c>
      <c r="AS399" s="4">
        <v>25.5717</v>
      </c>
      <c r="AT399" s="4">
        <v>13.0867</v>
      </c>
      <c r="AU399" s="4">
        <v>13.9711</v>
      </c>
      <c r="AV399" s="4">
        <v>0.102143</v>
      </c>
      <c r="AW399" s="4">
        <v>7.3264999999999997E-2</v>
      </c>
      <c r="AX399" s="4">
        <v>-2.5135000000000001E-2</v>
      </c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1" t="s">
        <v>3599</v>
      </c>
      <c r="BJ399" s="1" t="s">
        <v>3925</v>
      </c>
      <c r="BK399" s="1">
        <v>1</v>
      </c>
      <c r="BL399" s="1"/>
      <c r="BM399" s="1" t="s">
        <v>491</v>
      </c>
      <c r="BN399" s="1" t="s">
        <v>2730</v>
      </c>
      <c r="BO399" s="1" t="s">
        <v>2731</v>
      </c>
      <c r="BP399" s="1">
        <v>7.1</v>
      </c>
      <c r="BQ399" s="1" t="s">
        <v>1003</v>
      </c>
      <c r="BR399" s="1">
        <v>40.834499999999998</v>
      </c>
      <c r="BS399" s="1">
        <v>31.134599999999999</v>
      </c>
      <c r="BT399" s="1">
        <v>14</v>
      </c>
      <c r="BU399" s="1" t="s">
        <v>1032</v>
      </c>
      <c r="BV399" s="1" t="s">
        <v>2809</v>
      </c>
      <c r="BW399" s="1">
        <v>270</v>
      </c>
      <c r="BX399" s="1">
        <v>65</v>
      </c>
      <c r="BY399" s="1">
        <v>-178</v>
      </c>
      <c r="BZ399" s="1"/>
      <c r="CA399" s="1"/>
      <c r="CB399" s="1"/>
      <c r="CC399" s="1" t="s">
        <v>2808</v>
      </c>
      <c r="CD399" s="1" t="s">
        <v>731</v>
      </c>
      <c r="CE399" s="1"/>
      <c r="CF399" s="1"/>
      <c r="CG399" s="1"/>
      <c r="CH399" s="1"/>
      <c r="CI399" s="1"/>
      <c r="CJ399" s="1" t="s">
        <v>2812</v>
      </c>
      <c r="CK399" t="s">
        <v>1263</v>
      </c>
      <c r="CL399">
        <v>156</v>
      </c>
      <c r="CM399" t="s">
        <v>2856</v>
      </c>
    </row>
    <row r="400" spans="1:91" ht="19" customHeight="1">
      <c r="A400" s="1" t="s">
        <v>3926</v>
      </c>
      <c r="B400" s="1" t="s">
        <v>3597</v>
      </c>
      <c r="C400" s="1">
        <v>157</v>
      </c>
      <c r="D400" s="1" t="s">
        <v>1098</v>
      </c>
      <c r="E400" s="1">
        <v>1999</v>
      </c>
      <c r="F400" s="1" t="s">
        <v>923</v>
      </c>
      <c r="G400" s="1" t="s">
        <v>1754</v>
      </c>
      <c r="H400" s="4">
        <v>40.748930000000001</v>
      </c>
      <c r="I400" s="4">
        <v>30.889199999999999</v>
      </c>
      <c r="J400" s="1" t="s">
        <v>1404</v>
      </c>
      <c r="K400" s="1" t="s">
        <v>70</v>
      </c>
      <c r="L400" s="1" t="s">
        <v>1756</v>
      </c>
      <c r="M400" s="1" t="s">
        <v>3598</v>
      </c>
      <c r="N400" s="1"/>
      <c r="O400" s="1" t="s">
        <v>3095</v>
      </c>
      <c r="P400" s="1"/>
      <c r="Q400" s="4">
        <v>7.1</v>
      </c>
      <c r="R400" s="4"/>
      <c r="S400" s="4"/>
      <c r="T400" s="4"/>
      <c r="U400" s="4"/>
      <c r="V400" s="4">
        <v>2.65</v>
      </c>
      <c r="W400" s="4"/>
      <c r="X400" s="4"/>
      <c r="Y400" s="4"/>
      <c r="Z400" s="4"/>
      <c r="AA400" s="4"/>
      <c r="AB400" s="4" t="s">
        <v>1032</v>
      </c>
      <c r="AC400" s="4"/>
      <c r="AD400" s="4">
        <v>40.834499999999998</v>
      </c>
      <c r="AE400" s="4">
        <v>31.134599999999999</v>
      </c>
      <c r="AF400" s="4">
        <v>14</v>
      </c>
      <c r="AG400" s="4">
        <v>690</v>
      </c>
      <c r="AH400" s="27" t="b">
        <v>1</v>
      </c>
      <c r="AI400" s="4">
        <v>10.052</v>
      </c>
      <c r="AJ400" s="27" t="b">
        <v>0</v>
      </c>
      <c r="AK400" s="4"/>
      <c r="AL400" s="27" t="b">
        <v>0</v>
      </c>
      <c r="AM400" s="4">
        <v>276.86599999999999</v>
      </c>
      <c r="AN400" s="4">
        <v>297.59800000000001</v>
      </c>
      <c r="AO400" s="4">
        <v>225.11699999999999</v>
      </c>
      <c r="AP400" s="4">
        <v>28.972899999999999</v>
      </c>
      <c r="AQ400" s="4">
        <v>38.949800000000003</v>
      </c>
      <c r="AR400" s="4">
        <v>14.7334</v>
      </c>
      <c r="AS400" s="4">
        <v>16.641500000000001</v>
      </c>
      <c r="AT400" s="4">
        <v>20.092400000000001</v>
      </c>
      <c r="AU400" s="4">
        <v>14.165800000000001</v>
      </c>
      <c r="AV400" s="4">
        <v>9.6041000000000001E-2</v>
      </c>
      <c r="AW400" s="4">
        <v>-4.156E-2</v>
      </c>
      <c r="AX400" s="4">
        <v>-5.6675999999999997E-2</v>
      </c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1" t="s">
        <v>3599</v>
      </c>
      <c r="BJ400" s="1" t="s">
        <v>3927</v>
      </c>
      <c r="BK400" s="1">
        <v>1</v>
      </c>
      <c r="BL400" s="1"/>
      <c r="BM400" s="1" t="s">
        <v>491</v>
      </c>
      <c r="BN400" s="1" t="s">
        <v>2730</v>
      </c>
      <c r="BO400" s="1" t="s">
        <v>2731</v>
      </c>
      <c r="BP400" s="1">
        <v>7.1</v>
      </c>
      <c r="BQ400" s="1" t="s">
        <v>1003</v>
      </c>
      <c r="BR400" s="1">
        <v>40.834499999999998</v>
      </c>
      <c r="BS400" s="1">
        <v>31.134599999999999</v>
      </c>
      <c r="BT400" s="1">
        <v>14</v>
      </c>
      <c r="BU400" s="1" t="s">
        <v>1032</v>
      </c>
      <c r="BV400" s="1" t="s">
        <v>2809</v>
      </c>
      <c r="BW400" s="1">
        <v>270</v>
      </c>
      <c r="BX400" s="1">
        <v>65</v>
      </c>
      <c r="BY400" s="1">
        <v>-178</v>
      </c>
      <c r="BZ400" s="1"/>
      <c r="CA400" s="1"/>
      <c r="CB400" s="1"/>
      <c r="CC400" s="1" t="s">
        <v>2808</v>
      </c>
      <c r="CD400" s="1" t="s">
        <v>731</v>
      </c>
      <c r="CE400" s="1"/>
      <c r="CF400" s="1"/>
      <c r="CG400" s="1"/>
      <c r="CH400" s="1"/>
      <c r="CI400" s="1"/>
      <c r="CJ400" s="1" t="s">
        <v>2812</v>
      </c>
      <c r="CK400" t="s">
        <v>1263</v>
      </c>
      <c r="CL400">
        <v>157</v>
      </c>
      <c r="CM400" t="s">
        <v>2856</v>
      </c>
    </row>
    <row r="401" spans="1:91" ht="19" customHeight="1">
      <c r="A401" s="1" t="s">
        <v>3928</v>
      </c>
      <c r="B401" s="1" t="s">
        <v>3597</v>
      </c>
      <c r="C401" s="1">
        <v>158</v>
      </c>
      <c r="D401" s="1" t="s">
        <v>498</v>
      </c>
      <c r="E401" s="1">
        <v>1999</v>
      </c>
      <c r="F401" s="1" t="s">
        <v>1099</v>
      </c>
      <c r="G401" s="1" t="s">
        <v>1932</v>
      </c>
      <c r="H401" s="4">
        <v>23.995332999999999</v>
      </c>
      <c r="I401" s="4">
        <v>121.59483299999999</v>
      </c>
      <c r="J401" s="1" t="s">
        <v>1404</v>
      </c>
      <c r="K401" s="1" t="s">
        <v>70</v>
      </c>
      <c r="L401" s="1" t="s">
        <v>1935</v>
      </c>
      <c r="M401" s="1" t="s">
        <v>3598</v>
      </c>
      <c r="N401" s="1"/>
      <c r="O401" s="1" t="s">
        <v>3095</v>
      </c>
      <c r="P401" s="1"/>
      <c r="Q401" s="4">
        <v>6.31</v>
      </c>
      <c r="R401" s="4"/>
      <c r="S401" s="4"/>
      <c r="T401" s="4"/>
      <c r="U401" s="4"/>
      <c r="V401" s="4">
        <v>65.466391999999999</v>
      </c>
      <c r="W401" s="4"/>
      <c r="X401" s="4"/>
      <c r="Y401" s="4"/>
      <c r="Z401" s="4"/>
      <c r="AA401" s="4"/>
      <c r="AB401" s="4" t="s">
        <v>1028</v>
      </c>
      <c r="AC401" s="4"/>
      <c r="AD401" s="4">
        <v>23.3688</v>
      </c>
      <c r="AE401" s="4">
        <v>121.693</v>
      </c>
      <c r="AF401" s="4">
        <v>33.369999999999997</v>
      </c>
      <c r="AG401" s="4">
        <v>360.83714199999997</v>
      </c>
      <c r="AH401" s="27" t="b">
        <v>1</v>
      </c>
      <c r="AI401" s="4">
        <v>1.82</v>
      </c>
      <c r="AJ401" s="27" t="b">
        <v>0</v>
      </c>
      <c r="AK401" s="4"/>
      <c r="AL401" s="27" t="b">
        <v>0</v>
      </c>
      <c r="AM401" s="4">
        <v>122.36199999999999</v>
      </c>
      <c r="AN401" s="4">
        <v>118.65300000000001</v>
      </c>
      <c r="AO401" s="4">
        <v>49.259</v>
      </c>
      <c r="AP401" s="4">
        <v>24.170200000000001</v>
      </c>
      <c r="AQ401" s="4">
        <v>22.224399999999999</v>
      </c>
      <c r="AR401" s="4">
        <v>7.9183000000000003</v>
      </c>
      <c r="AS401" s="4">
        <v>6.5567000000000002</v>
      </c>
      <c r="AT401" s="4">
        <v>7.2532300000000003</v>
      </c>
      <c r="AU401" s="4">
        <v>1.7350699999999999</v>
      </c>
      <c r="AV401" s="4">
        <v>4.0294000000000003E-2</v>
      </c>
      <c r="AW401" s="4">
        <v>-5.9900000000000003E-4</v>
      </c>
      <c r="AX401" s="4">
        <v>6.4469999999999996E-3</v>
      </c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1" t="s">
        <v>3599</v>
      </c>
      <c r="BJ401" s="1" t="s">
        <v>3929</v>
      </c>
      <c r="BK401" s="1">
        <v>1</v>
      </c>
      <c r="BL401" s="1"/>
      <c r="BM401" s="1" t="s">
        <v>497</v>
      </c>
      <c r="BN401" s="1" t="s">
        <v>2858</v>
      </c>
      <c r="BO401" s="1" t="s">
        <v>2859</v>
      </c>
      <c r="BP401" s="1">
        <v>6.31</v>
      </c>
      <c r="BQ401" s="1" t="s">
        <v>1003</v>
      </c>
      <c r="BR401" s="1">
        <v>23.3688</v>
      </c>
      <c r="BS401" s="1">
        <v>121.693</v>
      </c>
      <c r="BT401" s="1">
        <v>33.369999999999997</v>
      </c>
      <c r="BU401" s="1" t="s">
        <v>1028</v>
      </c>
      <c r="BV401" s="1" t="s">
        <v>2834</v>
      </c>
      <c r="BW401" s="1">
        <v>218</v>
      </c>
      <c r="BX401" s="1">
        <v>38</v>
      </c>
      <c r="BY401" s="1">
        <v>108</v>
      </c>
      <c r="BZ401" s="1">
        <v>15</v>
      </c>
      <c r="CA401" s="1">
        <v>54</v>
      </c>
      <c r="CB401" s="1">
        <v>76</v>
      </c>
      <c r="CC401" s="1" t="s">
        <v>2808</v>
      </c>
      <c r="CD401" s="1" t="s">
        <v>731</v>
      </c>
      <c r="CE401" s="1"/>
      <c r="CF401" s="1"/>
      <c r="CG401" s="1"/>
      <c r="CH401" s="1"/>
      <c r="CI401" s="1"/>
      <c r="CJ401" s="1" t="s">
        <v>2812</v>
      </c>
      <c r="CK401" t="s">
        <v>1263</v>
      </c>
      <c r="CL401">
        <v>158</v>
      </c>
      <c r="CM401" t="s">
        <v>2861</v>
      </c>
    </row>
    <row r="402" spans="1:91" ht="19" customHeight="1">
      <c r="A402" s="1" t="s">
        <v>3930</v>
      </c>
      <c r="B402" s="1" t="s">
        <v>3597</v>
      </c>
      <c r="C402" s="1">
        <v>159</v>
      </c>
      <c r="D402" s="1" t="s">
        <v>498</v>
      </c>
      <c r="E402" s="1">
        <v>1999</v>
      </c>
      <c r="F402" s="1" t="s">
        <v>1100</v>
      </c>
      <c r="G402" s="1" t="s">
        <v>1961</v>
      </c>
      <c r="H402" s="4">
        <v>23.6845</v>
      </c>
      <c r="I402" s="4">
        <v>121.48269999999999</v>
      </c>
      <c r="J402" s="1" t="s">
        <v>1404</v>
      </c>
      <c r="K402" s="1" t="s">
        <v>70</v>
      </c>
      <c r="L402" s="1" t="s">
        <v>1962</v>
      </c>
      <c r="M402" s="1" t="s">
        <v>3598</v>
      </c>
      <c r="N402" s="1"/>
      <c r="O402" s="1" t="s">
        <v>3095</v>
      </c>
      <c r="P402" s="1"/>
      <c r="Q402" s="4">
        <v>6.31</v>
      </c>
      <c r="R402" s="4"/>
      <c r="S402" s="4"/>
      <c r="T402" s="4"/>
      <c r="U402" s="4"/>
      <c r="V402" s="4">
        <v>50.002400000000002</v>
      </c>
      <c r="W402" s="4"/>
      <c r="X402" s="4"/>
      <c r="Y402" s="4"/>
      <c r="Z402" s="4"/>
      <c r="AA402" s="4"/>
      <c r="AB402" s="4" t="s">
        <v>1028</v>
      </c>
      <c r="AC402" s="4"/>
      <c r="AD402" s="4">
        <v>23.3688</v>
      </c>
      <c r="AE402" s="4">
        <v>121.693</v>
      </c>
      <c r="AF402" s="4">
        <v>33.369999999999997</v>
      </c>
      <c r="AG402" s="4">
        <v>392.75</v>
      </c>
      <c r="AH402" s="27" t="b">
        <v>1</v>
      </c>
      <c r="AI402" s="4">
        <v>2.2890000000000001</v>
      </c>
      <c r="AJ402" s="27" t="b">
        <v>0</v>
      </c>
      <c r="AK402" s="4"/>
      <c r="AL402" s="27" t="b">
        <v>0</v>
      </c>
      <c r="AM402" s="4">
        <v>190.522212</v>
      </c>
      <c r="AN402" s="4">
        <v>160.875992</v>
      </c>
      <c r="AO402" s="4">
        <v>73.012427000000002</v>
      </c>
      <c r="AP402" s="4">
        <v>29.963384999999999</v>
      </c>
      <c r="AQ402" s="4">
        <v>22.835065</v>
      </c>
      <c r="AR402" s="4">
        <v>7.6229849999999999</v>
      </c>
      <c r="AS402" s="4">
        <v>7.2695049999999997</v>
      </c>
      <c r="AT402" s="4">
        <v>5.0520509999999996</v>
      </c>
      <c r="AU402" s="4">
        <v>1.9893730000000001</v>
      </c>
      <c r="AV402" s="4">
        <v>-5.1596999999999997E-2</v>
      </c>
      <c r="AW402" s="4">
        <v>-1.7943000000000001E-2</v>
      </c>
      <c r="AX402" s="4">
        <v>-2.6904999999999998E-2</v>
      </c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1" t="s">
        <v>3599</v>
      </c>
      <c r="BJ402" s="1" t="s">
        <v>3931</v>
      </c>
      <c r="BK402" s="1">
        <v>1</v>
      </c>
      <c r="BL402" s="1"/>
      <c r="BM402" s="1" t="s">
        <v>497</v>
      </c>
      <c r="BN402" s="1" t="s">
        <v>2858</v>
      </c>
      <c r="BO402" s="1" t="s">
        <v>2859</v>
      </c>
      <c r="BP402" s="1">
        <v>6.31</v>
      </c>
      <c r="BQ402" s="1" t="s">
        <v>1003</v>
      </c>
      <c r="BR402" s="1">
        <v>23.3688</v>
      </c>
      <c r="BS402" s="1">
        <v>121.693</v>
      </c>
      <c r="BT402" s="1">
        <v>33.369999999999997</v>
      </c>
      <c r="BU402" s="1" t="s">
        <v>1028</v>
      </c>
      <c r="BV402" s="1" t="s">
        <v>2834</v>
      </c>
      <c r="BW402" s="1">
        <v>218</v>
      </c>
      <c r="BX402" s="1">
        <v>38</v>
      </c>
      <c r="BY402" s="1">
        <v>108</v>
      </c>
      <c r="BZ402" s="1">
        <v>15</v>
      </c>
      <c r="CA402" s="1">
        <v>54</v>
      </c>
      <c r="CB402" s="1">
        <v>76</v>
      </c>
      <c r="CC402" s="1" t="s">
        <v>2808</v>
      </c>
      <c r="CD402" s="1" t="s">
        <v>731</v>
      </c>
      <c r="CE402" s="1"/>
      <c r="CF402" s="1"/>
      <c r="CG402" s="1"/>
      <c r="CH402" s="1"/>
      <c r="CI402" s="1"/>
      <c r="CJ402" s="1" t="s">
        <v>2812</v>
      </c>
      <c r="CK402" t="s">
        <v>1263</v>
      </c>
      <c r="CL402">
        <v>159</v>
      </c>
      <c r="CM402" t="s">
        <v>2861</v>
      </c>
    </row>
    <row r="403" spans="1:91" ht="19" customHeight="1">
      <c r="A403" s="1" t="s">
        <v>3932</v>
      </c>
      <c r="B403" s="1" t="s">
        <v>3597</v>
      </c>
      <c r="C403" s="1">
        <v>160</v>
      </c>
      <c r="D403" s="1" t="s">
        <v>498</v>
      </c>
      <c r="E403" s="1">
        <v>1999</v>
      </c>
      <c r="F403" s="1" t="s">
        <v>1101</v>
      </c>
      <c r="G403" s="1" t="s">
        <v>1969</v>
      </c>
      <c r="H403" s="4">
        <v>23.993167</v>
      </c>
      <c r="I403" s="4">
        <v>121.5645</v>
      </c>
      <c r="J403" s="1" t="s">
        <v>1404</v>
      </c>
      <c r="K403" s="1" t="s">
        <v>70</v>
      </c>
      <c r="L403" s="1" t="s">
        <v>1970</v>
      </c>
      <c r="M403" s="1" t="s">
        <v>3598</v>
      </c>
      <c r="N403" s="1"/>
      <c r="O403" s="1" t="s">
        <v>3095</v>
      </c>
      <c r="P403" s="1"/>
      <c r="Q403" s="4">
        <v>6.31</v>
      </c>
      <c r="R403" s="4"/>
      <c r="S403" s="4"/>
      <c r="T403" s="4"/>
      <c r="U403" s="4"/>
      <c r="V403" s="4">
        <v>66.086511999999999</v>
      </c>
      <c r="W403" s="4"/>
      <c r="X403" s="4"/>
      <c r="Y403" s="4"/>
      <c r="Z403" s="4"/>
      <c r="AA403" s="4"/>
      <c r="AB403" s="4" t="s">
        <v>1028</v>
      </c>
      <c r="AC403" s="4"/>
      <c r="AD403" s="4">
        <v>23.3688</v>
      </c>
      <c r="AE403" s="4">
        <v>121.693</v>
      </c>
      <c r="AF403" s="4">
        <v>33.369999999999997</v>
      </c>
      <c r="AG403" s="4">
        <v>509.33786099999998</v>
      </c>
      <c r="AH403" s="27" t="b">
        <v>1</v>
      </c>
      <c r="AI403" s="4">
        <v>1.7584</v>
      </c>
      <c r="AJ403" s="27" t="b">
        <v>0</v>
      </c>
      <c r="AK403" s="4"/>
      <c r="AL403" s="27" t="b">
        <v>0</v>
      </c>
      <c r="AM403" s="4">
        <v>102.13500000000001</v>
      </c>
      <c r="AN403" s="4">
        <v>105.68300000000001</v>
      </c>
      <c r="AO403" s="4">
        <v>39.069000000000003</v>
      </c>
      <c r="AP403" s="4">
        <v>23.041699999999999</v>
      </c>
      <c r="AQ403" s="4">
        <v>21.7379</v>
      </c>
      <c r="AR403" s="4">
        <v>4.7935999999999996</v>
      </c>
      <c r="AS403" s="4">
        <v>6.8311700000000002</v>
      </c>
      <c r="AT403" s="4">
        <v>5.9106100000000001</v>
      </c>
      <c r="AU403" s="4">
        <v>1.3918699999999999</v>
      </c>
      <c r="AV403" s="4">
        <v>2.5838E-2</v>
      </c>
      <c r="AW403" s="4">
        <v>2.845E-2</v>
      </c>
      <c r="AX403" s="4">
        <v>-1.1417E-2</v>
      </c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1" t="s">
        <v>3599</v>
      </c>
      <c r="BJ403" s="1" t="s">
        <v>3933</v>
      </c>
      <c r="BK403" s="1">
        <v>1</v>
      </c>
      <c r="BL403" s="1"/>
      <c r="BM403" s="1" t="s">
        <v>497</v>
      </c>
      <c r="BN403" s="1" t="s">
        <v>2858</v>
      </c>
      <c r="BO403" s="1" t="s">
        <v>2859</v>
      </c>
      <c r="BP403" s="1">
        <v>6.31</v>
      </c>
      <c r="BQ403" s="1" t="s">
        <v>1003</v>
      </c>
      <c r="BR403" s="1">
        <v>23.3688</v>
      </c>
      <c r="BS403" s="1">
        <v>121.693</v>
      </c>
      <c r="BT403" s="1">
        <v>33.369999999999997</v>
      </c>
      <c r="BU403" s="1" t="s">
        <v>1028</v>
      </c>
      <c r="BV403" s="1" t="s">
        <v>2834</v>
      </c>
      <c r="BW403" s="1">
        <v>218</v>
      </c>
      <c r="BX403" s="1">
        <v>38</v>
      </c>
      <c r="BY403" s="1">
        <v>108</v>
      </c>
      <c r="BZ403" s="1">
        <v>15</v>
      </c>
      <c r="CA403" s="1">
        <v>54</v>
      </c>
      <c r="CB403" s="1">
        <v>76</v>
      </c>
      <c r="CC403" s="1" t="s">
        <v>2808</v>
      </c>
      <c r="CD403" s="1" t="s">
        <v>731</v>
      </c>
      <c r="CE403" s="1"/>
      <c r="CF403" s="1"/>
      <c r="CG403" s="1"/>
      <c r="CH403" s="1"/>
      <c r="CI403" s="1"/>
      <c r="CJ403" s="1" t="s">
        <v>2812</v>
      </c>
      <c r="CK403" t="s">
        <v>1263</v>
      </c>
      <c r="CL403">
        <v>160</v>
      </c>
      <c r="CM403" t="s">
        <v>2861</v>
      </c>
    </row>
    <row r="404" spans="1:91" ht="19" customHeight="1">
      <c r="A404" s="1" t="s">
        <v>3934</v>
      </c>
      <c r="B404" s="1" t="s">
        <v>3597</v>
      </c>
      <c r="C404" s="1">
        <v>161</v>
      </c>
      <c r="D404" s="1" t="s">
        <v>498</v>
      </c>
      <c r="E404" s="1">
        <v>1999</v>
      </c>
      <c r="F404" s="1" t="s">
        <v>1102</v>
      </c>
      <c r="G404" s="1" t="s">
        <v>1974</v>
      </c>
      <c r="H404" s="4">
        <v>23.867667000000001</v>
      </c>
      <c r="I404" s="4">
        <v>121.556833</v>
      </c>
      <c r="J404" s="1" t="s">
        <v>1404</v>
      </c>
      <c r="K404" s="1" t="s">
        <v>70</v>
      </c>
      <c r="L404" s="1" t="s">
        <v>1975</v>
      </c>
      <c r="M404" s="1" t="s">
        <v>3598</v>
      </c>
      <c r="N404" s="1"/>
      <c r="O404" s="1" t="s">
        <v>3095</v>
      </c>
      <c r="P404" s="1"/>
      <c r="Q404" s="4">
        <v>6.31</v>
      </c>
      <c r="R404" s="4"/>
      <c r="S404" s="4"/>
      <c r="T404" s="4"/>
      <c r="U404" s="4"/>
      <c r="V404" s="4">
        <v>56.635292999999997</v>
      </c>
      <c r="W404" s="4"/>
      <c r="X404" s="4"/>
      <c r="Y404" s="4"/>
      <c r="Z404" s="4"/>
      <c r="AA404" s="4"/>
      <c r="AB404" s="4" t="s">
        <v>1028</v>
      </c>
      <c r="AC404" s="4"/>
      <c r="AD404" s="4">
        <v>23.3688</v>
      </c>
      <c r="AE404" s="4">
        <v>121.693</v>
      </c>
      <c r="AF404" s="4">
        <v>33.369999999999997</v>
      </c>
      <c r="AG404" s="4">
        <v>449.74209999999999</v>
      </c>
      <c r="AH404" s="27" t="b">
        <v>1</v>
      </c>
      <c r="AI404" s="4">
        <v>1.2096</v>
      </c>
      <c r="AJ404" s="27" t="b">
        <v>0</v>
      </c>
      <c r="AK404" s="4"/>
      <c r="AL404" s="27" t="b">
        <v>0</v>
      </c>
      <c r="AM404" s="4">
        <v>231.03299999999999</v>
      </c>
      <c r="AN404" s="4">
        <v>273.92700000000002</v>
      </c>
      <c r="AO404" s="4">
        <v>78.790999999999997</v>
      </c>
      <c r="AP404" s="4">
        <v>32.348300000000002</v>
      </c>
      <c r="AQ404" s="4">
        <v>36.354700000000001</v>
      </c>
      <c r="AR404" s="4">
        <v>8.3910699999999991</v>
      </c>
      <c r="AS404" s="4">
        <v>4.64541</v>
      </c>
      <c r="AT404" s="4">
        <v>5.6870000000000003</v>
      </c>
      <c r="AU404" s="4">
        <v>2.1261399999999999</v>
      </c>
      <c r="AV404" s="4">
        <v>-1.0664E-2</v>
      </c>
      <c r="AW404" s="4">
        <v>-6.2001000000000001E-2</v>
      </c>
      <c r="AX404" s="4">
        <v>-6.4989999999999996E-3</v>
      </c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1" t="s">
        <v>3599</v>
      </c>
      <c r="BJ404" s="1" t="s">
        <v>3935</v>
      </c>
      <c r="BK404" s="1">
        <v>1</v>
      </c>
      <c r="BL404" s="1"/>
      <c r="BM404" s="1" t="s">
        <v>497</v>
      </c>
      <c r="BN404" s="1" t="s">
        <v>2858</v>
      </c>
      <c r="BO404" s="1" t="s">
        <v>2859</v>
      </c>
      <c r="BP404" s="1">
        <v>6.31</v>
      </c>
      <c r="BQ404" s="1" t="s">
        <v>1003</v>
      </c>
      <c r="BR404" s="1">
        <v>23.3688</v>
      </c>
      <c r="BS404" s="1">
        <v>121.693</v>
      </c>
      <c r="BT404" s="1">
        <v>33.369999999999997</v>
      </c>
      <c r="BU404" s="1" t="s">
        <v>1028</v>
      </c>
      <c r="BV404" s="1" t="s">
        <v>2834</v>
      </c>
      <c r="BW404" s="1">
        <v>218</v>
      </c>
      <c r="BX404" s="1">
        <v>38</v>
      </c>
      <c r="BY404" s="1">
        <v>108</v>
      </c>
      <c r="BZ404" s="1">
        <v>15</v>
      </c>
      <c r="CA404" s="1">
        <v>54</v>
      </c>
      <c r="CB404" s="1">
        <v>76</v>
      </c>
      <c r="CC404" s="1" t="s">
        <v>2808</v>
      </c>
      <c r="CD404" s="1" t="s">
        <v>731</v>
      </c>
      <c r="CE404" s="1"/>
      <c r="CF404" s="1"/>
      <c r="CG404" s="1"/>
      <c r="CH404" s="1"/>
      <c r="CI404" s="1"/>
      <c r="CJ404" s="1" t="s">
        <v>2812</v>
      </c>
      <c r="CK404" t="s">
        <v>1263</v>
      </c>
      <c r="CL404">
        <v>161</v>
      </c>
      <c r="CM404" t="s">
        <v>2861</v>
      </c>
    </row>
    <row r="405" spans="1:91" ht="19" customHeight="1">
      <c r="A405" s="1" t="s">
        <v>3936</v>
      </c>
      <c r="B405" s="1" t="s">
        <v>3597</v>
      </c>
      <c r="C405" s="1">
        <v>162</v>
      </c>
      <c r="D405" s="1" t="s">
        <v>498</v>
      </c>
      <c r="E405" s="1">
        <v>1999</v>
      </c>
      <c r="F405" s="1" t="s">
        <v>1103</v>
      </c>
      <c r="G405" s="1" t="s">
        <v>1976</v>
      </c>
      <c r="H405" s="4">
        <v>23.320667</v>
      </c>
      <c r="I405" s="4">
        <v>121.34</v>
      </c>
      <c r="J405" s="1" t="s">
        <v>1404</v>
      </c>
      <c r="K405" s="1" t="s">
        <v>70</v>
      </c>
      <c r="L405" s="1" t="s">
        <v>1977</v>
      </c>
      <c r="M405" s="1" t="s">
        <v>3598</v>
      </c>
      <c r="N405" s="1"/>
      <c r="O405" s="1" t="s">
        <v>3095</v>
      </c>
      <c r="P405" s="1"/>
      <c r="Q405" s="4">
        <v>6.31</v>
      </c>
      <c r="R405" s="4"/>
      <c r="S405" s="4"/>
      <c r="T405" s="4"/>
      <c r="U405" s="4"/>
      <c r="V405" s="4">
        <v>44.863613999999998</v>
      </c>
      <c r="W405" s="4"/>
      <c r="X405" s="4"/>
      <c r="Y405" s="4"/>
      <c r="Z405" s="4"/>
      <c r="AA405" s="4"/>
      <c r="AB405" s="4" t="s">
        <v>1028</v>
      </c>
      <c r="AC405" s="4"/>
      <c r="AD405" s="4">
        <v>23.3688</v>
      </c>
      <c r="AE405" s="4">
        <v>121.693</v>
      </c>
      <c r="AF405" s="4">
        <v>33.369999999999997</v>
      </c>
      <c r="AG405" s="4">
        <v>524.43438100000003</v>
      </c>
      <c r="AH405" s="27" t="b">
        <v>1</v>
      </c>
      <c r="AI405" s="4">
        <v>2.1055999999999999</v>
      </c>
      <c r="AJ405" s="27" t="b">
        <v>0</v>
      </c>
      <c r="AK405" s="4"/>
      <c r="AL405" s="27" t="b">
        <v>0</v>
      </c>
      <c r="AM405" s="4">
        <v>116.005</v>
      </c>
      <c r="AN405" s="4">
        <v>76.872</v>
      </c>
      <c r="AO405" s="4">
        <v>43.488999999999997</v>
      </c>
      <c r="AP405" s="4">
        <v>23.41</v>
      </c>
      <c r="AQ405" s="4">
        <v>9.2576999999999998</v>
      </c>
      <c r="AR405" s="4">
        <v>5.5997199999999996</v>
      </c>
      <c r="AS405" s="4">
        <v>7.2303600000000001</v>
      </c>
      <c r="AT405" s="4">
        <v>2.6974100000000001</v>
      </c>
      <c r="AU405" s="4">
        <v>1.88175</v>
      </c>
      <c r="AV405" s="4">
        <v>-2.4649999999999998E-2</v>
      </c>
      <c r="AW405" s="4">
        <v>-3.5633999999999999E-2</v>
      </c>
      <c r="AX405" s="4">
        <v>1.256E-3</v>
      </c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1" t="s">
        <v>3599</v>
      </c>
      <c r="BJ405" s="1" t="s">
        <v>3937</v>
      </c>
      <c r="BK405" s="1">
        <v>1</v>
      </c>
      <c r="BL405" s="1"/>
      <c r="BM405" s="1" t="s">
        <v>497</v>
      </c>
      <c r="BN405" s="1" t="s">
        <v>2858</v>
      </c>
      <c r="BO405" s="1" t="s">
        <v>2859</v>
      </c>
      <c r="BP405" s="1">
        <v>6.31</v>
      </c>
      <c r="BQ405" s="1" t="s">
        <v>1003</v>
      </c>
      <c r="BR405" s="1">
        <v>23.3688</v>
      </c>
      <c r="BS405" s="1">
        <v>121.693</v>
      </c>
      <c r="BT405" s="1">
        <v>33.369999999999997</v>
      </c>
      <c r="BU405" s="1" t="s">
        <v>1028</v>
      </c>
      <c r="BV405" s="1" t="s">
        <v>2834</v>
      </c>
      <c r="BW405" s="1">
        <v>218</v>
      </c>
      <c r="BX405" s="1">
        <v>38</v>
      </c>
      <c r="BY405" s="1">
        <v>108</v>
      </c>
      <c r="BZ405" s="1">
        <v>15</v>
      </c>
      <c r="CA405" s="1">
        <v>54</v>
      </c>
      <c r="CB405" s="1">
        <v>76</v>
      </c>
      <c r="CC405" s="1" t="s">
        <v>2808</v>
      </c>
      <c r="CD405" s="1" t="s">
        <v>731</v>
      </c>
      <c r="CE405" s="1"/>
      <c r="CF405" s="1"/>
      <c r="CG405" s="1"/>
      <c r="CH405" s="1"/>
      <c r="CI405" s="1"/>
      <c r="CJ405" s="1" t="s">
        <v>2812</v>
      </c>
      <c r="CK405" t="s">
        <v>1263</v>
      </c>
      <c r="CL405">
        <v>162</v>
      </c>
      <c r="CM405" t="s">
        <v>2861</v>
      </c>
    </row>
    <row r="406" spans="1:91" ht="19" customHeight="1">
      <c r="A406" s="1" t="s">
        <v>3938</v>
      </c>
      <c r="B406" s="1" t="s">
        <v>3597</v>
      </c>
      <c r="C406" s="1">
        <v>163</v>
      </c>
      <c r="D406" s="1" t="s">
        <v>498</v>
      </c>
      <c r="E406" s="1">
        <v>1999</v>
      </c>
      <c r="F406" s="1" t="s">
        <v>1104</v>
      </c>
      <c r="G406" s="1" t="s">
        <v>1978</v>
      </c>
      <c r="H406" s="4">
        <v>23.870667000000001</v>
      </c>
      <c r="I406" s="4">
        <v>121.507333</v>
      </c>
      <c r="J406" s="1" t="s">
        <v>1404</v>
      </c>
      <c r="K406" s="1" t="s">
        <v>70</v>
      </c>
      <c r="L406" s="1" t="s">
        <v>1979</v>
      </c>
      <c r="M406" s="1" t="s">
        <v>3598</v>
      </c>
      <c r="N406" s="1"/>
      <c r="O406" s="1" t="s">
        <v>3095</v>
      </c>
      <c r="P406" s="1"/>
      <c r="Q406" s="4">
        <v>6.31</v>
      </c>
      <c r="R406" s="4"/>
      <c r="S406" s="4"/>
      <c r="T406" s="4"/>
      <c r="U406" s="4"/>
      <c r="V406" s="4">
        <v>58.750827999999998</v>
      </c>
      <c r="W406" s="4"/>
      <c r="X406" s="4"/>
      <c r="Y406" s="4"/>
      <c r="Z406" s="4"/>
      <c r="AA406" s="4"/>
      <c r="AB406" s="4" t="s">
        <v>1028</v>
      </c>
      <c r="AC406" s="4"/>
      <c r="AD406" s="4">
        <v>23.3688</v>
      </c>
      <c r="AE406" s="4">
        <v>121.693</v>
      </c>
      <c r="AF406" s="4">
        <v>33.369999999999997</v>
      </c>
      <c r="AG406" s="4">
        <v>265.84413000000001</v>
      </c>
      <c r="AH406" s="27" t="b">
        <v>1</v>
      </c>
      <c r="AI406" s="4">
        <v>1.351</v>
      </c>
      <c r="AJ406" s="27" t="b">
        <v>0</v>
      </c>
      <c r="AK406" s="4"/>
      <c r="AL406" s="27" t="b">
        <v>0</v>
      </c>
      <c r="AM406" s="4">
        <v>199.49100000000001</v>
      </c>
      <c r="AN406" s="4">
        <v>177.00200000000001</v>
      </c>
      <c r="AO406" s="4">
        <v>46.612000000000002</v>
      </c>
      <c r="AP406" s="4">
        <v>28.888300000000001</v>
      </c>
      <c r="AQ406" s="4">
        <v>24.6404</v>
      </c>
      <c r="AR406" s="4">
        <v>4.45648</v>
      </c>
      <c r="AS406" s="4">
        <v>4.1393800000000001</v>
      </c>
      <c r="AT406" s="4">
        <v>4.07287</v>
      </c>
      <c r="AU406" s="4">
        <v>1.01569</v>
      </c>
      <c r="AV406" s="4">
        <v>4.1968999999999999E-2</v>
      </c>
      <c r="AW406" s="4">
        <v>-1.0937000000000001E-2</v>
      </c>
      <c r="AX406" s="4">
        <v>3.4459999999999998E-2</v>
      </c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1" t="s">
        <v>3599</v>
      </c>
      <c r="BJ406" s="1" t="s">
        <v>3939</v>
      </c>
      <c r="BK406" s="1">
        <v>1</v>
      </c>
      <c r="BL406" s="1"/>
      <c r="BM406" s="1" t="s">
        <v>497</v>
      </c>
      <c r="BN406" s="1" t="s">
        <v>2858</v>
      </c>
      <c r="BO406" s="1" t="s">
        <v>2859</v>
      </c>
      <c r="BP406" s="1">
        <v>6.31</v>
      </c>
      <c r="BQ406" s="1" t="s">
        <v>1003</v>
      </c>
      <c r="BR406" s="1">
        <v>23.3688</v>
      </c>
      <c r="BS406" s="1">
        <v>121.693</v>
      </c>
      <c r="BT406" s="1">
        <v>33.369999999999997</v>
      </c>
      <c r="BU406" s="1" t="s">
        <v>1028</v>
      </c>
      <c r="BV406" s="1" t="s">
        <v>2834</v>
      </c>
      <c r="BW406" s="1">
        <v>218</v>
      </c>
      <c r="BX406" s="1">
        <v>38</v>
      </c>
      <c r="BY406" s="1">
        <v>108</v>
      </c>
      <c r="BZ406" s="1">
        <v>15</v>
      </c>
      <c r="CA406" s="1">
        <v>54</v>
      </c>
      <c r="CB406" s="1">
        <v>76</v>
      </c>
      <c r="CC406" s="1" t="s">
        <v>2808</v>
      </c>
      <c r="CD406" s="1" t="s">
        <v>731</v>
      </c>
      <c r="CE406" s="1"/>
      <c r="CF406" s="1"/>
      <c r="CG406" s="1"/>
      <c r="CH406" s="1"/>
      <c r="CI406" s="1"/>
      <c r="CJ406" s="1" t="s">
        <v>2812</v>
      </c>
      <c r="CK406" t="s">
        <v>1263</v>
      </c>
      <c r="CL406">
        <v>163</v>
      </c>
      <c r="CM406" t="s">
        <v>2861</v>
      </c>
    </row>
    <row r="407" spans="1:91" ht="19" customHeight="1">
      <c r="A407" s="1" t="s">
        <v>3940</v>
      </c>
      <c r="B407" s="1" t="s">
        <v>3597</v>
      </c>
      <c r="C407" s="1">
        <v>164</v>
      </c>
      <c r="D407" s="1" t="s">
        <v>1105</v>
      </c>
      <c r="E407" s="1">
        <v>1999</v>
      </c>
      <c r="F407" s="1" t="s">
        <v>925</v>
      </c>
      <c r="G407" s="1" t="s">
        <v>1743</v>
      </c>
      <c r="H407" s="4">
        <v>40.823599999999999</v>
      </c>
      <c r="I407" s="4">
        <v>29.360700000000001</v>
      </c>
      <c r="J407" s="1" t="s">
        <v>1404</v>
      </c>
      <c r="K407" s="1" t="s">
        <v>70</v>
      </c>
      <c r="L407" s="1" t="s">
        <v>1745</v>
      </c>
      <c r="M407" s="1" t="s">
        <v>3598</v>
      </c>
      <c r="N407" s="1"/>
      <c r="O407" s="1" t="s">
        <v>3095</v>
      </c>
      <c r="P407" s="1"/>
      <c r="Q407" s="4">
        <v>7.5</v>
      </c>
      <c r="R407" s="4"/>
      <c r="S407" s="4"/>
      <c r="T407" s="4"/>
      <c r="U407" s="4"/>
      <c r="V407" s="4">
        <v>13.49</v>
      </c>
      <c r="W407" s="4"/>
      <c r="X407" s="4"/>
      <c r="Y407" s="4"/>
      <c r="Z407" s="4"/>
      <c r="AA407" s="4"/>
      <c r="AB407" s="4" t="s">
        <v>1032</v>
      </c>
      <c r="AC407" s="4"/>
      <c r="AD407" s="4">
        <v>40.747999999999998</v>
      </c>
      <c r="AE407" s="4">
        <v>29.99</v>
      </c>
      <c r="AF407" s="4">
        <v>16</v>
      </c>
      <c r="AG407" s="4">
        <v>523</v>
      </c>
      <c r="AH407" s="27" t="b">
        <v>1</v>
      </c>
      <c r="AI407" s="4">
        <v>7.7910000000000004</v>
      </c>
      <c r="AJ407" s="27" t="b">
        <v>0</v>
      </c>
      <c r="AK407" s="4"/>
      <c r="AL407" s="27" t="b">
        <v>0</v>
      </c>
      <c r="AM407" s="4">
        <v>206.09200000000001</v>
      </c>
      <c r="AN407" s="4">
        <v>131.648</v>
      </c>
      <c r="AO407" s="4">
        <v>81.254900000000006</v>
      </c>
      <c r="AP407" s="4">
        <v>13.954800000000001</v>
      </c>
      <c r="AQ407" s="4">
        <v>40.076300000000003</v>
      </c>
      <c r="AR407" s="4">
        <v>8.0054700000000008</v>
      </c>
      <c r="AS407" s="4">
        <v>14.3108</v>
      </c>
      <c r="AT407" s="4">
        <v>37.205199999999998</v>
      </c>
      <c r="AU407" s="4">
        <v>7.3169199999999996</v>
      </c>
      <c r="AV407" s="4">
        <v>1.00942</v>
      </c>
      <c r="AW407" s="4">
        <v>-1.2544999999999999</v>
      </c>
      <c r="AX407" s="4">
        <v>0.16725400000000001</v>
      </c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1" t="s">
        <v>3599</v>
      </c>
      <c r="BJ407" s="1" t="s">
        <v>3941</v>
      </c>
      <c r="BK407" s="1">
        <v>1</v>
      </c>
      <c r="BL407" s="1"/>
      <c r="BM407" s="1" t="s">
        <v>208</v>
      </c>
      <c r="BN407" s="1" t="s">
        <v>2735</v>
      </c>
      <c r="BO407" s="1" t="s">
        <v>2736</v>
      </c>
      <c r="BP407" s="1">
        <v>7.5</v>
      </c>
      <c r="BQ407" s="1" t="s">
        <v>1003</v>
      </c>
      <c r="BR407" s="1">
        <v>40.747999999999998</v>
      </c>
      <c r="BS407" s="1">
        <v>29.99</v>
      </c>
      <c r="BT407" s="1">
        <v>16</v>
      </c>
      <c r="BU407" s="1" t="s">
        <v>1032</v>
      </c>
      <c r="BV407" s="1" t="s">
        <v>2834</v>
      </c>
      <c r="BW407" s="1">
        <v>178</v>
      </c>
      <c r="BX407" s="1">
        <v>74</v>
      </c>
      <c r="BY407" s="1">
        <v>9</v>
      </c>
      <c r="BZ407" s="1">
        <v>85</v>
      </c>
      <c r="CA407" s="1">
        <v>81</v>
      </c>
      <c r="CB407" s="1">
        <v>163</v>
      </c>
      <c r="CC407" s="1" t="s">
        <v>2808</v>
      </c>
      <c r="CD407" s="1" t="s">
        <v>862</v>
      </c>
      <c r="CE407" s="1">
        <v>1</v>
      </c>
      <c r="CF407" s="1">
        <v>7.53</v>
      </c>
      <c r="CG407" s="1">
        <v>7.2274000000000003</v>
      </c>
      <c r="CH407" s="1">
        <v>5880</v>
      </c>
      <c r="CI407" s="1" t="s">
        <v>926</v>
      </c>
      <c r="CJ407" s="1" t="s">
        <v>2812</v>
      </c>
      <c r="CK407" t="s">
        <v>1263</v>
      </c>
      <c r="CL407">
        <v>164</v>
      </c>
      <c r="CM407" t="s">
        <v>2863</v>
      </c>
    </row>
    <row r="408" spans="1:91" ht="19" customHeight="1">
      <c r="A408" s="1" t="s">
        <v>3942</v>
      </c>
      <c r="B408" s="1" t="s">
        <v>3597</v>
      </c>
      <c r="C408" s="1">
        <v>165</v>
      </c>
      <c r="D408" s="1" t="s">
        <v>1105</v>
      </c>
      <c r="E408" s="1">
        <v>1999</v>
      </c>
      <c r="F408" s="1" t="s">
        <v>927</v>
      </c>
      <c r="G408" s="1" t="s">
        <v>1751</v>
      </c>
      <c r="H408" s="4">
        <v>40.82</v>
      </c>
      <c r="I408" s="4">
        <v>29.44</v>
      </c>
      <c r="J408" s="1" t="s">
        <v>1404</v>
      </c>
      <c r="K408" s="1" t="s">
        <v>70</v>
      </c>
      <c r="L408" s="1" t="s">
        <v>1753</v>
      </c>
      <c r="M408" s="1" t="s">
        <v>3598</v>
      </c>
      <c r="N408" s="1"/>
      <c r="O408" s="1" t="s">
        <v>3095</v>
      </c>
      <c r="P408" s="1"/>
      <c r="Q408" s="4">
        <v>7.5</v>
      </c>
      <c r="R408" s="4"/>
      <c r="S408" s="4"/>
      <c r="T408" s="4"/>
      <c r="U408" s="4"/>
      <c r="V408" s="4">
        <v>10.92</v>
      </c>
      <c r="W408" s="4"/>
      <c r="X408" s="4"/>
      <c r="Y408" s="4"/>
      <c r="Z408" s="4"/>
      <c r="AA408" s="4"/>
      <c r="AB408" s="4" t="s">
        <v>1032</v>
      </c>
      <c r="AC408" s="4"/>
      <c r="AD408" s="4">
        <v>40.747999999999998</v>
      </c>
      <c r="AE408" s="4">
        <v>29.99</v>
      </c>
      <c r="AF408" s="4">
        <v>16</v>
      </c>
      <c r="AG408" s="4">
        <v>792</v>
      </c>
      <c r="AH408" s="27" t="b">
        <v>1</v>
      </c>
      <c r="AI408" s="4">
        <v>5.992</v>
      </c>
      <c r="AJ408" s="27" t="b">
        <v>0</v>
      </c>
      <c r="AK408" s="4"/>
      <c r="AL408" s="27" t="b">
        <v>0</v>
      </c>
      <c r="AM408" s="4">
        <v>255.803</v>
      </c>
      <c r="AN408" s="4">
        <v>141.06200000000001</v>
      </c>
      <c r="AO408" s="4">
        <v>190.09899999999999</v>
      </c>
      <c r="AP408" s="4">
        <v>44.606299999999997</v>
      </c>
      <c r="AQ408" s="4">
        <v>32.670999999999999</v>
      </c>
      <c r="AR408" s="4">
        <v>14.1357</v>
      </c>
      <c r="AS408" s="4">
        <v>40.997300000000003</v>
      </c>
      <c r="AT408" s="4">
        <v>29.6645</v>
      </c>
      <c r="AU408" s="4">
        <v>5.8498299999999999</v>
      </c>
      <c r="AV408" s="4">
        <v>0.70683200000000002</v>
      </c>
      <c r="AW408" s="4">
        <v>-5.5607999999999998E-2</v>
      </c>
      <c r="AX408" s="4">
        <v>-0.694326</v>
      </c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1" t="s">
        <v>3599</v>
      </c>
      <c r="BJ408" s="1" t="s">
        <v>3943</v>
      </c>
      <c r="BK408" s="1">
        <v>1</v>
      </c>
      <c r="BL408" s="1"/>
      <c r="BM408" s="1" t="s">
        <v>208</v>
      </c>
      <c r="BN408" s="1" t="s">
        <v>2735</v>
      </c>
      <c r="BO408" s="1" t="s">
        <v>2736</v>
      </c>
      <c r="BP408" s="1">
        <v>7.5</v>
      </c>
      <c r="BQ408" s="1" t="s">
        <v>1003</v>
      </c>
      <c r="BR408" s="1">
        <v>40.747999999999998</v>
      </c>
      <c r="BS408" s="1">
        <v>29.99</v>
      </c>
      <c r="BT408" s="1">
        <v>16</v>
      </c>
      <c r="BU408" s="1" t="s">
        <v>1032</v>
      </c>
      <c r="BV408" s="1" t="s">
        <v>2834</v>
      </c>
      <c r="BW408" s="1">
        <v>178</v>
      </c>
      <c r="BX408" s="1">
        <v>74</v>
      </c>
      <c r="BY408" s="1">
        <v>9</v>
      </c>
      <c r="BZ408" s="1">
        <v>85</v>
      </c>
      <c r="CA408" s="1">
        <v>81</v>
      </c>
      <c r="CB408" s="1">
        <v>163</v>
      </c>
      <c r="CC408" s="1" t="s">
        <v>2808</v>
      </c>
      <c r="CD408" s="1" t="s">
        <v>862</v>
      </c>
      <c r="CE408" s="1">
        <v>1</v>
      </c>
      <c r="CF408" s="1">
        <v>7.53</v>
      </c>
      <c r="CG408" s="1">
        <v>7.2274000000000003</v>
      </c>
      <c r="CH408" s="1">
        <v>5880</v>
      </c>
      <c r="CI408" s="1" t="s">
        <v>926</v>
      </c>
      <c r="CJ408" s="1" t="s">
        <v>2812</v>
      </c>
      <c r="CK408" t="s">
        <v>1263</v>
      </c>
      <c r="CL408">
        <v>165</v>
      </c>
      <c r="CM408" t="s">
        <v>2863</v>
      </c>
    </row>
    <row r="409" spans="1:91" ht="19" customHeight="1">
      <c r="A409" s="1" t="s">
        <v>3944</v>
      </c>
      <c r="B409" s="1" t="s">
        <v>3597</v>
      </c>
      <c r="C409" s="1">
        <v>166</v>
      </c>
      <c r="D409" s="1" t="s">
        <v>1105</v>
      </c>
      <c r="E409" s="1">
        <v>1999</v>
      </c>
      <c r="F409" s="1" t="s">
        <v>928</v>
      </c>
      <c r="G409" s="1" t="s">
        <v>1757</v>
      </c>
      <c r="H409" s="4">
        <v>40.79</v>
      </c>
      <c r="I409" s="4">
        <v>29.96</v>
      </c>
      <c r="J409" s="1" t="s">
        <v>1404</v>
      </c>
      <c r="K409" s="1" t="s">
        <v>70</v>
      </c>
      <c r="L409" s="1" t="s">
        <v>1759</v>
      </c>
      <c r="M409" s="1" t="s">
        <v>3598</v>
      </c>
      <c r="N409" s="1"/>
      <c r="O409" s="1" t="s">
        <v>3095</v>
      </c>
      <c r="P409" s="1"/>
      <c r="Q409" s="4">
        <v>7.5</v>
      </c>
      <c r="R409" s="4"/>
      <c r="S409" s="4"/>
      <c r="T409" s="4"/>
      <c r="U409" s="4"/>
      <c r="V409" s="4">
        <v>7.21</v>
      </c>
      <c r="W409" s="4"/>
      <c r="X409" s="4"/>
      <c r="Y409" s="4"/>
      <c r="Z409" s="4"/>
      <c r="AA409" s="4"/>
      <c r="AB409" s="4" t="s">
        <v>1032</v>
      </c>
      <c r="AC409" s="4"/>
      <c r="AD409" s="4">
        <v>40.747999999999998</v>
      </c>
      <c r="AE409" s="4">
        <v>29.99</v>
      </c>
      <c r="AF409" s="4">
        <v>16</v>
      </c>
      <c r="AG409" s="4">
        <v>811</v>
      </c>
      <c r="AH409" s="27" t="b">
        <v>1</v>
      </c>
      <c r="AI409" s="4">
        <v>5.3689999999999998</v>
      </c>
      <c r="AJ409" s="27" t="b">
        <v>0</v>
      </c>
      <c r="AK409" s="4"/>
      <c r="AL409" s="27" t="b">
        <v>0</v>
      </c>
      <c r="AM409" s="4">
        <v>225.797</v>
      </c>
      <c r="AN409" s="4">
        <v>162.00899999999999</v>
      </c>
      <c r="AO409" s="4">
        <v>142.148</v>
      </c>
      <c r="AP409" s="4">
        <v>38.279800000000002</v>
      </c>
      <c r="AQ409" s="4">
        <v>22.3262</v>
      </c>
      <c r="AR409" s="4">
        <v>12.395200000000001</v>
      </c>
      <c r="AS409" s="4">
        <v>24.3264</v>
      </c>
      <c r="AT409" s="4">
        <v>11.8104</v>
      </c>
      <c r="AU409" s="4">
        <v>11.5053</v>
      </c>
      <c r="AV409" s="4">
        <v>-2.6452599999999999</v>
      </c>
      <c r="AW409" s="4">
        <v>-1.0224899999999999</v>
      </c>
      <c r="AX409" s="4">
        <v>-1.7650600000000001</v>
      </c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1" t="s">
        <v>3599</v>
      </c>
      <c r="BJ409" s="1" t="s">
        <v>3945</v>
      </c>
      <c r="BK409" s="1">
        <v>1</v>
      </c>
      <c r="BL409" s="1"/>
      <c r="BM409" s="1" t="s">
        <v>208</v>
      </c>
      <c r="BN409" s="1" t="s">
        <v>2735</v>
      </c>
      <c r="BO409" s="1" t="s">
        <v>2736</v>
      </c>
      <c r="BP409" s="1">
        <v>7.5</v>
      </c>
      <c r="BQ409" s="1" t="s">
        <v>1003</v>
      </c>
      <c r="BR409" s="1">
        <v>40.747999999999998</v>
      </c>
      <c r="BS409" s="1">
        <v>29.99</v>
      </c>
      <c r="BT409" s="1">
        <v>16</v>
      </c>
      <c r="BU409" s="1" t="s">
        <v>1032</v>
      </c>
      <c r="BV409" s="1" t="s">
        <v>2834</v>
      </c>
      <c r="BW409" s="1">
        <v>178</v>
      </c>
      <c r="BX409" s="1">
        <v>74</v>
      </c>
      <c r="BY409" s="1">
        <v>9</v>
      </c>
      <c r="BZ409" s="1">
        <v>85</v>
      </c>
      <c r="CA409" s="1">
        <v>81</v>
      </c>
      <c r="CB409" s="1">
        <v>163</v>
      </c>
      <c r="CC409" s="1" t="s">
        <v>2808</v>
      </c>
      <c r="CD409" s="1" t="s">
        <v>862</v>
      </c>
      <c r="CE409" s="1">
        <v>1</v>
      </c>
      <c r="CF409" s="1">
        <v>7.53</v>
      </c>
      <c r="CG409" s="1">
        <v>7.2274000000000003</v>
      </c>
      <c r="CH409" s="1">
        <v>5880</v>
      </c>
      <c r="CI409" s="1" t="s">
        <v>926</v>
      </c>
      <c r="CJ409" s="1" t="s">
        <v>2812</v>
      </c>
      <c r="CK409" t="s">
        <v>1263</v>
      </c>
      <c r="CL409">
        <v>166</v>
      </c>
      <c r="CM409" t="s">
        <v>2863</v>
      </c>
    </row>
    <row r="410" spans="1:91" ht="19" customHeight="1">
      <c r="A410" s="1" t="s">
        <v>3946</v>
      </c>
      <c r="B410" s="1" t="s">
        <v>3597</v>
      </c>
      <c r="C410" s="1">
        <v>167</v>
      </c>
      <c r="D410" s="1" t="s">
        <v>1105</v>
      </c>
      <c r="E410" s="1">
        <v>1999</v>
      </c>
      <c r="F410" s="1" t="s">
        <v>929</v>
      </c>
      <c r="G410" s="1" t="s">
        <v>1764</v>
      </c>
      <c r="H410" s="4">
        <v>40.764400000000002</v>
      </c>
      <c r="I410" s="4">
        <v>29.762</v>
      </c>
      <c r="J410" s="1" t="s">
        <v>1404</v>
      </c>
      <c r="K410" s="1" t="s">
        <v>70</v>
      </c>
      <c r="L410" s="1" t="s">
        <v>1766</v>
      </c>
      <c r="M410" s="1" t="s">
        <v>3598</v>
      </c>
      <c r="N410" s="1"/>
      <c r="O410" s="1" t="s">
        <v>3095</v>
      </c>
      <c r="P410" s="1"/>
      <c r="Q410" s="4">
        <v>7.5</v>
      </c>
      <c r="R410" s="4"/>
      <c r="S410" s="4"/>
      <c r="T410" s="4"/>
      <c r="U410" s="4"/>
      <c r="V410" s="4">
        <v>4.83</v>
      </c>
      <c r="W410" s="4"/>
      <c r="X410" s="4"/>
      <c r="Y410" s="4"/>
      <c r="Z410" s="4"/>
      <c r="AA410" s="4"/>
      <c r="AB410" s="4" t="s">
        <v>1032</v>
      </c>
      <c r="AC410" s="4"/>
      <c r="AD410" s="4">
        <v>40.747999999999998</v>
      </c>
      <c r="AE410" s="4">
        <v>29.99</v>
      </c>
      <c r="AF410" s="4">
        <v>16</v>
      </c>
      <c r="AG410" s="4">
        <v>297</v>
      </c>
      <c r="AH410" s="27" t="b">
        <v>1</v>
      </c>
      <c r="AI410" s="4">
        <v>4.9489999999999998</v>
      </c>
      <c r="AJ410" s="27" t="b">
        <v>0</v>
      </c>
      <c r="AK410" s="4"/>
      <c r="AL410" s="27" t="b">
        <v>0</v>
      </c>
      <c r="AM410" s="4">
        <v>222.446</v>
      </c>
      <c r="AN410" s="4">
        <v>315.69099999999997</v>
      </c>
      <c r="AO410" s="4">
        <v>236.983</v>
      </c>
      <c r="AP410" s="4">
        <v>69.731700000000004</v>
      </c>
      <c r="AQ410" s="4">
        <v>71.894499999999994</v>
      </c>
      <c r="AR410" s="4">
        <v>30.777699999999999</v>
      </c>
      <c r="AS410" s="4">
        <v>62.397100000000002</v>
      </c>
      <c r="AT410" s="4">
        <v>47.352600000000002</v>
      </c>
      <c r="AU410" s="4">
        <v>29.4968</v>
      </c>
      <c r="AV410" s="4">
        <v>0.84947499999999998</v>
      </c>
      <c r="AW410" s="4">
        <v>-0.85591799999999996</v>
      </c>
      <c r="AX410" s="4">
        <v>0.72178699999999996</v>
      </c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1" t="s">
        <v>3599</v>
      </c>
      <c r="BJ410" s="1" t="s">
        <v>3947</v>
      </c>
      <c r="BK410" s="1">
        <v>1</v>
      </c>
      <c r="BL410" s="1"/>
      <c r="BM410" s="1" t="s">
        <v>208</v>
      </c>
      <c r="BN410" s="1" t="s">
        <v>2735</v>
      </c>
      <c r="BO410" s="1" t="s">
        <v>2736</v>
      </c>
      <c r="BP410" s="1">
        <v>7.5</v>
      </c>
      <c r="BQ410" s="1" t="s">
        <v>1003</v>
      </c>
      <c r="BR410" s="1">
        <v>40.747999999999998</v>
      </c>
      <c r="BS410" s="1">
        <v>29.99</v>
      </c>
      <c r="BT410" s="1">
        <v>16</v>
      </c>
      <c r="BU410" s="1" t="s">
        <v>1032</v>
      </c>
      <c r="BV410" s="1" t="s">
        <v>2834</v>
      </c>
      <c r="BW410" s="1">
        <v>178</v>
      </c>
      <c r="BX410" s="1">
        <v>74</v>
      </c>
      <c r="BY410" s="1">
        <v>9</v>
      </c>
      <c r="BZ410" s="1">
        <v>85</v>
      </c>
      <c r="CA410" s="1">
        <v>81</v>
      </c>
      <c r="CB410" s="1">
        <v>163</v>
      </c>
      <c r="CC410" s="1" t="s">
        <v>2808</v>
      </c>
      <c r="CD410" s="1" t="s">
        <v>862</v>
      </c>
      <c r="CE410" s="1">
        <v>1</v>
      </c>
      <c r="CF410" s="1">
        <v>7.53</v>
      </c>
      <c r="CG410" s="1">
        <v>7.2274000000000003</v>
      </c>
      <c r="CH410" s="1">
        <v>5880</v>
      </c>
      <c r="CI410" s="1" t="s">
        <v>926</v>
      </c>
      <c r="CJ410" s="1" t="s">
        <v>2812</v>
      </c>
      <c r="CK410" t="s">
        <v>1263</v>
      </c>
      <c r="CL410">
        <v>167</v>
      </c>
      <c r="CM410" t="s">
        <v>2863</v>
      </c>
    </row>
    <row r="411" spans="1:91" ht="19" customHeight="1">
      <c r="A411" s="1" t="s">
        <v>3948</v>
      </c>
      <c r="B411" s="1" t="s">
        <v>3597</v>
      </c>
      <c r="C411" s="1">
        <v>168</v>
      </c>
      <c r="D411" s="1" t="s">
        <v>1106</v>
      </c>
      <c r="E411" s="1">
        <v>2000</v>
      </c>
      <c r="F411" s="1" t="s">
        <v>931</v>
      </c>
      <c r="G411" s="1" t="s">
        <v>1564</v>
      </c>
      <c r="H411" s="4">
        <v>35.422699999999999</v>
      </c>
      <c r="I411" s="4">
        <v>133.33269999999999</v>
      </c>
      <c r="J411" s="1" t="s">
        <v>1404</v>
      </c>
      <c r="K411" s="1" t="s">
        <v>70</v>
      </c>
      <c r="L411" s="1" t="s">
        <v>1566</v>
      </c>
      <c r="M411" s="1" t="s">
        <v>3598</v>
      </c>
      <c r="N411" s="1"/>
      <c r="O411" s="1" t="s">
        <v>3095</v>
      </c>
      <c r="P411" s="1"/>
      <c r="Q411" s="4">
        <v>6.6</v>
      </c>
      <c r="R411" s="4"/>
      <c r="S411" s="4"/>
      <c r="T411" s="4"/>
      <c r="U411" s="4"/>
      <c r="V411" s="4">
        <v>6.88</v>
      </c>
      <c r="W411" s="4"/>
      <c r="X411" s="4"/>
      <c r="Y411" s="4"/>
      <c r="Z411" s="4"/>
      <c r="AA411" s="4"/>
      <c r="AB411" s="4" t="s">
        <v>1032</v>
      </c>
      <c r="AC411" s="4"/>
      <c r="AD411" s="4">
        <v>35.274999999999999</v>
      </c>
      <c r="AE411" s="4">
        <v>133.35</v>
      </c>
      <c r="AF411" s="4">
        <v>12.5</v>
      </c>
      <c r="AG411" s="4">
        <v>139.21</v>
      </c>
      <c r="AH411" s="27" t="b">
        <v>1</v>
      </c>
      <c r="AI411" s="4">
        <v>1.54</v>
      </c>
      <c r="AJ411" s="27" t="b">
        <v>0</v>
      </c>
      <c r="AK411" s="4"/>
      <c r="AL411" s="27" t="b">
        <v>0</v>
      </c>
      <c r="AM411" s="4">
        <v>383.91300000000001</v>
      </c>
      <c r="AN411" s="4">
        <v>313.80200000000002</v>
      </c>
      <c r="AO411" s="4">
        <v>309.81099999999998</v>
      </c>
      <c r="AP411" s="4">
        <v>54.240099999999998</v>
      </c>
      <c r="AQ411" s="4">
        <v>35.529299999999999</v>
      </c>
      <c r="AR411" s="4">
        <v>9.7539499999999997</v>
      </c>
      <c r="AS411" s="4">
        <v>20.685300000000002</v>
      </c>
      <c r="AT411" s="4">
        <v>25.6751</v>
      </c>
      <c r="AU411" s="4">
        <v>4.75685</v>
      </c>
      <c r="AV411" s="4">
        <v>-0.38203100000000001</v>
      </c>
      <c r="AW411" s="4">
        <v>-0.25420500000000001</v>
      </c>
      <c r="AX411" s="4">
        <v>-0.166653</v>
      </c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1" t="s">
        <v>3599</v>
      </c>
      <c r="BJ411" s="1" t="s">
        <v>3949</v>
      </c>
      <c r="BK411" s="1">
        <v>1</v>
      </c>
      <c r="BL411" s="1"/>
      <c r="BM411" s="1" t="s">
        <v>506</v>
      </c>
      <c r="BN411" s="1" t="s">
        <v>2741</v>
      </c>
      <c r="BO411" s="1" t="s">
        <v>2742</v>
      </c>
      <c r="BP411" s="1">
        <v>6.6</v>
      </c>
      <c r="BQ411" s="1" t="s">
        <v>1003</v>
      </c>
      <c r="BR411" s="1">
        <v>35.274999999999999</v>
      </c>
      <c r="BS411" s="1">
        <v>133.35</v>
      </c>
      <c r="BT411" s="1">
        <v>12.5</v>
      </c>
      <c r="BU411" s="1" t="s">
        <v>1032</v>
      </c>
      <c r="BV411" s="1" t="s">
        <v>2809</v>
      </c>
      <c r="BW411" s="1">
        <v>330</v>
      </c>
      <c r="BX411" s="1">
        <v>90</v>
      </c>
      <c r="BY411" s="1">
        <v>0</v>
      </c>
      <c r="BZ411" s="1"/>
      <c r="CA411" s="1"/>
      <c r="CB411" s="1"/>
      <c r="CC411" s="1" t="s">
        <v>2808</v>
      </c>
      <c r="CD411" s="1" t="s">
        <v>731</v>
      </c>
      <c r="CE411" s="1"/>
      <c r="CF411" s="1"/>
      <c r="CG411" s="1"/>
      <c r="CH411" s="1"/>
      <c r="CI411" s="1"/>
      <c r="CJ411" s="1" t="s">
        <v>2812</v>
      </c>
      <c r="CK411" t="s">
        <v>1263</v>
      </c>
      <c r="CL411">
        <v>168</v>
      </c>
      <c r="CM411" t="s">
        <v>2864</v>
      </c>
    </row>
    <row r="412" spans="1:91" ht="19" customHeight="1">
      <c r="A412" s="1" t="s">
        <v>3950</v>
      </c>
      <c r="B412" s="1" t="s">
        <v>3597</v>
      </c>
      <c r="C412" s="1">
        <v>169</v>
      </c>
      <c r="D412" s="1" t="s">
        <v>519</v>
      </c>
      <c r="E412" s="1">
        <v>2001</v>
      </c>
      <c r="F412" s="1" t="s">
        <v>1107</v>
      </c>
      <c r="G412" s="1" t="s">
        <v>1787</v>
      </c>
      <c r="H412" s="4">
        <v>23.294499999999999</v>
      </c>
      <c r="I412" s="4">
        <v>120.59266700000001</v>
      </c>
      <c r="J412" s="1" t="s">
        <v>1404</v>
      </c>
      <c r="K412" s="1" t="s">
        <v>70</v>
      </c>
      <c r="L412" s="1" t="s">
        <v>1788</v>
      </c>
      <c r="M412" s="1" t="s">
        <v>3598</v>
      </c>
      <c r="N412" s="1"/>
      <c r="O412" s="1" t="s">
        <v>3095</v>
      </c>
      <c r="P412" s="1"/>
      <c r="Q412" s="4">
        <v>4.99</v>
      </c>
      <c r="R412" s="4"/>
      <c r="S412" s="4"/>
      <c r="T412" s="4"/>
      <c r="U412" s="4"/>
      <c r="V412" s="4">
        <v>6.6895509999999998</v>
      </c>
      <c r="W412" s="4"/>
      <c r="X412" s="4"/>
      <c r="Y412" s="4"/>
      <c r="Z412" s="4"/>
      <c r="AA412" s="4"/>
      <c r="AB412" s="4" t="s">
        <v>1028</v>
      </c>
      <c r="AC412" s="4"/>
      <c r="AD412" s="4">
        <v>23.2803</v>
      </c>
      <c r="AE412" s="4">
        <v>120.6587</v>
      </c>
      <c r="AF412" s="4">
        <v>5.83</v>
      </c>
      <c r="AG412" s="4">
        <v>341.80239999999998</v>
      </c>
      <c r="AH412" s="27" t="b">
        <v>1</v>
      </c>
      <c r="AI412" s="4">
        <v>0.63839999999999997</v>
      </c>
      <c r="AJ412" s="27" t="b">
        <v>0</v>
      </c>
      <c r="AK412" s="4"/>
      <c r="AL412" s="27" t="b">
        <v>0</v>
      </c>
      <c r="AM412" s="4">
        <v>399.36799999999999</v>
      </c>
      <c r="AN412" s="4">
        <v>356.74200000000002</v>
      </c>
      <c r="AO412" s="4">
        <v>198.75299999999999</v>
      </c>
      <c r="AP412" s="4">
        <v>26.241299999999999</v>
      </c>
      <c r="AQ412" s="4">
        <v>19.0671</v>
      </c>
      <c r="AR412" s="4">
        <v>9.0181199999999997</v>
      </c>
      <c r="AS412" s="4">
        <v>2.4661599999999999</v>
      </c>
      <c r="AT412" s="4">
        <v>1.8847700000000001</v>
      </c>
      <c r="AU412" s="4">
        <v>1.2892999999999999</v>
      </c>
      <c r="AV412" s="4">
        <v>1.2148000000000001E-2</v>
      </c>
      <c r="AW412" s="4">
        <v>3.8595999999999998E-2</v>
      </c>
      <c r="AX412" s="4">
        <v>2.9191000000000002E-2</v>
      </c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1" t="s">
        <v>3599</v>
      </c>
      <c r="BJ412" s="1" t="s">
        <v>3951</v>
      </c>
      <c r="BK412" s="1">
        <v>1</v>
      </c>
      <c r="BL412" s="1"/>
      <c r="BM412" s="1" t="s">
        <v>518</v>
      </c>
      <c r="BN412" s="1" t="s">
        <v>2866</v>
      </c>
      <c r="BO412" s="1" t="s">
        <v>2867</v>
      </c>
      <c r="BP412" s="1">
        <v>4.99</v>
      </c>
      <c r="BQ412" s="1" t="s">
        <v>1003</v>
      </c>
      <c r="BR412" s="1">
        <v>23.2803</v>
      </c>
      <c r="BS412" s="1">
        <v>120.6587</v>
      </c>
      <c r="BT412" s="1">
        <v>5.83</v>
      </c>
      <c r="BU412" s="1" t="s">
        <v>1028</v>
      </c>
      <c r="BV412" s="1"/>
      <c r="BW412" s="1"/>
      <c r="BX412" s="1"/>
      <c r="BY412" s="1"/>
      <c r="BZ412" s="1"/>
      <c r="CA412" s="1"/>
      <c r="CB412" s="1"/>
      <c r="CC412" s="1" t="s">
        <v>2808</v>
      </c>
      <c r="CD412" s="1" t="s">
        <v>731</v>
      </c>
      <c r="CE412" s="1"/>
      <c r="CF412" s="1"/>
      <c r="CG412" s="1"/>
      <c r="CH412" s="1"/>
      <c r="CI412" s="1"/>
      <c r="CJ412" s="1" t="s">
        <v>2812</v>
      </c>
      <c r="CK412" t="s">
        <v>1263</v>
      </c>
      <c r="CL412">
        <v>169</v>
      </c>
      <c r="CM412" t="s">
        <v>2870</v>
      </c>
    </row>
    <row r="413" spans="1:91" ht="19" customHeight="1">
      <c r="A413" s="1" t="s">
        <v>3952</v>
      </c>
      <c r="B413" s="1" t="s">
        <v>3597</v>
      </c>
      <c r="C413" s="1">
        <v>170</v>
      </c>
      <c r="D413" s="1" t="s">
        <v>1108</v>
      </c>
      <c r="E413" s="1">
        <v>2002</v>
      </c>
      <c r="F413" s="1" t="s">
        <v>1109</v>
      </c>
      <c r="G413" s="1" t="s">
        <v>2521</v>
      </c>
      <c r="H413" s="4">
        <v>63.423900000000003</v>
      </c>
      <c r="I413" s="4">
        <v>-145.76580000000001</v>
      </c>
      <c r="J413" s="1" t="s">
        <v>1404</v>
      </c>
      <c r="K413" s="1" t="s">
        <v>70</v>
      </c>
      <c r="L413" s="1" t="s">
        <v>2523</v>
      </c>
      <c r="M413" s="1" t="s">
        <v>3598</v>
      </c>
      <c r="N413" s="1"/>
      <c r="O413" s="1" t="s">
        <v>3095</v>
      </c>
      <c r="P413" s="1"/>
      <c r="Q413" s="4">
        <v>7.9</v>
      </c>
      <c r="R413" s="4"/>
      <c r="S413" s="4"/>
      <c r="T413" s="4"/>
      <c r="U413" s="4"/>
      <c r="V413" s="4">
        <v>2.74</v>
      </c>
      <c r="W413" s="4"/>
      <c r="X413" s="4"/>
      <c r="Y413" s="4"/>
      <c r="Z413" s="4"/>
      <c r="AA413" s="4"/>
      <c r="AB413" s="4" t="s">
        <v>1032</v>
      </c>
      <c r="AC413" s="4"/>
      <c r="AD413" s="4">
        <v>63.542000000000002</v>
      </c>
      <c r="AE413" s="4">
        <v>-147.4444</v>
      </c>
      <c r="AF413" s="4">
        <v>8.9</v>
      </c>
      <c r="AG413" s="4">
        <v>329.4</v>
      </c>
      <c r="AH413" s="27" t="b">
        <v>1</v>
      </c>
      <c r="AI413" s="4">
        <v>3.157</v>
      </c>
      <c r="AJ413" s="27" t="b">
        <v>1</v>
      </c>
      <c r="AK413" s="4">
        <v>4.4870000000000001</v>
      </c>
      <c r="AL413" s="27" t="b">
        <v>0</v>
      </c>
      <c r="AM413" s="4">
        <v>326.28100000000001</v>
      </c>
      <c r="AN413" s="4">
        <v>291.75900000000001</v>
      </c>
      <c r="AO413" s="4">
        <v>233.732</v>
      </c>
      <c r="AP413" s="4">
        <v>115.73399999999999</v>
      </c>
      <c r="AQ413" s="4">
        <v>65.964799999999997</v>
      </c>
      <c r="AR413" s="4">
        <v>51.1325</v>
      </c>
      <c r="AS413" s="4">
        <v>53.442100000000003</v>
      </c>
      <c r="AT413" s="4">
        <v>36.698900000000002</v>
      </c>
      <c r="AU413" s="4">
        <v>19.754000000000001</v>
      </c>
      <c r="AV413" s="4">
        <v>-2.5187000000000001E-2</v>
      </c>
      <c r="AW413" s="4">
        <v>1.2499E-2</v>
      </c>
      <c r="AX413" s="4">
        <v>-2.3189999999999999E-2</v>
      </c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1"/>
      <c r="BJ413" s="1" t="s">
        <v>3953</v>
      </c>
      <c r="BK413" s="1">
        <v>1</v>
      </c>
      <c r="BL413" s="1"/>
      <c r="BM413" s="1" t="s">
        <v>214</v>
      </c>
      <c r="BN413" s="1" t="s">
        <v>2750</v>
      </c>
      <c r="BO413" s="1" t="s">
        <v>2751</v>
      </c>
      <c r="BP413" s="1">
        <v>7.9</v>
      </c>
      <c r="BQ413" s="1" t="s">
        <v>1003</v>
      </c>
      <c r="BR413" s="1">
        <v>63.542000000000002</v>
      </c>
      <c r="BS413" s="1">
        <v>-147.4444</v>
      </c>
      <c r="BT413" s="1">
        <v>8.9</v>
      </c>
      <c r="BU413" s="1" t="s">
        <v>1032</v>
      </c>
      <c r="BV413" s="1" t="s">
        <v>2834</v>
      </c>
      <c r="BW413" s="1">
        <v>209</v>
      </c>
      <c r="BX413" s="1">
        <v>73</v>
      </c>
      <c r="BY413" s="1">
        <v>24</v>
      </c>
      <c r="BZ413" s="1">
        <v>112</v>
      </c>
      <c r="CA413" s="1">
        <v>66</v>
      </c>
      <c r="CB413" s="1">
        <v>162</v>
      </c>
      <c r="CC413" s="1" t="s">
        <v>2808</v>
      </c>
      <c r="CD413" s="1" t="s">
        <v>862</v>
      </c>
      <c r="CE413" s="1">
        <v>5</v>
      </c>
      <c r="CF413" s="1">
        <v>7.97</v>
      </c>
      <c r="CG413" s="1">
        <v>14.9975</v>
      </c>
      <c r="CH413" s="1">
        <v>11760</v>
      </c>
      <c r="CI413" s="1" t="s">
        <v>935</v>
      </c>
      <c r="CJ413" s="1" t="s">
        <v>2812</v>
      </c>
      <c r="CK413" t="s">
        <v>1263</v>
      </c>
      <c r="CL413">
        <v>170</v>
      </c>
      <c r="CM413" t="s">
        <v>2872</v>
      </c>
    </row>
    <row r="414" spans="1:91" ht="19" customHeight="1">
      <c r="A414" s="1" t="s">
        <v>3954</v>
      </c>
      <c r="B414" s="1" t="s">
        <v>3597</v>
      </c>
      <c r="C414" s="1">
        <v>171</v>
      </c>
      <c r="D414" s="1" t="s">
        <v>529</v>
      </c>
      <c r="E414" s="1">
        <v>2002</v>
      </c>
      <c r="F414" s="1" t="s">
        <v>1110</v>
      </c>
      <c r="G414" s="1" t="s">
        <v>1988</v>
      </c>
      <c r="H414" s="4">
        <v>24.689</v>
      </c>
      <c r="I414" s="4">
        <v>121.7667</v>
      </c>
      <c r="J414" s="1" t="s">
        <v>1404</v>
      </c>
      <c r="K414" s="1" t="s">
        <v>70</v>
      </c>
      <c r="L414" s="1" t="s">
        <v>1990</v>
      </c>
      <c r="M414" s="1" t="s">
        <v>3598</v>
      </c>
      <c r="N414" s="1"/>
      <c r="O414" s="1" t="s">
        <v>3095</v>
      </c>
      <c r="P414" s="1"/>
      <c r="Q414" s="4">
        <v>7.12</v>
      </c>
      <c r="R414" s="4"/>
      <c r="S414" s="4"/>
      <c r="T414" s="4"/>
      <c r="U414" s="4"/>
      <c r="V414" s="4">
        <v>73.7684</v>
      </c>
      <c r="W414" s="4"/>
      <c r="X414" s="4"/>
      <c r="Y414" s="4"/>
      <c r="Z414" s="4"/>
      <c r="AA414" s="4"/>
      <c r="AB414" s="4" t="s">
        <v>1055</v>
      </c>
      <c r="AC414" s="4"/>
      <c r="AD414" s="4">
        <v>24.1602</v>
      </c>
      <c r="AE414" s="4">
        <v>122.172</v>
      </c>
      <c r="AF414" s="4">
        <v>33</v>
      </c>
      <c r="AG414" s="4">
        <v>267.47000000000003</v>
      </c>
      <c r="AH414" s="27" t="b">
        <v>1</v>
      </c>
      <c r="AI414" s="4">
        <v>2.1</v>
      </c>
      <c r="AJ414" s="27" t="b">
        <v>0</v>
      </c>
      <c r="AK414" s="4"/>
      <c r="AL414" s="27" t="b">
        <v>0</v>
      </c>
      <c r="AM414" s="4">
        <v>120.33766799999999</v>
      </c>
      <c r="AN414" s="4">
        <v>131.84339700000001</v>
      </c>
      <c r="AO414" s="4">
        <v>28.553106</v>
      </c>
      <c r="AP414" s="4">
        <v>18.144549999999999</v>
      </c>
      <c r="AQ414" s="4">
        <v>29.690729999999999</v>
      </c>
      <c r="AR414" s="4">
        <v>5.2772699999999997</v>
      </c>
      <c r="AS414" s="4">
        <v>8.2054819999999999</v>
      </c>
      <c r="AT414" s="4">
        <v>12.512456</v>
      </c>
      <c r="AU414" s="4">
        <v>1.7522420000000001</v>
      </c>
      <c r="AV414" s="4">
        <v>5.6778000000000002E-2</v>
      </c>
      <c r="AW414" s="4">
        <v>0.21587000000000001</v>
      </c>
      <c r="AX414" s="4">
        <v>9.7961999999999994E-2</v>
      </c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1" t="s">
        <v>3599</v>
      </c>
      <c r="BJ414" s="1" t="s">
        <v>3955</v>
      </c>
      <c r="BK414" s="1">
        <v>1</v>
      </c>
      <c r="BL414" s="1"/>
      <c r="BM414" s="1" t="s">
        <v>528</v>
      </c>
      <c r="BN414" s="1" t="s">
        <v>2874</v>
      </c>
      <c r="BO414" s="1" t="s">
        <v>2875</v>
      </c>
      <c r="BP414" s="1">
        <v>7.12</v>
      </c>
      <c r="BQ414" s="1" t="s">
        <v>1003</v>
      </c>
      <c r="BR414" s="1">
        <v>24.1602</v>
      </c>
      <c r="BS414" s="1">
        <v>122.172</v>
      </c>
      <c r="BT414" s="1">
        <v>33</v>
      </c>
      <c r="BU414" s="1" t="s">
        <v>1055</v>
      </c>
      <c r="BV414" s="1" t="s">
        <v>2834</v>
      </c>
      <c r="BW414" s="1">
        <v>286</v>
      </c>
      <c r="BX414" s="1">
        <v>34</v>
      </c>
      <c r="BY414" s="1">
        <v>111</v>
      </c>
      <c r="BZ414" s="1">
        <v>81</v>
      </c>
      <c r="CA414" s="1">
        <v>57</v>
      </c>
      <c r="CB414" s="1">
        <v>75</v>
      </c>
      <c r="CC414" s="1" t="s">
        <v>2808</v>
      </c>
      <c r="CD414" s="1" t="s">
        <v>731</v>
      </c>
      <c r="CE414" s="1"/>
      <c r="CF414" s="1"/>
      <c r="CG414" s="1"/>
      <c r="CH414" s="1"/>
      <c r="CI414" s="1"/>
      <c r="CJ414" s="1" t="s">
        <v>2812</v>
      </c>
      <c r="CK414" t="s">
        <v>1263</v>
      </c>
      <c r="CL414">
        <v>171</v>
      </c>
      <c r="CM414" t="s">
        <v>2877</v>
      </c>
    </row>
    <row r="415" spans="1:91" ht="19" customHeight="1">
      <c r="A415" s="1" t="s">
        <v>3956</v>
      </c>
      <c r="B415" s="1" t="s">
        <v>3597</v>
      </c>
      <c r="C415" s="1">
        <v>172</v>
      </c>
      <c r="D415" s="1" t="s">
        <v>529</v>
      </c>
      <c r="E415" s="1">
        <v>2002</v>
      </c>
      <c r="F415" s="1" t="s">
        <v>1111</v>
      </c>
      <c r="G415" s="1" t="s">
        <v>1991</v>
      </c>
      <c r="H415" s="4">
        <v>24.753499999999999</v>
      </c>
      <c r="I415" s="4">
        <v>121.7547</v>
      </c>
      <c r="J415" s="1" t="s">
        <v>1404</v>
      </c>
      <c r="K415" s="1" t="s">
        <v>70</v>
      </c>
      <c r="L415" s="1" t="s">
        <v>1992</v>
      </c>
      <c r="M415" s="1" t="s">
        <v>3598</v>
      </c>
      <c r="N415" s="1"/>
      <c r="O415" s="1" t="s">
        <v>3095</v>
      </c>
      <c r="P415" s="1"/>
      <c r="Q415" s="4">
        <v>7.12</v>
      </c>
      <c r="R415" s="4"/>
      <c r="S415" s="4"/>
      <c r="T415" s="4"/>
      <c r="U415" s="4"/>
      <c r="V415" s="4">
        <v>79.336799999999997</v>
      </c>
      <c r="W415" s="4"/>
      <c r="X415" s="4"/>
      <c r="Y415" s="4"/>
      <c r="Z415" s="4"/>
      <c r="AA415" s="4"/>
      <c r="AB415" s="4" t="s">
        <v>1055</v>
      </c>
      <c r="AC415" s="4"/>
      <c r="AD415" s="4">
        <v>24.1602</v>
      </c>
      <c r="AE415" s="4">
        <v>122.172</v>
      </c>
      <c r="AF415" s="4">
        <v>33</v>
      </c>
      <c r="AG415" s="4">
        <v>218.38</v>
      </c>
      <c r="AH415" s="27" t="b">
        <v>1</v>
      </c>
      <c r="AI415" s="4">
        <v>1.456</v>
      </c>
      <c r="AJ415" s="27" t="b">
        <v>0</v>
      </c>
      <c r="AK415" s="4"/>
      <c r="AL415" s="27" t="b">
        <v>0</v>
      </c>
      <c r="AM415" s="4">
        <v>123.688084</v>
      </c>
      <c r="AN415" s="4">
        <v>196.940755</v>
      </c>
      <c r="AO415" s="4">
        <v>46.185079999999999</v>
      </c>
      <c r="AP415" s="4">
        <v>33.379519999999999</v>
      </c>
      <c r="AQ415" s="4">
        <v>36.625540000000001</v>
      </c>
      <c r="AR415" s="4">
        <v>8.1406349999999996</v>
      </c>
      <c r="AS415" s="4">
        <v>9.1501289999999997</v>
      </c>
      <c r="AT415" s="4">
        <v>12.017984999999999</v>
      </c>
      <c r="AU415" s="4">
        <v>3.1490490000000002</v>
      </c>
      <c r="AV415" s="4">
        <v>0.49476300000000001</v>
      </c>
      <c r="AW415" s="4">
        <v>-7.8036999999999995E-2</v>
      </c>
      <c r="AX415" s="4">
        <v>0.110332</v>
      </c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1" t="s">
        <v>3599</v>
      </c>
      <c r="BJ415" s="1" t="s">
        <v>3957</v>
      </c>
      <c r="BK415" s="1">
        <v>1</v>
      </c>
      <c r="BL415" s="1"/>
      <c r="BM415" s="1" t="s">
        <v>528</v>
      </c>
      <c r="BN415" s="1" t="s">
        <v>2874</v>
      </c>
      <c r="BO415" s="1" t="s">
        <v>2875</v>
      </c>
      <c r="BP415" s="1">
        <v>7.12</v>
      </c>
      <c r="BQ415" s="1" t="s">
        <v>1003</v>
      </c>
      <c r="BR415" s="1">
        <v>24.1602</v>
      </c>
      <c r="BS415" s="1">
        <v>122.172</v>
      </c>
      <c r="BT415" s="1">
        <v>33</v>
      </c>
      <c r="BU415" s="1" t="s">
        <v>1055</v>
      </c>
      <c r="BV415" s="1" t="s">
        <v>2834</v>
      </c>
      <c r="BW415" s="1">
        <v>286</v>
      </c>
      <c r="BX415" s="1">
        <v>34</v>
      </c>
      <c r="BY415" s="1">
        <v>111</v>
      </c>
      <c r="BZ415" s="1">
        <v>81</v>
      </c>
      <c r="CA415" s="1">
        <v>57</v>
      </c>
      <c r="CB415" s="1">
        <v>75</v>
      </c>
      <c r="CC415" s="1" t="s">
        <v>2808</v>
      </c>
      <c r="CD415" s="1" t="s">
        <v>731</v>
      </c>
      <c r="CE415" s="1"/>
      <c r="CF415" s="1"/>
      <c r="CG415" s="1"/>
      <c r="CH415" s="1"/>
      <c r="CI415" s="1"/>
      <c r="CJ415" s="1" t="s">
        <v>2812</v>
      </c>
      <c r="CK415" t="s">
        <v>1263</v>
      </c>
      <c r="CL415">
        <v>172</v>
      </c>
      <c r="CM415" t="s">
        <v>2877</v>
      </c>
    </row>
    <row r="416" spans="1:91" ht="19" customHeight="1">
      <c r="A416" s="1" t="s">
        <v>3958</v>
      </c>
      <c r="B416" s="1" t="s">
        <v>3597</v>
      </c>
      <c r="C416" s="1">
        <v>173</v>
      </c>
      <c r="D416" s="1" t="s">
        <v>529</v>
      </c>
      <c r="E416" s="1">
        <v>2002</v>
      </c>
      <c r="F416" s="1" t="s">
        <v>1112</v>
      </c>
      <c r="G416" s="1" t="s">
        <v>1993</v>
      </c>
      <c r="H416" s="4">
        <v>24.719799999999999</v>
      </c>
      <c r="I416" s="4">
        <v>121.744</v>
      </c>
      <c r="J416" s="1" t="s">
        <v>1404</v>
      </c>
      <c r="K416" s="1" t="s">
        <v>70</v>
      </c>
      <c r="L416" s="1" t="s">
        <v>1994</v>
      </c>
      <c r="M416" s="1" t="s">
        <v>3598</v>
      </c>
      <c r="N416" s="1"/>
      <c r="O416" s="1" t="s">
        <v>3095</v>
      </c>
      <c r="P416" s="1"/>
      <c r="Q416" s="4">
        <v>7.12</v>
      </c>
      <c r="R416" s="4"/>
      <c r="S416" s="4"/>
      <c r="T416" s="4"/>
      <c r="U416" s="4"/>
      <c r="V416" s="4">
        <v>77.3078</v>
      </c>
      <c r="W416" s="4"/>
      <c r="X416" s="4"/>
      <c r="Y416" s="4"/>
      <c r="Z416" s="4"/>
      <c r="AA416" s="4"/>
      <c r="AB416" s="4" t="s">
        <v>1055</v>
      </c>
      <c r="AC416" s="4"/>
      <c r="AD416" s="4">
        <v>24.1602</v>
      </c>
      <c r="AE416" s="4">
        <v>122.172</v>
      </c>
      <c r="AF416" s="4">
        <v>33</v>
      </c>
      <c r="AG416" s="4">
        <v>243.85</v>
      </c>
      <c r="AH416" s="27" t="b">
        <v>1</v>
      </c>
      <c r="AI416" s="4">
        <v>2.1</v>
      </c>
      <c r="AJ416" s="27" t="b">
        <v>0</v>
      </c>
      <c r="AK416" s="4"/>
      <c r="AL416" s="27" t="b">
        <v>0</v>
      </c>
      <c r="AM416" s="4">
        <v>77.655158999999998</v>
      </c>
      <c r="AN416" s="4">
        <v>129.650161</v>
      </c>
      <c r="AO416" s="4">
        <v>34.194856999999999</v>
      </c>
      <c r="AP416" s="4">
        <v>15.116440000000001</v>
      </c>
      <c r="AQ416" s="4">
        <v>26.890470000000001</v>
      </c>
      <c r="AR416" s="4">
        <v>4.2301149999999996</v>
      </c>
      <c r="AS416" s="4">
        <v>7.7652900000000002</v>
      </c>
      <c r="AT416" s="4">
        <v>10.94158</v>
      </c>
      <c r="AU416" s="4">
        <v>2.2103269999999999</v>
      </c>
      <c r="AV416" s="4">
        <v>-1.823E-2</v>
      </c>
      <c r="AW416" s="4">
        <v>0.185142</v>
      </c>
      <c r="AX416" s="4">
        <v>0.13073799999999999</v>
      </c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1" t="s">
        <v>3599</v>
      </c>
      <c r="BJ416" s="1" t="s">
        <v>3959</v>
      </c>
      <c r="BK416" s="1">
        <v>1</v>
      </c>
      <c r="BL416" s="1"/>
      <c r="BM416" s="1" t="s">
        <v>528</v>
      </c>
      <c r="BN416" s="1" t="s">
        <v>2874</v>
      </c>
      <c r="BO416" s="1" t="s">
        <v>2875</v>
      </c>
      <c r="BP416" s="1">
        <v>7.12</v>
      </c>
      <c r="BQ416" s="1" t="s">
        <v>1003</v>
      </c>
      <c r="BR416" s="1">
        <v>24.1602</v>
      </c>
      <c r="BS416" s="1">
        <v>122.172</v>
      </c>
      <c r="BT416" s="1">
        <v>33</v>
      </c>
      <c r="BU416" s="1" t="s">
        <v>1055</v>
      </c>
      <c r="BV416" s="1" t="s">
        <v>2834</v>
      </c>
      <c r="BW416" s="1">
        <v>286</v>
      </c>
      <c r="BX416" s="1">
        <v>34</v>
      </c>
      <c r="BY416" s="1">
        <v>111</v>
      </c>
      <c r="BZ416" s="1">
        <v>81</v>
      </c>
      <c r="CA416" s="1">
        <v>57</v>
      </c>
      <c r="CB416" s="1">
        <v>75</v>
      </c>
      <c r="CC416" s="1" t="s">
        <v>2808</v>
      </c>
      <c r="CD416" s="1" t="s">
        <v>731</v>
      </c>
      <c r="CE416" s="1"/>
      <c r="CF416" s="1"/>
      <c r="CG416" s="1"/>
      <c r="CH416" s="1"/>
      <c r="CI416" s="1"/>
      <c r="CJ416" s="1" t="s">
        <v>2812</v>
      </c>
      <c r="CK416" t="s">
        <v>1263</v>
      </c>
      <c r="CL416">
        <v>173</v>
      </c>
      <c r="CM416" t="s">
        <v>2877</v>
      </c>
    </row>
    <row r="417" spans="1:91" ht="19" customHeight="1">
      <c r="A417" s="1" t="s">
        <v>3960</v>
      </c>
      <c r="B417" s="1" t="s">
        <v>3597</v>
      </c>
      <c r="C417" s="1">
        <v>174</v>
      </c>
      <c r="D417" s="1" t="s">
        <v>529</v>
      </c>
      <c r="E417" s="1">
        <v>2002</v>
      </c>
      <c r="F417" s="1" t="s">
        <v>1113</v>
      </c>
      <c r="G417" s="1" t="s">
        <v>1996</v>
      </c>
      <c r="H417" s="4">
        <v>24.772300000000001</v>
      </c>
      <c r="I417" s="4">
        <v>121.7988</v>
      </c>
      <c r="J417" s="1" t="s">
        <v>1404</v>
      </c>
      <c r="K417" s="1" t="s">
        <v>70</v>
      </c>
      <c r="L417" s="1" t="s">
        <v>1997</v>
      </c>
      <c r="M417" s="1" t="s">
        <v>3598</v>
      </c>
      <c r="N417" s="1"/>
      <c r="O417" s="1" t="s">
        <v>3095</v>
      </c>
      <c r="P417" s="1"/>
      <c r="Q417" s="4">
        <v>7.12</v>
      </c>
      <c r="R417" s="4"/>
      <c r="S417" s="4"/>
      <c r="T417" s="4"/>
      <c r="U417" s="4"/>
      <c r="V417" s="4">
        <v>78.676000000000002</v>
      </c>
      <c r="W417" s="4"/>
      <c r="X417" s="4"/>
      <c r="Y417" s="4"/>
      <c r="Z417" s="4"/>
      <c r="AA417" s="4"/>
      <c r="AB417" s="4" t="s">
        <v>1055</v>
      </c>
      <c r="AC417" s="4"/>
      <c r="AD417" s="4">
        <v>24.1602</v>
      </c>
      <c r="AE417" s="4">
        <v>122.172</v>
      </c>
      <c r="AF417" s="4">
        <v>33</v>
      </c>
      <c r="AG417" s="4">
        <v>188.35</v>
      </c>
      <c r="AH417" s="27" t="b">
        <v>1</v>
      </c>
      <c r="AI417" s="4">
        <v>1.6128</v>
      </c>
      <c r="AJ417" s="27" t="b">
        <v>0</v>
      </c>
      <c r="AK417" s="4"/>
      <c r="AL417" s="27" t="b">
        <v>0</v>
      </c>
      <c r="AM417" s="4">
        <v>137.338999</v>
      </c>
      <c r="AN417" s="4">
        <v>130.63816800000001</v>
      </c>
      <c r="AO417" s="4">
        <v>45.458339000000002</v>
      </c>
      <c r="AP417" s="4">
        <v>37.751823999999999</v>
      </c>
      <c r="AQ417" s="4">
        <v>27.222380000000001</v>
      </c>
      <c r="AR417" s="4">
        <v>7.1785119999999996</v>
      </c>
      <c r="AS417" s="4">
        <v>16.142405</v>
      </c>
      <c r="AT417" s="4">
        <v>15.080612</v>
      </c>
      <c r="AU417" s="4">
        <v>3.0241690000000001</v>
      </c>
      <c r="AV417" s="4">
        <v>-0.111979</v>
      </c>
      <c r="AW417" s="4">
        <v>0.16052900000000001</v>
      </c>
      <c r="AX417" s="4">
        <v>0.11516700000000001</v>
      </c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1" t="s">
        <v>3599</v>
      </c>
      <c r="BJ417" s="1" t="s">
        <v>3961</v>
      </c>
      <c r="BK417" s="1">
        <v>1</v>
      </c>
      <c r="BL417" s="1"/>
      <c r="BM417" s="1" t="s">
        <v>528</v>
      </c>
      <c r="BN417" s="1" t="s">
        <v>2874</v>
      </c>
      <c r="BO417" s="1" t="s">
        <v>2875</v>
      </c>
      <c r="BP417" s="1">
        <v>7.12</v>
      </c>
      <c r="BQ417" s="1" t="s">
        <v>1003</v>
      </c>
      <c r="BR417" s="1">
        <v>24.1602</v>
      </c>
      <c r="BS417" s="1">
        <v>122.172</v>
      </c>
      <c r="BT417" s="1">
        <v>33</v>
      </c>
      <c r="BU417" s="1" t="s">
        <v>1055</v>
      </c>
      <c r="BV417" s="1" t="s">
        <v>2834</v>
      </c>
      <c r="BW417" s="1">
        <v>286</v>
      </c>
      <c r="BX417" s="1">
        <v>34</v>
      </c>
      <c r="BY417" s="1">
        <v>111</v>
      </c>
      <c r="BZ417" s="1">
        <v>81</v>
      </c>
      <c r="CA417" s="1">
        <v>57</v>
      </c>
      <c r="CB417" s="1">
        <v>75</v>
      </c>
      <c r="CC417" s="1" t="s">
        <v>2808</v>
      </c>
      <c r="CD417" s="1" t="s">
        <v>731</v>
      </c>
      <c r="CE417" s="1"/>
      <c r="CF417" s="1"/>
      <c r="CG417" s="1"/>
      <c r="CH417" s="1"/>
      <c r="CI417" s="1"/>
      <c r="CJ417" s="1" t="s">
        <v>2812</v>
      </c>
      <c r="CK417" t="s">
        <v>1263</v>
      </c>
      <c r="CL417">
        <v>174</v>
      </c>
      <c r="CM417" t="s">
        <v>2877</v>
      </c>
    </row>
    <row r="418" spans="1:91" ht="19" customHeight="1">
      <c r="A418" s="1" t="s">
        <v>3962</v>
      </c>
      <c r="B418" s="1" t="s">
        <v>3597</v>
      </c>
      <c r="C418" s="1">
        <v>175</v>
      </c>
      <c r="D418" s="1" t="s">
        <v>529</v>
      </c>
      <c r="E418" s="1">
        <v>2002</v>
      </c>
      <c r="F418" s="1" t="s">
        <v>1114</v>
      </c>
      <c r="G418" s="1" t="s">
        <v>1998</v>
      </c>
      <c r="H418" s="4">
        <v>24.7638</v>
      </c>
      <c r="I418" s="4">
        <v>121.7563</v>
      </c>
      <c r="J418" s="1" t="s">
        <v>1404</v>
      </c>
      <c r="K418" s="1" t="s">
        <v>70</v>
      </c>
      <c r="L418" s="1" t="s">
        <v>1999</v>
      </c>
      <c r="M418" s="1" t="s">
        <v>3598</v>
      </c>
      <c r="N418" s="1"/>
      <c r="O418" s="1" t="s">
        <v>3095</v>
      </c>
      <c r="P418" s="1"/>
      <c r="Q418" s="4">
        <v>7.12</v>
      </c>
      <c r="R418" s="4"/>
      <c r="S418" s="4"/>
      <c r="T418" s="4"/>
      <c r="U418" s="4"/>
      <c r="V418" s="4">
        <v>80.0702</v>
      </c>
      <c r="W418" s="4"/>
      <c r="X418" s="4"/>
      <c r="Y418" s="4"/>
      <c r="Z418" s="4"/>
      <c r="AA418" s="4"/>
      <c r="AB418" s="4" t="s">
        <v>1055</v>
      </c>
      <c r="AC418" s="4"/>
      <c r="AD418" s="4">
        <v>24.1602</v>
      </c>
      <c r="AE418" s="4">
        <v>122.172</v>
      </c>
      <c r="AF418" s="4">
        <v>33</v>
      </c>
      <c r="AG418" s="4">
        <v>242.41</v>
      </c>
      <c r="AH418" s="27" t="b">
        <v>1</v>
      </c>
      <c r="AI418" s="4">
        <v>1.4770000000000001</v>
      </c>
      <c r="AJ418" s="27" t="b">
        <v>0</v>
      </c>
      <c r="AK418" s="4"/>
      <c r="AL418" s="27" t="b">
        <v>0</v>
      </c>
      <c r="AM418" s="4">
        <v>159.60669799999999</v>
      </c>
      <c r="AN418" s="4">
        <v>88.136843999999996</v>
      </c>
      <c r="AO418" s="4">
        <v>41.361162</v>
      </c>
      <c r="AP418" s="4">
        <v>27.38524</v>
      </c>
      <c r="AQ418" s="4">
        <v>15.550055</v>
      </c>
      <c r="AR418" s="4">
        <v>4.9100400000000004</v>
      </c>
      <c r="AS418" s="4">
        <v>10.776552000000001</v>
      </c>
      <c r="AT418" s="4">
        <v>8.3056520000000003</v>
      </c>
      <c r="AU418" s="4">
        <v>2.096562</v>
      </c>
      <c r="AV418" s="4">
        <v>0.45246799999999998</v>
      </c>
      <c r="AW418" s="4">
        <v>-0.243173</v>
      </c>
      <c r="AX418" s="4">
        <v>9.1247999999999996E-2</v>
      </c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1" t="s">
        <v>3599</v>
      </c>
      <c r="BJ418" s="1" t="s">
        <v>3963</v>
      </c>
      <c r="BK418" s="1">
        <v>1</v>
      </c>
      <c r="BL418" s="1"/>
      <c r="BM418" s="1" t="s">
        <v>528</v>
      </c>
      <c r="BN418" s="1" t="s">
        <v>2874</v>
      </c>
      <c r="BO418" s="1" t="s">
        <v>2875</v>
      </c>
      <c r="BP418" s="1">
        <v>7.12</v>
      </c>
      <c r="BQ418" s="1" t="s">
        <v>1003</v>
      </c>
      <c r="BR418" s="1">
        <v>24.1602</v>
      </c>
      <c r="BS418" s="1">
        <v>122.172</v>
      </c>
      <c r="BT418" s="1">
        <v>33</v>
      </c>
      <c r="BU418" s="1" t="s">
        <v>1055</v>
      </c>
      <c r="BV418" s="1" t="s">
        <v>2834</v>
      </c>
      <c r="BW418" s="1">
        <v>286</v>
      </c>
      <c r="BX418" s="1">
        <v>34</v>
      </c>
      <c r="BY418" s="1">
        <v>111</v>
      </c>
      <c r="BZ418" s="1">
        <v>81</v>
      </c>
      <c r="CA418" s="1">
        <v>57</v>
      </c>
      <c r="CB418" s="1">
        <v>75</v>
      </c>
      <c r="CC418" s="1" t="s">
        <v>2808</v>
      </c>
      <c r="CD418" s="1" t="s">
        <v>731</v>
      </c>
      <c r="CE418" s="1"/>
      <c r="CF418" s="1"/>
      <c r="CG418" s="1"/>
      <c r="CH418" s="1"/>
      <c r="CI418" s="1"/>
      <c r="CJ418" s="1" t="s">
        <v>2812</v>
      </c>
      <c r="CK418" t="s">
        <v>1263</v>
      </c>
      <c r="CL418">
        <v>175</v>
      </c>
      <c r="CM418" t="s">
        <v>2877</v>
      </c>
    </row>
    <row r="419" spans="1:91" ht="19" customHeight="1">
      <c r="A419" s="1" t="s">
        <v>3964</v>
      </c>
      <c r="B419" s="1" t="s">
        <v>3597</v>
      </c>
      <c r="C419" s="1">
        <v>176</v>
      </c>
      <c r="D419" s="1" t="s">
        <v>529</v>
      </c>
      <c r="E419" s="1">
        <v>2002</v>
      </c>
      <c r="F419" s="1" t="s">
        <v>1115</v>
      </c>
      <c r="G419" s="1" t="s">
        <v>2078</v>
      </c>
      <c r="H419" s="4">
        <v>25.0565</v>
      </c>
      <c r="I419" s="4">
        <v>121.5337</v>
      </c>
      <c r="J419" s="1" t="s">
        <v>1404</v>
      </c>
      <c r="K419" s="1" t="s">
        <v>70</v>
      </c>
      <c r="L419" s="1" t="s">
        <v>2079</v>
      </c>
      <c r="M419" s="1" t="s">
        <v>3598</v>
      </c>
      <c r="N419" s="1"/>
      <c r="O419" s="1" t="s">
        <v>3095</v>
      </c>
      <c r="P419" s="1"/>
      <c r="Q419" s="4">
        <v>7.12</v>
      </c>
      <c r="R419" s="4"/>
      <c r="S419" s="4"/>
      <c r="T419" s="4"/>
      <c r="U419" s="4"/>
      <c r="V419" s="4">
        <v>116.34099999999999</v>
      </c>
      <c r="W419" s="4"/>
      <c r="X419" s="4"/>
      <c r="Y419" s="4"/>
      <c r="Z419" s="4"/>
      <c r="AA419" s="4"/>
      <c r="AB419" s="4" t="s">
        <v>1055</v>
      </c>
      <c r="AC419" s="4"/>
      <c r="AD419" s="4">
        <v>24.1602</v>
      </c>
      <c r="AE419" s="4">
        <v>122.172</v>
      </c>
      <c r="AF419" s="4">
        <v>33</v>
      </c>
      <c r="AG419" s="4">
        <v>207.93</v>
      </c>
      <c r="AH419" s="27" t="b">
        <v>1</v>
      </c>
      <c r="AI419" s="4">
        <v>3.024</v>
      </c>
      <c r="AJ419" s="27" t="b">
        <v>0</v>
      </c>
      <c r="AK419" s="4"/>
      <c r="AL419" s="27" t="b">
        <v>0</v>
      </c>
      <c r="AM419" s="4">
        <v>76.570053000000001</v>
      </c>
      <c r="AN419" s="4">
        <v>109.41052999999999</v>
      </c>
      <c r="AO419" s="4">
        <v>38.199939999999998</v>
      </c>
      <c r="AP419" s="4">
        <v>23.391449999999999</v>
      </c>
      <c r="AQ419" s="4">
        <v>19.092639999999999</v>
      </c>
      <c r="AR419" s="4">
        <v>3.9141149999999998</v>
      </c>
      <c r="AS419" s="4">
        <v>7.0985240000000003</v>
      </c>
      <c r="AT419" s="4">
        <v>7.0955969999999997</v>
      </c>
      <c r="AU419" s="4">
        <v>2.241854</v>
      </c>
      <c r="AV419" s="4">
        <v>-4.6811999999999999E-2</v>
      </c>
      <c r="AW419" s="4">
        <v>0.113913</v>
      </c>
      <c r="AX419" s="4">
        <v>-0.23728299999999999</v>
      </c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1" t="s">
        <v>3599</v>
      </c>
      <c r="BJ419" s="1" t="s">
        <v>3965</v>
      </c>
      <c r="BK419" s="1">
        <v>1</v>
      </c>
      <c r="BL419" s="1"/>
      <c r="BM419" s="1" t="s">
        <v>528</v>
      </c>
      <c r="BN419" s="1" t="s">
        <v>2874</v>
      </c>
      <c r="BO419" s="1" t="s">
        <v>2875</v>
      </c>
      <c r="BP419" s="1">
        <v>7.12</v>
      </c>
      <c r="BQ419" s="1" t="s">
        <v>1003</v>
      </c>
      <c r="BR419" s="1">
        <v>24.1602</v>
      </c>
      <c r="BS419" s="1">
        <v>122.172</v>
      </c>
      <c r="BT419" s="1">
        <v>33</v>
      </c>
      <c r="BU419" s="1" t="s">
        <v>1055</v>
      </c>
      <c r="BV419" s="1" t="s">
        <v>2834</v>
      </c>
      <c r="BW419" s="1">
        <v>286</v>
      </c>
      <c r="BX419" s="1">
        <v>34</v>
      </c>
      <c r="BY419" s="1">
        <v>111</v>
      </c>
      <c r="BZ419" s="1">
        <v>81</v>
      </c>
      <c r="CA419" s="1">
        <v>57</v>
      </c>
      <c r="CB419" s="1">
        <v>75</v>
      </c>
      <c r="CC419" s="1" t="s">
        <v>2808</v>
      </c>
      <c r="CD419" s="1" t="s">
        <v>731</v>
      </c>
      <c r="CE419" s="1"/>
      <c r="CF419" s="1"/>
      <c r="CG419" s="1"/>
      <c r="CH419" s="1"/>
      <c r="CI419" s="1"/>
      <c r="CJ419" s="1" t="s">
        <v>2812</v>
      </c>
      <c r="CK419" t="s">
        <v>1263</v>
      </c>
      <c r="CL419">
        <v>176</v>
      </c>
      <c r="CM419" t="s">
        <v>2877</v>
      </c>
    </row>
    <row r="420" spans="1:91" ht="19" customHeight="1">
      <c r="A420" s="1" t="s">
        <v>3966</v>
      </c>
      <c r="B420" s="1" t="s">
        <v>3597</v>
      </c>
      <c r="C420" s="1">
        <v>177</v>
      </c>
      <c r="D420" s="1" t="s">
        <v>529</v>
      </c>
      <c r="E420" s="1">
        <v>2002</v>
      </c>
      <c r="F420" s="1" t="s">
        <v>1116</v>
      </c>
      <c r="G420" s="1" t="s">
        <v>2080</v>
      </c>
      <c r="H420" s="4">
        <v>25.051666999999998</v>
      </c>
      <c r="I420" s="4">
        <v>121.455833</v>
      </c>
      <c r="J420" s="1" t="s">
        <v>1404</v>
      </c>
      <c r="K420" s="1" t="s">
        <v>70</v>
      </c>
      <c r="L420" s="1" t="s">
        <v>2081</v>
      </c>
      <c r="M420" s="1" t="s">
        <v>3598</v>
      </c>
      <c r="N420" s="1"/>
      <c r="O420" s="1" t="s">
        <v>3095</v>
      </c>
      <c r="P420" s="1"/>
      <c r="Q420" s="4">
        <v>7.12</v>
      </c>
      <c r="R420" s="4"/>
      <c r="S420" s="4"/>
      <c r="T420" s="4"/>
      <c r="U420" s="4"/>
      <c r="V420" s="4">
        <v>120.36310899999999</v>
      </c>
      <c r="W420" s="4"/>
      <c r="X420" s="4"/>
      <c r="Y420" s="4"/>
      <c r="Z420" s="4"/>
      <c r="AA420" s="4"/>
      <c r="AB420" s="4" t="s">
        <v>1055</v>
      </c>
      <c r="AC420" s="4"/>
      <c r="AD420" s="4">
        <v>24.1602</v>
      </c>
      <c r="AE420" s="4">
        <v>122.172</v>
      </c>
      <c r="AF420" s="4">
        <v>33</v>
      </c>
      <c r="AG420" s="4">
        <v>221.3777</v>
      </c>
      <c r="AH420" s="27" t="b">
        <v>1</v>
      </c>
      <c r="AI420" s="4">
        <v>3.5070000000000001</v>
      </c>
      <c r="AJ420" s="27" t="b">
        <v>0</v>
      </c>
      <c r="AK420" s="4"/>
      <c r="AL420" s="27" t="b">
        <v>0</v>
      </c>
      <c r="AM420" s="4">
        <v>49.832999999999998</v>
      </c>
      <c r="AN420" s="4">
        <v>81.738</v>
      </c>
      <c r="AO420" s="4">
        <v>41.401000000000003</v>
      </c>
      <c r="AP420" s="4">
        <v>17.498100000000001</v>
      </c>
      <c r="AQ420" s="4">
        <v>27.446200000000001</v>
      </c>
      <c r="AR420" s="4">
        <v>6.5732299999999997</v>
      </c>
      <c r="AS420" s="4">
        <v>9.2275899999999993</v>
      </c>
      <c r="AT420" s="4">
        <v>10.7356</v>
      </c>
      <c r="AU420" s="4">
        <v>4.1492800000000001</v>
      </c>
      <c r="AV420" s="4">
        <v>-1.1321699999999999</v>
      </c>
      <c r="AW420" s="4">
        <v>1.9601999999999999</v>
      </c>
      <c r="AX420" s="4">
        <v>-5.4369000000000001E-2</v>
      </c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1" t="s">
        <v>3599</v>
      </c>
      <c r="BJ420" s="1" t="s">
        <v>3967</v>
      </c>
      <c r="BK420" s="1">
        <v>1</v>
      </c>
      <c r="BL420" s="1"/>
      <c r="BM420" s="1" t="s">
        <v>528</v>
      </c>
      <c r="BN420" s="1" t="s">
        <v>2874</v>
      </c>
      <c r="BO420" s="1" t="s">
        <v>2875</v>
      </c>
      <c r="BP420" s="1">
        <v>7.12</v>
      </c>
      <c r="BQ420" s="1" t="s">
        <v>1003</v>
      </c>
      <c r="BR420" s="1">
        <v>24.1602</v>
      </c>
      <c r="BS420" s="1">
        <v>122.172</v>
      </c>
      <c r="BT420" s="1">
        <v>33</v>
      </c>
      <c r="BU420" s="1" t="s">
        <v>1055</v>
      </c>
      <c r="BV420" s="1" t="s">
        <v>2834</v>
      </c>
      <c r="BW420" s="1">
        <v>286</v>
      </c>
      <c r="BX420" s="1">
        <v>34</v>
      </c>
      <c r="BY420" s="1">
        <v>111</v>
      </c>
      <c r="BZ420" s="1">
        <v>81</v>
      </c>
      <c r="CA420" s="1">
        <v>57</v>
      </c>
      <c r="CB420" s="1">
        <v>75</v>
      </c>
      <c r="CC420" s="1" t="s">
        <v>2808</v>
      </c>
      <c r="CD420" s="1" t="s">
        <v>731</v>
      </c>
      <c r="CE420" s="1"/>
      <c r="CF420" s="1"/>
      <c r="CG420" s="1"/>
      <c r="CH420" s="1"/>
      <c r="CI420" s="1"/>
      <c r="CJ420" s="1" t="s">
        <v>2812</v>
      </c>
      <c r="CK420" t="s">
        <v>1263</v>
      </c>
      <c r="CL420">
        <v>177</v>
      </c>
      <c r="CM420" t="s">
        <v>2877</v>
      </c>
    </row>
    <row r="421" spans="1:91" ht="19" customHeight="1">
      <c r="A421" s="1" t="s">
        <v>3968</v>
      </c>
      <c r="B421" s="1" t="s">
        <v>3597</v>
      </c>
      <c r="C421" s="1">
        <v>178</v>
      </c>
      <c r="D421" s="1" t="s">
        <v>529</v>
      </c>
      <c r="E421" s="1">
        <v>2002</v>
      </c>
      <c r="F421" s="1" t="s">
        <v>1117</v>
      </c>
      <c r="G421" s="1" t="s">
        <v>2082</v>
      </c>
      <c r="H421" s="4">
        <v>25.037666999999999</v>
      </c>
      <c r="I421" s="4">
        <v>121.534333</v>
      </c>
      <c r="J421" s="1" t="s">
        <v>1404</v>
      </c>
      <c r="K421" s="1" t="s">
        <v>70</v>
      </c>
      <c r="L421" s="1" t="s">
        <v>2083</v>
      </c>
      <c r="M421" s="1" t="s">
        <v>3598</v>
      </c>
      <c r="N421" s="1"/>
      <c r="O421" s="1" t="s">
        <v>3095</v>
      </c>
      <c r="P421" s="1"/>
      <c r="Q421" s="4">
        <v>7.12</v>
      </c>
      <c r="R421" s="4"/>
      <c r="S421" s="4"/>
      <c r="T421" s="4"/>
      <c r="U421" s="4"/>
      <c r="V421" s="4">
        <v>114.670511</v>
      </c>
      <c r="W421" s="4"/>
      <c r="X421" s="4"/>
      <c r="Y421" s="4"/>
      <c r="Z421" s="4"/>
      <c r="AA421" s="4"/>
      <c r="AB421" s="4" t="s">
        <v>1055</v>
      </c>
      <c r="AC421" s="4"/>
      <c r="AD421" s="4">
        <v>24.1602</v>
      </c>
      <c r="AE421" s="4">
        <v>122.172</v>
      </c>
      <c r="AF421" s="4">
        <v>33</v>
      </c>
      <c r="AG421" s="4">
        <v>224.18170000000001</v>
      </c>
      <c r="AH421" s="27" t="b">
        <v>1</v>
      </c>
      <c r="AI421" s="4">
        <v>2.863</v>
      </c>
      <c r="AJ421" s="27" t="b">
        <v>0</v>
      </c>
      <c r="AK421" s="4"/>
      <c r="AL421" s="27" t="b">
        <v>0</v>
      </c>
      <c r="AM421" s="4">
        <v>119.34399999999999</v>
      </c>
      <c r="AN421" s="4">
        <v>98.260999999999996</v>
      </c>
      <c r="AO421" s="4">
        <v>42.392000000000003</v>
      </c>
      <c r="AP421" s="4">
        <v>32.0991</v>
      </c>
      <c r="AQ421" s="4">
        <v>20.930599999999998</v>
      </c>
      <c r="AR421" s="4">
        <v>6.3189900000000003</v>
      </c>
      <c r="AS421" s="4">
        <v>9.5419599999999996</v>
      </c>
      <c r="AT421" s="4">
        <v>7.8719999999999999</v>
      </c>
      <c r="AU421" s="4">
        <v>3.0752899999999999</v>
      </c>
      <c r="AV421" s="4">
        <v>0.38163799999999998</v>
      </c>
      <c r="AW421" s="4">
        <v>0.17752799999999999</v>
      </c>
      <c r="AX421" s="4">
        <v>0.202343</v>
      </c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1" t="s">
        <v>3599</v>
      </c>
      <c r="BJ421" s="1" t="s">
        <v>3969</v>
      </c>
      <c r="BK421" s="1">
        <v>1</v>
      </c>
      <c r="BL421" s="1"/>
      <c r="BM421" s="1" t="s">
        <v>528</v>
      </c>
      <c r="BN421" s="1" t="s">
        <v>2874</v>
      </c>
      <c r="BO421" s="1" t="s">
        <v>2875</v>
      </c>
      <c r="BP421" s="1">
        <v>7.12</v>
      </c>
      <c r="BQ421" s="1" t="s">
        <v>1003</v>
      </c>
      <c r="BR421" s="1">
        <v>24.1602</v>
      </c>
      <c r="BS421" s="1">
        <v>122.172</v>
      </c>
      <c r="BT421" s="1">
        <v>33</v>
      </c>
      <c r="BU421" s="1" t="s">
        <v>1055</v>
      </c>
      <c r="BV421" s="1" t="s">
        <v>2834</v>
      </c>
      <c r="BW421" s="1">
        <v>286</v>
      </c>
      <c r="BX421" s="1">
        <v>34</v>
      </c>
      <c r="BY421" s="1">
        <v>111</v>
      </c>
      <c r="BZ421" s="1">
        <v>81</v>
      </c>
      <c r="CA421" s="1">
        <v>57</v>
      </c>
      <c r="CB421" s="1">
        <v>75</v>
      </c>
      <c r="CC421" s="1" t="s">
        <v>2808</v>
      </c>
      <c r="CD421" s="1" t="s">
        <v>731</v>
      </c>
      <c r="CE421" s="1"/>
      <c r="CF421" s="1"/>
      <c r="CG421" s="1"/>
      <c r="CH421" s="1"/>
      <c r="CI421" s="1"/>
      <c r="CJ421" s="1" t="s">
        <v>2812</v>
      </c>
      <c r="CK421" t="s">
        <v>1263</v>
      </c>
      <c r="CL421">
        <v>178</v>
      </c>
      <c r="CM421" t="s">
        <v>2877</v>
      </c>
    </row>
    <row r="422" spans="1:91" ht="19" customHeight="1">
      <c r="A422" s="1" t="s">
        <v>3970</v>
      </c>
      <c r="B422" s="1" t="s">
        <v>3597</v>
      </c>
      <c r="C422" s="1">
        <v>179</v>
      </c>
      <c r="D422" s="1" t="s">
        <v>529</v>
      </c>
      <c r="E422" s="1">
        <v>2002</v>
      </c>
      <c r="F422" s="1" t="s">
        <v>1118</v>
      </c>
      <c r="G422" s="1" t="s">
        <v>2084</v>
      </c>
      <c r="H422" s="4">
        <v>25.034333</v>
      </c>
      <c r="I422" s="4">
        <v>121.4415</v>
      </c>
      <c r="J422" s="1" t="s">
        <v>1404</v>
      </c>
      <c r="K422" s="1" t="s">
        <v>70</v>
      </c>
      <c r="L422" s="1" t="s">
        <v>2085</v>
      </c>
      <c r="M422" s="1" t="s">
        <v>3598</v>
      </c>
      <c r="N422" s="1"/>
      <c r="O422" s="1" t="s">
        <v>3095</v>
      </c>
      <c r="P422" s="1"/>
      <c r="Q422" s="4">
        <v>7.12</v>
      </c>
      <c r="R422" s="4"/>
      <c r="S422" s="4"/>
      <c r="T422" s="4"/>
      <c r="U422" s="4"/>
      <c r="V422" s="4">
        <v>119.804042</v>
      </c>
      <c r="W422" s="4"/>
      <c r="X422" s="4"/>
      <c r="Y422" s="4"/>
      <c r="Z422" s="4"/>
      <c r="AA422" s="4"/>
      <c r="AB422" s="4" t="s">
        <v>1055</v>
      </c>
      <c r="AC422" s="4"/>
      <c r="AD422" s="4">
        <v>24.1602</v>
      </c>
      <c r="AE422" s="4">
        <v>122.172</v>
      </c>
      <c r="AF422" s="4">
        <v>33</v>
      </c>
      <c r="AG422" s="4">
        <v>219.87729999999999</v>
      </c>
      <c r="AH422" s="27" t="b">
        <v>1</v>
      </c>
      <c r="AI422" s="4">
        <v>3.1709999999999998</v>
      </c>
      <c r="AJ422" s="27" t="b">
        <v>0</v>
      </c>
      <c r="AK422" s="4"/>
      <c r="AL422" s="27" t="b">
        <v>0</v>
      </c>
      <c r="AM422" s="4">
        <v>71.061000000000007</v>
      </c>
      <c r="AN422" s="4">
        <v>69.012</v>
      </c>
      <c r="AO422" s="4">
        <v>25.213000000000001</v>
      </c>
      <c r="AP422" s="4">
        <v>18.642600000000002</v>
      </c>
      <c r="AQ422" s="4">
        <v>24.486499999999999</v>
      </c>
      <c r="AR422" s="4">
        <v>5.1106499999999997</v>
      </c>
      <c r="AS422" s="4">
        <v>8.3665500000000002</v>
      </c>
      <c r="AT422" s="4">
        <v>8.8246500000000001</v>
      </c>
      <c r="AU422" s="4">
        <v>3.5606200000000001</v>
      </c>
      <c r="AV422" s="4">
        <v>-3.2608999999999999E-2</v>
      </c>
      <c r="AW422" s="4">
        <v>-1.60968</v>
      </c>
      <c r="AX422" s="4">
        <v>-0.34068199999999998</v>
      </c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1" t="s">
        <v>3599</v>
      </c>
      <c r="BJ422" s="1" t="s">
        <v>3971</v>
      </c>
      <c r="BK422" s="1">
        <v>1</v>
      </c>
      <c r="BL422" s="1"/>
      <c r="BM422" s="1" t="s">
        <v>528</v>
      </c>
      <c r="BN422" s="1" t="s">
        <v>2874</v>
      </c>
      <c r="BO422" s="1" t="s">
        <v>2875</v>
      </c>
      <c r="BP422" s="1">
        <v>7.12</v>
      </c>
      <c r="BQ422" s="1" t="s">
        <v>1003</v>
      </c>
      <c r="BR422" s="1">
        <v>24.1602</v>
      </c>
      <c r="BS422" s="1">
        <v>122.172</v>
      </c>
      <c r="BT422" s="1">
        <v>33</v>
      </c>
      <c r="BU422" s="1" t="s">
        <v>1055</v>
      </c>
      <c r="BV422" s="1" t="s">
        <v>2834</v>
      </c>
      <c r="BW422" s="1">
        <v>286</v>
      </c>
      <c r="BX422" s="1">
        <v>34</v>
      </c>
      <c r="BY422" s="1">
        <v>111</v>
      </c>
      <c r="BZ422" s="1">
        <v>81</v>
      </c>
      <c r="CA422" s="1">
        <v>57</v>
      </c>
      <c r="CB422" s="1">
        <v>75</v>
      </c>
      <c r="CC422" s="1" t="s">
        <v>2808</v>
      </c>
      <c r="CD422" s="1" t="s">
        <v>731</v>
      </c>
      <c r="CE422" s="1"/>
      <c r="CF422" s="1"/>
      <c r="CG422" s="1"/>
      <c r="CH422" s="1"/>
      <c r="CI422" s="1"/>
      <c r="CJ422" s="1" t="s">
        <v>2812</v>
      </c>
      <c r="CK422" t="s">
        <v>1263</v>
      </c>
      <c r="CL422">
        <v>179</v>
      </c>
      <c r="CM422" t="s">
        <v>2877</v>
      </c>
    </row>
    <row r="423" spans="1:91" ht="19" customHeight="1">
      <c r="A423" s="1" t="s">
        <v>3972</v>
      </c>
      <c r="B423" s="1" t="s">
        <v>3597</v>
      </c>
      <c r="C423" s="1">
        <v>180</v>
      </c>
      <c r="D423" s="1" t="s">
        <v>529</v>
      </c>
      <c r="E423" s="1">
        <v>2002</v>
      </c>
      <c r="F423" s="1" t="s">
        <v>1119</v>
      </c>
      <c r="G423" s="1" t="s">
        <v>2086</v>
      </c>
      <c r="H423" s="4">
        <v>25.172667000000001</v>
      </c>
      <c r="I423" s="4">
        <v>121.441667</v>
      </c>
      <c r="J423" s="1" t="s">
        <v>1404</v>
      </c>
      <c r="K423" s="1" t="s">
        <v>70</v>
      </c>
      <c r="L423" s="1" t="s">
        <v>2087</v>
      </c>
      <c r="M423" s="1" t="s">
        <v>3598</v>
      </c>
      <c r="N423" s="1"/>
      <c r="O423" s="1" t="s">
        <v>3095</v>
      </c>
      <c r="P423" s="1"/>
      <c r="Q423" s="4">
        <v>7.12</v>
      </c>
      <c r="R423" s="4"/>
      <c r="S423" s="4"/>
      <c r="T423" s="4"/>
      <c r="U423" s="4"/>
      <c r="V423" s="4">
        <v>131.42486500000001</v>
      </c>
      <c r="W423" s="4"/>
      <c r="X423" s="4"/>
      <c r="Y423" s="4"/>
      <c r="Z423" s="4"/>
      <c r="AA423" s="4"/>
      <c r="AB423" s="4" t="s">
        <v>1055</v>
      </c>
      <c r="AC423" s="4"/>
      <c r="AD423" s="4">
        <v>24.1602</v>
      </c>
      <c r="AE423" s="4">
        <v>122.172</v>
      </c>
      <c r="AF423" s="4">
        <v>33</v>
      </c>
      <c r="AG423" s="4">
        <v>432.52600000000001</v>
      </c>
      <c r="AH423" s="27" t="b">
        <v>1</v>
      </c>
      <c r="AI423" s="4">
        <v>3.5209999999999999</v>
      </c>
      <c r="AJ423" s="27" t="b">
        <v>0</v>
      </c>
      <c r="AK423" s="4"/>
      <c r="AL423" s="27" t="b">
        <v>0</v>
      </c>
      <c r="AM423" s="4">
        <v>52.5</v>
      </c>
      <c r="AN423" s="4">
        <v>50.713999999999999</v>
      </c>
      <c r="AO423" s="4">
        <v>38.335000000000001</v>
      </c>
      <c r="AP423" s="4">
        <v>21.614000000000001</v>
      </c>
      <c r="AQ423" s="4">
        <v>17.796900000000001</v>
      </c>
      <c r="AR423" s="4">
        <v>7.4862700000000002</v>
      </c>
      <c r="AS423" s="4">
        <v>9.9664099999999998</v>
      </c>
      <c r="AT423" s="4">
        <v>6.6042399999999999</v>
      </c>
      <c r="AU423" s="4">
        <v>4.9691700000000001</v>
      </c>
      <c r="AV423" s="4">
        <v>1.1468700000000001</v>
      </c>
      <c r="AW423" s="4">
        <v>0.103954</v>
      </c>
      <c r="AX423" s="4">
        <v>0.33831800000000001</v>
      </c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1" t="s">
        <v>3599</v>
      </c>
      <c r="BJ423" s="1" t="s">
        <v>3973</v>
      </c>
      <c r="BK423" s="1">
        <v>1</v>
      </c>
      <c r="BL423" s="1"/>
      <c r="BM423" s="1" t="s">
        <v>528</v>
      </c>
      <c r="BN423" s="1" t="s">
        <v>2874</v>
      </c>
      <c r="BO423" s="1" t="s">
        <v>2875</v>
      </c>
      <c r="BP423" s="1">
        <v>7.12</v>
      </c>
      <c r="BQ423" s="1" t="s">
        <v>1003</v>
      </c>
      <c r="BR423" s="1">
        <v>24.1602</v>
      </c>
      <c r="BS423" s="1">
        <v>122.172</v>
      </c>
      <c r="BT423" s="1">
        <v>33</v>
      </c>
      <c r="BU423" s="1" t="s">
        <v>1055</v>
      </c>
      <c r="BV423" s="1" t="s">
        <v>2834</v>
      </c>
      <c r="BW423" s="1">
        <v>286</v>
      </c>
      <c r="BX423" s="1">
        <v>34</v>
      </c>
      <c r="BY423" s="1">
        <v>111</v>
      </c>
      <c r="BZ423" s="1">
        <v>81</v>
      </c>
      <c r="CA423" s="1">
        <v>57</v>
      </c>
      <c r="CB423" s="1">
        <v>75</v>
      </c>
      <c r="CC423" s="1" t="s">
        <v>2808</v>
      </c>
      <c r="CD423" s="1" t="s">
        <v>731</v>
      </c>
      <c r="CE423" s="1"/>
      <c r="CF423" s="1"/>
      <c r="CG423" s="1"/>
      <c r="CH423" s="1"/>
      <c r="CI423" s="1"/>
      <c r="CJ423" s="1" t="s">
        <v>2812</v>
      </c>
      <c r="CK423" t="s">
        <v>1263</v>
      </c>
      <c r="CL423">
        <v>180</v>
      </c>
      <c r="CM423" t="s">
        <v>2877</v>
      </c>
    </row>
    <row r="424" spans="1:91" ht="19" customHeight="1">
      <c r="A424" s="1" t="s">
        <v>3974</v>
      </c>
      <c r="B424" s="1" t="s">
        <v>3597</v>
      </c>
      <c r="C424" s="1">
        <v>181</v>
      </c>
      <c r="D424" s="1" t="s">
        <v>529</v>
      </c>
      <c r="E424" s="1">
        <v>2002</v>
      </c>
      <c r="F424" s="1" t="s">
        <v>1120</v>
      </c>
      <c r="G424" s="1" t="s">
        <v>2088</v>
      </c>
      <c r="H424" s="4">
        <v>25.181667000000001</v>
      </c>
      <c r="I424" s="4">
        <v>121.424333</v>
      </c>
      <c r="J424" s="1" t="s">
        <v>1404</v>
      </c>
      <c r="K424" s="1" t="s">
        <v>70</v>
      </c>
      <c r="L424" s="1" t="s">
        <v>2089</v>
      </c>
      <c r="M424" s="1" t="s">
        <v>3598</v>
      </c>
      <c r="N424" s="1"/>
      <c r="O424" s="1" t="s">
        <v>3095</v>
      </c>
      <c r="P424" s="1"/>
      <c r="Q424" s="4">
        <v>7.12</v>
      </c>
      <c r="R424" s="4"/>
      <c r="S424" s="4"/>
      <c r="T424" s="4"/>
      <c r="U424" s="4"/>
      <c r="V424" s="4">
        <v>133.17747800000001</v>
      </c>
      <c r="W424" s="4"/>
      <c r="X424" s="4"/>
      <c r="Y424" s="4"/>
      <c r="Z424" s="4"/>
      <c r="AA424" s="4"/>
      <c r="AB424" s="4" t="s">
        <v>1055</v>
      </c>
      <c r="AC424" s="4"/>
      <c r="AD424" s="4">
        <v>24.1602</v>
      </c>
      <c r="AE424" s="4">
        <v>122.172</v>
      </c>
      <c r="AF424" s="4">
        <v>33</v>
      </c>
      <c r="AG424" s="4">
        <v>360.53359999999998</v>
      </c>
      <c r="AH424" s="27" t="b">
        <v>1</v>
      </c>
      <c r="AI424" s="4">
        <v>3.9340000000000002</v>
      </c>
      <c r="AJ424" s="27" t="b">
        <v>0</v>
      </c>
      <c r="AK424" s="4"/>
      <c r="AL424" s="27" t="b">
        <v>0</v>
      </c>
      <c r="AM424" s="4">
        <v>80.698999999999998</v>
      </c>
      <c r="AN424" s="4">
        <v>45.732999999999997</v>
      </c>
      <c r="AO424" s="4">
        <v>24.108000000000001</v>
      </c>
      <c r="AP424" s="4">
        <v>24.276499999999999</v>
      </c>
      <c r="AQ424" s="4">
        <v>14.672800000000001</v>
      </c>
      <c r="AR424" s="4">
        <v>9.2652099999999997</v>
      </c>
      <c r="AS424" s="4">
        <v>10.561400000000001</v>
      </c>
      <c r="AT424" s="4">
        <v>7.4049100000000001</v>
      </c>
      <c r="AU424" s="4">
        <v>5.2775499999999997</v>
      </c>
      <c r="AV424" s="4">
        <v>-1.97071</v>
      </c>
      <c r="AW424" s="4">
        <v>-0.72808200000000001</v>
      </c>
      <c r="AX424" s="4">
        <v>1.1360300000000001</v>
      </c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1" t="s">
        <v>3599</v>
      </c>
      <c r="BJ424" s="1" t="s">
        <v>3975</v>
      </c>
      <c r="BK424" s="1">
        <v>1</v>
      </c>
      <c r="BL424" s="1"/>
      <c r="BM424" s="1" t="s">
        <v>528</v>
      </c>
      <c r="BN424" s="1" t="s">
        <v>2874</v>
      </c>
      <c r="BO424" s="1" t="s">
        <v>2875</v>
      </c>
      <c r="BP424" s="1">
        <v>7.12</v>
      </c>
      <c r="BQ424" s="1" t="s">
        <v>1003</v>
      </c>
      <c r="BR424" s="1">
        <v>24.1602</v>
      </c>
      <c r="BS424" s="1">
        <v>122.172</v>
      </c>
      <c r="BT424" s="1">
        <v>33</v>
      </c>
      <c r="BU424" s="1" t="s">
        <v>1055</v>
      </c>
      <c r="BV424" s="1" t="s">
        <v>2834</v>
      </c>
      <c r="BW424" s="1">
        <v>286</v>
      </c>
      <c r="BX424" s="1">
        <v>34</v>
      </c>
      <c r="BY424" s="1">
        <v>111</v>
      </c>
      <c r="BZ424" s="1">
        <v>81</v>
      </c>
      <c r="CA424" s="1">
        <v>57</v>
      </c>
      <c r="CB424" s="1">
        <v>75</v>
      </c>
      <c r="CC424" s="1" t="s">
        <v>2808</v>
      </c>
      <c r="CD424" s="1" t="s">
        <v>731</v>
      </c>
      <c r="CE424" s="1"/>
      <c r="CF424" s="1"/>
      <c r="CG424" s="1"/>
      <c r="CH424" s="1"/>
      <c r="CI424" s="1"/>
      <c r="CJ424" s="1" t="s">
        <v>2812</v>
      </c>
      <c r="CK424" t="s">
        <v>1263</v>
      </c>
      <c r="CL424">
        <v>181</v>
      </c>
      <c r="CM424" t="s">
        <v>2877</v>
      </c>
    </row>
    <row r="425" spans="1:91" ht="19" customHeight="1">
      <c r="A425" s="1" t="s">
        <v>3976</v>
      </c>
      <c r="B425" s="1" t="s">
        <v>3597</v>
      </c>
      <c r="C425" s="1">
        <v>182</v>
      </c>
      <c r="D425" s="1" t="s">
        <v>529</v>
      </c>
      <c r="E425" s="1">
        <v>2002</v>
      </c>
      <c r="F425" s="1" t="s">
        <v>1121</v>
      </c>
      <c r="G425" s="1" t="s">
        <v>2090</v>
      </c>
      <c r="H425" s="4">
        <v>25.033833000000001</v>
      </c>
      <c r="I425" s="4">
        <v>121.520167</v>
      </c>
      <c r="J425" s="1" t="s">
        <v>1404</v>
      </c>
      <c r="K425" s="1" t="s">
        <v>70</v>
      </c>
      <c r="L425" s="1" t="s">
        <v>2091</v>
      </c>
      <c r="M425" s="1" t="s">
        <v>3598</v>
      </c>
      <c r="N425" s="1"/>
      <c r="O425" s="1" t="s">
        <v>3095</v>
      </c>
      <c r="P425" s="1"/>
      <c r="Q425" s="4">
        <v>7.12</v>
      </c>
      <c r="R425" s="4"/>
      <c r="S425" s="4"/>
      <c r="T425" s="4"/>
      <c r="U425" s="4"/>
      <c r="V425" s="4">
        <v>115.13067700000001</v>
      </c>
      <c r="W425" s="4"/>
      <c r="X425" s="4"/>
      <c r="Y425" s="4"/>
      <c r="Z425" s="4"/>
      <c r="AA425" s="4"/>
      <c r="AB425" s="4" t="s">
        <v>1055</v>
      </c>
      <c r="AC425" s="4"/>
      <c r="AD425" s="4">
        <v>24.1602</v>
      </c>
      <c r="AE425" s="4">
        <v>122.172</v>
      </c>
      <c r="AF425" s="4">
        <v>33</v>
      </c>
      <c r="AG425" s="4">
        <v>236.605785</v>
      </c>
      <c r="AH425" s="27" t="b">
        <v>1</v>
      </c>
      <c r="AI425" s="4">
        <v>2.7719999999999998</v>
      </c>
      <c r="AJ425" s="27" t="b">
        <v>0</v>
      </c>
      <c r="AK425" s="4"/>
      <c r="AL425" s="27" t="b">
        <v>0</v>
      </c>
      <c r="AM425" s="4">
        <v>113.43600000000001</v>
      </c>
      <c r="AN425" s="4">
        <v>139.15899999999999</v>
      </c>
      <c r="AO425" s="4">
        <v>59.965000000000003</v>
      </c>
      <c r="AP425" s="4">
        <v>23.415700000000001</v>
      </c>
      <c r="AQ425" s="4">
        <v>24.748000000000001</v>
      </c>
      <c r="AR425" s="4">
        <v>7.3835300000000004</v>
      </c>
      <c r="AS425" s="4">
        <v>9.7669899999999998</v>
      </c>
      <c r="AT425" s="4">
        <v>5.7836100000000004</v>
      </c>
      <c r="AU425" s="4">
        <v>2.9590700000000001</v>
      </c>
      <c r="AV425" s="4">
        <v>1.5522100000000001</v>
      </c>
      <c r="AW425" s="4">
        <v>0.24474199999999999</v>
      </c>
      <c r="AX425" s="4">
        <v>1.10602</v>
      </c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1" t="s">
        <v>3599</v>
      </c>
      <c r="BJ425" s="1" t="s">
        <v>3977</v>
      </c>
      <c r="BK425" s="1">
        <v>1</v>
      </c>
      <c r="BL425" s="1"/>
      <c r="BM425" s="1" t="s">
        <v>528</v>
      </c>
      <c r="BN425" s="1" t="s">
        <v>2874</v>
      </c>
      <c r="BO425" s="1" t="s">
        <v>2875</v>
      </c>
      <c r="BP425" s="1">
        <v>7.12</v>
      </c>
      <c r="BQ425" s="1" t="s">
        <v>1003</v>
      </c>
      <c r="BR425" s="1">
        <v>24.1602</v>
      </c>
      <c r="BS425" s="1">
        <v>122.172</v>
      </c>
      <c r="BT425" s="1">
        <v>33</v>
      </c>
      <c r="BU425" s="1" t="s">
        <v>1055</v>
      </c>
      <c r="BV425" s="1" t="s">
        <v>2834</v>
      </c>
      <c r="BW425" s="1">
        <v>286</v>
      </c>
      <c r="BX425" s="1">
        <v>34</v>
      </c>
      <c r="BY425" s="1">
        <v>111</v>
      </c>
      <c r="BZ425" s="1">
        <v>81</v>
      </c>
      <c r="CA425" s="1">
        <v>57</v>
      </c>
      <c r="CB425" s="1">
        <v>75</v>
      </c>
      <c r="CC425" s="1" t="s">
        <v>2808</v>
      </c>
      <c r="CD425" s="1" t="s">
        <v>731</v>
      </c>
      <c r="CE425" s="1"/>
      <c r="CF425" s="1"/>
      <c r="CG425" s="1"/>
      <c r="CH425" s="1"/>
      <c r="CI425" s="1"/>
      <c r="CJ425" s="1" t="s">
        <v>2812</v>
      </c>
      <c r="CK425" t="s">
        <v>1263</v>
      </c>
      <c r="CL425">
        <v>182</v>
      </c>
      <c r="CM425" t="s">
        <v>2877</v>
      </c>
    </row>
    <row r="426" spans="1:91" ht="19" customHeight="1">
      <c r="A426" s="1" t="s">
        <v>3978</v>
      </c>
      <c r="B426" s="1" t="s">
        <v>3597</v>
      </c>
      <c r="C426" s="1">
        <v>183</v>
      </c>
      <c r="D426" s="1" t="s">
        <v>1122</v>
      </c>
      <c r="E426" s="1">
        <v>2003</v>
      </c>
      <c r="F426" s="1" t="s">
        <v>937</v>
      </c>
      <c r="G426" s="1" t="s">
        <v>1406</v>
      </c>
      <c r="H426" s="4">
        <v>29.097000000000001</v>
      </c>
      <c r="I426" s="4">
        <v>58.353000000000002</v>
      </c>
      <c r="J426" s="1" t="s">
        <v>1404</v>
      </c>
      <c r="K426" s="1" t="s">
        <v>70</v>
      </c>
      <c r="L426" s="1" t="s">
        <v>1408</v>
      </c>
      <c r="M426" s="1" t="s">
        <v>3598</v>
      </c>
      <c r="N426" s="1"/>
      <c r="O426" s="1" t="s">
        <v>3095</v>
      </c>
      <c r="P426" s="1"/>
      <c r="Q426" s="4">
        <v>6.6</v>
      </c>
      <c r="R426" s="4"/>
      <c r="S426" s="4"/>
      <c r="T426" s="4"/>
      <c r="U426" s="4"/>
      <c r="V426" s="4">
        <v>1.7</v>
      </c>
      <c r="W426" s="4"/>
      <c r="X426" s="4"/>
      <c r="Y426" s="4"/>
      <c r="Z426" s="4"/>
      <c r="AA426" s="4"/>
      <c r="AB426" s="4" t="s">
        <v>1032</v>
      </c>
      <c r="AC426" s="4"/>
      <c r="AD426" s="4">
        <v>28.984000000000002</v>
      </c>
      <c r="AE426" s="4">
        <v>58.359000000000002</v>
      </c>
      <c r="AF426" s="4">
        <v>6</v>
      </c>
      <c r="AG426" s="4">
        <v>487.4</v>
      </c>
      <c r="AH426" s="27" t="b">
        <v>1</v>
      </c>
      <c r="AI426" s="4">
        <v>2.0230000000000001</v>
      </c>
      <c r="AJ426" s="27" t="b">
        <v>0</v>
      </c>
      <c r="AK426" s="4"/>
      <c r="AL426" s="27" t="b">
        <v>0</v>
      </c>
      <c r="AM426" s="4">
        <v>792.31500000000005</v>
      </c>
      <c r="AN426" s="4">
        <v>617.048</v>
      </c>
      <c r="AO426" s="4">
        <v>951.09199999999998</v>
      </c>
      <c r="AP426" s="4">
        <v>124.145</v>
      </c>
      <c r="AQ426" s="4">
        <v>60.2042</v>
      </c>
      <c r="AR426" s="4">
        <v>40.092100000000002</v>
      </c>
      <c r="AS426" s="4">
        <v>33.926600000000001</v>
      </c>
      <c r="AT426" s="4">
        <v>23.150200000000002</v>
      </c>
      <c r="AU426" s="4">
        <v>8.5391899999999996</v>
      </c>
      <c r="AV426" s="4">
        <v>-9.1324000000000002E-2</v>
      </c>
      <c r="AW426" s="4">
        <v>3.6025000000000001E-2</v>
      </c>
      <c r="AX426" s="4">
        <v>1.0621E-2</v>
      </c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1" t="s">
        <v>3599</v>
      </c>
      <c r="BJ426" s="1" t="s">
        <v>3979</v>
      </c>
      <c r="BK426" s="1">
        <v>1</v>
      </c>
      <c r="BL426" s="1"/>
      <c r="BM426" s="1" t="s">
        <v>533</v>
      </c>
      <c r="BN426" s="1" t="s">
        <v>2757</v>
      </c>
      <c r="BO426" s="1" t="s">
        <v>2758</v>
      </c>
      <c r="BP426" s="1">
        <v>6.6</v>
      </c>
      <c r="BQ426" s="1" t="s">
        <v>1003</v>
      </c>
      <c r="BR426" s="1">
        <v>28.984000000000002</v>
      </c>
      <c r="BS426" s="1">
        <v>58.359000000000002</v>
      </c>
      <c r="BT426" s="1">
        <v>6</v>
      </c>
      <c r="BU426" s="1" t="s">
        <v>1032</v>
      </c>
      <c r="BV426" s="1" t="s">
        <v>2809</v>
      </c>
      <c r="BW426" s="1">
        <v>354.6</v>
      </c>
      <c r="BX426" s="1">
        <v>85.5</v>
      </c>
      <c r="BY426" s="1">
        <v>-177</v>
      </c>
      <c r="BZ426" s="1"/>
      <c r="CA426" s="1"/>
      <c r="CB426" s="1"/>
      <c r="CC426" s="1" t="s">
        <v>2808</v>
      </c>
      <c r="CD426" s="1" t="s">
        <v>731</v>
      </c>
      <c r="CE426" s="1"/>
      <c r="CF426" s="1"/>
      <c r="CG426" s="1"/>
      <c r="CH426" s="1"/>
      <c r="CI426" s="1"/>
      <c r="CJ426" s="1" t="s">
        <v>2812</v>
      </c>
      <c r="CK426" t="s">
        <v>1263</v>
      </c>
      <c r="CL426">
        <v>183</v>
      </c>
      <c r="CM426" t="s">
        <v>2878</v>
      </c>
    </row>
    <row r="427" spans="1:91" ht="19" customHeight="1">
      <c r="A427" s="1" t="s">
        <v>3980</v>
      </c>
      <c r="B427" s="1" t="s">
        <v>3597</v>
      </c>
      <c r="C427" s="1">
        <v>184</v>
      </c>
      <c r="D427" s="1" t="s">
        <v>1123</v>
      </c>
      <c r="E427" s="1">
        <v>2004</v>
      </c>
      <c r="F427" s="1" t="s">
        <v>939</v>
      </c>
      <c r="G427" s="1" t="s">
        <v>1541</v>
      </c>
      <c r="H427" s="4">
        <v>37.128100000000003</v>
      </c>
      <c r="I427" s="4">
        <v>138.74680000000001</v>
      </c>
      <c r="J427" s="1" t="s">
        <v>1404</v>
      </c>
      <c r="K427" s="1" t="s">
        <v>70</v>
      </c>
      <c r="L427" s="1" t="s">
        <v>1543</v>
      </c>
      <c r="M427" s="1" t="s">
        <v>3598</v>
      </c>
      <c r="N427" s="1"/>
      <c r="O427" s="1" t="s">
        <v>3095</v>
      </c>
      <c r="P427" s="1"/>
      <c r="Q427" s="4">
        <v>6.6</v>
      </c>
      <c r="R427" s="4"/>
      <c r="S427" s="4"/>
      <c r="T427" s="4"/>
      <c r="U427" s="4"/>
      <c r="V427" s="4">
        <v>11.26</v>
      </c>
      <c r="W427" s="4"/>
      <c r="X427" s="4"/>
      <c r="Y427" s="4"/>
      <c r="Z427" s="4"/>
      <c r="AA427" s="4"/>
      <c r="AB427" s="4" t="s">
        <v>1028</v>
      </c>
      <c r="AC427" s="4"/>
      <c r="AD427" s="4">
        <v>37.307000000000002</v>
      </c>
      <c r="AE427" s="4">
        <v>138.839</v>
      </c>
      <c r="AF427" s="4">
        <v>10.6</v>
      </c>
      <c r="AG427" s="4">
        <v>418.5</v>
      </c>
      <c r="AH427" s="27" t="b">
        <v>1</v>
      </c>
      <c r="AI427" s="4">
        <v>0.32200000000000001</v>
      </c>
      <c r="AJ427" s="27" t="b">
        <v>0</v>
      </c>
      <c r="AK427" s="4"/>
      <c r="AL427" s="27" t="b">
        <v>0</v>
      </c>
      <c r="AM427" s="4">
        <v>846.02099999999996</v>
      </c>
      <c r="AN427" s="4">
        <v>1709.16</v>
      </c>
      <c r="AO427" s="4">
        <v>562.125</v>
      </c>
      <c r="AP427" s="4">
        <v>49.971299999999999</v>
      </c>
      <c r="AQ427" s="4">
        <v>54.546599999999998</v>
      </c>
      <c r="AR427" s="4">
        <v>13.725099999999999</v>
      </c>
      <c r="AS427" s="4">
        <v>11.024699999999999</v>
      </c>
      <c r="AT427" s="4">
        <v>10.316700000000001</v>
      </c>
      <c r="AU427" s="4">
        <v>3.7523900000000001</v>
      </c>
      <c r="AV427" s="4">
        <v>-1.4305E-2</v>
      </c>
      <c r="AW427" s="4">
        <v>-1.0404E-2</v>
      </c>
      <c r="AX427" s="4">
        <v>6.4949999999999999E-3</v>
      </c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1" t="s">
        <v>3599</v>
      </c>
      <c r="BJ427" s="1" t="s">
        <v>3981</v>
      </c>
      <c r="BK427" s="1">
        <v>1</v>
      </c>
      <c r="BL427" s="1"/>
      <c r="BM427" s="1" t="s">
        <v>540</v>
      </c>
      <c r="BN427" s="1" t="s">
        <v>2762</v>
      </c>
      <c r="BO427" s="1" t="s">
        <v>2763</v>
      </c>
      <c r="BP427" s="1">
        <v>6.6</v>
      </c>
      <c r="BQ427" s="1" t="s">
        <v>1003</v>
      </c>
      <c r="BR427" s="1">
        <v>37.307000000000002</v>
      </c>
      <c r="BS427" s="1">
        <v>138.839</v>
      </c>
      <c r="BT427" s="1">
        <v>10.6</v>
      </c>
      <c r="BU427" s="1" t="s">
        <v>1028</v>
      </c>
      <c r="BV427" s="1" t="s">
        <v>2809</v>
      </c>
      <c r="BW427" s="1">
        <v>212</v>
      </c>
      <c r="BX427" s="1">
        <v>47</v>
      </c>
      <c r="BY427" s="1">
        <v>93</v>
      </c>
      <c r="BZ427" s="1"/>
      <c r="CA427" s="1"/>
      <c r="CB427" s="1"/>
      <c r="CC427" s="1" t="s">
        <v>2808</v>
      </c>
      <c r="CD427" s="1" t="s">
        <v>731</v>
      </c>
      <c r="CE427" s="1"/>
      <c r="CF427" s="1"/>
      <c r="CG427" s="1"/>
      <c r="CH427" s="1"/>
      <c r="CI427" s="1"/>
      <c r="CJ427" s="1" t="s">
        <v>2812</v>
      </c>
      <c r="CK427" t="s">
        <v>1263</v>
      </c>
      <c r="CL427">
        <v>184</v>
      </c>
      <c r="CM427" t="s">
        <v>2879</v>
      </c>
    </row>
    <row r="428" spans="1:91" ht="19" customHeight="1">
      <c r="A428" s="1" t="s">
        <v>3982</v>
      </c>
      <c r="B428" s="1" t="s">
        <v>3597</v>
      </c>
      <c r="C428" s="1">
        <v>185</v>
      </c>
      <c r="D428" s="1" t="s">
        <v>1123</v>
      </c>
      <c r="E428" s="1">
        <v>2004</v>
      </c>
      <c r="F428" s="1" t="s">
        <v>940</v>
      </c>
      <c r="G428" s="1" t="s">
        <v>1544</v>
      </c>
      <c r="H428" s="4">
        <v>37.169699999999999</v>
      </c>
      <c r="I428" s="4">
        <v>138.74719999999999</v>
      </c>
      <c r="J428" s="1" t="s">
        <v>1404</v>
      </c>
      <c r="K428" s="1" t="s">
        <v>70</v>
      </c>
      <c r="L428" s="1" t="s">
        <v>1546</v>
      </c>
      <c r="M428" s="1" t="s">
        <v>3598</v>
      </c>
      <c r="N428" s="1"/>
      <c r="O428" s="1" t="s">
        <v>3095</v>
      </c>
      <c r="P428" s="1"/>
      <c r="Q428" s="4">
        <v>6.6</v>
      </c>
      <c r="R428" s="4"/>
      <c r="S428" s="4"/>
      <c r="T428" s="4"/>
      <c r="U428" s="4"/>
      <c r="V428" s="4">
        <v>8.93</v>
      </c>
      <c r="W428" s="4"/>
      <c r="X428" s="4"/>
      <c r="Y428" s="4"/>
      <c r="Z428" s="4"/>
      <c r="AA428" s="4"/>
      <c r="AB428" s="4" t="s">
        <v>1028</v>
      </c>
      <c r="AC428" s="4"/>
      <c r="AD428" s="4">
        <v>37.307000000000002</v>
      </c>
      <c r="AE428" s="4">
        <v>138.839</v>
      </c>
      <c r="AF428" s="4">
        <v>10.6</v>
      </c>
      <c r="AG428" s="4">
        <v>375</v>
      </c>
      <c r="AH428" s="27" t="b">
        <v>1</v>
      </c>
      <c r="AI428" s="4">
        <v>1.7989999999999999</v>
      </c>
      <c r="AJ428" s="27" t="b">
        <v>0</v>
      </c>
      <c r="AK428" s="4"/>
      <c r="AL428" s="27" t="b">
        <v>0</v>
      </c>
      <c r="AM428" s="4">
        <v>587.81700000000001</v>
      </c>
      <c r="AN428" s="4">
        <v>455.09300000000002</v>
      </c>
      <c r="AO428" s="4">
        <v>313.53500000000003</v>
      </c>
      <c r="AP428" s="4">
        <v>58.1462</v>
      </c>
      <c r="AQ428" s="4">
        <v>36.523200000000003</v>
      </c>
      <c r="AR428" s="4">
        <v>12.6904</v>
      </c>
      <c r="AS428" s="4">
        <v>13.1035</v>
      </c>
      <c r="AT428" s="4">
        <v>15.0024</v>
      </c>
      <c r="AU428" s="4">
        <v>6.22811</v>
      </c>
      <c r="AV428" s="4">
        <v>1.0215E-2</v>
      </c>
      <c r="AW428" s="4">
        <v>3.6960000000000001E-3</v>
      </c>
      <c r="AX428" s="4">
        <v>-4.3759999999999997E-3</v>
      </c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1" t="s">
        <v>3599</v>
      </c>
      <c r="BJ428" s="1" t="s">
        <v>3983</v>
      </c>
      <c r="BK428" s="1">
        <v>1</v>
      </c>
      <c r="BL428" s="1"/>
      <c r="BM428" s="1" t="s">
        <v>540</v>
      </c>
      <c r="BN428" s="1" t="s">
        <v>2762</v>
      </c>
      <c r="BO428" s="1" t="s">
        <v>2763</v>
      </c>
      <c r="BP428" s="1">
        <v>6.6</v>
      </c>
      <c r="BQ428" s="1" t="s">
        <v>1003</v>
      </c>
      <c r="BR428" s="1">
        <v>37.307000000000002</v>
      </c>
      <c r="BS428" s="1">
        <v>138.839</v>
      </c>
      <c r="BT428" s="1">
        <v>10.6</v>
      </c>
      <c r="BU428" s="1" t="s">
        <v>1028</v>
      </c>
      <c r="BV428" s="1" t="s">
        <v>2809</v>
      </c>
      <c r="BW428" s="1">
        <v>212</v>
      </c>
      <c r="BX428" s="1">
        <v>47</v>
      </c>
      <c r="BY428" s="1">
        <v>93</v>
      </c>
      <c r="BZ428" s="1"/>
      <c r="CA428" s="1"/>
      <c r="CB428" s="1"/>
      <c r="CC428" s="1" t="s">
        <v>2808</v>
      </c>
      <c r="CD428" s="1" t="s">
        <v>731</v>
      </c>
      <c r="CE428" s="1"/>
      <c r="CF428" s="1"/>
      <c r="CG428" s="1"/>
      <c r="CH428" s="1"/>
      <c r="CI428" s="1"/>
      <c r="CJ428" s="1" t="s">
        <v>2812</v>
      </c>
      <c r="CK428" t="s">
        <v>1263</v>
      </c>
      <c r="CL428">
        <v>185</v>
      </c>
      <c r="CM428" t="s">
        <v>2879</v>
      </c>
    </row>
    <row r="429" spans="1:91" ht="19" customHeight="1">
      <c r="A429" s="1" t="s">
        <v>3984</v>
      </c>
      <c r="B429" s="1" t="s">
        <v>3597</v>
      </c>
      <c r="C429" s="1">
        <v>186</v>
      </c>
      <c r="D429" s="1" t="s">
        <v>1124</v>
      </c>
      <c r="E429" s="1">
        <v>2004</v>
      </c>
      <c r="F429" s="1" t="s">
        <v>944</v>
      </c>
      <c r="G429" s="1" t="s">
        <v>2459</v>
      </c>
      <c r="H429" s="4">
        <v>35.743000000000002</v>
      </c>
      <c r="I429" s="4">
        <v>-120.277</v>
      </c>
      <c r="J429" s="1" t="s">
        <v>1404</v>
      </c>
      <c r="K429" s="1" t="s">
        <v>70</v>
      </c>
      <c r="L429" s="1" t="s">
        <v>2461</v>
      </c>
      <c r="M429" s="1" t="s">
        <v>3598</v>
      </c>
      <c r="N429" s="1"/>
      <c r="O429" s="1" t="s">
        <v>3095</v>
      </c>
      <c r="P429" s="1"/>
      <c r="Q429" s="4">
        <v>6</v>
      </c>
      <c r="R429" s="4"/>
      <c r="S429" s="4"/>
      <c r="T429" s="4"/>
      <c r="U429" s="4"/>
      <c r="V429" s="4">
        <v>3</v>
      </c>
      <c r="W429" s="4"/>
      <c r="X429" s="4"/>
      <c r="Y429" s="4"/>
      <c r="Z429" s="4"/>
      <c r="AA429" s="4"/>
      <c r="AB429" s="4" t="s">
        <v>1032</v>
      </c>
      <c r="AC429" s="4"/>
      <c r="AD429" s="4">
        <v>35.817</v>
      </c>
      <c r="AE429" s="4">
        <v>-120.36499999999999</v>
      </c>
      <c r="AF429" s="4">
        <v>8.1</v>
      </c>
      <c r="AG429" s="4">
        <v>326.64</v>
      </c>
      <c r="AH429" s="27" t="b">
        <v>1</v>
      </c>
      <c r="AI429" s="4">
        <v>1.33</v>
      </c>
      <c r="AJ429" s="27" t="b">
        <v>0</v>
      </c>
      <c r="AK429" s="4"/>
      <c r="AL429" s="27" t="b">
        <v>0</v>
      </c>
      <c r="AM429" s="4">
        <v>432.01400000000001</v>
      </c>
      <c r="AN429" s="4">
        <v>354.52100000000002</v>
      </c>
      <c r="AO429" s="4">
        <v>225.816</v>
      </c>
      <c r="AP429" s="4">
        <v>40.186700000000002</v>
      </c>
      <c r="AQ429" s="4">
        <v>39.317700000000002</v>
      </c>
      <c r="AR429" s="4">
        <v>9.9515100000000007</v>
      </c>
      <c r="AS429" s="4">
        <v>9.4309499999999993</v>
      </c>
      <c r="AT429" s="4">
        <v>7.4731500000000004</v>
      </c>
      <c r="AU429" s="4">
        <v>2.0954199999999998</v>
      </c>
      <c r="AV429" s="4">
        <v>-0.111431</v>
      </c>
      <c r="AW429" s="4">
        <v>0.24296300000000001</v>
      </c>
      <c r="AX429" s="4">
        <v>0.119722</v>
      </c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1" t="s">
        <v>3599</v>
      </c>
      <c r="BJ429" s="1" t="s">
        <v>3985</v>
      </c>
      <c r="BK429" s="1">
        <v>1</v>
      </c>
      <c r="BL429" s="1"/>
      <c r="BM429" s="1" t="s">
        <v>547</v>
      </c>
      <c r="BN429" s="1" t="s">
        <v>2767</v>
      </c>
      <c r="BO429" s="1" t="s">
        <v>2768</v>
      </c>
      <c r="BP429" s="1">
        <v>6</v>
      </c>
      <c r="BQ429" s="1" t="s">
        <v>1003</v>
      </c>
      <c r="BR429" s="1">
        <v>35.817</v>
      </c>
      <c r="BS429" s="1">
        <v>-120.36499999999999</v>
      </c>
      <c r="BT429" s="1">
        <v>8.1</v>
      </c>
      <c r="BU429" s="1" t="s">
        <v>1032</v>
      </c>
      <c r="BV429" s="1" t="s">
        <v>2809</v>
      </c>
      <c r="BW429" s="1">
        <v>141</v>
      </c>
      <c r="BX429" s="1">
        <v>89</v>
      </c>
      <c r="BY429" s="1">
        <v>-175</v>
      </c>
      <c r="BZ429" s="1"/>
      <c r="CA429" s="1"/>
      <c r="CB429" s="1"/>
      <c r="CC429" s="1" t="s">
        <v>2808</v>
      </c>
      <c r="CD429" s="1" t="s">
        <v>731</v>
      </c>
      <c r="CE429" s="1"/>
      <c r="CF429" s="1"/>
      <c r="CG429" s="1"/>
      <c r="CH429" s="1"/>
      <c r="CI429" s="1"/>
      <c r="CJ429" s="1" t="s">
        <v>2812</v>
      </c>
      <c r="CK429" t="s">
        <v>1263</v>
      </c>
      <c r="CL429">
        <v>186</v>
      </c>
      <c r="CM429" t="s">
        <v>2880</v>
      </c>
    </row>
    <row r="430" spans="1:91" ht="19" customHeight="1">
      <c r="A430" s="1" t="s">
        <v>3986</v>
      </c>
      <c r="B430" s="1" t="s">
        <v>3597</v>
      </c>
      <c r="C430" s="1">
        <v>187</v>
      </c>
      <c r="D430" s="1" t="s">
        <v>1124</v>
      </c>
      <c r="E430" s="1">
        <v>2004</v>
      </c>
      <c r="F430" s="1" t="s">
        <v>945</v>
      </c>
      <c r="G430" s="1" t="s">
        <v>2462</v>
      </c>
      <c r="H430" s="4">
        <v>35.732999999999997</v>
      </c>
      <c r="I430" s="4">
        <v>-120.29</v>
      </c>
      <c r="J430" s="1" t="s">
        <v>1404</v>
      </c>
      <c r="K430" s="1" t="s">
        <v>70</v>
      </c>
      <c r="L430" s="1" t="s">
        <v>2464</v>
      </c>
      <c r="M430" s="1" t="s">
        <v>3598</v>
      </c>
      <c r="N430" s="1"/>
      <c r="O430" s="1" t="s">
        <v>3095</v>
      </c>
      <c r="P430" s="1"/>
      <c r="Q430" s="4">
        <v>6</v>
      </c>
      <c r="R430" s="4"/>
      <c r="S430" s="4"/>
      <c r="T430" s="4"/>
      <c r="U430" s="4"/>
      <c r="V430" s="4">
        <v>3.01</v>
      </c>
      <c r="W430" s="4"/>
      <c r="X430" s="4"/>
      <c r="Y430" s="4"/>
      <c r="Z430" s="4"/>
      <c r="AA430" s="4"/>
      <c r="AB430" s="4" t="s">
        <v>1032</v>
      </c>
      <c r="AC430" s="4"/>
      <c r="AD430" s="4">
        <v>35.817</v>
      </c>
      <c r="AE430" s="4">
        <v>-120.36499999999999</v>
      </c>
      <c r="AF430" s="4">
        <v>8.1</v>
      </c>
      <c r="AG430" s="4">
        <v>173.02</v>
      </c>
      <c r="AH430" s="27" t="b">
        <v>1</v>
      </c>
      <c r="AI430" s="4">
        <v>1.0780000000000001</v>
      </c>
      <c r="AJ430" s="27" t="b">
        <v>0</v>
      </c>
      <c r="AK430" s="4"/>
      <c r="AL430" s="27" t="b">
        <v>0</v>
      </c>
      <c r="AM430" s="4">
        <v>611.87</v>
      </c>
      <c r="AN430" s="4">
        <v>365.74</v>
      </c>
      <c r="AO430" s="4">
        <v>186.399</v>
      </c>
      <c r="AP430" s="4">
        <v>63.967100000000002</v>
      </c>
      <c r="AQ430" s="4">
        <v>44.831099999999999</v>
      </c>
      <c r="AR430" s="4">
        <v>14.3873</v>
      </c>
      <c r="AS430" s="4">
        <v>11.739699999999999</v>
      </c>
      <c r="AT430" s="4">
        <v>6.7069400000000003</v>
      </c>
      <c r="AU430" s="4">
        <v>2.339</v>
      </c>
      <c r="AV430" s="4">
        <v>-4.9645000000000002E-2</v>
      </c>
      <c r="AW430" s="4">
        <v>-1.2011000000000001E-2</v>
      </c>
      <c r="AX430" s="4">
        <v>-3.9618E-2</v>
      </c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1" t="s">
        <v>3599</v>
      </c>
      <c r="BJ430" s="1" t="s">
        <v>3987</v>
      </c>
      <c r="BK430" s="1">
        <v>1</v>
      </c>
      <c r="BL430" s="1"/>
      <c r="BM430" s="1" t="s">
        <v>547</v>
      </c>
      <c r="BN430" s="1" t="s">
        <v>2767</v>
      </c>
      <c r="BO430" s="1" t="s">
        <v>2768</v>
      </c>
      <c r="BP430" s="1">
        <v>6</v>
      </c>
      <c r="BQ430" s="1" t="s">
        <v>1003</v>
      </c>
      <c r="BR430" s="1">
        <v>35.817</v>
      </c>
      <c r="BS430" s="1">
        <v>-120.36499999999999</v>
      </c>
      <c r="BT430" s="1">
        <v>8.1</v>
      </c>
      <c r="BU430" s="1" t="s">
        <v>1032</v>
      </c>
      <c r="BV430" s="1" t="s">
        <v>2809</v>
      </c>
      <c r="BW430" s="1">
        <v>141</v>
      </c>
      <c r="BX430" s="1">
        <v>89</v>
      </c>
      <c r="BY430" s="1">
        <v>-175</v>
      </c>
      <c r="BZ430" s="1"/>
      <c r="CA430" s="1"/>
      <c r="CB430" s="1"/>
      <c r="CC430" s="1" t="s">
        <v>2808</v>
      </c>
      <c r="CD430" s="1" t="s">
        <v>731</v>
      </c>
      <c r="CE430" s="1"/>
      <c r="CF430" s="1"/>
      <c r="CG430" s="1"/>
      <c r="CH430" s="1"/>
      <c r="CI430" s="1"/>
      <c r="CJ430" s="1" t="s">
        <v>2812</v>
      </c>
      <c r="CK430" t="s">
        <v>1263</v>
      </c>
      <c r="CL430">
        <v>187</v>
      </c>
      <c r="CM430" t="s">
        <v>2880</v>
      </c>
    </row>
    <row r="431" spans="1:91" ht="19" customHeight="1">
      <c r="A431" s="1" t="s">
        <v>3988</v>
      </c>
      <c r="B431" s="1" t="s">
        <v>3597</v>
      </c>
      <c r="C431" s="1">
        <v>188</v>
      </c>
      <c r="D431" s="1" t="s">
        <v>1124</v>
      </c>
      <c r="E431" s="1">
        <v>2004</v>
      </c>
      <c r="F431" s="1" t="s">
        <v>946</v>
      </c>
      <c r="G431" s="1" t="s">
        <v>2465</v>
      </c>
      <c r="H431" s="4">
        <v>35.770000000000003</v>
      </c>
      <c r="I431" s="4">
        <v>-120.247</v>
      </c>
      <c r="J431" s="1" t="s">
        <v>1404</v>
      </c>
      <c r="K431" s="1" t="s">
        <v>70</v>
      </c>
      <c r="L431" s="1" t="s">
        <v>2467</v>
      </c>
      <c r="M431" s="1" t="s">
        <v>3598</v>
      </c>
      <c r="N431" s="1"/>
      <c r="O431" s="1" t="s">
        <v>3095</v>
      </c>
      <c r="P431" s="1"/>
      <c r="Q431" s="4">
        <v>6</v>
      </c>
      <c r="R431" s="4"/>
      <c r="S431" s="4"/>
      <c r="T431" s="4"/>
      <c r="U431" s="4"/>
      <c r="V431" s="4">
        <v>5.55</v>
      </c>
      <c r="W431" s="4"/>
      <c r="X431" s="4"/>
      <c r="Y431" s="4"/>
      <c r="Z431" s="4"/>
      <c r="AA431" s="4"/>
      <c r="AB431" s="4" t="s">
        <v>1032</v>
      </c>
      <c r="AC431" s="4"/>
      <c r="AD431" s="4">
        <v>35.817</v>
      </c>
      <c r="AE431" s="4">
        <v>-120.36499999999999</v>
      </c>
      <c r="AF431" s="4">
        <v>8.1</v>
      </c>
      <c r="AG431" s="4">
        <v>397.36</v>
      </c>
      <c r="AH431" s="27" t="b">
        <v>1</v>
      </c>
      <c r="AI431" s="4">
        <v>0.51800000000000002</v>
      </c>
      <c r="AJ431" s="27" t="b">
        <v>0</v>
      </c>
      <c r="AK431" s="4"/>
      <c r="AL431" s="27" t="b">
        <v>0</v>
      </c>
      <c r="AM431" s="4">
        <v>508.798</v>
      </c>
      <c r="AN431" s="4">
        <v>784.31299999999999</v>
      </c>
      <c r="AO431" s="4">
        <v>320.78699999999998</v>
      </c>
      <c r="AP431" s="4">
        <v>23.429400000000001</v>
      </c>
      <c r="AQ431" s="4">
        <v>27.789200000000001</v>
      </c>
      <c r="AR431" s="4">
        <v>6.3022400000000003</v>
      </c>
      <c r="AS431" s="4">
        <v>3.1472099999999998</v>
      </c>
      <c r="AT431" s="4">
        <v>2.3811300000000002</v>
      </c>
      <c r="AU431" s="4">
        <v>0.68330999999999997</v>
      </c>
      <c r="AV431" s="4">
        <v>-7.1181999999999995E-2</v>
      </c>
      <c r="AW431" s="4">
        <v>8.6808999999999997E-2</v>
      </c>
      <c r="AX431" s="4">
        <v>-3.3328000000000003E-2</v>
      </c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1" t="s">
        <v>3599</v>
      </c>
      <c r="BJ431" s="1" t="s">
        <v>3989</v>
      </c>
      <c r="BK431" s="1">
        <v>1</v>
      </c>
      <c r="BL431" s="1"/>
      <c r="BM431" s="1" t="s">
        <v>547</v>
      </c>
      <c r="BN431" s="1" t="s">
        <v>2767</v>
      </c>
      <c r="BO431" s="1" t="s">
        <v>2768</v>
      </c>
      <c r="BP431" s="1">
        <v>6</v>
      </c>
      <c r="BQ431" s="1" t="s">
        <v>1003</v>
      </c>
      <c r="BR431" s="1">
        <v>35.817</v>
      </c>
      <c r="BS431" s="1">
        <v>-120.36499999999999</v>
      </c>
      <c r="BT431" s="1">
        <v>8.1</v>
      </c>
      <c r="BU431" s="1" t="s">
        <v>1032</v>
      </c>
      <c r="BV431" s="1" t="s">
        <v>2809</v>
      </c>
      <c r="BW431" s="1">
        <v>141</v>
      </c>
      <c r="BX431" s="1">
        <v>89</v>
      </c>
      <c r="BY431" s="1">
        <v>-175</v>
      </c>
      <c r="BZ431" s="1"/>
      <c r="CA431" s="1"/>
      <c r="CB431" s="1"/>
      <c r="CC431" s="1" t="s">
        <v>2808</v>
      </c>
      <c r="CD431" s="1" t="s">
        <v>731</v>
      </c>
      <c r="CE431" s="1"/>
      <c r="CF431" s="1"/>
      <c r="CG431" s="1"/>
      <c r="CH431" s="1"/>
      <c r="CI431" s="1"/>
      <c r="CJ431" s="1" t="s">
        <v>2812</v>
      </c>
      <c r="CK431" t="s">
        <v>1263</v>
      </c>
      <c r="CL431">
        <v>188</v>
      </c>
      <c r="CM431" t="s">
        <v>2880</v>
      </c>
    </row>
    <row r="432" spans="1:91" ht="19" customHeight="1">
      <c r="A432" s="1" t="s">
        <v>3990</v>
      </c>
      <c r="B432" s="1" t="s">
        <v>3597</v>
      </c>
      <c r="C432" s="1">
        <v>189</v>
      </c>
      <c r="D432" s="1" t="s">
        <v>1124</v>
      </c>
      <c r="E432" s="1">
        <v>2004</v>
      </c>
      <c r="F432" s="1" t="s">
        <v>947</v>
      </c>
      <c r="G432" s="1" t="s">
        <v>2468</v>
      </c>
      <c r="H432" s="4">
        <v>35.723999999999997</v>
      </c>
      <c r="I432" s="4">
        <v>-120.294</v>
      </c>
      <c r="J432" s="1" t="s">
        <v>1404</v>
      </c>
      <c r="K432" s="1" t="s">
        <v>70</v>
      </c>
      <c r="L432" s="1" t="s">
        <v>2470</v>
      </c>
      <c r="M432" s="1" t="s">
        <v>3598</v>
      </c>
      <c r="N432" s="1"/>
      <c r="O432" s="1" t="s">
        <v>3095</v>
      </c>
      <c r="P432" s="1"/>
      <c r="Q432" s="4">
        <v>6</v>
      </c>
      <c r="R432" s="4"/>
      <c r="S432" s="4"/>
      <c r="T432" s="4"/>
      <c r="U432" s="4"/>
      <c r="V432" s="4">
        <v>3.63</v>
      </c>
      <c r="W432" s="4"/>
      <c r="X432" s="4"/>
      <c r="Y432" s="4"/>
      <c r="Z432" s="4"/>
      <c r="AA432" s="4"/>
      <c r="AB432" s="4" t="s">
        <v>1032</v>
      </c>
      <c r="AC432" s="4"/>
      <c r="AD432" s="4">
        <v>35.817</v>
      </c>
      <c r="AE432" s="4">
        <v>-120.36499999999999</v>
      </c>
      <c r="AF432" s="4">
        <v>8.1</v>
      </c>
      <c r="AG432" s="4">
        <v>230.57</v>
      </c>
      <c r="AH432" s="27" t="b">
        <v>1</v>
      </c>
      <c r="AI432" s="4">
        <v>1.022</v>
      </c>
      <c r="AJ432" s="27" t="b">
        <v>0</v>
      </c>
      <c r="AK432" s="4"/>
      <c r="AL432" s="27" t="b">
        <v>0</v>
      </c>
      <c r="AM432" s="4">
        <v>319.96499999999997</v>
      </c>
      <c r="AN432" s="4">
        <v>567.70600000000002</v>
      </c>
      <c r="AO432" s="4">
        <v>163.54400000000001</v>
      </c>
      <c r="AP432" s="4">
        <v>28.85</v>
      </c>
      <c r="AQ432" s="4">
        <v>37.829500000000003</v>
      </c>
      <c r="AR432" s="4">
        <v>9.4052000000000007</v>
      </c>
      <c r="AS432" s="4">
        <v>4.6714399999999996</v>
      </c>
      <c r="AT432" s="4">
        <v>7.3626300000000002</v>
      </c>
      <c r="AU432" s="4">
        <v>1.0645500000000001</v>
      </c>
      <c r="AV432" s="4">
        <v>0.19300300000000001</v>
      </c>
      <c r="AW432" s="4">
        <v>-0.228988</v>
      </c>
      <c r="AX432" s="4">
        <v>-4.8481999999999997E-2</v>
      </c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1" t="s">
        <v>3599</v>
      </c>
      <c r="BJ432" s="1" t="s">
        <v>3991</v>
      </c>
      <c r="BK432" s="1">
        <v>1</v>
      </c>
      <c r="BL432" s="1"/>
      <c r="BM432" s="1" t="s">
        <v>547</v>
      </c>
      <c r="BN432" s="1" t="s">
        <v>2767</v>
      </c>
      <c r="BO432" s="1" t="s">
        <v>2768</v>
      </c>
      <c r="BP432" s="1">
        <v>6</v>
      </c>
      <c r="BQ432" s="1" t="s">
        <v>1003</v>
      </c>
      <c r="BR432" s="1">
        <v>35.817</v>
      </c>
      <c r="BS432" s="1">
        <v>-120.36499999999999</v>
      </c>
      <c r="BT432" s="1">
        <v>8.1</v>
      </c>
      <c r="BU432" s="1" t="s">
        <v>1032</v>
      </c>
      <c r="BV432" s="1" t="s">
        <v>2809</v>
      </c>
      <c r="BW432" s="1">
        <v>141</v>
      </c>
      <c r="BX432" s="1">
        <v>89</v>
      </c>
      <c r="BY432" s="1">
        <v>-175</v>
      </c>
      <c r="BZ432" s="1"/>
      <c r="CA432" s="1"/>
      <c r="CB432" s="1"/>
      <c r="CC432" s="1" t="s">
        <v>2808</v>
      </c>
      <c r="CD432" s="1" t="s">
        <v>731</v>
      </c>
      <c r="CE432" s="1"/>
      <c r="CF432" s="1"/>
      <c r="CG432" s="1"/>
      <c r="CH432" s="1"/>
      <c r="CI432" s="1"/>
      <c r="CJ432" s="1" t="s">
        <v>2812</v>
      </c>
      <c r="CK432" t="s">
        <v>1263</v>
      </c>
      <c r="CL432">
        <v>189</v>
      </c>
      <c r="CM432" t="s">
        <v>2880</v>
      </c>
    </row>
    <row r="433" spans="1:91" ht="19" customHeight="1">
      <c r="A433" s="1" t="s">
        <v>3992</v>
      </c>
      <c r="B433" s="1" t="s">
        <v>3597</v>
      </c>
      <c r="C433" s="1">
        <v>190</v>
      </c>
      <c r="D433" s="1" t="s">
        <v>1124</v>
      </c>
      <c r="E433" s="1">
        <v>2004</v>
      </c>
      <c r="F433" s="1" t="s">
        <v>948</v>
      </c>
      <c r="G433" s="1" t="s">
        <v>2471</v>
      </c>
      <c r="H433" s="4">
        <v>35.718000000000004</v>
      </c>
      <c r="I433" s="4">
        <v>-120.304</v>
      </c>
      <c r="J433" s="1" t="s">
        <v>1404</v>
      </c>
      <c r="K433" s="1" t="s">
        <v>70</v>
      </c>
      <c r="L433" s="1" t="s">
        <v>2473</v>
      </c>
      <c r="M433" s="1" t="s">
        <v>3598</v>
      </c>
      <c r="N433" s="1"/>
      <c r="O433" s="1" t="s">
        <v>3095</v>
      </c>
      <c r="P433" s="1"/>
      <c r="Q433" s="4">
        <v>6</v>
      </c>
      <c r="R433" s="4"/>
      <c r="S433" s="4"/>
      <c r="T433" s="4"/>
      <c r="U433" s="4"/>
      <c r="V433" s="4">
        <v>4.2300000000000004</v>
      </c>
      <c r="W433" s="4"/>
      <c r="X433" s="4"/>
      <c r="Y433" s="4"/>
      <c r="Z433" s="4"/>
      <c r="AA433" s="4"/>
      <c r="AB433" s="4" t="s">
        <v>1032</v>
      </c>
      <c r="AC433" s="4"/>
      <c r="AD433" s="4">
        <v>35.817</v>
      </c>
      <c r="AE433" s="4">
        <v>-120.36499999999999</v>
      </c>
      <c r="AF433" s="4">
        <v>8.1</v>
      </c>
      <c r="AG433" s="4">
        <v>410.4</v>
      </c>
      <c r="AH433" s="27" t="b">
        <v>1</v>
      </c>
      <c r="AI433" s="4">
        <v>0.7</v>
      </c>
      <c r="AJ433" s="27" t="b">
        <v>0</v>
      </c>
      <c r="AK433" s="4"/>
      <c r="AL433" s="27" t="b">
        <v>0</v>
      </c>
      <c r="AM433" s="4">
        <v>564.47900000000004</v>
      </c>
      <c r="AN433" s="4">
        <v>504.92200000000003</v>
      </c>
      <c r="AO433" s="4">
        <v>149.554</v>
      </c>
      <c r="AP433" s="4">
        <v>32.342500000000001</v>
      </c>
      <c r="AQ433" s="4">
        <v>26.900700000000001</v>
      </c>
      <c r="AR433" s="4">
        <v>9.4944299999999995</v>
      </c>
      <c r="AS433" s="4">
        <v>4.2313200000000002</v>
      </c>
      <c r="AT433" s="4">
        <v>4.58969</v>
      </c>
      <c r="AU433" s="4">
        <v>0.88358999999999999</v>
      </c>
      <c r="AV433" s="4">
        <v>0.37489600000000001</v>
      </c>
      <c r="AW433" s="4">
        <v>-5.2709999999999996E-3</v>
      </c>
      <c r="AX433" s="4">
        <v>-1.2031E-2</v>
      </c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1" t="s">
        <v>3599</v>
      </c>
      <c r="BJ433" s="1" t="s">
        <v>3993</v>
      </c>
      <c r="BK433" s="1">
        <v>1</v>
      </c>
      <c r="BL433" s="1"/>
      <c r="BM433" s="1" t="s">
        <v>547</v>
      </c>
      <c r="BN433" s="1" t="s">
        <v>2767</v>
      </c>
      <c r="BO433" s="1" t="s">
        <v>2768</v>
      </c>
      <c r="BP433" s="1">
        <v>6</v>
      </c>
      <c r="BQ433" s="1" t="s">
        <v>1003</v>
      </c>
      <c r="BR433" s="1">
        <v>35.817</v>
      </c>
      <c r="BS433" s="1">
        <v>-120.36499999999999</v>
      </c>
      <c r="BT433" s="1">
        <v>8.1</v>
      </c>
      <c r="BU433" s="1" t="s">
        <v>1032</v>
      </c>
      <c r="BV433" s="1" t="s">
        <v>2809</v>
      </c>
      <c r="BW433" s="1">
        <v>141</v>
      </c>
      <c r="BX433" s="1">
        <v>89</v>
      </c>
      <c r="BY433" s="1">
        <v>-175</v>
      </c>
      <c r="BZ433" s="1"/>
      <c r="CA433" s="1"/>
      <c r="CB433" s="1"/>
      <c r="CC433" s="1" t="s">
        <v>2808</v>
      </c>
      <c r="CD433" s="1" t="s">
        <v>731</v>
      </c>
      <c r="CE433" s="1"/>
      <c r="CF433" s="1"/>
      <c r="CG433" s="1"/>
      <c r="CH433" s="1"/>
      <c r="CI433" s="1"/>
      <c r="CJ433" s="1" t="s">
        <v>2812</v>
      </c>
      <c r="CK433" t="s">
        <v>1263</v>
      </c>
      <c r="CL433">
        <v>190</v>
      </c>
      <c r="CM433" t="s">
        <v>2880</v>
      </c>
    </row>
    <row r="434" spans="1:91" ht="19" customHeight="1">
      <c r="A434" s="1" t="s">
        <v>3994</v>
      </c>
      <c r="B434" s="1" t="s">
        <v>3597</v>
      </c>
      <c r="C434" s="1">
        <v>191</v>
      </c>
      <c r="D434" s="1" t="s">
        <v>1124</v>
      </c>
      <c r="E434" s="1">
        <v>2004</v>
      </c>
      <c r="F434" s="1" t="s">
        <v>942</v>
      </c>
      <c r="G434" s="1" t="s">
        <v>2474</v>
      </c>
      <c r="H434" s="4">
        <v>35.893999999999998</v>
      </c>
      <c r="I434" s="4">
        <v>-120.42100000000001</v>
      </c>
      <c r="J434" s="1" t="s">
        <v>1404</v>
      </c>
      <c r="K434" s="1" t="s">
        <v>70</v>
      </c>
      <c r="L434" s="1" t="s">
        <v>2476</v>
      </c>
      <c r="M434" s="1" t="s">
        <v>3598</v>
      </c>
      <c r="N434" s="1"/>
      <c r="O434" s="1" t="s">
        <v>3095</v>
      </c>
      <c r="P434" s="1"/>
      <c r="Q434" s="4">
        <v>6</v>
      </c>
      <c r="R434" s="4"/>
      <c r="S434" s="4"/>
      <c r="T434" s="4"/>
      <c r="U434" s="4"/>
      <c r="V434" s="4">
        <v>2.85</v>
      </c>
      <c r="W434" s="4"/>
      <c r="X434" s="4"/>
      <c r="Y434" s="4"/>
      <c r="Z434" s="4"/>
      <c r="AA434" s="4"/>
      <c r="AB434" s="4" t="s">
        <v>1032</v>
      </c>
      <c r="AC434" s="4"/>
      <c r="AD434" s="4">
        <v>35.817</v>
      </c>
      <c r="AE434" s="4">
        <v>-120.36499999999999</v>
      </c>
      <c r="AF434" s="4">
        <v>8.1</v>
      </c>
      <c r="AG434" s="4">
        <v>383.9</v>
      </c>
      <c r="AH434" s="27" t="b">
        <v>1</v>
      </c>
      <c r="AI434" s="4">
        <v>1.218</v>
      </c>
      <c r="AJ434" s="27" t="b">
        <v>0</v>
      </c>
      <c r="AK434" s="4"/>
      <c r="AL434" s="27" t="b">
        <v>0</v>
      </c>
      <c r="AM434" s="4">
        <v>383.45699999999999</v>
      </c>
      <c r="AN434" s="4">
        <v>311.58800000000002</v>
      </c>
      <c r="AO434" s="4">
        <v>192.35400000000001</v>
      </c>
      <c r="AP434" s="4">
        <v>25.879100000000001</v>
      </c>
      <c r="AQ434" s="4">
        <v>26.849799999999998</v>
      </c>
      <c r="AR434" s="4">
        <v>7.4190699999999996</v>
      </c>
      <c r="AS434" s="4">
        <v>4.9502199999999998</v>
      </c>
      <c r="AT434" s="4">
        <v>7.3497000000000003</v>
      </c>
      <c r="AU434" s="4">
        <v>1.37653</v>
      </c>
      <c r="AV434" s="4">
        <v>1.7569000000000001E-2</v>
      </c>
      <c r="AW434" s="4">
        <v>-5.574E-3</v>
      </c>
      <c r="AX434" s="4">
        <v>-2.6250000000000002E-3</v>
      </c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1" t="s">
        <v>3599</v>
      </c>
      <c r="BJ434" s="1" t="s">
        <v>3995</v>
      </c>
      <c r="BK434" s="1">
        <v>1</v>
      </c>
      <c r="BL434" s="1"/>
      <c r="BM434" s="1" t="s">
        <v>547</v>
      </c>
      <c r="BN434" s="1" t="s">
        <v>2767</v>
      </c>
      <c r="BO434" s="1" t="s">
        <v>2768</v>
      </c>
      <c r="BP434" s="1">
        <v>6</v>
      </c>
      <c r="BQ434" s="1" t="s">
        <v>1003</v>
      </c>
      <c r="BR434" s="1">
        <v>35.817</v>
      </c>
      <c r="BS434" s="1">
        <v>-120.36499999999999</v>
      </c>
      <c r="BT434" s="1">
        <v>8.1</v>
      </c>
      <c r="BU434" s="1" t="s">
        <v>1032</v>
      </c>
      <c r="BV434" s="1" t="s">
        <v>2809</v>
      </c>
      <c r="BW434" s="1">
        <v>141</v>
      </c>
      <c r="BX434" s="1">
        <v>89</v>
      </c>
      <c r="BY434" s="1">
        <v>-175</v>
      </c>
      <c r="BZ434" s="1"/>
      <c r="CA434" s="1"/>
      <c r="CB434" s="1"/>
      <c r="CC434" s="1" t="s">
        <v>2808</v>
      </c>
      <c r="CD434" s="1" t="s">
        <v>731</v>
      </c>
      <c r="CE434" s="1"/>
      <c r="CF434" s="1"/>
      <c r="CG434" s="1"/>
      <c r="CH434" s="1"/>
      <c r="CI434" s="1"/>
      <c r="CJ434" s="1" t="s">
        <v>2812</v>
      </c>
      <c r="CK434" t="s">
        <v>1263</v>
      </c>
      <c r="CL434">
        <v>191</v>
      </c>
      <c r="CM434" t="s">
        <v>2880</v>
      </c>
    </row>
    <row r="435" spans="1:91" ht="19" customHeight="1">
      <c r="A435" s="1" t="s">
        <v>3996</v>
      </c>
      <c r="B435" s="1" t="s">
        <v>3597</v>
      </c>
      <c r="C435" s="1">
        <v>192</v>
      </c>
      <c r="D435" s="1" t="s">
        <v>1124</v>
      </c>
      <c r="E435" s="1">
        <v>2004</v>
      </c>
      <c r="F435" s="1" t="s">
        <v>949</v>
      </c>
      <c r="G435" s="1" t="s">
        <v>2477</v>
      </c>
      <c r="H435" s="4">
        <v>35.758000000000003</v>
      </c>
      <c r="I435" s="4">
        <v>-120.307</v>
      </c>
      <c r="J435" s="1" t="s">
        <v>1404</v>
      </c>
      <c r="K435" s="1" t="s">
        <v>70</v>
      </c>
      <c r="L435" s="1" t="s">
        <v>2479</v>
      </c>
      <c r="M435" s="1" t="s">
        <v>3598</v>
      </c>
      <c r="N435" s="1"/>
      <c r="O435" s="1" t="s">
        <v>3095</v>
      </c>
      <c r="P435" s="1"/>
      <c r="Q435" s="4">
        <v>6</v>
      </c>
      <c r="R435" s="4"/>
      <c r="S435" s="4"/>
      <c r="T435" s="4"/>
      <c r="U435" s="4"/>
      <c r="V435" s="4">
        <v>2.5099999999999998</v>
      </c>
      <c r="W435" s="4"/>
      <c r="X435" s="4"/>
      <c r="Y435" s="4"/>
      <c r="Z435" s="4"/>
      <c r="AA435" s="4"/>
      <c r="AB435" s="4" t="s">
        <v>1032</v>
      </c>
      <c r="AC435" s="4"/>
      <c r="AD435" s="4">
        <v>35.817</v>
      </c>
      <c r="AE435" s="4">
        <v>-120.36499999999999</v>
      </c>
      <c r="AF435" s="4">
        <v>8.1</v>
      </c>
      <c r="AG435" s="4">
        <v>178.27</v>
      </c>
      <c r="AH435" s="27" t="b">
        <v>1</v>
      </c>
      <c r="AI435" s="4">
        <v>1.19</v>
      </c>
      <c r="AJ435" s="27" t="b">
        <v>0</v>
      </c>
      <c r="AK435" s="4"/>
      <c r="AL435" s="27" t="b">
        <v>0</v>
      </c>
      <c r="AM435" s="4">
        <v>593.48099999999999</v>
      </c>
      <c r="AN435" s="4">
        <v>817.35900000000004</v>
      </c>
      <c r="AO435" s="4">
        <v>250.31299999999999</v>
      </c>
      <c r="AP435" s="4">
        <v>63.813499999999998</v>
      </c>
      <c r="AQ435" s="4">
        <v>81.398200000000003</v>
      </c>
      <c r="AR435" s="4">
        <v>9.9132200000000008</v>
      </c>
      <c r="AS435" s="4">
        <v>8.4618500000000001</v>
      </c>
      <c r="AT435" s="4">
        <v>10.8003</v>
      </c>
      <c r="AU435" s="4">
        <v>2.6290100000000001</v>
      </c>
      <c r="AV435" s="4">
        <v>-0.12684599999999999</v>
      </c>
      <c r="AW435" s="4">
        <v>2.6766000000000002E-2</v>
      </c>
      <c r="AX435" s="4">
        <v>-0.20232600000000001</v>
      </c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1" t="s">
        <v>3599</v>
      </c>
      <c r="BJ435" s="1" t="s">
        <v>3997</v>
      </c>
      <c r="BK435" s="1">
        <v>1</v>
      </c>
      <c r="BL435" s="1"/>
      <c r="BM435" s="1" t="s">
        <v>547</v>
      </c>
      <c r="BN435" s="1" t="s">
        <v>2767</v>
      </c>
      <c r="BO435" s="1" t="s">
        <v>2768</v>
      </c>
      <c r="BP435" s="1">
        <v>6</v>
      </c>
      <c r="BQ435" s="1" t="s">
        <v>1003</v>
      </c>
      <c r="BR435" s="1">
        <v>35.817</v>
      </c>
      <c r="BS435" s="1">
        <v>-120.36499999999999</v>
      </c>
      <c r="BT435" s="1">
        <v>8.1</v>
      </c>
      <c r="BU435" s="1" t="s">
        <v>1032</v>
      </c>
      <c r="BV435" s="1" t="s">
        <v>2809</v>
      </c>
      <c r="BW435" s="1">
        <v>141</v>
      </c>
      <c r="BX435" s="1">
        <v>89</v>
      </c>
      <c r="BY435" s="1">
        <v>-175</v>
      </c>
      <c r="BZ435" s="1"/>
      <c r="CA435" s="1"/>
      <c r="CB435" s="1"/>
      <c r="CC435" s="1" t="s">
        <v>2808</v>
      </c>
      <c r="CD435" s="1" t="s">
        <v>731</v>
      </c>
      <c r="CE435" s="1"/>
      <c r="CF435" s="1"/>
      <c r="CG435" s="1"/>
      <c r="CH435" s="1"/>
      <c r="CI435" s="1"/>
      <c r="CJ435" s="1" t="s">
        <v>2812</v>
      </c>
      <c r="CK435" t="s">
        <v>1263</v>
      </c>
      <c r="CL435">
        <v>192</v>
      </c>
      <c r="CM435" t="s">
        <v>2880</v>
      </c>
    </row>
    <row r="436" spans="1:91" ht="19" customHeight="1">
      <c r="A436" s="1" t="s">
        <v>3998</v>
      </c>
      <c r="B436" s="1" t="s">
        <v>3597</v>
      </c>
      <c r="C436" s="1">
        <v>193</v>
      </c>
      <c r="D436" s="1" t="s">
        <v>1124</v>
      </c>
      <c r="E436" s="1">
        <v>2004</v>
      </c>
      <c r="F436" s="1" t="s">
        <v>951</v>
      </c>
      <c r="G436" s="1" t="s">
        <v>2480</v>
      </c>
      <c r="H436" s="4">
        <v>35.899000000000001</v>
      </c>
      <c r="I436" s="4">
        <v>-120.43300000000001</v>
      </c>
      <c r="J436" s="1" t="s">
        <v>1404</v>
      </c>
      <c r="K436" s="1" t="s">
        <v>70</v>
      </c>
      <c r="L436" s="1" t="s">
        <v>2482</v>
      </c>
      <c r="M436" s="1" t="s">
        <v>3598</v>
      </c>
      <c r="N436" s="1"/>
      <c r="O436" s="1" t="s">
        <v>3095</v>
      </c>
      <c r="P436" s="1"/>
      <c r="Q436" s="4">
        <v>6</v>
      </c>
      <c r="R436" s="4"/>
      <c r="S436" s="4"/>
      <c r="T436" s="4"/>
      <c r="U436" s="4"/>
      <c r="V436" s="4">
        <v>2.65</v>
      </c>
      <c r="W436" s="4"/>
      <c r="X436" s="4"/>
      <c r="Y436" s="4"/>
      <c r="Z436" s="4"/>
      <c r="AA436" s="4"/>
      <c r="AB436" s="4" t="s">
        <v>1032</v>
      </c>
      <c r="AC436" s="4"/>
      <c r="AD436" s="4">
        <v>35.817</v>
      </c>
      <c r="AE436" s="4">
        <v>-120.36499999999999</v>
      </c>
      <c r="AF436" s="4">
        <v>8.1</v>
      </c>
      <c r="AG436" s="4">
        <v>265.20999999999998</v>
      </c>
      <c r="AH436" s="27" t="b">
        <v>1</v>
      </c>
      <c r="AI436" s="4">
        <v>1.19</v>
      </c>
      <c r="AJ436" s="27" t="b">
        <v>0</v>
      </c>
      <c r="AK436" s="4"/>
      <c r="AL436" s="27" t="b">
        <v>0</v>
      </c>
      <c r="AM436" s="4">
        <v>271.19799999999998</v>
      </c>
      <c r="AN436" s="4">
        <v>300.786</v>
      </c>
      <c r="AO436" s="4">
        <v>155.429</v>
      </c>
      <c r="AP436" s="4">
        <v>39.890999999999998</v>
      </c>
      <c r="AQ436" s="4">
        <v>46.902099999999997</v>
      </c>
      <c r="AR436" s="4">
        <v>9.6275999999999993</v>
      </c>
      <c r="AS436" s="4">
        <v>10.8499</v>
      </c>
      <c r="AT436" s="4">
        <v>10.3078</v>
      </c>
      <c r="AU436" s="4">
        <v>2.0894300000000001</v>
      </c>
      <c r="AV436" s="4">
        <v>-0.121294</v>
      </c>
      <c r="AW436" s="4">
        <v>7.6607999999999996E-2</v>
      </c>
      <c r="AX436" s="4">
        <v>3.9604E-2</v>
      </c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1" t="s">
        <v>3599</v>
      </c>
      <c r="BJ436" s="1" t="s">
        <v>3999</v>
      </c>
      <c r="BK436" s="1">
        <v>1</v>
      </c>
      <c r="BL436" s="1"/>
      <c r="BM436" s="1" t="s">
        <v>547</v>
      </c>
      <c r="BN436" s="1" t="s">
        <v>2767</v>
      </c>
      <c r="BO436" s="1" t="s">
        <v>2768</v>
      </c>
      <c r="BP436" s="1">
        <v>6</v>
      </c>
      <c r="BQ436" s="1" t="s">
        <v>1003</v>
      </c>
      <c r="BR436" s="1">
        <v>35.817</v>
      </c>
      <c r="BS436" s="1">
        <v>-120.36499999999999</v>
      </c>
      <c r="BT436" s="1">
        <v>8.1</v>
      </c>
      <c r="BU436" s="1" t="s">
        <v>1032</v>
      </c>
      <c r="BV436" s="1" t="s">
        <v>2809</v>
      </c>
      <c r="BW436" s="1">
        <v>141</v>
      </c>
      <c r="BX436" s="1">
        <v>89</v>
      </c>
      <c r="BY436" s="1">
        <v>-175</v>
      </c>
      <c r="BZ436" s="1"/>
      <c r="CA436" s="1"/>
      <c r="CB436" s="1"/>
      <c r="CC436" s="1" t="s">
        <v>2808</v>
      </c>
      <c r="CD436" s="1" t="s">
        <v>731</v>
      </c>
      <c r="CE436" s="1"/>
      <c r="CF436" s="1"/>
      <c r="CG436" s="1"/>
      <c r="CH436" s="1"/>
      <c r="CI436" s="1"/>
      <c r="CJ436" s="1" t="s">
        <v>2812</v>
      </c>
      <c r="CK436" t="s">
        <v>1263</v>
      </c>
      <c r="CL436">
        <v>193</v>
      </c>
      <c r="CM436" t="s">
        <v>2880</v>
      </c>
    </row>
    <row r="437" spans="1:91" ht="19" customHeight="1">
      <c r="A437" s="1" t="s">
        <v>4000</v>
      </c>
      <c r="B437" s="1" t="s">
        <v>3597</v>
      </c>
      <c r="C437" s="1">
        <v>194</v>
      </c>
      <c r="D437" s="1" t="s">
        <v>1124</v>
      </c>
      <c r="E437" s="1">
        <v>2004</v>
      </c>
      <c r="F437" s="1" t="s">
        <v>950</v>
      </c>
      <c r="G437" s="1" t="s">
        <v>2483</v>
      </c>
      <c r="H437" s="4">
        <v>35.878999999999998</v>
      </c>
      <c r="I437" s="4">
        <v>-120.44499999999999</v>
      </c>
      <c r="J437" s="1" t="s">
        <v>1404</v>
      </c>
      <c r="K437" s="1" t="s">
        <v>70</v>
      </c>
      <c r="L437" s="1" t="s">
        <v>2485</v>
      </c>
      <c r="M437" s="1" t="s">
        <v>3598</v>
      </c>
      <c r="N437" s="1"/>
      <c r="O437" s="1" t="s">
        <v>3095</v>
      </c>
      <c r="P437" s="1"/>
      <c r="Q437" s="4">
        <v>6</v>
      </c>
      <c r="R437" s="4"/>
      <c r="S437" s="4"/>
      <c r="T437" s="4"/>
      <c r="U437" s="4"/>
      <c r="V437" s="4">
        <v>2.85</v>
      </c>
      <c r="W437" s="4"/>
      <c r="X437" s="4"/>
      <c r="Y437" s="4"/>
      <c r="Z437" s="4"/>
      <c r="AA437" s="4"/>
      <c r="AB437" s="4" t="s">
        <v>1032</v>
      </c>
      <c r="AC437" s="4"/>
      <c r="AD437" s="4">
        <v>35.817</v>
      </c>
      <c r="AE437" s="4">
        <v>-120.36499999999999</v>
      </c>
      <c r="AF437" s="4">
        <v>8.1</v>
      </c>
      <c r="AG437" s="4">
        <v>372.26</v>
      </c>
      <c r="AH437" s="27" t="b">
        <v>1</v>
      </c>
      <c r="AI437" s="4">
        <v>1.1339999999999999</v>
      </c>
      <c r="AJ437" s="27" t="b">
        <v>0</v>
      </c>
      <c r="AK437" s="4"/>
      <c r="AL437" s="27" t="b">
        <v>0</v>
      </c>
      <c r="AM437" s="4">
        <v>149.86199999999999</v>
      </c>
      <c r="AN437" s="4">
        <v>95.442899999999995</v>
      </c>
      <c r="AO437" s="4">
        <v>92.723200000000006</v>
      </c>
      <c r="AP437" s="4">
        <v>23.920400000000001</v>
      </c>
      <c r="AQ437" s="4">
        <v>14.3279</v>
      </c>
      <c r="AR437" s="4">
        <v>3.28945</v>
      </c>
      <c r="AS437" s="4">
        <v>5.5354400000000004</v>
      </c>
      <c r="AT437" s="4">
        <v>3.12351</v>
      </c>
      <c r="AU437" s="4">
        <v>0.465117</v>
      </c>
      <c r="AV437" s="4">
        <v>0.29854700000000001</v>
      </c>
      <c r="AW437" s="4">
        <v>0.35720299999999999</v>
      </c>
      <c r="AX437" s="4">
        <v>-1.2971999999999999E-2</v>
      </c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1" t="s">
        <v>3599</v>
      </c>
      <c r="BJ437" s="1" t="s">
        <v>4001</v>
      </c>
      <c r="BK437" s="1">
        <v>1</v>
      </c>
      <c r="BL437" s="1"/>
      <c r="BM437" s="1" t="s">
        <v>547</v>
      </c>
      <c r="BN437" s="1" t="s">
        <v>2767</v>
      </c>
      <c r="BO437" s="1" t="s">
        <v>2768</v>
      </c>
      <c r="BP437" s="1">
        <v>6</v>
      </c>
      <c r="BQ437" s="1" t="s">
        <v>1003</v>
      </c>
      <c r="BR437" s="1">
        <v>35.817</v>
      </c>
      <c r="BS437" s="1">
        <v>-120.36499999999999</v>
      </c>
      <c r="BT437" s="1">
        <v>8.1</v>
      </c>
      <c r="BU437" s="1" t="s">
        <v>1032</v>
      </c>
      <c r="BV437" s="1" t="s">
        <v>2809</v>
      </c>
      <c r="BW437" s="1">
        <v>141</v>
      </c>
      <c r="BX437" s="1">
        <v>89</v>
      </c>
      <c r="BY437" s="1">
        <v>-175</v>
      </c>
      <c r="BZ437" s="1"/>
      <c r="CA437" s="1"/>
      <c r="CB437" s="1"/>
      <c r="CC437" s="1" t="s">
        <v>2808</v>
      </c>
      <c r="CD437" s="1" t="s">
        <v>731</v>
      </c>
      <c r="CE437" s="1"/>
      <c r="CF437" s="1"/>
      <c r="CG437" s="1"/>
      <c r="CH437" s="1"/>
      <c r="CI437" s="1"/>
      <c r="CJ437" s="1" t="s">
        <v>2812</v>
      </c>
      <c r="CK437" t="s">
        <v>1263</v>
      </c>
      <c r="CL437">
        <v>194</v>
      </c>
      <c r="CM437" t="s">
        <v>2880</v>
      </c>
    </row>
    <row r="438" spans="1:91" ht="19" customHeight="1">
      <c r="A438" s="1" t="s">
        <v>4002</v>
      </c>
      <c r="B438" s="1" t="s">
        <v>3597</v>
      </c>
      <c r="C438" s="1">
        <v>195</v>
      </c>
      <c r="D438" s="1" t="s">
        <v>1124</v>
      </c>
      <c r="E438" s="1">
        <v>2004</v>
      </c>
      <c r="F438" s="1" t="s">
        <v>1125</v>
      </c>
      <c r="G438" s="1" t="s">
        <v>2486</v>
      </c>
      <c r="H438" s="4">
        <v>35.787999999999997</v>
      </c>
      <c r="I438" s="4">
        <v>-120.294</v>
      </c>
      <c r="J438" s="1" t="s">
        <v>1404</v>
      </c>
      <c r="K438" s="1" t="s">
        <v>70</v>
      </c>
      <c r="L438" s="1" t="s">
        <v>2488</v>
      </c>
      <c r="M438" s="1" t="s">
        <v>3598</v>
      </c>
      <c r="N438" s="1"/>
      <c r="O438" s="1" t="s">
        <v>3095</v>
      </c>
      <c r="P438" s="1"/>
      <c r="Q438" s="4">
        <v>6</v>
      </c>
      <c r="R438" s="4"/>
      <c r="S438" s="4"/>
      <c r="T438" s="4"/>
      <c r="U438" s="4"/>
      <c r="V438" s="4">
        <v>3.79</v>
      </c>
      <c r="W438" s="4"/>
      <c r="X438" s="4"/>
      <c r="Y438" s="4"/>
      <c r="Z438" s="4"/>
      <c r="AA438" s="4"/>
      <c r="AB438" s="4" t="s">
        <v>1032</v>
      </c>
      <c r="AC438" s="4"/>
      <c r="AD438" s="4">
        <v>35.817</v>
      </c>
      <c r="AE438" s="4">
        <v>-120.36499999999999</v>
      </c>
      <c r="AF438" s="4">
        <v>8.1</v>
      </c>
      <c r="AG438" s="4">
        <v>260.63</v>
      </c>
      <c r="AH438" s="27" t="b">
        <v>1</v>
      </c>
      <c r="AI438" s="4">
        <v>0.57399999999999995</v>
      </c>
      <c r="AJ438" s="27" t="b">
        <v>0</v>
      </c>
      <c r="AK438" s="4"/>
      <c r="AL438" s="27" t="b">
        <v>0</v>
      </c>
      <c r="AM438" s="4">
        <v>670.20399999999995</v>
      </c>
      <c r="AN438" s="4">
        <v>816.98199999999997</v>
      </c>
      <c r="AO438" s="4">
        <v>325.18799999999999</v>
      </c>
      <c r="AP438" s="4">
        <v>36.023899999999998</v>
      </c>
      <c r="AQ438" s="4">
        <v>39.859099999999998</v>
      </c>
      <c r="AR438" s="4">
        <v>16.394300000000001</v>
      </c>
      <c r="AS438" s="4">
        <v>5.4564300000000001</v>
      </c>
      <c r="AT438" s="4">
        <v>3.3436300000000001</v>
      </c>
      <c r="AU438" s="4">
        <v>1.3385800000000001</v>
      </c>
      <c r="AV438" s="4">
        <v>-8.5193000000000005E-2</v>
      </c>
      <c r="AW438" s="4">
        <v>5.4429999999999999E-2</v>
      </c>
      <c r="AX438" s="4">
        <v>3.4757000000000003E-2</v>
      </c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1" t="s">
        <v>3599</v>
      </c>
      <c r="BJ438" s="1" t="s">
        <v>4003</v>
      </c>
      <c r="BK438" s="1">
        <v>1</v>
      </c>
      <c r="BL438" s="1"/>
      <c r="BM438" s="1" t="s">
        <v>547</v>
      </c>
      <c r="BN438" s="1" t="s">
        <v>2767</v>
      </c>
      <c r="BO438" s="1" t="s">
        <v>2768</v>
      </c>
      <c r="BP438" s="1">
        <v>6</v>
      </c>
      <c r="BQ438" s="1" t="s">
        <v>1003</v>
      </c>
      <c r="BR438" s="1">
        <v>35.817</v>
      </c>
      <c r="BS438" s="1">
        <v>-120.36499999999999</v>
      </c>
      <c r="BT438" s="1">
        <v>8.1</v>
      </c>
      <c r="BU438" s="1" t="s">
        <v>1032</v>
      </c>
      <c r="BV438" s="1" t="s">
        <v>2809</v>
      </c>
      <c r="BW438" s="1">
        <v>141</v>
      </c>
      <c r="BX438" s="1">
        <v>89</v>
      </c>
      <c r="BY438" s="1">
        <v>-175</v>
      </c>
      <c r="BZ438" s="1"/>
      <c r="CA438" s="1"/>
      <c r="CB438" s="1"/>
      <c r="CC438" s="1" t="s">
        <v>2808</v>
      </c>
      <c r="CD438" s="1" t="s">
        <v>731</v>
      </c>
      <c r="CE438" s="1"/>
      <c r="CF438" s="1"/>
      <c r="CG438" s="1"/>
      <c r="CH438" s="1"/>
      <c r="CI438" s="1"/>
      <c r="CJ438" s="1" t="s">
        <v>2812</v>
      </c>
      <c r="CK438" t="s">
        <v>1263</v>
      </c>
      <c r="CL438">
        <v>195</v>
      </c>
      <c r="CM438" t="s">
        <v>2880</v>
      </c>
    </row>
    <row r="439" spans="1:91" ht="19" customHeight="1">
      <c r="A439" s="1" t="s">
        <v>4004</v>
      </c>
      <c r="B439" s="1" t="s">
        <v>3597</v>
      </c>
      <c r="C439" s="1">
        <v>196</v>
      </c>
      <c r="D439" s="1" t="s">
        <v>1124</v>
      </c>
      <c r="E439" s="1">
        <v>2004</v>
      </c>
      <c r="F439" s="1" t="s">
        <v>943</v>
      </c>
      <c r="G439" s="1" t="s">
        <v>2509</v>
      </c>
      <c r="H439" s="4">
        <v>36.033999999999999</v>
      </c>
      <c r="I439" s="4">
        <v>-120.59</v>
      </c>
      <c r="J439" s="1" t="s">
        <v>1404</v>
      </c>
      <c r="K439" s="1" t="s">
        <v>70</v>
      </c>
      <c r="L439" s="1" t="s">
        <v>2511</v>
      </c>
      <c r="M439" s="1" t="s">
        <v>3598</v>
      </c>
      <c r="N439" s="1"/>
      <c r="O439" s="1" t="s">
        <v>3095</v>
      </c>
      <c r="P439" s="1"/>
      <c r="Q439" s="4">
        <v>6</v>
      </c>
      <c r="R439" s="4"/>
      <c r="S439" s="4"/>
      <c r="T439" s="4"/>
      <c r="U439" s="4"/>
      <c r="V439" s="4">
        <v>2.99</v>
      </c>
      <c r="W439" s="4"/>
      <c r="X439" s="4"/>
      <c r="Y439" s="4"/>
      <c r="Z439" s="4"/>
      <c r="AA439" s="4"/>
      <c r="AB439" s="4" t="s">
        <v>1032</v>
      </c>
      <c r="AC439" s="4"/>
      <c r="AD439" s="4">
        <v>35.817</v>
      </c>
      <c r="AE439" s="4">
        <v>-120.36499999999999</v>
      </c>
      <c r="AF439" s="4">
        <v>8.1</v>
      </c>
      <c r="AG439" s="4">
        <v>648.09</v>
      </c>
      <c r="AH439" s="27" t="b">
        <v>1</v>
      </c>
      <c r="AI439" s="4">
        <v>0.85399999999999998</v>
      </c>
      <c r="AJ439" s="27" t="b">
        <v>0</v>
      </c>
      <c r="AK439" s="4"/>
      <c r="AL439" s="27" t="b">
        <v>0</v>
      </c>
      <c r="AM439" s="4">
        <v>206.56100000000001</v>
      </c>
      <c r="AN439" s="4">
        <v>342.541</v>
      </c>
      <c r="AO439" s="4">
        <v>107.452</v>
      </c>
      <c r="AP439" s="4">
        <v>25.959299999999999</v>
      </c>
      <c r="AQ439" s="4">
        <v>53.183399999999999</v>
      </c>
      <c r="AR439" s="4">
        <v>8.7203599999999994</v>
      </c>
      <c r="AS439" s="4">
        <v>6.7620500000000003</v>
      </c>
      <c r="AT439" s="4">
        <v>9.10243</v>
      </c>
      <c r="AU439" s="4">
        <v>1.70112</v>
      </c>
      <c r="AV439" s="4">
        <v>-1.7958999999999999E-2</v>
      </c>
      <c r="AW439" s="4">
        <v>-0.190803</v>
      </c>
      <c r="AX439" s="4">
        <v>-4.0758000000000003E-2</v>
      </c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1" t="s">
        <v>3599</v>
      </c>
      <c r="BJ439" s="1" t="s">
        <v>4005</v>
      </c>
      <c r="BK439" s="1">
        <v>1</v>
      </c>
      <c r="BL439" s="1"/>
      <c r="BM439" s="1" t="s">
        <v>547</v>
      </c>
      <c r="BN439" s="1" t="s">
        <v>2767</v>
      </c>
      <c r="BO439" s="1" t="s">
        <v>2768</v>
      </c>
      <c r="BP439" s="1">
        <v>6</v>
      </c>
      <c r="BQ439" s="1" t="s">
        <v>1003</v>
      </c>
      <c r="BR439" s="1">
        <v>35.817</v>
      </c>
      <c r="BS439" s="1">
        <v>-120.36499999999999</v>
      </c>
      <c r="BT439" s="1">
        <v>8.1</v>
      </c>
      <c r="BU439" s="1" t="s">
        <v>1032</v>
      </c>
      <c r="BV439" s="1" t="s">
        <v>2809</v>
      </c>
      <c r="BW439" s="1">
        <v>141</v>
      </c>
      <c r="BX439" s="1">
        <v>89</v>
      </c>
      <c r="BY439" s="1">
        <v>-175</v>
      </c>
      <c r="BZ439" s="1"/>
      <c r="CA439" s="1"/>
      <c r="CB439" s="1"/>
      <c r="CC439" s="1" t="s">
        <v>2808</v>
      </c>
      <c r="CD439" s="1" t="s">
        <v>731</v>
      </c>
      <c r="CE439" s="1"/>
      <c r="CF439" s="1"/>
      <c r="CG439" s="1"/>
      <c r="CH439" s="1"/>
      <c r="CI439" s="1"/>
      <c r="CJ439" s="1" t="s">
        <v>2812</v>
      </c>
      <c r="CK439" t="s">
        <v>1263</v>
      </c>
      <c r="CL439">
        <v>196</v>
      </c>
      <c r="CM439" t="s">
        <v>2880</v>
      </c>
    </row>
    <row r="440" spans="1:91" ht="19" customHeight="1">
      <c r="A440" s="1" t="s">
        <v>4006</v>
      </c>
      <c r="B440" s="1" t="s">
        <v>3597</v>
      </c>
      <c r="C440" s="1">
        <v>197</v>
      </c>
      <c r="D440" s="1" t="s">
        <v>555</v>
      </c>
      <c r="E440" s="1">
        <v>2004</v>
      </c>
      <c r="F440" s="1" t="s">
        <v>1126</v>
      </c>
      <c r="G440" s="1" t="s">
        <v>2290</v>
      </c>
      <c r="H440" s="4">
        <v>22.974</v>
      </c>
      <c r="I440" s="4">
        <v>121.156333</v>
      </c>
      <c r="J440" s="1" t="s">
        <v>1404</v>
      </c>
      <c r="K440" s="1" t="s">
        <v>70</v>
      </c>
      <c r="L440" s="1" t="s">
        <v>2291</v>
      </c>
      <c r="M440" s="1" t="s">
        <v>3598</v>
      </c>
      <c r="N440" s="1"/>
      <c r="O440" s="1" t="s">
        <v>3095</v>
      </c>
      <c r="P440" s="1"/>
      <c r="Q440" s="4">
        <v>6.24</v>
      </c>
      <c r="R440" s="4"/>
      <c r="S440" s="4"/>
      <c r="T440" s="4"/>
      <c r="U440" s="4"/>
      <c r="V440" s="4">
        <v>28.520092000000002</v>
      </c>
      <c r="W440" s="4"/>
      <c r="X440" s="4"/>
      <c r="Y440" s="4"/>
      <c r="Z440" s="4"/>
      <c r="AA440" s="4"/>
      <c r="AB440" s="4" t="s">
        <v>1055</v>
      </c>
      <c r="AC440" s="4"/>
      <c r="AD440" s="4">
        <v>22.726199999999999</v>
      </c>
      <c r="AE440" s="4">
        <v>121.3695</v>
      </c>
      <c r="AF440" s="4">
        <v>24.03</v>
      </c>
      <c r="AG440" s="4">
        <v>539.471318</v>
      </c>
      <c r="AH440" s="27" t="b">
        <v>1</v>
      </c>
      <c r="AI440" s="4">
        <v>2.2610000000000001</v>
      </c>
      <c r="AJ440" s="27" t="b">
        <v>0</v>
      </c>
      <c r="AK440" s="4"/>
      <c r="AL440" s="27" t="b">
        <v>0</v>
      </c>
      <c r="AM440" s="4">
        <v>118.461</v>
      </c>
      <c r="AN440" s="4">
        <v>111.47499999999999</v>
      </c>
      <c r="AO440" s="4">
        <v>44.765000000000001</v>
      </c>
      <c r="AP440" s="4">
        <v>23.315899999999999</v>
      </c>
      <c r="AQ440" s="4">
        <v>21.4602</v>
      </c>
      <c r="AR440" s="4">
        <v>6.8271899999999999</v>
      </c>
      <c r="AS440" s="4">
        <v>7.1636899999999999</v>
      </c>
      <c r="AT440" s="4">
        <v>5.6980199999999996</v>
      </c>
      <c r="AU440" s="4">
        <v>2.0770300000000002</v>
      </c>
      <c r="AV440" s="4">
        <v>-1.0630000000000001E-2</v>
      </c>
      <c r="AW440" s="4">
        <v>-3.0624999999999999E-2</v>
      </c>
      <c r="AX440" s="4">
        <v>-2.2558999999999999E-2</v>
      </c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1" t="s">
        <v>3599</v>
      </c>
      <c r="BJ440" s="1" t="s">
        <v>4007</v>
      </c>
      <c r="BK440" s="1">
        <v>1</v>
      </c>
      <c r="BL440" s="1"/>
      <c r="BM440" s="1" t="s">
        <v>554</v>
      </c>
      <c r="BN440" s="1" t="s">
        <v>2882</v>
      </c>
      <c r="BO440" s="1" t="s">
        <v>2883</v>
      </c>
      <c r="BP440" s="1">
        <v>6.24</v>
      </c>
      <c r="BQ440" s="1" t="s">
        <v>1003</v>
      </c>
      <c r="BR440" s="1">
        <v>22.726199999999999</v>
      </c>
      <c r="BS440" s="1">
        <v>121.3695</v>
      </c>
      <c r="BT440" s="1">
        <v>24.03</v>
      </c>
      <c r="BU440" s="1" t="s">
        <v>1055</v>
      </c>
      <c r="BV440" s="1" t="s">
        <v>2834</v>
      </c>
      <c r="BW440" s="1">
        <v>358</v>
      </c>
      <c r="BX440" s="1">
        <v>45</v>
      </c>
      <c r="BY440" s="1">
        <v>49</v>
      </c>
      <c r="BZ440" s="1">
        <v>229</v>
      </c>
      <c r="CA440" s="1">
        <v>58</v>
      </c>
      <c r="CB440" s="1">
        <v>124</v>
      </c>
      <c r="CC440" s="1" t="s">
        <v>2808</v>
      </c>
      <c r="CD440" s="1" t="s">
        <v>731</v>
      </c>
      <c r="CE440" s="1"/>
      <c r="CF440" s="1"/>
      <c r="CG440" s="1"/>
      <c r="CH440" s="1"/>
      <c r="CI440" s="1"/>
      <c r="CJ440" s="1" t="s">
        <v>2812</v>
      </c>
      <c r="CK440" t="s">
        <v>1263</v>
      </c>
      <c r="CL440">
        <v>197</v>
      </c>
      <c r="CM440" t="s">
        <v>2885</v>
      </c>
    </row>
    <row r="441" spans="1:91" ht="19" customHeight="1">
      <c r="A441" s="1" t="s">
        <v>4008</v>
      </c>
      <c r="B441" s="1" t="s">
        <v>3597</v>
      </c>
      <c r="C441" s="1">
        <v>198</v>
      </c>
      <c r="D441" s="1" t="s">
        <v>560</v>
      </c>
      <c r="E441" s="1">
        <v>2005</v>
      </c>
      <c r="F441" s="1" t="s">
        <v>1110</v>
      </c>
      <c r="G441" s="1" t="s">
        <v>1988</v>
      </c>
      <c r="H441" s="4">
        <v>24.689</v>
      </c>
      <c r="I441" s="4">
        <v>121.766667</v>
      </c>
      <c r="J441" s="1" t="s">
        <v>1404</v>
      </c>
      <c r="K441" s="1" t="s">
        <v>70</v>
      </c>
      <c r="L441" s="1" t="s">
        <v>1989</v>
      </c>
      <c r="M441" s="1" t="s">
        <v>3598</v>
      </c>
      <c r="N441" s="1"/>
      <c r="O441" s="1" t="s">
        <v>3095</v>
      </c>
      <c r="P441" s="1"/>
      <c r="Q441" s="4">
        <v>5.77</v>
      </c>
      <c r="R441" s="4"/>
      <c r="S441" s="4"/>
      <c r="T441" s="4"/>
      <c r="U441" s="4"/>
      <c r="V441" s="4">
        <v>8.7482089999999992</v>
      </c>
      <c r="W441" s="4"/>
      <c r="X441" s="4"/>
      <c r="Y441" s="4"/>
      <c r="Z441" s="4"/>
      <c r="AA441" s="4"/>
      <c r="AB441" s="4" t="s">
        <v>1032</v>
      </c>
      <c r="AC441" s="4"/>
      <c r="AD441" s="4">
        <v>24.657299999999999</v>
      </c>
      <c r="AE441" s="4">
        <v>121.8135</v>
      </c>
      <c r="AF441" s="4">
        <v>10.17</v>
      </c>
      <c r="AG441" s="4">
        <v>267.47285900000003</v>
      </c>
      <c r="AH441" s="27" t="b">
        <v>1</v>
      </c>
      <c r="AI441" s="4">
        <v>1.085</v>
      </c>
      <c r="AJ441" s="27" t="b">
        <v>0</v>
      </c>
      <c r="AK441" s="4"/>
      <c r="AL441" s="27" t="b">
        <v>0</v>
      </c>
      <c r="AM441" s="4">
        <v>238.27199999999999</v>
      </c>
      <c r="AN441" s="4">
        <v>141.19900000000001</v>
      </c>
      <c r="AO441" s="4">
        <v>205.09700000000001</v>
      </c>
      <c r="AP441" s="4">
        <v>23.804600000000001</v>
      </c>
      <c r="AQ441" s="4">
        <v>17.664300000000001</v>
      </c>
      <c r="AR441" s="4">
        <v>5.16683</v>
      </c>
      <c r="AS441" s="4">
        <v>4.2515200000000002</v>
      </c>
      <c r="AT441" s="4">
        <v>5.2006500000000004</v>
      </c>
      <c r="AU441" s="4">
        <v>0.59457400000000005</v>
      </c>
      <c r="AV441" s="4">
        <v>-1.6192999999999999E-2</v>
      </c>
      <c r="AW441" s="4">
        <v>-3.7047999999999998E-2</v>
      </c>
      <c r="AX441" s="4">
        <v>1.2049999999999999E-3</v>
      </c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1" t="s">
        <v>3599</v>
      </c>
      <c r="BJ441" s="1" t="s">
        <v>4009</v>
      </c>
      <c r="BK441" s="1">
        <v>1</v>
      </c>
      <c r="BL441" s="1"/>
      <c r="BM441" s="1" t="s">
        <v>559</v>
      </c>
      <c r="BN441" s="1" t="s">
        <v>2887</v>
      </c>
      <c r="BO441" s="1" t="s">
        <v>2888</v>
      </c>
      <c r="BP441" s="1">
        <v>5.77</v>
      </c>
      <c r="BQ441" s="1" t="s">
        <v>1003</v>
      </c>
      <c r="BR441" s="1">
        <v>24.657299999999999</v>
      </c>
      <c r="BS441" s="1">
        <v>121.8135</v>
      </c>
      <c r="BT441" s="1">
        <v>10.17</v>
      </c>
      <c r="BU441" s="1" t="s">
        <v>1032</v>
      </c>
      <c r="BV441" s="1" t="s">
        <v>2834</v>
      </c>
      <c r="BW441" s="1">
        <v>358</v>
      </c>
      <c r="BX441" s="1">
        <v>62</v>
      </c>
      <c r="BY441" s="1">
        <v>-165</v>
      </c>
      <c r="BZ441" s="1">
        <v>261</v>
      </c>
      <c r="CA441" s="1">
        <v>77</v>
      </c>
      <c r="CB441" s="1">
        <v>-29</v>
      </c>
      <c r="CC441" s="1" t="s">
        <v>2808</v>
      </c>
      <c r="CD441" s="1" t="s">
        <v>731</v>
      </c>
      <c r="CE441" s="1"/>
      <c r="CF441" s="1"/>
      <c r="CG441" s="1"/>
      <c r="CH441" s="1"/>
      <c r="CI441" s="1"/>
      <c r="CJ441" s="1" t="s">
        <v>2812</v>
      </c>
      <c r="CK441" t="s">
        <v>1263</v>
      </c>
      <c r="CL441">
        <v>198</v>
      </c>
      <c r="CM441" t="s">
        <v>2890</v>
      </c>
    </row>
    <row r="442" spans="1:91" ht="19" customHeight="1">
      <c r="A442" s="1" t="s">
        <v>4010</v>
      </c>
      <c r="B442" s="1" t="s">
        <v>3597</v>
      </c>
      <c r="C442" s="1">
        <v>199</v>
      </c>
      <c r="D442" s="1" t="s">
        <v>560</v>
      </c>
      <c r="E442" s="1">
        <v>2005</v>
      </c>
      <c r="F442" s="1" t="s">
        <v>1112</v>
      </c>
      <c r="G442" s="1" t="s">
        <v>1993</v>
      </c>
      <c r="H442" s="4">
        <v>24.719833000000001</v>
      </c>
      <c r="I442" s="4">
        <v>121.744</v>
      </c>
      <c r="J442" s="1" t="s">
        <v>1404</v>
      </c>
      <c r="K442" s="1" t="s">
        <v>70</v>
      </c>
      <c r="L442" s="1" t="s">
        <v>1995</v>
      </c>
      <c r="M442" s="1" t="s">
        <v>3598</v>
      </c>
      <c r="N442" s="1"/>
      <c r="O442" s="1" t="s">
        <v>3095</v>
      </c>
      <c r="P442" s="1"/>
      <c r="Q442" s="4">
        <v>5.77</v>
      </c>
      <c r="R442" s="4"/>
      <c r="S442" s="4"/>
      <c r="T442" s="4"/>
      <c r="U442" s="4"/>
      <c r="V442" s="4">
        <v>11.277189999999999</v>
      </c>
      <c r="W442" s="4"/>
      <c r="X442" s="4"/>
      <c r="Y442" s="4"/>
      <c r="Z442" s="4"/>
      <c r="AA442" s="4"/>
      <c r="AB442" s="4" t="s">
        <v>1032</v>
      </c>
      <c r="AC442" s="4"/>
      <c r="AD442" s="4">
        <v>24.657299999999999</v>
      </c>
      <c r="AE442" s="4">
        <v>121.8135</v>
      </c>
      <c r="AF442" s="4">
        <v>10.17</v>
      </c>
      <c r="AG442" s="4">
        <v>243.85290000000001</v>
      </c>
      <c r="AH442" s="27" t="b">
        <v>1</v>
      </c>
      <c r="AI442" s="4">
        <v>1.218</v>
      </c>
      <c r="AJ442" s="27" t="b">
        <v>0</v>
      </c>
      <c r="AK442" s="4"/>
      <c r="AL442" s="27" t="b">
        <v>0</v>
      </c>
      <c r="AM442" s="4">
        <v>180.852</v>
      </c>
      <c r="AN442" s="4">
        <v>122.301</v>
      </c>
      <c r="AO442" s="4">
        <v>88.382999999999996</v>
      </c>
      <c r="AP442" s="4">
        <v>22.162299999999998</v>
      </c>
      <c r="AQ442" s="4">
        <v>14.460800000000001</v>
      </c>
      <c r="AR442" s="4">
        <v>3.8064300000000002</v>
      </c>
      <c r="AS442" s="4">
        <v>3.5449899999999999</v>
      </c>
      <c r="AT442" s="4">
        <v>4.1232899999999999</v>
      </c>
      <c r="AU442" s="4">
        <v>0.70513099999999995</v>
      </c>
      <c r="AV442" s="4">
        <v>-8.6879999999999995E-3</v>
      </c>
      <c r="AW442" s="4">
        <v>-7.8517000000000003E-2</v>
      </c>
      <c r="AX442" s="4">
        <v>3.1942999999999999E-2</v>
      </c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1" t="s">
        <v>3599</v>
      </c>
      <c r="BJ442" s="1" t="s">
        <v>4011</v>
      </c>
      <c r="BK442" s="1">
        <v>1</v>
      </c>
      <c r="BL442" s="1"/>
      <c r="BM442" s="1" t="s">
        <v>559</v>
      </c>
      <c r="BN442" s="1" t="s">
        <v>2887</v>
      </c>
      <c r="BO442" s="1" t="s">
        <v>2888</v>
      </c>
      <c r="BP442" s="1">
        <v>5.77</v>
      </c>
      <c r="BQ442" s="1" t="s">
        <v>1003</v>
      </c>
      <c r="BR442" s="1">
        <v>24.657299999999999</v>
      </c>
      <c r="BS442" s="1">
        <v>121.8135</v>
      </c>
      <c r="BT442" s="1">
        <v>10.17</v>
      </c>
      <c r="BU442" s="1" t="s">
        <v>1032</v>
      </c>
      <c r="BV442" s="1" t="s">
        <v>2834</v>
      </c>
      <c r="BW442" s="1">
        <v>358</v>
      </c>
      <c r="BX442" s="1">
        <v>62</v>
      </c>
      <c r="BY442" s="1">
        <v>-165</v>
      </c>
      <c r="BZ442" s="1">
        <v>261</v>
      </c>
      <c r="CA442" s="1">
        <v>77</v>
      </c>
      <c r="CB442" s="1">
        <v>-29</v>
      </c>
      <c r="CC442" s="1" t="s">
        <v>2808</v>
      </c>
      <c r="CD442" s="1" t="s">
        <v>731</v>
      </c>
      <c r="CE442" s="1"/>
      <c r="CF442" s="1"/>
      <c r="CG442" s="1"/>
      <c r="CH442" s="1"/>
      <c r="CI442" s="1"/>
      <c r="CJ442" s="1" t="s">
        <v>2812</v>
      </c>
      <c r="CK442" t="s">
        <v>1263</v>
      </c>
      <c r="CL442">
        <v>199</v>
      </c>
      <c r="CM442" t="s">
        <v>2890</v>
      </c>
    </row>
    <row r="443" spans="1:91" ht="19" customHeight="1">
      <c r="A443" s="1" t="s">
        <v>4012</v>
      </c>
      <c r="B443" s="1" t="s">
        <v>3597</v>
      </c>
      <c r="C443" s="1">
        <v>200</v>
      </c>
      <c r="D443" s="1" t="s">
        <v>572</v>
      </c>
      <c r="E443" s="1">
        <v>2006</v>
      </c>
      <c r="F443" s="1" t="s">
        <v>1128</v>
      </c>
      <c r="G443" s="1" t="s">
        <v>2000</v>
      </c>
      <c r="H443" s="4">
        <v>22.0032</v>
      </c>
      <c r="I443" s="4">
        <v>120.7457</v>
      </c>
      <c r="J443" s="1" t="s">
        <v>1404</v>
      </c>
      <c r="K443" s="1" t="s">
        <v>70</v>
      </c>
      <c r="L443" s="1" t="s">
        <v>2002</v>
      </c>
      <c r="M443" s="1" t="s">
        <v>3598</v>
      </c>
      <c r="N443" s="1"/>
      <c r="O443" s="1" t="s">
        <v>3095</v>
      </c>
      <c r="P443" s="1"/>
      <c r="Q443" s="4">
        <v>7.02</v>
      </c>
      <c r="R443" s="4"/>
      <c r="S443" s="4"/>
      <c r="T443" s="4"/>
      <c r="U443" s="4"/>
      <c r="V443" s="4">
        <v>40.848100000000002</v>
      </c>
      <c r="W443" s="4"/>
      <c r="X443" s="4"/>
      <c r="Y443" s="4"/>
      <c r="Z443" s="4"/>
      <c r="AA443" s="4"/>
      <c r="AB443" s="4" t="s">
        <v>1127</v>
      </c>
      <c r="AC443" s="4"/>
      <c r="AD443" s="4">
        <v>21.887</v>
      </c>
      <c r="AE443" s="4">
        <v>120.5684</v>
      </c>
      <c r="AF443" s="4">
        <v>44.1</v>
      </c>
      <c r="AG443" s="4">
        <v>198.41</v>
      </c>
      <c r="AH443" s="27" t="b">
        <v>1</v>
      </c>
      <c r="AI443" s="4">
        <v>2.1</v>
      </c>
      <c r="AJ443" s="27" t="b">
        <v>0</v>
      </c>
      <c r="AK443" s="4"/>
      <c r="AL443" s="27" t="b">
        <v>0</v>
      </c>
      <c r="AM443" s="4">
        <v>181.09760499999999</v>
      </c>
      <c r="AN443" s="4">
        <v>198.754604</v>
      </c>
      <c r="AO443" s="4">
        <v>74.156593000000001</v>
      </c>
      <c r="AP443" s="4">
        <v>38.870165</v>
      </c>
      <c r="AQ443" s="4">
        <v>30.230744999999999</v>
      </c>
      <c r="AR443" s="4">
        <v>8.3765350000000005</v>
      </c>
      <c r="AS443" s="4">
        <v>13.297174999999999</v>
      </c>
      <c r="AT443" s="4">
        <v>9.7082470000000001</v>
      </c>
      <c r="AU443" s="4">
        <v>3.3396249999999998</v>
      </c>
      <c r="AV443" s="4">
        <v>0.32852500000000001</v>
      </c>
      <c r="AW443" s="4">
        <v>-0.31456000000000001</v>
      </c>
      <c r="AX443" s="4">
        <v>0.17281199999999999</v>
      </c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1" t="s">
        <v>3599</v>
      </c>
      <c r="BJ443" s="1" t="s">
        <v>4013</v>
      </c>
      <c r="BK443" s="1">
        <v>1</v>
      </c>
      <c r="BL443" s="1"/>
      <c r="BM443" s="1" t="s">
        <v>571</v>
      </c>
      <c r="BN443" s="1" t="s">
        <v>2892</v>
      </c>
      <c r="BO443" s="1" t="s">
        <v>2893</v>
      </c>
      <c r="BP443" s="1">
        <v>7.02</v>
      </c>
      <c r="BQ443" s="1" t="s">
        <v>1003</v>
      </c>
      <c r="BR443" s="1">
        <v>21.887</v>
      </c>
      <c r="BS443" s="1">
        <v>120.5684</v>
      </c>
      <c r="BT443" s="1">
        <v>44.1</v>
      </c>
      <c r="BU443" s="1" t="s">
        <v>1127</v>
      </c>
      <c r="BV443" s="1" t="s">
        <v>2834</v>
      </c>
      <c r="BW443" s="1">
        <v>319</v>
      </c>
      <c r="BX443" s="1">
        <v>69</v>
      </c>
      <c r="BY443" s="1">
        <v>257</v>
      </c>
      <c r="BZ443" s="1">
        <v>170</v>
      </c>
      <c r="CA443" s="1">
        <v>23</v>
      </c>
      <c r="CB443" s="1">
        <v>-60</v>
      </c>
      <c r="CC443" s="1" t="s">
        <v>2808</v>
      </c>
      <c r="CD443" s="1" t="s">
        <v>731</v>
      </c>
      <c r="CE443" s="1"/>
      <c r="CF443" s="1"/>
      <c r="CG443" s="1"/>
      <c r="CH443" s="1"/>
      <c r="CI443" s="1"/>
      <c r="CJ443" s="1" t="s">
        <v>2812</v>
      </c>
      <c r="CK443" t="s">
        <v>1263</v>
      </c>
      <c r="CL443">
        <v>200</v>
      </c>
      <c r="CM443" t="s">
        <v>2895</v>
      </c>
    </row>
    <row r="444" spans="1:91" ht="19" customHeight="1">
      <c r="A444" s="1" t="s">
        <v>4014</v>
      </c>
      <c r="B444" s="1" t="s">
        <v>3597</v>
      </c>
      <c r="C444" s="1">
        <v>201</v>
      </c>
      <c r="D444" s="1" t="s">
        <v>567</v>
      </c>
      <c r="E444" s="1">
        <v>2006</v>
      </c>
      <c r="F444" s="1" t="s">
        <v>1128</v>
      </c>
      <c r="G444" s="1" t="s">
        <v>2000</v>
      </c>
      <c r="H444" s="4">
        <v>22.003170000000001</v>
      </c>
      <c r="I444" s="4">
        <v>120.7457</v>
      </c>
      <c r="J444" s="1" t="s">
        <v>1404</v>
      </c>
      <c r="K444" s="1" t="s">
        <v>70</v>
      </c>
      <c r="L444" s="1" t="s">
        <v>2001</v>
      </c>
      <c r="M444" s="1" t="s">
        <v>3598</v>
      </c>
      <c r="N444" s="1"/>
      <c r="O444" s="1" t="s">
        <v>3095</v>
      </c>
      <c r="P444" s="1"/>
      <c r="Q444" s="4">
        <v>6.94</v>
      </c>
      <c r="R444" s="4"/>
      <c r="S444" s="4"/>
      <c r="T444" s="4"/>
      <c r="U444" s="4"/>
      <c r="V444" s="4">
        <v>34.815899999999999</v>
      </c>
      <c r="W444" s="4"/>
      <c r="X444" s="4"/>
      <c r="Y444" s="4"/>
      <c r="Z444" s="4"/>
      <c r="AA444" s="4"/>
      <c r="AB444" s="4" t="s">
        <v>1032</v>
      </c>
      <c r="AC444" s="4"/>
      <c r="AD444" s="4">
        <v>22.029699999999998</v>
      </c>
      <c r="AE444" s="4">
        <v>120.4051</v>
      </c>
      <c r="AF444" s="4">
        <v>33.799999999999997</v>
      </c>
      <c r="AG444" s="4">
        <v>198.4127</v>
      </c>
      <c r="AH444" s="27" t="b">
        <v>1</v>
      </c>
      <c r="AI444" s="4">
        <v>2.0369999999999999</v>
      </c>
      <c r="AJ444" s="27" t="b">
        <v>0</v>
      </c>
      <c r="AK444" s="4"/>
      <c r="AL444" s="27" t="b">
        <v>0</v>
      </c>
      <c r="AM444" s="4">
        <v>173.87899999999999</v>
      </c>
      <c r="AN444" s="4">
        <v>250.3</v>
      </c>
      <c r="AO444" s="4">
        <v>68.212999999999994</v>
      </c>
      <c r="AP444" s="4">
        <v>32.363500000000002</v>
      </c>
      <c r="AQ444" s="4">
        <v>34.176299999999998</v>
      </c>
      <c r="AR444" s="4">
        <v>6.0985399999999998</v>
      </c>
      <c r="AS444" s="4">
        <v>13.6319</v>
      </c>
      <c r="AT444" s="4">
        <v>9.3193699999999993</v>
      </c>
      <c r="AU444" s="4">
        <v>3.6683599999999998</v>
      </c>
      <c r="AV444" s="4">
        <v>-0.45931899999999998</v>
      </c>
      <c r="AW444" s="4">
        <v>0.438222</v>
      </c>
      <c r="AX444" s="4">
        <v>0.74046299999999998</v>
      </c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1" t="s">
        <v>3599</v>
      </c>
      <c r="BJ444" s="1" t="s">
        <v>4015</v>
      </c>
      <c r="BK444" s="1">
        <v>1</v>
      </c>
      <c r="BL444" s="1"/>
      <c r="BM444" s="1" t="s">
        <v>566</v>
      </c>
      <c r="BN444" s="1" t="s">
        <v>2892</v>
      </c>
      <c r="BO444" s="1" t="s">
        <v>2897</v>
      </c>
      <c r="BP444" s="1">
        <v>6.94</v>
      </c>
      <c r="BQ444" s="1" t="s">
        <v>1003</v>
      </c>
      <c r="BR444" s="1">
        <v>22.029699999999998</v>
      </c>
      <c r="BS444" s="1">
        <v>120.4051</v>
      </c>
      <c r="BT444" s="1">
        <v>33.799999999999997</v>
      </c>
      <c r="BU444" s="1" t="s">
        <v>1032</v>
      </c>
      <c r="BV444" s="1" t="s">
        <v>2834</v>
      </c>
      <c r="BW444" s="1">
        <v>151</v>
      </c>
      <c r="BX444" s="1">
        <v>48</v>
      </c>
      <c r="BY444" s="1">
        <v>0</v>
      </c>
      <c r="BZ444" s="1">
        <v>61</v>
      </c>
      <c r="CA444" s="1">
        <v>90</v>
      </c>
      <c r="CB444" s="1">
        <v>138</v>
      </c>
      <c r="CC444" s="1" t="s">
        <v>2808</v>
      </c>
      <c r="CD444" s="1" t="s">
        <v>731</v>
      </c>
      <c r="CE444" s="1"/>
      <c r="CF444" s="1"/>
      <c r="CG444" s="1"/>
      <c r="CH444" s="1"/>
      <c r="CI444" s="1"/>
      <c r="CJ444" s="1" t="s">
        <v>2812</v>
      </c>
      <c r="CK444" t="s">
        <v>1263</v>
      </c>
      <c r="CL444">
        <v>201</v>
      </c>
      <c r="CM444" t="s">
        <v>2899</v>
      </c>
    </row>
    <row r="445" spans="1:91" ht="19" customHeight="1">
      <c r="A445" s="1" t="s">
        <v>4016</v>
      </c>
      <c r="B445" s="1" t="s">
        <v>3597</v>
      </c>
      <c r="C445" s="1">
        <v>202</v>
      </c>
      <c r="D445" s="1" t="s">
        <v>567</v>
      </c>
      <c r="E445" s="1">
        <v>2006</v>
      </c>
      <c r="F445" s="1" t="s">
        <v>1129</v>
      </c>
      <c r="G445" s="1" t="s">
        <v>2003</v>
      </c>
      <c r="H445" s="4">
        <v>22.008500000000002</v>
      </c>
      <c r="I445" s="4">
        <v>120.7452</v>
      </c>
      <c r="J445" s="1" t="s">
        <v>1404</v>
      </c>
      <c r="K445" s="1" t="s">
        <v>70</v>
      </c>
      <c r="L445" s="1" t="s">
        <v>2004</v>
      </c>
      <c r="M445" s="1" t="s">
        <v>3598</v>
      </c>
      <c r="N445" s="1"/>
      <c r="O445" s="1" t="s">
        <v>3095</v>
      </c>
      <c r="P445" s="1"/>
      <c r="Q445" s="4">
        <v>6.94</v>
      </c>
      <c r="R445" s="4"/>
      <c r="S445" s="4"/>
      <c r="T445" s="4"/>
      <c r="U445" s="4"/>
      <c r="V445" s="4">
        <v>34.978319999999997</v>
      </c>
      <c r="W445" s="4"/>
      <c r="X445" s="4"/>
      <c r="Y445" s="4"/>
      <c r="Z445" s="4"/>
      <c r="AA445" s="4"/>
      <c r="AB445" s="4" t="s">
        <v>1032</v>
      </c>
      <c r="AC445" s="4"/>
      <c r="AD445" s="4">
        <v>22.029699999999998</v>
      </c>
      <c r="AE445" s="4">
        <v>120.4051</v>
      </c>
      <c r="AF445" s="4">
        <v>33.799999999999997</v>
      </c>
      <c r="AG445" s="4">
        <v>381.18680000000001</v>
      </c>
      <c r="AH445" s="27" t="b">
        <v>1</v>
      </c>
      <c r="AI445" s="4">
        <v>2.0230000000000001</v>
      </c>
      <c r="AJ445" s="27" t="b">
        <v>0</v>
      </c>
      <c r="AK445" s="4"/>
      <c r="AL445" s="27" t="b">
        <v>0</v>
      </c>
      <c r="AM445" s="4">
        <v>198.571</v>
      </c>
      <c r="AN445" s="4">
        <v>255.744</v>
      </c>
      <c r="AO445" s="4">
        <v>61.3</v>
      </c>
      <c r="AP445" s="4">
        <v>29.611499999999999</v>
      </c>
      <c r="AQ445" s="4">
        <v>35.1541</v>
      </c>
      <c r="AR445" s="4">
        <v>5.5722399999999999</v>
      </c>
      <c r="AS445" s="4">
        <v>14.2492</v>
      </c>
      <c r="AT445" s="4">
        <v>9.7979500000000002</v>
      </c>
      <c r="AU445" s="4">
        <v>3.8895200000000001</v>
      </c>
      <c r="AV445" s="4">
        <v>1.82836</v>
      </c>
      <c r="AW445" s="4">
        <v>-1.9466399999999999</v>
      </c>
      <c r="AX445" s="4">
        <v>0.88374299999999995</v>
      </c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1" t="s">
        <v>3599</v>
      </c>
      <c r="BJ445" s="1" t="s">
        <v>4017</v>
      </c>
      <c r="BK445" s="1">
        <v>1</v>
      </c>
      <c r="BL445" s="1"/>
      <c r="BM445" s="1" t="s">
        <v>566</v>
      </c>
      <c r="BN445" s="1" t="s">
        <v>2892</v>
      </c>
      <c r="BO445" s="1" t="s">
        <v>2897</v>
      </c>
      <c r="BP445" s="1">
        <v>6.94</v>
      </c>
      <c r="BQ445" s="1" t="s">
        <v>1003</v>
      </c>
      <c r="BR445" s="1">
        <v>22.029699999999998</v>
      </c>
      <c r="BS445" s="1">
        <v>120.4051</v>
      </c>
      <c r="BT445" s="1">
        <v>33.799999999999997</v>
      </c>
      <c r="BU445" s="1" t="s">
        <v>1032</v>
      </c>
      <c r="BV445" s="1" t="s">
        <v>2834</v>
      </c>
      <c r="BW445" s="1">
        <v>151</v>
      </c>
      <c r="BX445" s="1">
        <v>48</v>
      </c>
      <c r="BY445" s="1">
        <v>0</v>
      </c>
      <c r="BZ445" s="1">
        <v>61</v>
      </c>
      <c r="CA445" s="1">
        <v>90</v>
      </c>
      <c r="CB445" s="1">
        <v>138</v>
      </c>
      <c r="CC445" s="1" t="s">
        <v>2808</v>
      </c>
      <c r="CD445" s="1" t="s">
        <v>731</v>
      </c>
      <c r="CE445" s="1"/>
      <c r="CF445" s="1"/>
      <c r="CG445" s="1"/>
      <c r="CH445" s="1"/>
      <c r="CI445" s="1"/>
      <c r="CJ445" s="1" t="s">
        <v>2812</v>
      </c>
      <c r="CK445" t="s">
        <v>1263</v>
      </c>
      <c r="CL445">
        <v>202</v>
      </c>
      <c r="CM445" t="s">
        <v>2899</v>
      </c>
    </row>
    <row r="446" spans="1:91" ht="19" customHeight="1">
      <c r="A446" s="1" t="s">
        <v>4018</v>
      </c>
      <c r="B446" s="1" t="s">
        <v>3597</v>
      </c>
      <c r="C446" s="1">
        <v>203</v>
      </c>
      <c r="D446" s="1" t="s">
        <v>567</v>
      </c>
      <c r="E446" s="1">
        <v>2006</v>
      </c>
      <c r="F446" s="1" t="s">
        <v>1130</v>
      </c>
      <c r="G446" s="1" t="s">
        <v>2005</v>
      </c>
      <c r="H446" s="4">
        <v>21.940329999999999</v>
      </c>
      <c r="I446" s="4">
        <v>120.73220000000001</v>
      </c>
      <c r="J446" s="1" t="s">
        <v>1404</v>
      </c>
      <c r="K446" s="1" t="s">
        <v>70</v>
      </c>
      <c r="L446" s="1" t="s">
        <v>2006</v>
      </c>
      <c r="M446" s="1" t="s">
        <v>3598</v>
      </c>
      <c r="N446" s="1"/>
      <c r="O446" s="1" t="s">
        <v>3095</v>
      </c>
      <c r="P446" s="1"/>
      <c r="Q446" s="4">
        <v>6.94</v>
      </c>
      <c r="R446" s="4"/>
      <c r="S446" s="4"/>
      <c r="T446" s="4"/>
      <c r="U446" s="4"/>
      <c r="V446" s="4">
        <v>31.883759999999999</v>
      </c>
      <c r="W446" s="4"/>
      <c r="X446" s="4"/>
      <c r="Y446" s="4"/>
      <c r="Z446" s="4"/>
      <c r="AA446" s="4"/>
      <c r="AB446" s="4" t="s">
        <v>1032</v>
      </c>
      <c r="AC446" s="4"/>
      <c r="AD446" s="4">
        <v>22.029699999999998</v>
      </c>
      <c r="AE446" s="4">
        <v>120.4051</v>
      </c>
      <c r="AF446" s="4">
        <v>33.799999999999997</v>
      </c>
      <c r="AG446" s="4">
        <v>493.49810000000002</v>
      </c>
      <c r="AH446" s="27" t="b">
        <v>1</v>
      </c>
      <c r="AI446" s="4">
        <v>2.4009999999999998</v>
      </c>
      <c r="AJ446" s="27" t="b">
        <v>0</v>
      </c>
      <c r="AK446" s="4"/>
      <c r="AL446" s="27" t="b">
        <v>0</v>
      </c>
      <c r="AM446" s="4">
        <v>203.85400000000001</v>
      </c>
      <c r="AN446" s="4">
        <v>186.88300000000001</v>
      </c>
      <c r="AO446" s="4">
        <v>83.427999999999997</v>
      </c>
      <c r="AP446" s="4">
        <v>39.775300000000001</v>
      </c>
      <c r="AQ446" s="4">
        <v>25.183599999999998</v>
      </c>
      <c r="AR446" s="4">
        <v>8.4289100000000001</v>
      </c>
      <c r="AS446" s="4">
        <v>23.082699999999999</v>
      </c>
      <c r="AT446" s="4">
        <v>9.9091699999999996</v>
      </c>
      <c r="AU446" s="4">
        <v>5.7577999999999996</v>
      </c>
      <c r="AV446" s="4">
        <v>-1.5359400000000001</v>
      </c>
      <c r="AW446" s="4">
        <v>-1.21269</v>
      </c>
      <c r="AX446" s="4">
        <v>1.6913100000000001</v>
      </c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1" t="s">
        <v>3599</v>
      </c>
      <c r="BJ446" s="1" t="s">
        <v>4019</v>
      </c>
      <c r="BK446" s="1">
        <v>1</v>
      </c>
      <c r="BL446" s="1"/>
      <c r="BM446" s="1" t="s">
        <v>566</v>
      </c>
      <c r="BN446" s="1" t="s">
        <v>2892</v>
      </c>
      <c r="BO446" s="1" t="s">
        <v>2897</v>
      </c>
      <c r="BP446" s="1">
        <v>6.94</v>
      </c>
      <c r="BQ446" s="1" t="s">
        <v>1003</v>
      </c>
      <c r="BR446" s="1">
        <v>22.029699999999998</v>
      </c>
      <c r="BS446" s="1">
        <v>120.4051</v>
      </c>
      <c r="BT446" s="1">
        <v>33.799999999999997</v>
      </c>
      <c r="BU446" s="1" t="s">
        <v>1032</v>
      </c>
      <c r="BV446" s="1" t="s">
        <v>2834</v>
      </c>
      <c r="BW446" s="1">
        <v>151</v>
      </c>
      <c r="BX446" s="1">
        <v>48</v>
      </c>
      <c r="BY446" s="1">
        <v>0</v>
      </c>
      <c r="BZ446" s="1">
        <v>61</v>
      </c>
      <c r="CA446" s="1">
        <v>90</v>
      </c>
      <c r="CB446" s="1">
        <v>138</v>
      </c>
      <c r="CC446" s="1" t="s">
        <v>2808</v>
      </c>
      <c r="CD446" s="1" t="s">
        <v>731</v>
      </c>
      <c r="CE446" s="1"/>
      <c r="CF446" s="1"/>
      <c r="CG446" s="1"/>
      <c r="CH446" s="1"/>
      <c r="CI446" s="1"/>
      <c r="CJ446" s="1" t="s">
        <v>2812</v>
      </c>
      <c r="CK446" t="s">
        <v>1263</v>
      </c>
      <c r="CL446">
        <v>203</v>
      </c>
      <c r="CM446" t="s">
        <v>2899</v>
      </c>
    </row>
    <row r="447" spans="1:91" ht="19" customHeight="1">
      <c r="A447" s="1" t="s">
        <v>4020</v>
      </c>
      <c r="B447" s="1" t="s">
        <v>3597</v>
      </c>
      <c r="C447" s="1">
        <v>204</v>
      </c>
      <c r="D447" s="1" t="s">
        <v>577</v>
      </c>
      <c r="E447" s="1">
        <v>2006</v>
      </c>
      <c r="F447" s="1" t="s">
        <v>1131</v>
      </c>
      <c r="G447" s="1" t="s">
        <v>2284</v>
      </c>
      <c r="H447" s="4">
        <v>22.781333</v>
      </c>
      <c r="I447" s="4">
        <v>121.119333</v>
      </c>
      <c r="J447" s="1" t="s">
        <v>1404</v>
      </c>
      <c r="K447" s="1" t="s">
        <v>70</v>
      </c>
      <c r="L447" s="1" t="s">
        <v>2285</v>
      </c>
      <c r="M447" s="1" t="s">
        <v>3598</v>
      </c>
      <c r="N447" s="1"/>
      <c r="O447" s="1" t="s">
        <v>3095</v>
      </c>
      <c r="P447" s="1"/>
      <c r="Q447" s="4">
        <v>6.17</v>
      </c>
      <c r="R447" s="4"/>
      <c r="S447" s="4"/>
      <c r="T447" s="4"/>
      <c r="U447" s="4"/>
      <c r="V447" s="4">
        <v>11.114708</v>
      </c>
      <c r="W447" s="4"/>
      <c r="X447" s="4"/>
      <c r="Y447" s="4"/>
      <c r="Z447" s="4"/>
      <c r="AA447" s="4"/>
      <c r="AB447" s="4" t="s">
        <v>1032</v>
      </c>
      <c r="AC447" s="4"/>
      <c r="AD447" s="4">
        <v>22.881</v>
      </c>
      <c r="AE447" s="4">
        <v>121.06480000000001</v>
      </c>
      <c r="AF447" s="4">
        <v>9.7100000000000009</v>
      </c>
      <c r="AG447" s="4">
        <v>445.36817100000002</v>
      </c>
      <c r="AH447" s="27" t="b">
        <v>1</v>
      </c>
      <c r="AI447" s="4">
        <v>1.1759999999999999</v>
      </c>
      <c r="AJ447" s="27" t="b">
        <v>0</v>
      </c>
      <c r="AK447" s="4"/>
      <c r="AL447" s="27" t="b">
        <v>0</v>
      </c>
      <c r="AM447" s="4">
        <v>281.87900000000002</v>
      </c>
      <c r="AN447" s="4">
        <v>325.084</v>
      </c>
      <c r="AO447" s="4">
        <v>459.91199999999998</v>
      </c>
      <c r="AP447" s="4">
        <v>35.311199999999999</v>
      </c>
      <c r="AQ447" s="4">
        <v>49.391599999999997</v>
      </c>
      <c r="AR447" s="4">
        <v>10.4018</v>
      </c>
      <c r="AS447" s="4">
        <v>6.2989600000000001</v>
      </c>
      <c r="AT447" s="4">
        <v>6.7786900000000001</v>
      </c>
      <c r="AU447" s="4">
        <v>1.2652600000000001</v>
      </c>
      <c r="AV447" s="4">
        <v>-3.9371999999999997E-2</v>
      </c>
      <c r="AW447" s="4">
        <v>1.1480000000000001E-2</v>
      </c>
      <c r="AX447" s="4">
        <v>1.27E-4</v>
      </c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1" t="s">
        <v>3599</v>
      </c>
      <c r="BJ447" s="1" t="s">
        <v>4021</v>
      </c>
      <c r="BK447" s="1">
        <v>1</v>
      </c>
      <c r="BL447" s="1"/>
      <c r="BM447" s="1" t="s">
        <v>576</v>
      </c>
      <c r="BN447" s="1" t="s">
        <v>2901</v>
      </c>
      <c r="BO447" s="1" t="s">
        <v>2902</v>
      </c>
      <c r="BP447" s="1">
        <v>6.17</v>
      </c>
      <c r="BQ447" s="1" t="s">
        <v>1003</v>
      </c>
      <c r="BR447" s="1">
        <v>22.881</v>
      </c>
      <c r="BS447" s="1">
        <v>121.06480000000001</v>
      </c>
      <c r="BT447" s="1">
        <v>9.7100000000000009</v>
      </c>
      <c r="BU447" s="1" t="s">
        <v>1032</v>
      </c>
      <c r="BV447" s="1" t="s">
        <v>2834</v>
      </c>
      <c r="BW447" s="1">
        <v>199</v>
      </c>
      <c r="BX447" s="1">
        <v>63</v>
      </c>
      <c r="BY447" s="1">
        <v>11</v>
      </c>
      <c r="BZ447" s="1">
        <v>104</v>
      </c>
      <c r="CA447" s="1">
        <v>80</v>
      </c>
      <c r="CB447" s="1">
        <v>153</v>
      </c>
      <c r="CC447" s="1" t="s">
        <v>2808</v>
      </c>
      <c r="CD447" s="1" t="s">
        <v>731</v>
      </c>
      <c r="CE447" s="1"/>
      <c r="CF447" s="1"/>
      <c r="CG447" s="1"/>
      <c r="CH447" s="1"/>
      <c r="CI447" s="1"/>
      <c r="CJ447" s="1" t="s">
        <v>2812</v>
      </c>
      <c r="CK447" t="s">
        <v>1263</v>
      </c>
      <c r="CL447">
        <v>204</v>
      </c>
      <c r="CM447" t="s">
        <v>2904</v>
      </c>
    </row>
    <row r="448" spans="1:91" ht="19" customHeight="1">
      <c r="A448" s="1" t="s">
        <v>4022</v>
      </c>
      <c r="B448" s="1" t="s">
        <v>3597</v>
      </c>
      <c r="C448" s="1">
        <v>205</v>
      </c>
      <c r="D448" s="1" t="s">
        <v>577</v>
      </c>
      <c r="E448" s="1">
        <v>2006</v>
      </c>
      <c r="F448" s="1" t="s">
        <v>1132</v>
      </c>
      <c r="G448" s="1" t="s">
        <v>2286</v>
      </c>
      <c r="H448" s="4">
        <v>22.763999999999999</v>
      </c>
      <c r="I448" s="4">
        <v>121.14149999999999</v>
      </c>
      <c r="J448" s="1" t="s">
        <v>1404</v>
      </c>
      <c r="K448" s="1" t="s">
        <v>70</v>
      </c>
      <c r="L448" s="1" t="s">
        <v>2287</v>
      </c>
      <c r="M448" s="1" t="s">
        <v>3598</v>
      </c>
      <c r="N448" s="1"/>
      <c r="O448" s="1" t="s">
        <v>3095</v>
      </c>
      <c r="P448" s="1"/>
      <c r="Q448" s="4">
        <v>6.17</v>
      </c>
      <c r="R448" s="4"/>
      <c r="S448" s="4"/>
      <c r="T448" s="4"/>
      <c r="U448" s="4"/>
      <c r="V448" s="4">
        <v>12.358326</v>
      </c>
      <c r="W448" s="4"/>
      <c r="X448" s="4"/>
      <c r="Y448" s="4"/>
      <c r="Z448" s="4"/>
      <c r="AA448" s="4"/>
      <c r="AB448" s="4" t="s">
        <v>1032</v>
      </c>
      <c r="AC448" s="4"/>
      <c r="AD448" s="4">
        <v>22.881</v>
      </c>
      <c r="AE448" s="4">
        <v>121.06480000000001</v>
      </c>
      <c r="AF448" s="4">
        <v>9.7100000000000009</v>
      </c>
      <c r="AG448" s="4">
        <v>268.11296499999997</v>
      </c>
      <c r="AH448" s="27" t="b">
        <v>1</v>
      </c>
      <c r="AI448" s="4">
        <v>0.94499999999999995</v>
      </c>
      <c r="AJ448" s="27" t="b">
        <v>0</v>
      </c>
      <c r="AK448" s="4"/>
      <c r="AL448" s="27" t="b">
        <v>0</v>
      </c>
      <c r="AM448" s="4">
        <v>342.80599999999998</v>
      </c>
      <c r="AN448" s="4">
        <v>453.81</v>
      </c>
      <c r="AO448" s="4">
        <v>241.83799999999999</v>
      </c>
      <c r="AP448" s="4">
        <v>16.0778</v>
      </c>
      <c r="AQ448" s="4">
        <v>35.006599999999999</v>
      </c>
      <c r="AR448" s="4">
        <v>12.2089</v>
      </c>
      <c r="AS448" s="4">
        <v>3.65482</v>
      </c>
      <c r="AT448" s="4">
        <v>6.8380900000000002</v>
      </c>
      <c r="AU448" s="4">
        <v>2.8113800000000002</v>
      </c>
      <c r="AV448" s="4">
        <v>1.619E-2</v>
      </c>
      <c r="AW448" s="4">
        <v>-2.6863999999999999E-2</v>
      </c>
      <c r="AX448" s="4">
        <v>-1.5706000000000001E-2</v>
      </c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1" t="s">
        <v>3599</v>
      </c>
      <c r="BJ448" s="1" t="s">
        <v>4023</v>
      </c>
      <c r="BK448" s="1">
        <v>1</v>
      </c>
      <c r="BL448" s="1"/>
      <c r="BM448" s="1" t="s">
        <v>576</v>
      </c>
      <c r="BN448" s="1" t="s">
        <v>2901</v>
      </c>
      <c r="BO448" s="1" t="s">
        <v>2902</v>
      </c>
      <c r="BP448" s="1">
        <v>6.17</v>
      </c>
      <c r="BQ448" s="1" t="s">
        <v>1003</v>
      </c>
      <c r="BR448" s="1">
        <v>22.881</v>
      </c>
      <c r="BS448" s="1">
        <v>121.06480000000001</v>
      </c>
      <c r="BT448" s="1">
        <v>9.7100000000000009</v>
      </c>
      <c r="BU448" s="1" t="s">
        <v>1032</v>
      </c>
      <c r="BV448" s="1" t="s">
        <v>2834</v>
      </c>
      <c r="BW448" s="1">
        <v>199</v>
      </c>
      <c r="BX448" s="1">
        <v>63</v>
      </c>
      <c r="BY448" s="1">
        <v>11</v>
      </c>
      <c r="BZ448" s="1">
        <v>104</v>
      </c>
      <c r="CA448" s="1">
        <v>80</v>
      </c>
      <c r="CB448" s="1">
        <v>153</v>
      </c>
      <c r="CC448" s="1" t="s">
        <v>2808</v>
      </c>
      <c r="CD448" s="1" t="s">
        <v>731</v>
      </c>
      <c r="CE448" s="1"/>
      <c r="CF448" s="1"/>
      <c r="CG448" s="1"/>
      <c r="CH448" s="1"/>
      <c r="CI448" s="1"/>
      <c r="CJ448" s="1" t="s">
        <v>2812</v>
      </c>
      <c r="CK448" t="s">
        <v>1263</v>
      </c>
      <c r="CL448">
        <v>205</v>
      </c>
      <c r="CM448" t="s">
        <v>2904</v>
      </c>
    </row>
    <row r="449" spans="1:91" ht="19" customHeight="1">
      <c r="A449" s="1" t="s">
        <v>4024</v>
      </c>
      <c r="B449" s="1" t="s">
        <v>3597</v>
      </c>
      <c r="C449" s="1">
        <v>206</v>
      </c>
      <c r="D449" s="1" t="s">
        <v>577</v>
      </c>
      <c r="E449" s="1">
        <v>2006</v>
      </c>
      <c r="F449" s="1" t="s">
        <v>1133</v>
      </c>
      <c r="G449" s="1" t="s">
        <v>2288</v>
      </c>
      <c r="H449" s="4">
        <v>22.807333</v>
      </c>
      <c r="I449" s="4">
        <v>121.093833</v>
      </c>
      <c r="J449" s="1" t="s">
        <v>1404</v>
      </c>
      <c r="K449" s="1" t="s">
        <v>70</v>
      </c>
      <c r="L449" s="1" t="s">
        <v>2289</v>
      </c>
      <c r="M449" s="1" t="s">
        <v>3598</v>
      </c>
      <c r="N449" s="1"/>
      <c r="O449" s="1" t="s">
        <v>3095</v>
      </c>
      <c r="P449" s="1"/>
      <c r="Q449" s="4">
        <v>6.17</v>
      </c>
      <c r="R449" s="4"/>
      <c r="S449" s="4"/>
      <c r="T449" s="4"/>
      <c r="U449" s="4"/>
      <c r="V449" s="4">
        <v>9.1040759999999992</v>
      </c>
      <c r="W449" s="4"/>
      <c r="X449" s="4"/>
      <c r="Y449" s="4"/>
      <c r="Z449" s="4"/>
      <c r="AA449" s="4"/>
      <c r="AB449" s="4" t="s">
        <v>1032</v>
      </c>
      <c r="AC449" s="4"/>
      <c r="AD449" s="4">
        <v>22.881</v>
      </c>
      <c r="AE449" s="4">
        <v>121.06480000000001</v>
      </c>
      <c r="AF449" s="4">
        <v>9.7100000000000009</v>
      </c>
      <c r="AG449" s="4">
        <v>318.21800000000002</v>
      </c>
      <c r="AH449" s="27" t="b">
        <v>1</v>
      </c>
      <c r="AI449" s="4">
        <v>1.274</v>
      </c>
      <c r="AJ449" s="27" t="b">
        <v>0</v>
      </c>
      <c r="AK449" s="4"/>
      <c r="AL449" s="27" t="b">
        <v>0</v>
      </c>
      <c r="AM449" s="4">
        <v>285.51</v>
      </c>
      <c r="AN449" s="4">
        <v>289.95999999999998</v>
      </c>
      <c r="AO449" s="4">
        <v>180.85900000000001</v>
      </c>
      <c r="AP449" s="4">
        <v>56.861600000000003</v>
      </c>
      <c r="AQ449" s="4">
        <v>49.003700000000002</v>
      </c>
      <c r="AR449" s="4">
        <v>17.279699999999998</v>
      </c>
      <c r="AS449" s="4">
        <v>13.1629</v>
      </c>
      <c r="AT449" s="4">
        <v>11.386200000000001</v>
      </c>
      <c r="AU449" s="4">
        <v>4.6978</v>
      </c>
      <c r="AV449" s="4">
        <v>1.4827E-2</v>
      </c>
      <c r="AW449" s="4">
        <v>2.0763E-2</v>
      </c>
      <c r="AX449" s="4">
        <v>-7.5339999999999999E-3</v>
      </c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1" t="s">
        <v>3599</v>
      </c>
      <c r="BJ449" s="1" t="s">
        <v>4025</v>
      </c>
      <c r="BK449" s="1">
        <v>1</v>
      </c>
      <c r="BL449" s="1"/>
      <c r="BM449" s="1" t="s">
        <v>576</v>
      </c>
      <c r="BN449" s="1" t="s">
        <v>2901</v>
      </c>
      <c r="BO449" s="1" t="s">
        <v>2902</v>
      </c>
      <c r="BP449" s="1">
        <v>6.17</v>
      </c>
      <c r="BQ449" s="1" t="s">
        <v>1003</v>
      </c>
      <c r="BR449" s="1">
        <v>22.881</v>
      </c>
      <c r="BS449" s="1">
        <v>121.06480000000001</v>
      </c>
      <c r="BT449" s="1">
        <v>9.7100000000000009</v>
      </c>
      <c r="BU449" s="1" t="s">
        <v>1032</v>
      </c>
      <c r="BV449" s="1" t="s">
        <v>2834</v>
      </c>
      <c r="BW449" s="1">
        <v>199</v>
      </c>
      <c r="BX449" s="1">
        <v>63</v>
      </c>
      <c r="BY449" s="1">
        <v>11</v>
      </c>
      <c r="BZ449" s="1">
        <v>104</v>
      </c>
      <c r="CA449" s="1">
        <v>80</v>
      </c>
      <c r="CB449" s="1">
        <v>153</v>
      </c>
      <c r="CC449" s="1" t="s">
        <v>2808</v>
      </c>
      <c r="CD449" s="1" t="s">
        <v>731</v>
      </c>
      <c r="CE449" s="1"/>
      <c r="CF449" s="1"/>
      <c r="CG449" s="1"/>
      <c r="CH449" s="1"/>
      <c r="CI449" s="1"/>
      <c r="CJ449" s="1" t="s">
        <v>2812</v>
      </c>
      <c r="CK449" t="s">
        <v>1263</v>
      </c>
      <c r="CL449">
        <v>206</v>
      </c>
      <c r="CM449" t="s">
        <v>2904</v>
      </c>
    </row>
    <row r="450" spans="1:91" ht="19" customHeight="1">
      <c r="A450" s="1" t="s">
        <v>4026</v>
      </c>
      <c r="B450" s="1" t="s">
        <v>3597</v>
      </c>
      <c r="C450" s="1">
        <v>207</v>
      </c>
      <c r="D450" s="1" t="s">
        <v>577</v>
      </c>
      <c r="E450" s="1">
        <v>2006</v>
      </c>
      <c r="F450" s="1" t="s">
        <v>1134</v>
      </c>
      <c r="G450" s="1" t="s">
        <v>2292</v>
      </c>
      <c r="H450" s="4">
        <v>22.772167</v>
      </c>
      <c r="I450" s="4">
        <v>121.09099999999999</v>
      </c>
      <c r="J450" s="1" t="s">
        <v>1404</v>
      </c>
      <c r="K450" s="1" t="s">
        <v>70</v>
      </c>
      <c r="L450" s="1" t="s">
        <v>2293</v>
      </c>
      <c r="M450" s="1" t="s">
        <v>3598</v>
      </c>
      <c r="N450" s="1"/>
      <c r="O450" s="1" t="s">
        <v>3095</v>
      </c>
      <c r="P450" s="1"/>
      <c r="Q450" s="4">
        <v>6.17</v>
      </c>
      <c r="R450" s="4"/>
      <c r="S450" s="4"/>
      <c r="T450" s="4"/>
      <c r="U450" s="4"/>
      <c r="V450" s="4">
        <v>12.710732999999999</v>
      </c>
      <c r="W450" s="4"/>
      <c r="X450" s="4"/>
      <c r="Y450" s="4"/>
      <c r="Z450" s="4"/>
      <c r="AA450" s="4"/>
      <c r="AB450" s="4" t="s">
        <v>1032</v>
      </c>
      <c r="AC450" s="4"/>
      <c r="AD450" s="4">
        <v>22.881</v>
      </c>
      <c r="AE450" s="4">
        <v>121.06480000000001</v>
      </c>
      <c r="AF450" s="4">
        <v>9.7100000000000009</v>
      </c>
      <c r="AG450" s="4">
        <v>733.14</v>
      </c>
      <c r="AH450" s="27" t="b">
        <v>1</v>
      </c>
      <c r="AI450" s="4">
        <v>1.554</v>
      </c>
      <c r="AJ450" s="27" t="b">
        <v>0</v>
      </c>
      <c r="AK450" s="4"/>
      <c r="AL450" s="27" t="b">
        <v>0</v>
      </c>
      <c r="AM450" s="4">
        <v>320.33600000000001</v>
      </c>
      <c r="AN450" s="4">
        <v>237.97</v>
      </c>
      <c r="AO450" s="4">
        <v>284.05099999999999</v>
      </c>
      <c r="AP450" s="4">
        <v>63.102800000000002</v>
      </c>
      <c r="AQ450" s="4">
        <v>23.966000000000001</v>
      </c>
      <c r="AR450" s="4">
        <v>15.941700000000001</v>
      </c>
      <c r="AS450" s="4">
        <v>12.6629</v>
      </c>
      <c r="AT450" s="4">
        <v>5.7122400000000004</v>
      </c>
      <c r="AU450" s="4">
        <v>3.52338</v>
      </c>
      <c r="AV450" s="4">
        <v>2.4072E-2</v>
      </c>
      <c r="AW450" s="4">
        <v>-1.6143999999999999E-2</v>
      </c>
      <c r="AX450" s="4">
        <v>1.4955E-2</v>
      </c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1" t="s">
        <v>3599</v>
      </c>
      <c r="BJ450" s="1" t="s">
        <v>4027</v>
      </c>
      <c r="BK450" s="1">
        <v>1</v>
      </c>
      <c r="BL450" s="1"/>
      <c r="BM450" s="1" t="s">
        <v>576</v>
      </c>
      <c r="BN450" s="1" t="s">
        <v>2901</v>
      </c>
      <c r="BO450" s="1" t="s">
        <v>2902</v>
      </c>
      <c r="BP450" s="1">
        <v>6.17</v>
      </c>
      <c r="BQ450" s="1" t="s">
        <v>1003</v>
      </c>
      <c r="BR450" s="1">
        <v>22.881</v>
      </c>
      <c r="BS450" s="1">
        <v>121.06480000000001</v>
      </c>
      <c r="BT450" s="1">
        <v>9.7100000000000009</v>
      </c>
      <c r="BU450" s="1" t="s">
        <v>1032</v>
      </c>
      <c r="BV450" s="1" t="s">
        <v>2834</v>
      </c>
      <c r="BW450" s="1">
        <v>199</v>
      </c>
      <c r="BX450" s="1">
        <v>63</v>
      </c>
      <c r="BY450" s="1">
        <v>11</v>
      </c>
      <c r="BZ450" s="1">
        <v>104</v>
      </c>
      <c r="CA450" s="1">
        <v>80</v>
      </c>
      <c r="CB450" s="1">
        <v>153</v>
      </c>
      <c r="CC450" s="1" t="s">
        <v>2808</v>
      </c>
      <c r="CD450" s="1" t="s">
        <v>731</v>
      </c>
      <c r="CE450" s="1"/>
      <c r="CF450" s="1"/>
      <c r="CG450" s="1"/>
      <c r="CH450" s="1"/>
      <c r="CI450" s="1"/>
      <c r="CJ450" s="1" t="s">
        <v>2812</v>
      </c>
      <c r="CK450" t="s">
        <v>1263</v>
      </c>
      <c r="CL450">
        <v>207</v>
      </c>
      <c r="CM450" t="s">
        <v>2904</v>
      </c>
    </row>
    <row r="451" spans="1:91" ht="19" customHeight="1">
      <c r="A451" s="1" t="s">
        <v>4028</v>
      </c>
      <c r="B451" s="1" t="s">
        <v>3597</v>
      </c>
      <c r="C451" s="1">
        <v>208</v>
      </c>
      <c r="D451" s="1" t="s">
        <v>577</v>
      </c>
      <c r="E451" s="1">
        <v>2006</v>
      </c>
      <c r="F451" s="1" t="s">
        <v>1135</v>
      </c>
      <c r="G451" s="1" t="s">
        <v>2295</v>
      </c>
      <c r="H451" s="4">
        <v>22.730499999999999</v>
      </c>
      <c r="I451" s="4">
        <v>121.107333</v>
      </c>
      <c r="J451" s="1" t="s">
        <v>1404</v>
      </c>
      <c r="K451" s="1" t="s">
        <v>70</v>
      </c>
      <c r="L451" s="1" t="s">
        <v>2296</v>
      </c>
      <c r="M451" s="1" t="s">
        <v>3598</v>
      </c>
      <c r="N451" s="1"/>
      <c r="O451" s="1" t="s">
        <v>3095</v>
      </c>
      <c r="P451" s="1"/>
      <c r="Q451" s="4">
        <v>6.17</v>
      </c>
      <c r="R451" s="4"/>
      <c r="S451" s="4"/>
      <c r="T451" s="4"/>
      <c r="U451" s="4"/>
      <c r="V451" s="4">
        <v>16.662562000000001</v>
      </c>
      <c r="W451" s="4"/>
      <c r="X451" s="4"/>
      <c r="Y451" s="4"/>
      <c r="Z451" s="4"/>
      <c r="AA451" s="4"/>
      <c r="AB451" s="4" t="s">
        <v>1032</v>
      </c>
      <c r="AC451" s="4"/>
      <c r="AD451" s="4">
        <v>22.881</v>
      </c>
      <c r="AE451" s="4">
        <v>121.06480000000001</v>
      </c>
      <c r="AF451" s="4">
        <v>9.7100000000000009</v>
      </c>
      <c r="AG451" s="4">
        <v>467.1078</v>
      </c>
      <c r="AH451" s="27" t="b">
        <v>1</v>
      </c>
      <c r="AI451" s="4">
        <v>2.1419999999999999</v>
      </c>
      <c r="AJ451" s="27" t="b">
        <v>0</v>
      </c>
      <c r="AK451" s="4"/>
      <c r="AL451" s="27" t="b">
        <v>0</v>
      </c>
      <c r="AM451" s="4">
        <v>160.40600000000001</v>
      </c>
      <c r="AN451" s="4">
        <v>140.078</v>
      </c>
      <c r="AO451" s="4">
        <v>370.86099999999999</v>
      </c>
      <c r="AP451" s="4">
        <v>33.932099999999998</v>
      </c>
      <c r="AQ451" s="4">
        <v>22.619900000000001</v>
      </c>
      <c r="AR451" s="4">
        <v>11.3705</v>
      </c>
      <c r="AS451" s="4">
        <v>10.529199999999999</v>
      </c>
      <c r="AT451" s="4">
        <v>8.4924900000000001</v>
      </c>
      <c r="AU451" s="4">
        <v>3.9156599999999999</v>
      </c>
      <c r="AV451" s="4">
        <v>-2.5524000000000002E-2</v>
      </c>
      <c r="AW451" s="4">
        <v>-1.3949E-2</v>
      </c>
      <c r="AX451" s="4">
        <v>-2.5068E-2</v>
      </c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1" t="s">
        <v>3599</v>
      </c>
      <c r="BJ451" s="1" t="s">
        <v>4029</v>
      </c>
      <c r="BK451" s="1">
        <v>1</v>
      </c>
      <c r="BL451" s="1"/>
      <c r="BM451" s="1" t="s">
        <v>576</v>
      </c>
      <c r="BN451" s="1" t="s">
        <v>2901</v>
      </c>
      <c r="BO451" s="1" t="s">
        <v>2902</v>
      </c>
      <c r="BP451" s="1">
        <v>6.17</v>
      </c>
      <c r="BQ451" s="1" t="s">
        <v>1003</v>
      </c>
      <c r="BR451" s="1">
        <v>22.881</v>
      </c>
      <c r="BS451" s="1">
        <v>121.06480000000001</v>
      </c>
      <c r="BT451" s="1">
        <v>9.7100000000000009</v>
      </c>
      <c r="BU451" s="1" t="s">
        <v>1032</v>
      </c>
      <c r="BV451" s="1" t="s">
        <v>2834</v>
      </c>
      <c r="BW451" s="1">
        <v>199</v>
      </c>
      <c r="BX451" s="1">
        <v>63</v>
      </c>
      <c r="BY451" s="1">
        <v>11</v>
      </c>
      <c r="BZ451" s="1">
        <v>104</v>
      </c>
      <c r="CA451" s="1">
        <v>80</v>
      </c>
      <c r="CB451" s="1">
        <v>153</v>
      </c>
      <c r="CC451" s="1" t="s">
        <v>2808</v>
      </c>
      <c r="CD451" s="1" t="s">
        <v>731</v>
      </c>
      <c r="CE451" s="1"/>
      <c r="CF451" s="1"/>
      <c r="CG451" s="1"/>
      <c r="CH451" s="1"/>
      <c r="CI451" s="1"/>
      <c r="CJ451" s="1" t="s">
        <v>2812</v>
      </c>
      <c r="CK451" t="s">
        <v>1263</v>
      </c>
      <c r="CL451">
        <v>208</v>
      </c>
      <c r="CM451" t="s">
        <v>2904</v>
      </c>
    </row>
    <row r="452" spans="1:91" ht="19" customHeight="1">
      <c r="A452" s="1" t="s">
        <v>4030</v>
      </c>
      <c r="B452" s="1" t="s">
        <v>3597</v>
      </c>
      <c r="C452" s="1">
        <v>209</v>
      </c>
      <c r="D452" s="1" t="s">
        <v>577</v>
      </c>
      <c r="E452" s="1">
        <v>2006</v>
      </c>
      <c r="F452" s="1" t="s">
        <v>1136</v>
      </c>
      <c r="G452" s="1" t="s">
        <v>2297</v>
      </c>
      <c r="H452" s="4">
        <v>22.764973000000001</v>
      </c>
      <c r="I452" s="4">
        <v>121.145516</v>
      </c>
      <c r="J452" s="1" t="s">
        <v>1404</v>
      </c>
      <c r="K452" s="1" t="s">
        <v>70</v>
      </c>
      <c r="L452" s="1" t="s">
        <v>2298</v>
      </c>
      <c r="M452" s="1" t="s">
        <v>3598</v>
      </c>
      <c r="N452" s="1"/>
      <c r="O452" s="1" t="s">
        <v>3095</v>
      </c>
      <c r="P452" s="1"/>
      <c r="Q452" s="4">
        <v>6.17</v>
      </c>
      <c r="R452" s="4"/>
      <c r="S452" s="4"/>
      <c r="T452" s="4"/>
      <c r="U452" s="4"/>
      <c r="V452" s="4">
        <v>12.161220999999999</v>
      </c>
      <c r="W452" s="4"/>
      <c r="X452" s="4"/>
      <c r="Y452" s="4"/>
      <c r="Z452" s="4"/>
      <c r="AA452" s="4"/>
      <c r="AB452" s="4" t="s">
        <v>1032</v>
      </c>
      <c r="AC452" s="4"/>
      <c r="AD452" s="4">
        <v>22.881</v>
      </c>
      <c r="AE452" s="4">
        <v>121.06480000000001</v>
      </c>
      <c r="AF452" s="4">
        <v>9.7100000000000009</v>
      </c>
      <c r="AG452" s="4">
        <v>279.21211</v>
      </c>
      <c r="AH452" s="27" t="b">
        <v>1</v>
      </c>
      <c r="AI452" s="4">
        <v>0.86799999999999999</v>
      </c>
      <c r="AJ452" s="27" t="b">
        <v>0</v>
      </c>
      <c r="AK452" s="4"/>
      <c r="AL452" s="27" t="b">
        <v>0</v>
      </c>
      <c r="AM452" s="4">
        <v>213.65700000000001</v>
      </c>
      <c r="AN452" s="4">
        <v>420.77499999999998</v>
      </c>
      <c r="AO452" s="4">
        <v>189.04400000000001</v>
      </c>
      <c r="AP452" s="4">
        <v>27.315799999999999</v>
      </c>
      <c r="AQ452" s="4">
        <v>50.514099999999999</v>
      </c>
      <c r="AR452" s="4">
        <v>17.9666</v>
      </c>
      <c r="AS452" s="4">
        <v>7.6259100000000002</v>
      </c>
      <c r="AT452" s="4">
        <v>8.0594099999999997</v>
      </c>
      <c r="AU452" s="4">
        <v>4.2033699999999996</v>
      </c>
      <c r="AV452" s="4">
        <v>-5.5265000000000002E-2</v>
      </c>
      <c r="AW452" s="4">
        <v>-4.1353000000000001E-2</v>
      </c>
      <c r="AX452" s="4">
        <v>-3.8278E-2</v>
      </c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1" t="s">
        <v>3599</v>
      </c>
      <c r="BJ452" s="1" t="s">
        <v>4031</v>
      </c>
      <c r="BK452" s="1">
        <v>1</v>
      </c>
      <c r="BL452" s="1"/>
      <c r="BM452" s="1" t="s">
        <v>576</v>
      </c>
      <c r="BN452" s="1" t="s">
        <v>2901</v>
      </c>
      <c r="BO452" s="1" t="s">
        <v>2902</v>
      </c>
      <c r="BP452" s="1">
        <v>6.17</v>
      </c>
      <c r="BQ452" s="1" t="s">
        <v>1003</v>
      </c>
      <c r="BR452" s="1">
        <v>22.881</v>
      </c>
      <c r="BS452" s="1">
        <v>121.06480000000001</v>
      </c>
      <c r="BT452" s="1">
        <v>9.7100000000000009</v>
      </c>
      <c r="BU452" s="1" t="s">
        <v>1032</v>
      </c>
      <c r="BV452" s="1" t="s">
        <v>2834</v>
      </c>
      <c r="BW452" s="1">
        <v>199</v>
      </c>
      <c r="BX452" s="1">
        <v>63</v>
      </c>
      <c r="BY452" s="1">
        <v>11</v>
      </c>
      <c r="BZ452" s="1">
        <v>104</v>
      </c>
      <c r="CA452" s="1">
        <v>80</v>
      </c>
      <c r="CB452" s="1">
        <v>153</v>
      </c>
      <c r="CC452" s="1" t="s">
        <v>2808</v>
      </c>
      <c r="CD452" s="1" t="s">
        <v>731</v>
      </c>
      <c r="CE452" s="1"/>
      <c r="CF452" s="1"/>
      <c r="CG452" s="1"/>
      <c r="CH452" s="1"/>
      <c r="CI452" s="1"/>
      <c r="CJ452" s="1" t="s">
        <v>2812</v>
      </c>
      <c r="CK452" t="s">
        <v>1263</v>
      </c>
      <c r="CL452">
        <v>209</v>
      </c>
      <c r="CM452" t="s">
        <v>2904</v>
      </c>
    </row>
    <row r="453" spans="1:91" ht="19" customHeight="1">
      <c r="A453" s="1" t="s">
        <v>4032</v>
      </c>
      <c r="B453" s="1" t="s">
        <v>3597</v>
      </c>
      <c r="C453" s="1">
        <v>210</v>
      </c>
      <c r="D453" s="1" t="s">
        <v>1137</v>
      </c>
      <c r="E453" s="1">
        <v>2007</v>
      </c>
      <c r="F453" s="1" t="s">
        <v>955</v>
      </c>
      <c r="G453" s="1" t="s">
        <v>1509</v>
      </c>
      <c r="H453" s="4">
        <v>37.273600000000002</v>
      </c>
      <c r="I453" s="4">
        <v>138.39439999999999</v>
      </c>
      <c r="J453" s="1" t="s">
        <v>1404</v>
      </c>
      <c r="K453" s="1" t="s">
        <v>70</v>
      </c>
      <c r="L453" s="1" t="s">
        <v>1511</v>
      </c>
      <c r="M453" s="1" t="s">
        <v>3598</v>
      </c>
      <c r="N453" s="1"/>
      <c r="O453" s="1" t="s">
        <v>3095</v>
      </c>
      <c r="P453" s="1"/>
      <c r="Q453" s="4">
        <v>6.8</v>
      </c>
      <c r="R453" s="4"/>
      <c r="S453" s="4"/>
      <c r="T453" s="4"/>
      <c r="U453" s="4"/>
      <c r="V453" s="4">
        <v>11.94</v>
      </c>
      <c r="W453" s="4"/>
      <c r="X453" s="4"/>
      <c r="Y453" s="4"/>
      <c r="Z453" s="4"/>
      <c r="AA453" s="4"/>
      <c r="AB453" s="4" t="s">
        <v>1028</v>
      </c>
      <c r="AC453" s="4"/>
      <c r="AD453" s="4">
        <v>37.538200000000003</v>
      </c>
      <c r="AE453" s="4">
        <v>138.6174</v>
      </c>
      <c r="AF453" s="4">
        <v>9</v>
      </c>
      <c r="AG453" s="4">
        <v>383.43</v>
      </c>
      <c r="AH453" s="27" t="b">
        <v>1</v>
      </c>
      <c r="AI453" s="4">
        <v>1.4</v>
      </c>
      <c r="AJ453" s="27" t="b">
        <v>0</v>
      </c>
      <c r="AK453" s="4"/>
      <c r="AL453" s="27" t="b">
        <v>0</v>
      </c>
      <c r="AM453" s="4">
        <v>446.94299999999998</v>
      </c>
      <c r="AN453" s="4">
        <v>297.36900000000003</v>
      </c>
      <c r="AO453" s="4">
        <v>176.249</v>
      </c>
      <c r="AP453" s="4">
        <v>89.152600000000007</v>
      </c>
      <c r="AQ453" s="4">
        <v>48.988500000000002</v>
      </c>
      <c r="AR453" s="4">
        <v>18.630400000000002</v>
      </c>
      <c r="AS453" s="4">
        <v>28.2287</v>
      </c>
      <c r="AT453" s="4">
        <v>25.1555</v>
      </c>
      <c r="AU453" s="4">
        <v>7.8609999999999998</v>
      </c>
      <c r="AV453" s="4">
        <v>0.437191</v>
      </c>
      <c r="AW453" s="4">
        <v>0.152559</v>
      </c>
      <c r="AX453" s="4">
        <v>-0.10197000000000001</v>
      </c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1" t="s">
        <v>3599</v>
      </c>
      <c r="BJ453" s="1" t="s">
        <v>4033</v>
      </c>
      <c r="BK453" s="1">
        <v>1</v>
      </c>
      <c r="BL453" s="1"/>
      <c r="BM453" s="1" t="s">
        <v>581</v>
      </c>
      <c r="BN453" s="1" t="s">
        <v>2773</v>
      </c>
      <c r="BO453" s="1" t="s">
        <v>2774</v>
      </c>
      <c r="BP453" s="1">
        <v>6.8</v>
      </c>
      <c r="BQ453" s="1" t="s">
        <v>1003</v>
      </c>
      <c r="BR453" s="1">
        <v>37.538200000000003</v>
      </c>
      <c r="BS453" s="1">
        <v>138.6174</v>
      </c>
      <c r="BT453" s="1">
        <v>9</v>
      </c>
      <c r="BU453" s="1" t="s">
        <v>1028</v>
      </c>
      <c r="BV453" s="1" t="s">
        <v>2809</v>
      </c>
      <c r="BW453" s="1">
        <v>34</v>
      </c>
      <c r="BX453" s="1">
        <v>36</v>
      </c>
      <c r="BY453" s="1">
        <v>90</v>
      </c>
      <c r="BZ453" s="1"/>
      <c r="CA453" s="1"/>
      <c r="CB453" s="1"/>
      <c r="CC453" s="1" t="s">
        <v>2808</v>
      </c>
      <c r="CD453" s="1" t="s">
        <v>731</v>
      </c>
      <c r="CE453" s="1"/>
      <c r="CF453" s="1"/>
      <c r="CG453" s="1"/>
      <c r="CH453" s="1"/>
      <c r="CI453" s="1"/>
      <c r="CJ453" s="1" t="s">
        <v>2812</v>
      </c>
      <c r="CK453" t="s">
        <v>1263</v>
      </c>
      <c r="CL453">
        <v>210</v>
      </c>
      <c r="CM453" t="s">
        <v>2905</v>
      </c>
    </row>
    <row r="454" spans="1:91" ht="19" customHeight="1">
      <c r="A454" s="1" t="s">
        <v>4034</v>
      </c>
      <c r="B454" s="1" t="s">
        <v>3597</v>
      </c>
      <c r="C454" s="1">
        <v>211</v>
      </c>
      <c r="D454" s="1" t="s">
        <v>589</v>
      </c>
      <c r="E454" s="1">
        <v>2007</v>
      </c>
      <c r="F454" s="1" t="s">
        <v>1134</v>
      </c>
      <c r="G454" s="1" t="s">
        <v>2292</v>
      </c>
      <c r="H454" s="4">
        <v>22.772200000000002</v>
      </c>
      <c r="I454" s="4">
        <v>121.09099999999999</v>
      </c>
      <c r="J454" s="1" t="s">
        <v>1404</v>
      </c>
      <c r="K454" s="1" t="s">
        <v>70</v>
      </c>
      <c r="L454" s="1" t="s">
        <v>2294</v>
      </c>
      <c r="M454" s="1" t="s">
        <v>3598</v>
      </c>
      <c r="N454" s="1"/>
      <c r="O454" s="1" t="s">
        <v>3095</v>
      </c>
      <c r="P454" s="1"/>
      <c r="Q454" s="4">
        <v>5.24</v>
      </c>
      <c r="R454" s="4"/>
      <c r="S454" s="4"/>
      <c r="T454" s="4"/>
      <c r="U454" s="4"/>
      <c r="V454" s="4">
        <v>13.6015</v>
      </c>
      <c r="W454" s="4"/>
      <c r="X454" s="4"/>
      <c r="Y454" s="4"/>
      <c r="Z454" s="4"/>
      <c r="AA454" s="4"/>
      <c r="AB454" s="4" t="s">
        <v>1032</v>
      </c>
      <c r="AC454" s="4"/>
      <c r="AD454" s="4">
        <v>22.645800000000001</v>
      </c>
      <c r="AE454" s="4">
        <v>121.0633</v>
      </c>
      <c r="AF454" s="4">
        <v>5.62</v>
      </c>
      <c r="AG454" s="4">
        <v>733.14</v>
      </c>
      <c r="AH454" s="27" t="b">
        <v>1</v>
      </c>
      <c r="AI454" s="4">
        <v>0.80500000000000005</v>
      </c>
      <c r="AJ454" s="27" t="b">
        <v>0</v>
      </c>
      <c r="AK454" s="4"/>
      <c r="AL454" s="27" t="b">
        <v>0</v>
      </c>
      <c r="AM454" s="4">
        <v>211.19428500000001</v>
      </c>
      <c r="AN454" s="4">
        <v>243.83655899999999</v>
      </c>
      <c r="AO454" s="4">
        <v>72.220618999999999</v>
      </c>
      <c r="AP454" s="4">
        <v>11.917439999999999</v>
      </c>
      <c r="AQ454" s="4">
        <v>24.483000000000001</v>
      </c>
      <c r="AR454" s="4">
        <v>5.4880849999999999</v>
      </c>
      <c r="AS454" s="4">
        <v>1.4647159999999999</v>
      </c>
      <c r="AT454" s="4">
        <v>3.3242419999999999</v>
      </c>
      <c r="AU454" s="4">
        <v>1.038564</v>
      </c>
      <c r="AV454" s="4">
        <v>3.8679999999999999E-3</v>
      </c>
      <c r="AW454" s="4">
        <v>7.6030000000000004E-3</v>
      </c>
      <c r="AX454" s="4">
        <v>-2.078E-3</v>
      </c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1" t="s">
        <v>3599</v>
      </c>
      <c r="BJ454" s="1" t="s">
        <v>4035</v>
      </c>
      <c r="BK454" s="1">
        <v>1</v>
      </c>
      <c r="BL454" s="1"/>
      <c r="BM454" s="1" t="s">
        <v>588</v>
      </c>
      <c r="BN454" s="1" t="s">
        <v>2907</v>
      </c>
      <c r="BO454" s="1" t="s">
        <v>2908</v>
      </c>
      <c r="BP454" s="1">
        <v>5.24</v>
      </c>
      <c r="BQ454" s="1" t="s">
        <v>1003</v>
      </c>
      <c r="BR454" s="1">
        <v>22.645800000000001</v>
      </c>
      <c r="BS454" s="1">
        <v>121.0633</v>
      </c>
      <c r="BT454" s="1">
        <v>5.62</v>
      </c>
      <c r="BU454" s="1" t="s">
        <v>1032</v>
      </c>
      <c r="BV454" s="1"/>
      <c r="BW454" s="1"/>
      <c r="BX454" s="1"/>
      <c r="BY454" s="1"/>
      <c r="BZ454" s="1"/>
      <c r="CA454" s="1"/>
      <c r="CB454" s="1"/>
      <c r="CC454" s="1" t="s">
        <v>2808</v>
      </c>
      <c r="CD454" s="1" t="s">
        <v>731</v>
      </c>
      <c r="CE454" s="1"/>
      <c r="CF454" s="1"/>
      <c r="CG454" s="1"/>
      <c r="CH454" s="1"/>
      <c r="CI454" s="1"/>
      <c r="CJ454" s="1" t="s">
        <v>2812</v>
      </c>
      <c r="CK454" t="s">
        <v>1263</v>
      </c>
      <c r="CL454">
        <v>211</v>
      </c>
      <c r="CM454" t="s">
        <v>2910</v>
      </c>
    </row>
    <row r="455" spans="1:91" ht="19" customHeight="1">
      <c r="A455" s="1" t="s">
        <v>4036</v>
      </c>
      <c r="B455" s="1" t="s">
        <v>3597</v>
      </c>
      <c r="C455" s="1">
        <v>212</v>
      </c>
      <c r="D455" s="1" t="s">
        <v>604</v>
      </c>
      <c r="E455" s="1">
        <v>2009</v>
      </c>
      <c r="F455" s="1" t="s">
        <v>1138</v>
      </c>
      <c r="G455" s="1" t="s">
        <v>1942</v>
      </c>
      <c r="H455" s="4">
        <v>23.972829999999998</v>
      </c>
      <c r="I455" s="4">
        <v>121.56270000000001</v>
      </c>
      <c r="J455" s="1" t="s">
        <v>1404</v>
      </c>
      <c r="K455" s="1" t="s">
        <v>70</v>
      </c>
      <c r="L455" s="1" t="s">
        <v>1943</v>
      </c>
      <c r="M455" s="1" t="s">
        <v>3598</v>
      </c>
      <c r="N455" s="1"/>
      <c r="O455" s="1" t="s">
        <v>3095</v>
      </c>
      <c r="P455" s="1"/>
      <c r="Q455" s="4">
        <v>6.47</v>
      </c>
      <c r="R455" s="4"/>
      <c r="S455" s="4"/>
      <c r="T455" s="4"/>
      <c r="U455" s="4"/>
      <c r="V455" s="4">
        <v>37.689619999999998</v>
      </c>
      <c r="W455" s="4"/>
      <c r="X455" s="4"/>
      <c r="Y455" s="4"/>
      <c r="Z455" s="4"/>
      <c r="AA455" s="4"/>
      <c r="AB455" s="4" t="s">
        <v>1028</v>
      </c>
      <c r="AC455" s="4"/>
      <c r="AD455" s="4">
        <v>23.7988</v>
      </c>
      <c r="AE455" s="4">
        <v>121.657</v>
      </c>
      <c r="AF455" s="4">
        <v>43.05</v>
      </c>
      <c r="AG455" s="4">
        <v>445.59969999999998</v>
      </c>
      <c r="AH455" s="27" t="b">
        <v>1</v>
      </c>
      <c r="AI455" s="4">
        <v>1.631</v>
      </c>
      <c r="AJ455" s="27" t="b">
        <v>0</v>
      </c>
      <c r="AK455" s="4"/>
      <c r="AL455" s="27" t="b">
        <v>0</v>
      </c>
      <c r="AM455" s="4">
        <v>147.54</v>
      </c>
      <c r="AN455" s="4">
        <v>91.337000000000003</v>
      </c>
      <c r="AO455" s="4">
        <v>99.951999999999998</v>
      </c>
      <c r="AP455" s="4">
        <v>34.972000000000001</v>
      </c>
      <c r="AQ455" s="4">
        <v>7.4310099999999997</v>
      </c>
      <c r="AR455" s="4">
        <v>7.4355399999999996</v>
      </c>
      <c r="AS455" s="4">
        <v>6.9055900000000001</v>
      </c>
      <c r="AT455" s="4">
        <v>1.2107300000000001</v>
      </c>
      <c r="AU455" s="4">
        <v>1.3545100000000001</v>
      </c>
      <c r="AV455" s="4">
        <v>9.8371E-2</v>
      </c>
      <c r="AW455" s="4">
        <v>-8.616E-2</v>
      </c>
      <c r="AX455" s="4">
        <v>4.7681000000000001E-2</v>
      </c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1" t="s">
        <v>3599</v>
      </c>
      <c r="BJ455" s="1" t="s">
        <v>4037</v>
      </c>
      <c r="BK455" s="1">
        <v>1</v>
      </c>
      <c r="BL455" s="1"/>
      <c r="BM455" s="1" t="s">
        <v>603</v>
      </c>
      <c r="BN455" s="1" t="s">
        <v>2912</v>
      </c>
      <c r="BO455" s="1" t="s">
        <v>2913</v>
      </c>
      <c r="BP455" s="1">
        <v>6.47</v>
      </c>
      <c r="BQ455" s="1" t="s">
        <v>1003</v>
      </c>
      <c r="BR455" s="1">
        <v>23.7988</v>
      </c>
      <c r="BS455" s="1">
        <v>121.657</v>
      </c>
      <c r="BT455" s="1">
        <v>43.05</v>
      </c>
      <c r="BU455" s="1" t="s">
        <v>1028</v>
      </c>
      <c r="BV455" s="1" t="s">
        <v>2834</v>
      </c>
      <c r="BW455" s="1">
        <v>249</v>
      </c>
      <c r="BX455" s="1">
        <v>31</v>
      </c>
      <c r="BY455" s="1">
        <v>144</v>
      </c>
      <c r="BZ455" s="1">
        <v>11</v>
      </c>
      <c r="CA455" s="1">
        <v>73</v>
      </c>
      <c r="CB455" s="1">
        <v>64</v>
      </c>
      <c r="CC455" s="1" t="s">
        <v>2808</v>
      </c>
      <c r="CD455" s="1" t="s">
        <v>731</v>
      </c>
      <c r="CE455" s="1"/>
      <c r="CF455" s="1"/>
      <c r="CG455" s="1"/>
      <c r="CH455" s="1"/>
      <c r="CI455" s="1"/>
      <c r="CJ455" s="1" t="s">
        <v>2812</v>
      </c>
      <c r="CK455" t="s">
        <v>1263</v>
      </c>
      <c r="CL455">
        <v>212</v>
      </c>
      <c r="CM455" t="s">
        <v>2915</v>
      </c>
    </row>
    <row r="456" spans="1:91" ht="19" customHeight="1">
      <c r="A456" s="1" t="s">
        <v>4038</v>
      </c>
      <c r="B456" s="1" t="s">
        <v>3597</v>
      </c>
      <c r="C456" s="1">
        <v>213</v>
      </c>
      <c r="D456" s="1" t="s">
        <v>604</v>
      </c>
      <c r="E456" s="1">
        <v>2009</v>
      </c>
      <c r="F456" s="1" t="s">
        <v>1139</v>
      </c>
      <c r="G456" s="1" t="s">
        <v>1945</v>
      </c>
      <c r="H456" s="4">
        <v>23.963170000000002</v>
      </c>
      <c r="I456" s="4">
        <v>121.5685</v>
      </c>
      <c r="J456" s="1" t="s">
        <v>1404</v>
      </c>
      <c r="K456" s="1" t="s">
        <v>70</v>
      </c>
      <c r="L456" s="1" t="s">
        <v>1947</v>
      </c>
      <c r="M456" s="1" t="s">
        <v>3598</v>
      </c>
      <c r="N456" s="1"/>
      <c r="O456" s="1" t="s">
        <v>3095</v>
      </c>
      <c r="P456" s="1"/>
      <c r="Q456" s="4">
        <v>6.47</v>
      </c>
      <c r="R456" s="4"/>
      <c r="S456" s="4"/>
      <c r="T456" s="4"/>
      <c r="U456" s="4"/>
      <c r="V456" s="4">
        <v>37.21181</v>
      </c>
      <c r="W456" s="4"/>
      <c r="X456" s="4"/>
      <c r="Y456" s="4"/>
      <c r="Z456" s="4"/>
      <c r="AA456" s="4"/>
      <c r="AB456" s="4" t="s">
        <v>1028</v>
      </c>
      <c r="AC456" s="4"/>
      <c r="AD456" s="4">
        <v>23.7988</v>
      </c>
      <c r="AE456" s="4">
        <v>121.657</v>
      </c>
      <c r="AF456" s="4">
        <v>43.05</v>
      </c>
      <c r="AG456" s="4">
        <v>579.59810000000004</v>
      </c>
      <c r="AH456" s="27" t="b">
        <v>1</v>
      </c>
      <c r="AI456" s="4">
        <v>1.925</v>
      </c>
      <c r="AJ456" s="27" t="b">
        <v>0</v>
      </c>
      <c r="AK456" s="4"/>
      <c r="AL456" s="27" t="b">
        <v>0</v>
      </c>
      <c r="AM456" s="4">
        <v>165.58199999999999</v>
      </c>
      <c r="AN456" s="4">
        <v>85.38</v>
      </c>
      <c r="AO456" s="4">
        <v>124.902</v>
      </c>
      <c r="AP456" s="4">
        <v>29.248999999999999</v>
      </c>
      <c r="AQ456" s="4">
        <v>9.0662299999999991</v>
      </c>
      <c r="AR456" s="4">
        <v>5.8010799999999998</v>
      </c>
      <c r="AS456" s="4">
        <v>6.7225700000000002</v>
      </c>
      <c r="AT456" s="4">
        <v>1.54837</v>
      </c>
      <c r="AU456" s="4">
        <v>1.2925899999999999</v>
      </c>
      <c r="AV456" s="4">
        <v>1.7468999999999998E-2</v>
      </c>
      <c r="AW456" s="4">
        <v>1.0094000000000001E-2</v>
      </c>
      <c r="AX456" s="4">
        <v>9.4246999999999997E-2</v>
      </c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1" t="s">
        <v>3599</v>
      </c>
      <c r="BJ456" s="1" t="s">
        <v>4039</v>
      </c>
      <c r="BK456" s="1">
        <v>1</v>
      </c>
      <c r="BL456" s="1"/>
      <c r="BM456" s="1" t="s">
        <v>603</v>
      </c>
      <c r="BN456" s="1" t="s">
        <v>2912</v>
      </c>
      <c r="BO456" s="1" t="s">
        <v>2913</v>
      </c>
      <c r="BP456" s="1">
        <v>6.47</v>
      </c>
      <c r="BQ456" s="1" t="s">
        <v>1003</v>
      </c>
      <c r="BR456" s="1">
        <v>23.7988</v>
      </c>
      <c r="BS456" s="1">
        <v>121.657</v>
      </c>
      <c r="BT456" s="1">
        <v>43.05</v>
      </c>
      <c r="BU456" s="1" t="s">
        <v>1028</v>
      </c>
      <c r="BV456" s="1" t="s">
        <v>2834</v>
      </c>
      <c r="BW456" s="1">
        <v>249</v>
      </c>
      <c r="BX456" s="1">
        <v>31</v>
      </c>
      <c r="BY456" s="1">
        <v>144</v>
      </c>
      <c r="BZ456" s="1">
        <v>11</v>
      </c>
      <c r="CA456" s="1">
        <v>73</v>
      </c>
      <c r="CB456" s="1">
        <v>64</v>
      </c>
      <c r="CC456" s="1" t="s">
        <v>2808</v>
      </c>
      <c r="CD456" s="1" t="s">
        <v>731</v>
      </c>
      <c r="CE456" s="1"/>
      <c r="CF456" s="1"/>
      <c r="CG456" s="1"/>
      <c r="CH456" s="1"/>
      <c r="CI456" s="1"/>
      <c r="CJ456" s="1" t="s">
        <v>2812</v>
      </c>
      <c r="CK456" t="s">
        <v>1263</v>
      </c>
      <c r="CL456">
        <v>213</v>
      </c>
      <c r="CM456" t="s">
        <v>2915</v>
      </c>
    </row>
    <row r="457" spans="1:91" ht="19" customHeight="1">
      <c r="A457" s="1" t="s">
        <v>4040</v>
      </c>
      <c r="B457" s="1" t="s">
        <v>3597</v>
      </c>
      <c r="C457" s="1">
        <v>214</v>
      </c>
      <c r="D457" s="1" t="s">
        <v>604</v>
      </c>
      <c r="E457" s="1">
        <v>2009</v>
      </c>
      <c r="F457" s="1" t="s">
        <v>1140</v>
      </c>
      <c r="G457" s="1" t="s">
        <v>1952</v>
      </c>
      <c r="H457" s="4">
        <v>24.05367</v>
      </c>
      <c r="I457" s="4">
        <v>121.5985</v>
      </c>
      <c r="J457" s="1" t="s">
        <v>1404</v>
      </c>
      <c r="K457" s="1" t="s">
        <v>70</v>
      </c>
      <c r="L457" s="1" t="s">
        <v>1953</v>
      </c>
      <c r="M457" s="1" t="s">
        <v>3598</v>
      </c>
      <c r="N457" s="1"/>
      <c r="O457" s="1" t="s">
        <v>3095</v>
      </c>
      <c r="P457" s="1"/>
      <c r="Q457" s="4">
        <v>6.47</v>
      </c>
      <c r="R457" s="4"/>
      <c r="S457" s="4"/>
      <c r="T457" s="4"/>
      <c r="U457" s="4"/>
      <c r="V457" s="4">
        <v>41.091760000000001</v>
      </c>
      <c r="W457" s="4"/>
      <c r="X457" s="4"/>
      <c r="Y457" s="4"/>
      <c r="Z457" s="4"/>
      <c r="AA457" s="4"/>
      <c r="AB457" s="4" t="s">
        <v>1028</v>
      </c>
      <c r="AC457" s="4"/>
      <c r="AD457" s="4">
        <v>23.7988</v>
      </c>
      <c r="AE457" s="4">
        <v>121.657</v>
      </c>
      <c r="AF457" s="4">
        <v>43.05</v>
      </c>
      <c r="AG457" s="4">
        <v>434.56229999999999</v>
      </c>
      <c r="AH457" s="27" t="b">
        <v>1</v>
      </c>
      <c r="AI457" s="4">
        <v>1.4350000000000001</v>
      </c>
      <c r="AJ457" s="27" t="b">
        <v>0</v>
      </c>
      <c r="AK457" s="4"/>
      <c r="AL457" s="27" t="b">
        <v>0</v>
      </c>
      <c r="AM457" s="4">
        <v>121.105</v>
      </c>
      <c r="AN457" s="4">
        <v>132.90100000000001</v>
      </c>
      <c r="AO457" s="4">
        <v>104.883</v>
      </c>
      <c r="AP457" s="4">
        <v>25.447500000000002</v>
      </c>
      <c r="AQ457" s="4">
        <v>11.960900000000001</v>
      </c>
      <c r="AR457" s="4">
        <v>7.4254800000000003</v>
      </c>
      <c r="AS457" s="4">
        <v>3.88327</v>
      </c>
      <c r="AT457" s="4">
        <v>2.0023300000000002</v>
      </c>
      <c r="AU457" s="4">
        <v>1.47278</v>
      </c>
      <c r="AV457" s="4">
        <v>-9.1624999999999998E-2</v>
      </c>
      <c r="AW457" s="4">
        <v>5.9186000000000002E-2</v>
      </c>
      <c r="AX457" s="4">
        <v>3.5095000000000001E-2</v>
      </c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1" t="s">
        <v>3599</v>
      </c>
      <c r="BJ457" s="1" t="s">
        <v>4041</v>
      </c>
      <c r="BK457" s="1">
        <v>1</v>
      </c>
      <c r="BL457" s="1"/>
      <c r="BM457" s="1" t="s">
        <v>603</v>
      </c>
      <c r="BN457" s="1" t="s">
        <v>2912</v>
      </c>
      <c r="BO457" s="1" t="s">
        <v>2913</v>
      </c>
      <c r="BP457" s="1">
        <v>6.47</v>
      </c>
      <c r="BQ457" s="1" t="s">
        <v>1003</v>
      </c>
      <c r="BR457" s="1">
        <v>23.7988</v>
      </c>
      <c r="BS457" s="1">
        <v>121.657</v>
      </c>
      <c r="BT457" s="1">
        <v>43.05</v>
      </c>
      <c r="BU457" s="1" t="s">
        <v>1028</v>
      </c>
      <c r="BV457" s="1" t="s">
        <v>2834</v>
      </c>
      <c r="BW457" s="1">
        <v>249</v>
      </c>
      <c r="BX457" s="1">
        <v>31</v>
      </c>
      <c r="BY457" s="1">
        <v>144</v>
      </c>
      <c r="BZ457" s="1">
        <v>11</v>
      </c>
      <c r="CA457" s="1">
        <v>73</v>
      </c>
      <c r="CB457" s="1">
        <v>64</v>
      </c>
      <c r="CC457" s="1" t="s">
        <v>2808</v>
      </c>
      <c r="CD457" s="1" t="s">
        <v>731</v>
      </c>
      <c r="CE457" s="1"/>
      <c r="CF457" s="1"/>
      <c r="CG457" s="1"/>
      <c r="CH457" s="1"/>
      <c r="CI457" s="1"/>
      <c r="CJ457" s="1" t="s">
        <v>2812</v>
      </c>
      <c r="CK457" t="s">
        <v>1263</v>
      </c>
      <c r="CL457">
        <v>214</v>
      </c>
      <c r="CM457" t="s">
        <v>2915</v>
      </c>
    </row>
    <row r="458" spans="1:91" ht="19" customHeight="1">
      <c r="A458" s="1" t="s">
        <v>4042</v>
      </c>
      <c r="B458" s="1" t="s">
        <v>3597</v>
      </c>
      <c r="C458" s="1">
        <v>215</v>
      </c>
      <c r="D458" s="1" t="s">
        <v>604</v>
      </c>
      <c r="E458" s="1">
        <v>2009</v>
      </c>
      <c r="F458" s="1" t="s">
        <v>1141</v>
      </c>
      <c r="G458" s="1" t="s">
        <v>1954</v>
      </c>
      <c r="H458" s="4">
        <v>24.014330000000001</v>
      </c>
      <c r="I458" s="4">
        <v>121.6095</v>
      </c>
      <c r="J458" s="1" t="s">
        <v>1404</v>
      </c>
      <c r="K458" s="1" t="s">
        <v>70</v>
      </c>
      <c r="L458" s="1" t="s">
        <v>1955</v>
      </c>
      <c r="M458" s="1" t="s">
        <v>3598</v>
      </c>
      <c r="N458" s="1"/>
      <c r="O458" s="1" t="s">
        <v>3095</v>
      </c>
      <c r="P458" s="1"/>
      <c r="Q458" s="4">
        <v>6.47</v>
      </c>
      <c r="R458" s="4"/>
      <c r="S458" s="4"/>
      <c r="T458" s="4"/>
      <c r="U458" s="4"/>
      <c r="V458" s="4">
        <v>38.81382</v>
      </c>
      <c r="W458" s="4"/>
      <c r="X458" s="4"/>
      <c r="Y458" s="4"/>
      <c r="Z458" s="4"/>
      <c r="AA458" s="4"/>
      <c r="AB458" s="4" t="s">
        <v>1028</v>
      </c>
      <c r="AC458" s="4"/>
      <c r="AD458" s="4">
        <v>23.7988</v>
      </c>
      <c r="AE458" s="4">
        <v>121.657</v>
      </c>
      <c r="AF458" s="4">
        <v>43.05</v>
      </c>
      <c r="AG458" s="4">
        <v>404.91289999999998</v>
      </c>
      <c r="AH458" s="27" t="b">
        <v>1</v>
      </c>
      <c r="AI458" s="4">
        <v>1.5680000000000001</v>
      </c>
      <c r="AJ458" s="27" t="b">
        <v>0</v>
      </c>
      <c r="AK458" s="4"/>
      <c r="AL458" s="27" t="b">
        <v>0</v>
      </c>
      <c r="AM458" s="4">
        <v>140.70599999999999</v>
      </c>
      <c r="AN458" s="4">
        <v>109.571</v>
      </c>
      <c r="AO458" s="4">
        <v>120.8</v>
      </c>
      <c r="AP458" s="4">
        <v>23.738700000000001</v>
      </c>
      <c r="AQ458" s="4">
        <v>10.0215</v>
      </c>
      <c r="AR458" s="4">
        <v>7.2160200000000003</v>
      </c>
      <c r="AS458" s="4">
        <v>7.7756400000000001</v>
      </c>
      <c r="AT458" s="4">
        <v>2.8807299999999998</v>
      </c>
      <c r="AU458" s="4">
        <v>2.2606899999999999</v>
      </c>
      <c r="AV458" s="4">
        <v>3.9880000000000002E-3</v>
      </c>
      <c r="AW458" s="4">
        <v>3.5274E-2</v>
      </c>
      <c r="AX458" s="4">
        <v>-1.5671000000000001E-2</v>
      </c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1" t="s">
        <v>3599</v>
      </c>
      <c r="BJ458" s="1" t="s">
        <v>4043</v>
      </c>
      <c r="BK458" s="1">
        <v>1</v>
      </c>
      <c r="BL458" s="1"/>
      <c r="BM458" s="1" t="s">
        <v>603</v>
      </c>
      <c r="BN458" s="1" t="s">
        <v>2912</v>
      </c>
      <c r="BO458" s="1" t="s">
        <v>2913</v>
      </c>
      <c r="BP458" s="1">
        <v>6.47</v>
      </c>
      <c r="BQ458" s="1" t="s">
        <v>1003</v>
      </c>
      <c r="BR458" s="1">
        <v>23.7988</v>
      </c>
      <c r="BS458" s="1">
        <v>121.657</v>
      </c>
      <c r="BT458" s="1">
        <v>43.05</v>
      </c>
      <c r="BU458" s="1" t="s">
        <v>1028</v>
      </c>
      <c r="BV458" s="1" t="s">
        <v>2834</v>
      </c>
      <c r="BW458" s="1">
        <v>249</v>
      </c>
      <c r="BX458" s="1">
        <v>31</v>
      </c>
      <c r="BY458" s="1">
        <v>144</v>
      </c>
      <c r="BZ458" s="1">
        <v>11</v>
      </c>
      <c r="CA458" s="1">
        <v>73</v>
      </c>
      <c r="CB458" s="1">
        <v>64</v>
      </c>
      <c r="CC458" s="1" t="s">
        <v>2808</v>
      </c>
      <c r="CD458" s="1" t="s">
        <v>731</v>
      </c>
      <c r="CE458" s="1"/>
      <c r="CF458" s="1"/>
      <c r="CG458" s="1"/>
      <c r="CH458" s="1"/>
      <c r="CI458" s="1"/>
      <c r="CJ458" s="1" t="s">
        <v>2812</v>
      </c>
      <c r="CK458" t="s">
        <v>1263</v>
      </c>
      <c r="CL458">
        <v>215</v>
      </c>
      <c r="CM458" t="s">
        <v>2915</v>
      </c>
    </row>
    <row r="459" spans="1:91" ht="19" customHeight="1">
      <c r="A459" s="1" t="s">
        <v>4044</v>
      </c>
      <c r="B459" s="1" t="s">
        <v>3597</v>
      </c>
      <c r="C459" s="1">
        <v>216</v>
      </c>
      <c r="D459" s="1" t="s">
        <v>604</v>
      </c>
      <c r="E459" s="1">
        <v>2009</v>
      </c>
      <c r="F459" s="1" t="s">
        <v>1142</v>
      </c>
      <c r="G459" s="1" t="s">
        <v>1967</v>
      </c>
      <c r="H459" s="4">
        <v>24.009499999999999</v>
      </c>
      <c r="I459" s="4">
        <v>121.5805</v>
      </c>
      <c r="J459" s="1" t="s">
        <v>1404</v>
      </c>
      <c r="K459" s="1" t="s">
        <v>70</v>
      </c>
      <c r="L459" s="1" t="s">
        <v>1968</v>
      </c>
      <c r="M459" s="1" t="s">
        <v>3598</v>
      </c>
      <c r="N459" s="1"/>
      <c r="O459" s="1" t="s">
        <v>3095</v>
      </c>
      <c r="P459" s="1"/>
      <c r="Q459" s="4">
        <v>6.47</v>
      </c>
      <c r="R459" s="4"/>
      <c r="S459" s="4"/>
      <c r="T459" s="4"/>
      <c r="U459" s="4"/>
      <c r="V459" s="4">
        <v>38.945039999999999</v>
      </c>
      <c r="W459" s="4"/>
      <c r="X459" s="4"/>
      <c r="Y459" s="4"/>
      <c r="Z459" s="4"/>
      <c r="AA459" s="4"/>
      <c r="AB459" s="4" t="s">
        <v>1028</v>
      </c>
      <c r="AC459" s="4"/>
      <c r="AD459" s="4">
        <v>23.7988</v>
      </c>
      <c r="AE459" s="4">
        <v>121.657</v>
      </c>
      <c r="AF459" s="4">
        <v>43.05</v>
      </c>
      <c r="AG459" s="4">
        <v>349.7937</v>
      </c>
      <c r="AH459" s="27" t="b">
        <v>1</v>
      </c>
      <c r="AI459" s="4">
        <v>1.47</v>
      </c>
      <c r="AJ459" s="27" t="b">
        <v>0</v>
      </c>
      <c r="AK459" s="4"/>
      <c r="AL459" s="27" t="b">
        <v>0</v>
      </c>
      <c r="AM459" s="4">
        <v>186.74199999999999</v>
      </c>
      <c r="AN459" s="4">
        <v>174.09899999999999</v>
      </c>
      <c r="AO459" s="4">
        <v>106.711</v>
      </c>
      <c r="AP459" s="4">
        <v>36.183</v>
      </c>
      <c r="AQ459" s="4">
        <v>19.127099999999999</v>
      </c>
      <c r="AR459" s="4">
        <v>11.420199999999999</v>
      </c>
      <c r="AS459" s="4">
        <v>7.5581300000000002</v>
      </c>
      <c r="AT459" s="4">
        <v>2.9952399999999999</v>
      </c>
      <c r="AU459" s="4">
        <v>2.7333799999999999</v>
      </c>
      <c r="AV459" s="4">
        <v>-1.6420000000000001E-2</v>
      </c>
      <c r="AW459" s="4">
        <v>5.1680999999999998E-2</v>
      </c>
      <c r="AX459" s="4">
        <v>-9.7810999999999995E-2</v>
      </c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1" t="s">
        <v>3599</v>
      </c>
      <c r="BJ459" s="1" t="s">
        <v>4045</v>
      </c>
      <c r="BK459" s="1">
        <v>1</v>
      </c>
      <c r="BL459" s="1"/>
      <c r="BM459" s="1" t="s">
        <v>603</v>
      </c>
      <c r="BN459" s="1" t="s">
        <v>2912</v>
      </c>
      <c r="BO459" s="1" t="s">
        <v>2913</v>
      </c>
      <c r="BP459" s="1">
        <v>6.47</v>
      </c>
      <c r="BQ459" s="1" t="s">
        <v>1003</v>
      </c>
      <c r="BR459" s="1">
        <v>23.7988</v>
      </c>
      <c r="BS459" s="1">
        <v>121.657</v>
      </c>
      <c r="BT459" s="1">
        <v>43.05</v>
      </c>
      <c r="BU459" s="1" t="s">
        <v>1028</v>
      </c>
      <c r="BV459" s="1" t="s">
        <v>2834</v>
      </c>
      <c r="BW459" s="1">
        <v>249</v>
      </c>
      <c r="BX459" s="1">
        <v>31</v>
      </c>
      <c r="BY459" s="1">
        <v>144</v>
      </c>
      <c r="BZ459" s="1">
        <v>11</v>
      </c>
      <c r="CA459" s="1">
        <v>73</v>
      </c>
      <c r="CB459" s="1">
        <v>64</v>
      </c>
      <c r="CC459" s="1" t="s">
        <v>2808</v>
      </c>
      <c r="CD459" s="1" t="s">
        <v>731</v>
      </c>
      <c r="CE459" s="1"/>
      <c r="CF459" s="1"/>
      <c r="CG459" s="1"/>
      <c r="CH459" s="1"/>
      <c r="CI459" s="1"/>
      <c r="CJ459" s="1" t="s">
        <v>2812</v>
      </c>
      <c r="CK459" t="s">
        <v>1263</v>
      </c>
      <c r="CL459">
        <v>216</v>
      </c>
      <c r="CM459" t="s">
        <v>2915</v>
      </c>
    </row>
    <row r="460" spans="1:91" ht="19" customHeight="1">
      <c r="A460" s="1" t="s">
        <v>4046</v>
      </c>
      <c r="B460" s="1" t="s">
        <v>3597</v>
      </c>
      <c r="C460" s="1">
        <v>217</v>
      </c>
      <c r="D460" s="1" t="s">
        <v>604</v>
      </c>
      <c r="E460" s="1">
        <v>2009</v>
      </c>
      <c r="F460" s="1" t="s">
        <v>1143</v>
      </c>
      <c r="G460" s="1" t="s">
        <v>1971</v>
      </c>
      <c r="H460" s="4">
        <v>23.9878</v>
      </c>
      <c r="I460" s="4">
        <v>121.5908</v>
      </c>
      <c r="J460" s="1" t="s">
        <v>1404</v>
      </c>
      <c r="K460" s="1" t="s">
        <v>70</v>
      </c>
      <c r="L460" s="1" t="s">
        <v>1972</v>
      </c>
      <c r="M460" s="1" t="s">
        <v>3598</v>
      </c>
      <c r="N460" s="1"/>
      <c r="O460" s="1" t="s">
        <v>3095</v>
      </c>
      <c r="P460" s="1"/>
      <c r="Q460" s="4">
        <v>6.47</v>
      </c>
      <c r="R460" s="4"/>
      <c r="S460" s="4"/>
      <c r="T460" s="4"/>
      <c r="U460" s="4"/>
      <c r="V460" s="4">
        <v>37.798000000000002</v>
      </c>
      <c r="W460" s="4"/>
      <c r="X460" s="4"/>
      <c r="Y460" s="4"/>
      <c r="Z460" s="4"/>
      <c r="AA460" s="4"/>
      <c r="AB460" s="4" t="s">
        <v>1028</v>
      </c>
      <c r="AC460" s="4"/>
      <c r="AD460" s="4">
        <v>23.7988</v>
      </c>
      <c r="AE460" s="4">
        <v>121.657</v>
      </c>
      <c r="AF460" s="4">
        <v>43.05</v>
      </c>
      <c r="AG460" s="4">
        <v>343.44</v>
      </c>
      <c r="AH460" s="27" t="b">
        <v>1</v>
      </c>
      <c r="AI460" s="4">
        <v>1.8340000000000001</v>
      </c>
      <c r="AJ460" s="27" t="b">
        <v>0</v>
      </c>
      <c r="AK460" s="4"/>
      <c r="AL460" s="27" t="b">
        <v>0</v>
      </c>
      <c r="AM460" s="4">
        <v>167.31956</v>
      </c>
      <c r="AN460" s="4">
        <v>107.984076</v>
      </c>
      <c r="AO460" s="4">
        <v>85.598256000000006</v>
      </c>
      <c r="AP460" s="4">
        <v>38.477854999999998</v>
      </c>
      <c r="AQ460" s="4">
        <v>18.60229</v>
      </c>
      <c r="AR460" s="4">
        <v>7.7953450000000002</v>
      </c>
      <c r="AS460" s="4">
        <v>8.7857950000000002</v>
      </c>
      <c r="AT460" s="4">
        <v>3.9667400000000002</v>
      </c>
      <c r="AU460" s="4">
        <v>2.205495</v>
      </c>
      <c r="AV460" s="4">
        <v>-5.5079999999999997E-2</v>
      </c>
      <c r="AW460" s="4">
        <v>1.5322000000000001E-2</v>
      </c>
      <c r="AX460" s="4">
        <v>7.3049999999999999E-3</v>
      </c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1" t="s">
        <v>3599</v>
      </c>
      <c r="BJ460" s="1" t="s">
        <v>4047</v>
      </c>
      <c r="BK460" s="1">
        <v>1</v>
      </c>
      <c r="BL460" s="1"/>
      <c r="BM460" s="1" t="s">
        <v>603</v>
      </c>
      <c r="BN460" s="1" t="s">
        <v>2912</v>
      </c>
      <c r="BO460" s="1" t="s">
        <v>2913</v>
      </c>
      <c r="BP460" s="1">
        <v>6.47</v>
      </c>
      <c r="BQ460" s="1" t="s">
        <v>1003</v>
      </c>
      <c r="BR460" s="1">
        <v>23.7988</v>
      </c>
      <c r="BS460" s="1">
        <v>121.657</v>
      </c>
      <c r="BT460" s="1">
        <v>43.05</v>
      </c>
      <c r="BU460" s="1" t="s">
        <v>1028</v>
      </c>
      <c r="BV460" s="1" t="s">
        <v>2834</v>
      </c>
      <c r="BW460" s="1">
        <v>249</v>
      </c>
      <c r="BX460" s="1">
        <v>31</v>
      </c>
      <c r="BY460" s="1">
        <v>144</v>
      </c>
      <c r="BZ460" s="1">
        <v>11</v>
      </c>
      <c r="CA460" s="1">
        <v>73</v>
      </c>
      <c r="CB460" s="1">
        <v>64</v>
      </c>
      <c r="CC460" s="1" t="s">
        <v>2808</v>
      </c>
      <c r="CD460" s="1" t="s">
        <v>731</v>
      </c>
      <c r="CE460" s="1"/>
      <c r="CF460" s="1"/>
      <c r="CG460" s="1"/>
      <c r="CH460" s="1"/>
      <c r="CI460" s="1"/>
      <c r="CJ460" s="1" t="s">
        <v>2812</v>
      </c>
      <c r="CK460" t="s">
        <v>1263</v>
      </c>
      <c r="CL460">
        <v>217</v>
      </c>
      <c r="CM460" t="s">
        <v>2915</v>
      </c>
    </row>
    <row r="461" spans="1:91" ht="19" customHeight="1">
      <c r="A461" s="1" t="s">
        <v>4048</v>
      </c>
      <c r="B461" s="1" t="s">
        <v>3597</v>
      </c>
      <c r="C461" s="1">
        <v>218</v>
      </c>
      <c r="D461" s="1" t="s">
        <v>604</v>
      </c>
      <c r="E461" s="1">
        <v>2009</v>
      </c>
      <c r="F461" s="1" t="s">
        <v>1144</v>
      </c>
      <c r="G461" s="1" t="s">
        <v>1982</v>
      </c>
      <c r="H461" s="4">
        <v>24.018000000000001</v>
      </c>
      <c r="I461" s="4">
        <v>121.61069999999999</v>
      </c>
      <c r="J461" s="1" t="s">
        <v>1404</v>
      </c>
      <c r="K461" s="1" t="s">
        <v>70</v>
      </c>
      <c r="L461" s="1" t="s">
        <v>1983</v>
      </c>
      <c r="M461" s="1" t="s">
        <v>3598</v>
      </c>
      <c r="N461" s="1"/>
      <c r="O461" s="1" t="s">
        <v>3095</v>
      </c>
      <c r="P461" s="1"/>
      <c r="Q461" s="4">
        <v>6.47</v>
      </c>
      <c r="R461" s="4"/>
      <c r="S461" s="4"/>
      <c r="T461" s="4"/>
      <c r="U461" s="4"/>
      <c r="V461" s="4">
        <v>38.991430000000001</v>
      </c>
      <c r="W461" s="4"/>
      <c r="X461" s="4"/>
      <c r="Y461" s="4"/>
      <c r="Z461" s="4"/>
      <c r="AA461" s="4"/>
      <c r="AB461" s="4" t="s">
        <v>1028</v>
      </c>
      <c r="AC461" s="4"/>
      <c r="AD461" s="4">
        <v>23.7988</v>
      </c>
      <c r="AE461" s="4">
        <v>121.657</v>
      </c>
      <c r="AF461" s="4">
        <v>43.05</v>
      </c>
      <c r="AG461" s="4">
        <v>242.05699999999999</v>
      </c>
      <c r="AH461" s="27" t="b">
        <v>1</v>
      </c>
      <c r="AI461" s="4">
        <v>1.645</v>
      </c>
      <c r="AJ461" s="27" t="b">
        <v>0</v>
      </c>
      <c r="AK461" s="4"/>
      <c r="AL461" s="27" t="b">
        <v>0</v>
      </c>
      <c r="AM461" s="4">
        <v>141.10400000000001</v>
      </c>
      <c r="AN461" s="4">
        <v>100.13500000000001</v>
      </c>
      <c r="AO461" s="4">
        <v>80.876999999999995</v>
      </c>
      <c r="AP461" s="4">
        <v>24.82</v>
      </c>
      <c r="AQ461" s="4">
        <v>10.0824</v>
      </c>
      <c r="AR461" s="4">
        <v>7.4400300000000001</v>
      </c>
      <c r="AS461" s="4">
        <v>8.2892200000000003</v>
      </c>
      <c r="AT461" s="4">
        <v>2.7562899999999999</v>
      </c>
      <c r="AU461" s="4">
        <v>2.4499499999999999</v>
      </c>
      <c r="AV461" s="4">
        <v>3.363E-2</v>
      </c>
      <c r="AW461" s="4">
        <v>-2.0493999999999998E-2</v>
      </c>
      <c r="AX461" s="4">
        <v>-0.11375300000000001</v>
      </c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1" t="s">
        <v>3599</v>
      </c>
      <c r="BJ461" s="1" t="s">
        <v>4049</v>
      </c>
      <c r="BK461" s="1">
        <v>1</v>
      </c>
      <c r="BL461" s="1"/>
      <c r="BM461" s="1" t="s">
        <v>603</v>
      </c>
      <c r="BN461" s="1" t="s">
        <v>2912</v>
      </c>
      <c r="BO461" s="1" t="s">
        <v>2913</v>
      </c>
      <c r="BP461" s="1">
        <v>6.47</v>
      </c>
      <c r="BQ461" s="1" t="s">
        <v>1003</v>
      </c>
      <c r="BR461" s="1">
        <v>23.7988</v>
      </c>
      <c r="BS461" s="1">
        <v>121.657</v>
      </c>
      <c r="BT461" s="1">
        <v>43.05</v>
      </c>
      <c r="BU461" s="1" t="s">
        <v>1028</v>
      </c>
      <c r="BV461" s="1" t="s">
        <v>2834</v>
      </c>
      <c r="BW461" s="1">
        <v>249</v>
      </c>
      <c r="BX461" s="1">
        <v>31</v>
      </c>
      <c r="BY461" s="1">
        <v>144</v>
      </c>
      <c r="BZ461" s="1">
        <v>11</v>
      </c>
      <c r="CA461" s="1">
        <v>73</v>
      </c>
      <c r="CB461" s="1">
        <v>64</v>
      </c>
      <c r="CC461" s="1" t="s">
        <v>2808</v>
      </c>
      <c r="CD461" s="1" t="s">
        <v>731</v>
      </c>
      <c r="CE461" s="1"/>
      <c r="CF461" s="1"/>
      <c r="CG461" s="1"/>
      <c r="CH461" s="1"/>
      <c r="CI461" s="1"/>
      <c r="CJ461" s="1" t="s">
        <v>2812</v>
      </c>
      <c r="CK461" t="s">
        <v>1263</v>
      </c>
      <c r="CL461">
        <v>218</v>
      </c>
      <c r="CM461" t="s">
        <v>2915</v>
      </c>
    </row>
    <row r="462" spans="1:91" ht="19" customHeight="1">
      <c r="A462" s="1" t="s">
        <v>4050</v>
      </c>
      <c r="B462" s="1" t="s">
        <v>3597</v>
      </c>
      <c r="C462" s="1">
        <v>219</v>
      </c>
      <c r="D462" s="1" t="s">
        <v>1145</v>
      </c>
      <c r="E462" s="1">
        <v>2009</v>
      </c>
      <c r="F462" s="1" t="s">
        <v>974</v>
      </c>
      <c r="G462" s="1" t="s">
        <v>1415</v>
      </c>
      <c r="H462" s="4">
        <v>42.344999999999999</v>
      </c>
      <c r="I462" s="4">
        <v>13.401</v>
      </c>
      <c r="J462" s="1" t="s">
        <v>1404</v>
      </c>
      <c r="K462" s="1" t="s">
        <v>70</v>
      </c>
      <c r="L462" s="1" t="s">
        <v>1417</v>
      </c>
      <c r="M462" s="1" t="s">
        <v>3598</v>
      </c>
      <c r="N462" s="1"/>
      <c r="O462" s="1" t="s">
        <v>3095</v>
      </c>
      <c r="P462" s="1"/>
      <c r="Q462" s="4">
        <v>6.3</v>
      </c>
      <c r="R462" s="4"/>
      <c r="S462" s="4"/>
      <c r="T462" s="4"/>
      <c r="U462" s="4"/>
      <c r="V462" s="4">
        <v>5.38</v>
      </c>
      <c r="W462" s="4"/>
      <c r="X462" s="4"/>
      <c r="Y462" s="4"/>
      <c r="Z462" s="4"/>
      <c r="AA462" s="4"/>
      <c r="AB462" s="4" t="s">
        <v>1047</v>
      </c>
      <c r="AC462" s="4"/>
      <c r="AD462" s="4">
        <v>42.3476</v>
      </c>
      <c r="AE462" s="4">
        <v>13.38</v>
      </c>
      <c r="AF462" s="4">
        <v>9.27</v>
      </c>
      <c r="AG462" s="4">
        <v>717</v>
      </c>
      <c r="AH462" s="27" t="b">
        <v>1</v>
      </c>
      <c r="AI462" s="4">
        <v>1.9810000000000001</v>
      </c>
      <c r="AJ462" s="27" t="b">
        <v>0</v>
      </c>
      <c r="AK462" s="4"/>
      <c r="AL462" s="27" t="b">
        <v>0</v>
      </c>
      <c r="AM462" s="4">
        <v>329.71300000000002</v>
      </c>
      <c r="AN462" s="4">
        <v>354.54700000000003</v>
      </c>
      <c r="AO462" s="4">
        <v>364.41899999999998</v>
      </c>
      <c r="AP462" s="4">
        <v>32.4253</v>
      </c>
      <c r="AQ462" s="4">
        <v>36.427300000000002</v>
      </c>
      <c r="AR462" s="4">
        <v>19.746200000000002</v>
      </c>
      <c r="AS462" s="4">
        <v>7.9714099999999997</v>
      </c>
      <c r="AT462" s="4">
        <v>13.6425</v>
      </c>
      <c r="AU462" s="4">
        <v>4.5673700000000004</v>
      </c>
      <c r="AV462" s="4">
        <v>-1.235E-2</v>
      </c>
      <c r="AW462" s="4">
        <v>3.0950999999999999E-2</v>
      </c>
      <c r="AX462" s="4">
        <v>0.108168</v>
      </c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1" t="s">
        <v>3599</v>
      </c>
      <c r="BJ462" s="1" t="s">
        <v>4051</v>
      </c>
      <c r="BK462" s="1">
        <v>1</v>
      </c>
      <c r="BL462" s="1"/>
      <c r="BM462" s="1" t="s">
        <v>608</v>
      </c>
      <c r="BN462" s="1" t="s">
        <v>2787</v>
      </c>
      <c r="BO462" s="1" t="s">
        <v>2788</v>
      </c>
      <c r="BP462" s="1">
        <v>6.3</v>
      </c>
      <c r="BQ462" s="1" t="s">
        <v>1003</v>
      </c>
      <c r="BR462" s="1">
        <v>42.3476</v>
      </c>
      <c r="BS462" s="1">
        <v>13.38</v>
      </c>
      <c r="BT462" s="1">
        <v>9.27</v>
      </c>
      <c r="BU462" s="1" t="s">
        <v>1047</v>
      </c>
      <c r="BV462" s="1" t="s">
        <v>2809</v>
      </c>
      <c r="BW462" s="1">
        <v>139</v>
      </c>
      <c r="BX462" s="1">
        <v>48</v>
      </c>
      <c r="BY462" s="1">
        <v>-98</v>
      </c>
      <c r="BZ462" s="1"/>
      <c r="CA462" s="1"/>
      <c r="CB462" s="1"/>
      <c r="CC462" s="1" t="s">
        <v>2808</v>
      </c>
      <c r="CD462" s="1" t="s">
        <v>731</v>
      </c>
      <c r="CE462" s="1"/>
      <c r="CF462" s="1"/>
      <c r="CG462" s="1"/>
      <c r="CH462" s="1"/>
      <c r="CI462" s="1"/>
      <c r="CJ462" s="1" t="s">
        <v>2812</v>
      </c>
      <c r="CK462" t="s">
        <v>1263</v>
      </c>
      <c r="CL462">
        <v>219</v>
      </c>
      <c r="CM462" t="s">
        <v>2916</v>
      </c>
    </row>
    <row r="463" spans="1:91" ht="19" customHeight="1">
      <c r="A463" s="1" t="s">
        <v>4052</v>
      </c>
      <c r="B463" s="1" t="s">
        <v>3597</v>
      </c>
      <c r="C463" s="1">
        <v>220</v>
      </c>
      <c r="D463" s="1" t="s">
        <v>1145</v>
      </c>
      <c r="E463" s="1">
        <v>2009</v>
      </c>
      <c r="F463" s="1" t="s">
        <v>972</v>
      </c>
      <c r="G463" s="1" t="s">
        <v>1418</v>
      </c>
      <c r="H463" s="4">
        <v>42.377000000000002</v>
      </c>
      <c r="I463" s="4">
        <v>13.343999999999999</v>
      </c>
      <c r="J463" s="1" t="s">
        <v>1404</v>
      </c>
      <c r="K463" s="1" t="s">
        <v>70</v>
      </c>
      <c r="L463" s="1" t="s">
        <v>1420</v>
      </c>
      <c r="M463" s="1" t="s">
        <v>3598</v>
      </c>
      <c r="N463" s="1"/>
      <c r="O463" s="1" t="s">
        <v>3095</v>
      </c>
      <c r="P463" s="1"/>
      <c r="Q463" s="4">
        <v>6.3</v>
      </c>
      <c r="R463" s="4"/>
      <c r="S463" s="4"/>
      <c r="T463" s="4"/>
      <c r="U463" s="4"/>
      <c r="V463" s="4">
        <v>6.27</v>
      </c>
      <c r="W463" s="4"/>
      <c r="X463" s="4"/>
      <c r="Y463" s="4"/>
      <c r="Z463" s="4"/>
      <c r="AA463" s="4"/>
      <c r="AB463" s="4" t="s">
        <v>1047</v>
      </c>
      <c r="AC463" s="4"/>
      <c r="AD463" s="4">
        <v>42.3476</v>
      </c>
      <c r="AE463" s="4">
        <v>13.38</v>
      </c>
      <c r="AF463" s="4">
        <v>9.27</v>
      </c>
      <c r="AG463" s="4">
        <v>475</v>
      </c>
      <c r="AH463" s="27" t="b">
        <v>1</v>
      </c>
      <c r="AI463" s="4">
        <v>1.071</v>
      </c>
      <c r="AJ463" s="27" t="b">
        <v>0</v>
      </c>
      <c r="AK463" s="4"/>
      <c r="AL463" s="27" t="b">
        <v>0</v>
      </c>
      <c r="AM463" s="4">
        <v>651.42999999999995</v>
      </c>
      <c r="AN463" s="4">
        <v>545.32799999999997</v>
      </c>
      <c r="AO463" s="4">
        <v>518.65099999999995</v>
      </c>
      <c r="AP463" s="4">
        <v>40.497799999999998</v>
      </c>
      <c r="AQ463" s="4">
        <v>42.856000000000002</v>
      </c>
      <c r="AR463" s="4">
        <v>12.4116</v>
      </c>
      <c r="AS463" s="4">
        <v>6.9746199999999998</v>
      </c>
      <c r="AT463" s="4">
        <v>3.3025500000000001</v>
      </c>
      <c r="AU463" s="4">
        <v>3.1320700000000001</v>
      </c>
      <c r="AV463" s="4">
        <v>1.6525999999999999E-2</v>
      </c>
      <c r="AW463" s="4">
        <v>-1.116E-2</v>
      </c>
      <c r="AX463" s="4">
        <v>5.2719999999999998E-3</v>
      </c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1" t="s">
        <v>3599</v>
      </c>
      <c r="BJ463" s="1" t="s">
        <v>4053</v>
      </c>
      <c r="BK463" s="1">
        <v>1</v>
      </c>
      <c r="BL463" s="1"/>
      <c r="BM463" s="1" t="s">
        <v>608</v>
      </c>
      <c r="BN463" s="1" t="s">
        <v>2787</v>
      </c>
      <c r="BO463" s="1" t="s">
        <v>2788</v>
      </c>
      <c r="BP463" s="1">
        <v>6.3</v>
      </c>
      <c r="BQ463" s="1" t="s">
        <v>1003</v>
      </c>
      <c r="BR463" s="1">
        <v>42.3476</v>
      </c>
      <c r="BS463" s="1">
        <v>13.38</v>
      </c>
      <c r="BT463" s="1">
        <v>9.27</v>
      </c>
      <c r="BU463" s="1" t="s">
        <v>1047</v>
      </c>
      <c r="BV463" s="1" t="s">
        <v>2809</v>
      </c>
      <c r="BW463" s="1">
        <v>139</v>
      </c>
      <c r="BX463" s="1">
        <v>48</v>
      </c>
      <c r="BY463" s="1">
        <v>-98</v>
      </c>
      <c r="BZ463" s="1"/>
      <c r="CA463" s="1"/>
      <c r="CB463" s="1"/>
      <c r="CC463" s="1" t="s">
        <v>2808</v>
      </c>
      <c r="CD463" s="1" t="s">
        <v>731</v>
      </c>
      <c r="CE463" s="1"/>
      <c r="CF463" s="1"/>
      <c r="CG463" s="1"/>
      <c r="CH463" s="1"/>
      <c r="CI463" s="1"/>
      <c r="CJ463" s="1" t="s">
        <v>2812</v>
      </c>
      <c r="CK463" t="s">
        <v>1263</v>
      </c>
      <c r="CL463">
        <v>220</v>
      </c>
      <c r="CM463" t="s">
        <v>2916</v>
      </c>
    </row>
    <row r="464" spans="1:91" ht="19" customHeight="1">
      <c r="A464" s="1" t="s">
        <v>4054</v>
      </c>
      <c r="B464" s="1" t="s">
        <v>3597</v>
      </c>
      <c r="C464" s="1">
        <v>221</v>
      </c>
      <c r="D464" s="1" t="s">
        <v>1145</v>
      </c>
      <c r="E464" s="1">
        <v>2009</v>
      </c>
      <c r="F464" s="1" t="s">
        <v>973</v>
      </c>
      <c r="G464" s="1" t="s">
        <v>1421</v>
      </c>
      <c r="H464" s="4">
        <v>42.375999999999998</v>
      </c>
      <c r="I464" s="4">
        <v>13.339</v>
      </c>
      <c r="J464" s="1" t="s">
        <v>1404</v>
      </c>
      <c r="K464" s="1" t="s">
        <v>70</v>
      </c>
      <c r="L464" s="1" t="s">
        <v>1423</v>
      </c>
      <c r="M464" s="1" t="s">
        <v>3598</v>
      </c>
      <c r="N464" s="1"/>
      <c r="O464" s="1" t="s">
        <v>3095</v>
      </c>
      <c r="P464" s="1"/>
      <c r="Q464" s="4">
        <v>6.3</v>
      </c>
      <c r="R464" s="4"/>
      <c r="S464" s="4"/>
      <c r="T464" s="4"/>
      <c r="U464" s="4"/>
      <c r="V464" s="4">
        <v>6.55</v>
      </c>
      <c r="W464" s="4"/>
      <c r="X464" s="4"/>
      <c r="Y464" s="4"/>
      <c r="Z464" s="4"/>
      <c r="AA464" s="4"/>
      <c r="AB464" s="4" t="s">
        <v>1047</v>
      </c>
      <c r="AC464" s="4"/>
      <c r="AD464" s="4">
        <v>42.3476</v>
      </c>
      <c r="AE464" s="4">
        <v>13.38</v>
      </c>
      <c r="AF464" s="4">
        <v>9.27</v>
      </c>
      <c r="AG464" s="4">
        <v>552</v>
      </c>
      <c r="AH464" s="27" t="b">
        <v>1</v>
      </c>
      <c r="AI464" s="4">
        <v>1.1759999999999999</v>
      </c>
      <c r="AJ464" s="27" t="b">
        <v>0</v>
      </c>
      <c r="AK464" s="4"/>
      <c r="AL464" s="27" t="b">
        <v>0</v>
      </c>
      <c r="AM464" s="4">
        <v>394.14699999999999</v>
      </c>
      <c r="AN464" s="4">
        <v>431.77199999999999</v>
      </c>
      <c r="AO464" s="4">
        <v>480.24200000000002</v>
      </c>
      <c r="AP464" s="4">
        <v>32.063800000000001</v>
      </c>
      <c r="AQ464" s="4">
        <v>26.978300000000001</v>
      </c>
      <c r="AR464" s="4">
        <v>9.5418199999999995</v>
      </c>
      <c r="AS464" s="4">
        <v>5.2691800000000004</v>
      </c>
      <c r="AT464" s="4">
        <v>3.97715</v>
      </c>
      <c r="AU464" s="4">
        <v>1.9870000000000001</v>
      </c>
      <c r="AV464" s="4">
        <v>-2.3737999999999999E-2</v>
      </c>
      <c r="AW464" s="4">
        <v>6.8709999999999993E-2</v>
      </c>
      <c r="AX464" s="4">
        <v>2.0617E-2</v>
      </c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1" t="s">
        <v>3599</v>
      </c>
      <c r="BJ464" s="1" t="s">
        <v>4055</v>
      </c>
      <c r="BK464" s="1">
        <v>1</v>
      </c>
      <c r="BL464" s="1"/>
      <c r="BM464" s="1" t="s">
        <v>608</v>
      </c>
      <c r="BN464" s="1" t="s">
        <v>2787</v>
      </c>
      <c r="BO464" s="1" t="s">
        <v>2788</v>
      </c>
      <c r="BP464" s="1">
        <v>6.3</v>
      </c>
      <c r="BQ464" s="1" t="s">
        <v>1003</v>
      </c>
      <c r="BR464" s="1">
        <v>42.3476</v>
      </c>
      <c r="BS464" s="1">
        <v>13.38</v>
      </c>
      <c r="BT464" s="1">
        <v>9.27</v>
      </c>
      <c r="BU464" s="1" t="s">
        <v>1047</v>
      </c>
      <c r="BV464" s="1" t="s">
        <v>2809</v>
      </c>
      <c r="BW464" s="1">
        <v>139</v>
      </c>
      <c r="BX464" s="1">
        <v>48</v>
      </c>
      <c r="BY464" s="1">
        <v>-98</v>
      </c>
      <c r="BZ464" s="1"/>
      <c r="CA464" s="1"/>
      <c r="CB464" s="1"/>
      <c r="CC464" s="1" t="s">
        <v>2808</v>
      </c>
      <c r="CD464" s="1" t="s">
        <v>731</v>
      </c>
      <c r="CE464" s="1"/>
      <c r="CF464" s="1"/>
      <c r="CG464" s="1"/>
      <c r="CH464" s="1"/>
      <c r="CI464" s="1"/>
      <c r="CJ464" s="1" t="s">
        <v>2812</v>
      </c>
      <c r="CK464" t="s">
        <v>1263</v>
      </c>
      <c r="CL464">
        <v>221</v>
      </c>
      <c r="CM464" t="s">
        <v>2916</v>
      </c>
    </row>
    <row r="465" spans="1:91" ht="19" customHeight="1">
      <c r="A465" s="1" t="s">
        <v>4056</v>
      </c>
      <c r="B465" s="1" t="s">
        <v>3597</v>
      </c>
      <c r="C465" s="1">
        <v>222</v>
      </c>
      <c r="D465" s="1" t="s">
        <v>616</v>
      </c>
      <c r="E465" s="1">
        <v>2009</v>
      </c>
      <c r="F465" s="1" t="s">
        <v>1070</v>
      </c>
      <c r="G465" s="1" t="s">
        <v>2206</v>
      </c>
      <c r="H465" s="4">
        <v>23.836829999999999</v>
      </c>
      <c r="I465" s="4">
        <v>120.90219999999999</v>
      </c>
      <c r="J465" s="1" t="s">
        <v>1404</v>
      </c>
      <c r="K465" s="1" t="s">
        <v>70</v>
      </c>
      <c r="L465" s="1" t="s">
        <v>2207</v>
      </c>
      <c r="M465" s="1" t="s">
        <v>3598</v>
      </c>
      <c r="N465" s="1"/>
      <c r="O465" s="1" t="s">
        <v>3095</v>
      </c>
      <c r="P465" s="1"/>
      <c r="Q465" s="4">
        <v>5.6</v>
      </c>
      <c r="R465" s="4"/>
      <c r="S465" s="4"/>
      <c r="T465" s="4"/>
      <c r="U465" s="4"/>
      <c r="V465" s="4">
        <v>16.829160000000002</v>
      </c>
      <c r="W465" s="4"/>
      <c r="X465" s="4"/>
      <c r="Y465" s="4"/>
      <c r="Z465" s="4"/>
      <c r="AA465" s="4"/>
      <c r="AB465" s="4" t="s">
        <v>1055</v>
      </c>
      <c r="AC465" s="4"/>
      <c r="AD465" s="4">
        <v>23.787800000000001</v>
      </c>
      <c r="AE465" s="4">
        <v>120.7282</v>
      </c>
      <c r="AF465" s="4">
        <v>23.55</v>
      </c>
      <c r="AG465" s="4">
        <v>353.94049999999999</v>
      </c>
      <c r="AH465" s="27" t="b">
        <v>1</v>
      </c>
      <c r="AI465" s="4">
        <v>0.80500000000000005</v>
      </c>
      <c r="AJ465" s="27" t="b">
        <v>0</v>
      </c>
      <c r="AK465" s="4"/>
      <c r="AL465" s="27" t="b">
        <v>0</v>
      </c>
      <c r="AM465" s="4">
        <v>225.803</v>
      </c>
      <c r="AN465" s="4">
        <v>140.11500000000001</v>
      </c>
      <c r="AO465" s="4">
        <v>84.197999999999993</v>
      </c>
      <c r="AP465" s="4">
        <v>20.038599999999999</v>
      </c>
      <c r="AQ465" s="4">
        <v>13.464399999999999</v>
      </c>
      <c r="AR465" s="4">
        <v>5.1591399999999998</v>
      </c>
      <c r="AS465" s="4">
        <v>3.0816499999999998</v>
      </c>
      <c r="AT465" s="4">
        <v>2.0506099999999998</v>
      </c>
      <c r="AU465" s="4">
        <v>0.64533799999999997</v>
      </c>
      <c r="AV465" s="4">
        <v>-0.10129299999999999</v>
      </c>
      <c r="AW465" s="4">
        <v>4.1859E-2</v>
      </c>
      <c r="AX465" s="4">
        <v>0.26823000000000002</v>
      </c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1" t="s">
        <v>3599</v>
      </c>
      <c r="BJ465" s="1" t="s">
        <v>4057</v>
      </c>
      <c r="BK465" s="1">
        <v>1</v>
      </c>
      <c r="BL465" s="1"/>
      <c r="BM465" s="1" t="s">
        <v>615</v>
      </c>
      <c r="BN465" s="1" t="s">
        <v>2918</v>
      </c>
      <c r="BO465" s="1" t="s">
        <v>2919</v>
      </c>
      <c r="BP465" s="1">
        <v>5.6</v>
      </c>
      <c r="BQ465" s="1" t="s">
        <v>1003</v>
      </c>
      <c r="BR465" s="1">
        <v>23.787800000000001</v>
      </c>
      <c r="BS465" s="1">
        <v>120.7282</v>
      </c>
      <c r="BT465" s="1">
        <v>23.55</v>
      </c>
      <c r="BU465" s="1" t="s">
        <v>1055</v>
      </c>
      <c r="BV465" s="1" t="s">
        <v>2834</v>
      </c>
      <c r="BW465" s="1">
        <v>344</v>
      </c>
      <c r="BX465" s="1">
        <v>56</v>
      </c>
      <c r="BY465" s="1">
        <v>39</v>
      </c>
      <c r="BZ465" s="1">
        <v>230</v>
      </c>
      <c r="CA465" s="1">
        <v>59</v>
      </c>
      <c r="CB465" s="1">
        <v>139</v>
      </c>
      <c r="CC465" s="1" t="s">
        <v>2808</v>
      </c>
      <c r="CD465" s="1" t="s">
        <v>731</v>
      </c>
      <c r="CE465" s="1"/>
      <c r="CF465" s="1"/>
      <c r="CG465" s="1"/>
      <c r="CH465" s="1"/>
      <c r="CI465" s="1"/>
      <c r="CJ465" s="1" t="s">
        <v>2812</v>
      </c>
      <c r="CK465" t="s">
        <v>1263</v>
      </c>
      <c r="CL465">
        <v>222</v>
      </c>
      <c r="CM465" t="s">
        <v>2921</v>
      </c>
    </row>
    <row r="466" spans="1:91" ht="19" customHeight="1">
      <c r="A466" s="1" t="s">
        <v>4058</v>
      </c>
      <c r="B466" s="1" t="s">
        <v>3597</v>
      </c>
      <c r="C466" s="1">
        <v>223</v>
      </c>
      <c r="D466" s="1" t="s">
        <v>616</v>
      </c>
      <c r="E466" s="1">
        <v>2009</v>
      </c>
      <c r="F466" s="1" t="s">
        <v>1146</v>
      </c>
      <c r="G466" s="1" t="s">
        <v>2255</v>
      </c>
      <c r="H466" s="4">
        <v>23.913830000000001</v>
      </c>
      <c r="I466" s="4">
        <v>120.6918</v>
      </c>
      <c r="J466" s="1" t="s">
        <v>1404</v>
      </c>
      <c r="K466" s="1" t="s">
        <v>70</v>
      </c>
      <c r="L466" s="1" t="s">
        <v>2257</v>
      </c>
      <c r="M466" s="1" t="s">
        <v>3598</v>
      </c>
      <c r="N466" s="1"/>
      <c r="O466" s="1" t="s">
        <v>3095</v>
      </c>
      <c r="P466" s="1"/>
      <c r="Q466" s="4">
        <v>5.6</v>
      </c>
      <c r="R466" s="4"/>
      <c r="S466" s="4"/>
      <c r="T466" s="4"/>
      <c r="U466" s="4"/>
      <c r="V466" s="4">
        <v>23.785319999999999</v>
      </c>
      <c r="W466" s="4"/>
      <c r="X466" s="4"/>
      <c r="Y466" s="4"/>
      <c r="Z466" s="4"/>
      <c r="AA466" s="4"/>
      <c r="AB466" s="4" t="s">
        <v>1055</v>
      </c>
      <c r="AC466" s="4"/>
      <c r="AD466" s="4">
        <v>23.787800000000001</v>
      </c>
      <c r="AE466" s="4">
        <v>120.7282</v>
      </c>
      <c r="AF466" s="4">
        <v>23.55</v>
      </c>
      <c r="AG466" s="4">
        <v>242</v>
      </c>
      <c r="AH466" s="27" t="b">
        <v>1</v>
      </c>
      <c r="AI466" s="4">
        <v>0.60199999999999998</v>
      </c>
      <c r="AJ466" s="27" t="b">
        <v>0</v>
      </c>
      <c r="AK466" s="4"/>
      <c r="AL466" s="27" t="b">
        <v>0</v>
      </c>
      <c r="AM466" s="4">
        <v>228.1</v>
      </c>
      <c r="AN466" s="4">
        <v>199.91800000000001</v>
      </c>
      <c r="AO466" s="4">
        <v>102.86499999999999</v>
      </c>
      <c r="AP466" s="4">
        <v>20.210599999999999</v>
      </c>
      <c r="AQ466" s="4">
        <v>13.743</v>
      </c>
      <c r="AR466" s="4">
        <v>3.0558399999999999</v>
      </c>
      <c r="AS466" s="4">
        <v>2.6883499999999998</v>
      </c>
      <c r="AT466" s="4">
        <v>1.47217</v>
      </c>
      <c r="AU466" s="4">
        <v>0.28192600000000001</v>
      </c>
      <c r="AV466" s="4">
        <v>6.0260000000000001E-3</v>
      </c>
      <c r="AW466" s="4">
        <v>-3.9737000000000001E-2</v>
      </c>
      <c r="AX466" s="4">
        <v>-5.2610000000000001E-3</v>
      </c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1" t="s">
        <v>3599</v>
      </c>
      <c r="BJ466" s="1" t="s">
        <v>4059</v>
      </c>
      <c r="BK466" s="1">
        <v>1</v>
      </c>
      <c r="BL466" s="1"/>
      <c r="BM466" s="1" t="s">
        <v>615</v>
      </c>
      <c r="BN466" s="1" t="s">
        <v>2918</v>
      </c>
      <c r="BO466" s="1" t="s">
        <v>2919</v>
      </c>
      <c r="BP466" s="1">
        <v>5.6</v>
      </c>
      <c r="BQ466" s="1" t="s">
        <v>1003</v>
      </c>
      <c r="BR466" s="1">
        <v>23.787800000000001</v>
      </c>
      <c r="BS466" s="1">
        <v>120.7282</v>
      </c>
      <c r="BT466" s="1">
        <v>23.55</v>
      </c>
      <c r="BU466" s="1" t="s">
        <v>1055</v>
      </c>
      <c r="BV466" s="1" t="s">
        <v>2834</v>
      </c>
      <c r="BW466" s="1">
        <v>344</v>
      </c>
      <c r="BX466" s="1">
        <v>56</v>
      </c>
      <c r="BY466" s="1">
        <v>39</v>
      </c>
      <c r="BZ466" s="1">
        <v>230</v>
      </c>
      <c r="CA466" s="1">
        <v>59</v>
      </c>
      <c r="CB466" s="1">
        <v>139</v>
      </c>
      <c r="CC466" s="1" t="s">
        <v>2808</v>
      </c>
      <c r="CD466" s="1" t="s">
        <v>731</v>
      </c>
      <c r="CE466" s="1"/>
      <c r="CF466" s="1"/>
      <c r="CG466" s="1"/>
      <c r="CH466" s="1"/>
      <c r="CI466" s="1"/>
      <c r="CJ466" s="1" t="s">
        <v>2812</v>
      </c>
      <c r="CK466" t="s">
        <v>1263</v>
      </c>
      <c r="CL466">
        <v>223</v>
      </c>
      <c r="CM466" t="s">
        <v>2921</v>
      </c>
    </row>
    <row r="467" spans="1:91" ht="19" customHeight="1">
      <c r="A467" s="1" t="s">
        <v>4060</v>
      </c>
      <c r="B467" s="1" t="s">
        <v>3597</v>
      </c>
      <c r="C467" s="1">
        <v>224</v>
      </c>
      <c r="D467" s="1" t="s">
        <v>1147</v>
      </c>
      <c r="E467" s="1">
        <v>2010</v>
      </c>
      <c r="F467" s="1" t="s">
        <v>1148</v>
      </c>
      <c r="G467" s="1" t="s">
        <v>1593</v>
      </c>
      <c r="H467" s="4">
        <v>-43.530999999999999</v>
      </c>
      <c r="I467" s="4">
        <v>172.61969999999999</v>
      </c>
      <c r="J467" s="1" t="s">
        <v>1404</v>
      </c>
      <c r="K467" s="1" t="s">
        <v>70</v>
      </c>
      <c r="L467" s="1" t="s">
        <v>1594</v>
      </c>
      <c r="M467" s="1" t="s">
        <v>3598</v>
      </c>
      <c r="N467" s="1"/>
      <c r="O467" s="1" t="s">
        <v>3095</v>
      </c>
      <c r="P467" s="1"/>
      <c r="Q467" s="4">
        <v>7</v>
      </c>
      <c r="R467" s="4"/>
      <c r="S467" s="4"/>
      <c r="T467" s="4"/>
      <c r="U467" s="4"/>
      <c r="V467" s="4">
        <v>18.05</v>
      </c>
      <c r="W467" s="4"/>
      <c r="X467" s="4"/>
      <c r="Y467" s="4"/>
      <c r="Z467" s="4"/>
      <c r="AA467" s="4"/>
      <c r="AB467" s="4" t="s">
        <v>1032</v>
      </c>
      <c r="AC467" s="4"/>
      <c r="AD467" s="4">
        <v>-43.615000000000002</v>
      </c>
      <c r="AE467" s="4">
        <v>172.04900000000001</v>
      </c>
      <c r="AF467" s="4">
        <v>10.9</v>
      </c>
      <c r="AG467" s="4">
        <v>187</v>
      </c>
      <c r="AH467" s="27" t="b">
        <v>1</v>
      </c>
      <c r="AI467" s="4">
        <v>12.621</v>
      </c>
      <c r="AJ467" s="27" t="b">
        <v>0</v>
      </c>
      <c r="AK467" s="4"/>
      <c r="AL467" s="27" t="b">
        <v>0</v>
      </c>
      <c r="AM467" s="4">
        <v>152.43299999999999</v>
      </c>
      <c r="AN467" s="4">
        <v>186.404</v>
      </c>
      <c r="AO467" s="4">
        <v>120.842</v>
      </c>
      <c r="AP467" s="4">
        <v>21.274899999999999</v>
      </c>
      <c r="AQ467" s="4">
        <v>60.622399999999999</v>
      </c>
      <c r="AR467" s="4">
        <v>16.0867</v>
      </c>
      <c r="AS467" s="4">
        <v>11.2994</v>
      </c>
      <c r="AT467" s="4">
        <v>56.101399999999998</v>
      </c>
      <c r="AU467" s="4">
        <v>13.634600000000001</v>
      </c>
      <c r="AV467" s="4">
        <v>-6.5079999999999999E-3</v>
      </c>
      <c r="AW467" s="4">
        <v>1.0130999999999999E-2</v>
      </c>
      <c r="AX467" s="4">
        <v>-1.83E-4</v>
      </c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1" t="s">
        <v>3599</v>
      </c>
      <c r="BJ467" s="1" t="s">
        <v>4061</v>
      </c>
      <c r="BK467" s="1">
        <v>1</v>
      </c>
      <c r="BL467" s="1"/>
      <c r="BM467" s="1" t="s">
        <v>620</v>
      </c>
      <c r="BN467" s="1" t="s">
        <v>2792</v>
      </c>
      <c r="BO467" s="1" t="s">
        <v>2793</v>
      </c>
      <c r="BP467" s="1">
        <v>7</v>
      </c>
      <c r="BQ467" s="1" t="s">
        <v>1003</v>
      </c>
      <c r="BR467" s="1">
        <v>-43.615000000000002</v>
      </c>
      <c r="BS467" s="1">
        <v>172.04900000000001</v>
      </c>
      <c r="BT467" s="1">
        <v>10.9</v>
      </c>
      <c r="BU467" s="1" t="s">
        <v>1032</v>
      </c>
      <c r="BV467" s="1" t="s">
        <v>2922</v>
      </c>
      <c r="BW467" s="1">
        <v>85</v>
      </c>
      <c r="BX467" s="1">
        <v>82</v>
      </c>
      <c r="BY467" s="1">
        <v>154</v>
      </c>
      <c r="BZ467" s="1"/>
      <c r="CA467" s="1"/>
      <c r="CB467" s="1"/>
      <c r="CC467" s="1" t="s">
        <v>2808</v>
      </c>
      <c r="CD467" s="1" t="s">
        <v>731</v>
      </c>
      <c r="CE467" s="1"/>
      <c r="CF467" s="1"/>
      <c r="CG467" s="1"/>
      <c r="CH467" s="1"/>
      <c r="CI467" s="1"/>
      <c r="CJ467" s="1" t="s">
        <v>2812</v>
      </c>
      <c r="CK467" t="s">
        <v>1263</v>
      </c>
      <c r="CL467">
        <v>224</v>
      </c>
      <c r="CM467" t="s">
        <v>2924</v>
      </c>
    </row>
    <row r="468" spans="1:91" ht="19" customHeight="1">
      <c r="A468" s="1" t="s">
        <v>4062</v>
      </c>
      <c r="B468" s="1" t="s">
        <v>3597</v>
      </c>
      <c r="C468" s="1">
        <v>225</v>
      </c>
      <c r="D468" s="1" t="s">
        <v>1147</v>
      </c>
      <c r="E468" s="1">
        <v>2010</v>
      </c>
      <c r="F468" s="1" t="s">
        <v>1149</v>
      </c>
      <c r="G468" s="1" t="s">
        <v>1595</v>
      </c>
      <c r="H468" s="4">
        <v>-43.523600000000002</v>
      </c>
      <c r="I468" s="4">
        <v>172.63499999999999</v>
      </c>
      <c r="J468" s="1" t="s">
        <v>1404</v>
      </c>
      <c r="K468" s="1" t="s">
        <v>70</v>
      </c>
      <c r="L468" s="1" t="s">
        <v>1597</v>
      </c>
      <c r="M468" s="1" t="s">
        <v>3598</v>
      </c>
      <c r="N468" s="1"/>
      <c r="O468" s="1" t="s">
        <v>3095</v>
      </c>
      <c r="P468" s="1"/>
      <c r="Q468" s="4">
        <v>7</v>
      </c>
      <c r="R468" s="4"/>
      <c r="S468" s="4"/>
      <c r="T468" s="4"/>
      <c r="U468" s="4"/>
      <c r="V468" s="4">
        <v>19.48</v>
      </c>
      <c r="W468" s="4"/>
      <c r="X468" s="4"/>
      <c r="Y468" s="4"/>
      <c r="Z468" s="4"/>
      <c r="AA468" s="4"/>
      <c r="AB468" s="4" t="s">
        <v>1032</v>
      </c>
      <c r="AC468" s="4"/>
      <c r="AD468" s="4">
        <v>-43.615000000000002</v>
      </c>
      <c r="AE468" s="4">
        <v>172.04900000000001</v>
      </c>
      <c r="AF468" s="4">
        <v>10.9</v>
      </c>
      <c r="AG468" s="4">
        <v>141</v>
      </c>
      <c r="AH468" s="27" t="b">
        <v>1</v>
      </c>
      <c r="AI468" s="4">
        <v>12.019</v>
      </c>
      <c r="AJ468" s="27" t="b">
        <v>0</v>
      </c>
      <c r="AK468" s="4"/>
      <c r="AL468" s="27" t="b">
        <v>0</v>
      </c>
      <c r="AM468" s="4">
        <v>257.851</v>
      </c>
      <c r="AN468" s="4">
        <v>233.374</v>
      </c>
      <c r="AO468" s="4">
        <v>209.935</v>
      </c>
      <c r="AP468" s="4">
        <v>62.179400000000001</v>
      </c>
      <c r="AQ468" s="4">
        <v>26.6295</v>
      </c>
      <c r="AR468" s="4">
        <v>20.258600000000001</v>
      </c>
      <c r="AS468" s="4">
        <v>54.828899999999997</v>
      </c>
      <c r="AT468" s="4">
        <v>16.4513</v>
      </c>
      <c r="AU468" s="4">
        <v>13.116099999999999</v>
      </c>
      <c r="AV468" s="4">
        <v>3.4398999999999999E-2</v>
      </c>
      <c r="AW468" s="4">
        <v>1.4319E-2</v>
      </c>
      <c r="AX468" s="4">
        <v>-3.5049999999999999E-3</v>
      </c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1" t="s">
        <v>3599</v>
      </c>
      <c r="BJ468" s="1" t="s">
        <v>4063</v>
      </c>
      <c r="BK468" s="1">
        <v>1</v>
      </c>
      <c r="BL468" s="1"/>
      <c r="BM468" s="1" t="s">
        <v>620</v>
      </c>
      <c r="BN468" s="1" t="s">
        <v>2792</v>
      </c>
      <c r="BO468" s="1" t="s">
        <v>2793</v>
      </c>
      <c r="BP468" s="1">
        <v>7</v>
      </c>
      <c r="BQ468" s="1" t="s">
        <v>1003</v>
      </c>
      <c r="BR468" s="1">
        <v>-43.615000000000002</v>
      </c>
      <c r="BS468" s="1">
        <v>172.04900000000001</v>
      </c>
      <c r="BT468" s="1">
        <v>10.9</v>
      </c>
      <c r="BU468" s="1" t="s">
        <v>1032</v>
      </c>
      <c r="BV468" s="1" t="s">
        <v>2922</v>
      </c>
      <c r="BW468" s="1">
        <v>85</v>
      </c>
      <c r="BX468" s="1">
        <v>82</v>
      </c>
      <c r="BY468" s="1">
        <v>154</v>
      </c>
      <c r="BZ468" s="1"/>
      <c r="CA468" s="1"/>
      <c r="CB468" s="1"/>
      <c r="CC468" s="1" t="s">
        <v>2808</v>
      </c>
      <c r="CD468" s="1" t="s">
        <v>731</v>
      </c>
      <c r="CE468" s="1"/>
      <c r="CF468" s="1"/>
      <c r="CG468" s="1"/>
      <c r="CH468" s="1"/>
      <c r="CI468" s="1"/>
      <c r="CJ468" s="1" t="s">
        <v>2812</v>
      </c>
      <c r="CK468" t="s">
        <v>1263</v>
      </c>
      <c r="CL468">
        <v>225</v>
      </c>
      <c r="CM468" t="s">
        <v>2924</v>
      </c>
    </row>
    <row r="469" spans="1:91" ht="19" customHeight="1">
      <c r="A469" s="1" t="s">
        <v>4064</v>
      </c>
      <c r="B469" s="1" t="s">
        <v>3597</v>
      </c>
      <c r="C469" s="1">
        <v>226</v>
      </c>
      <c r="D469" s="1" t="s">
        <v>1147</v>
      </c>
      <c r="E469" s="1">
        <v>2010</v>
      </c>
      <c r="F469" s="1" t="s">
        <v>977</v>
      </c>
      <c r="G469" s="1" t="s">
        <v>1600</v>
      </c>
      <c r="H469" s="4">
        <v>-43.669199999999996</v>
      </c>
      <c r="I469" s="4">
        <v>172.1978</v>
      </c>
      <c r="J469" s="1" t="s">
        <v>1404</v>
      </c>
      <c r="K469" s="1" t="s">
        <v>70</v>
      </c>
      <c r="L469" s="1" t="s">
        <v>1605</v>
      </c>
      <c r="M469" s="1" t="s">
        <v>3598</v>
      </c>
      <c r="N469" s="1"/>
      <c r="O469" s="1" t="s">
        <v>3095</v>
      </c>
      <c r="P469" s="1"/>
      <c r="Q469" s="4">
        <v>7</v>
      </c>
      <c r="R469" s="4"/>
      <c r="S469" s="4"/>
      <c r="T469" s="4"/>
      <c r="U469" s="4"/>
      <c r="V469" s="4">
        <v>8.4600000000000009</v>
      </c>
      <c r="W469" s="4"/>
      <c r="X469" s="4"/>
      <c r="Y469" s="4"/>
      <c r="Z469" s="4"/>
      <c r="AA469" s="4"/>
      <c r="AB469" s="4" t="s">
        <v>1032</v>
      </c>
      <c r="AC469" s="4"/>
      <c r="AD469" s="4">
        <v>-43.615000000000002</v>
      </c>
      <c r="AE469" s="4">
        <v>172.04900000000001</v>
      </c>
      <c r="AF469" s="4">
        <v>10.9</v>
      </c>
      <c r="AG469" s="4">
        <v>295.74</v>
      </c>
      <c r="AH469" s="27" t="b">
        <v>1</v>
      </c>
      <c r="AI469" s="4">
        <v>7.8259999999999996</v>
      </c>
      <c r="AJ469" s="27" t="b">
        <v>0</v>
      </c>
      <c r="AK469" s="4"/>
      <c r="AL469" s="27" t="b">
        <v>0</v>
      </c>
      <c r="AM469" s="4">
        <v>252.06399999999999</v>
      </c>
      <c r="AN469" s="4">
        <v>232.631</v>
      </c>
      <c r="AO469" s="4">
        <v>310.53100000000001</v>
      </c>
      <c r="AP469" s="4">
        <v>39.4071</v>
      </c>
      <c r="AQ469" s="4">
        <v>67.282300000000006</v>
      </c>
      <c r="AR469" s="4">
        <v>14.584300000000001</v>
      </c>
      <c r="AS469" s="4">
        <v>34.064999999999998</v>
      </c>
      <c r="AT469" s="4">
        <v>81.280799999999999</v>
      </c>
      <c r="AU469" s="4">
        <v>9.5001200000000008</v>
      </c>
      <c r="AV469" s="4">
        <v>4.4415999999999997E-2</v>
      </c>
      <c r="AW469" s="4">
        <v>2.6983E-2</v>
      </c>
      <c r="AX469" s="4">
        <v>1.2919E-2</v>
      </c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1" t="s">
        <v>3599</v>
      </c>
      <c r="BJ469" s="1" t="s">
        <v>4065</v>
      </c>
      <c r="BK469" s="1">
        <v>1</v>
      </c>
      <c r="BL469" s="1"/>
      <c r="BM469" s="1" t="s">
        <v>620</v>
      </c>
      <c r="BN469" s="1" t="s">
        <v>2792</v>
      </c>
      <c r="BO469" s="1" t="s">
        <v>2793</v>
      </c>
      <c r="BP469" s="1">
        <v>7</v>
      </c>
      <c r="BQ469" s="1" t="s">
        <v>1003</v>
      </c>
      <c r="BR469" s="1">
        <v>-43.615000000000002</v>
      </c>
      <c r="BS469" s="1">
        <v>172.04900000000001</v>
      </c>
      <c r="BT469" s="1">
        <v>10.9</v>
      </c>
      <c r="BU469" s="1" t="s">
        <v>1032</v>
      </c>
      <c r="BV469" s="1" t="s">
        <v>2922</v>
      </c>
      <c r="BW469" s="1">
        <v>85</v>
      </c>
      <c r="BX469" s="1">
        <v>82</v>
      </c>
      <c r="BY469" s="1">
        <v>154</v>
      </c>
      <c r="BZ469" s="1"/>
      <c r="CA469" s="1"/>
      <c r="CB469" s="1"/>
      <c r="CC469" s="1" t="s">
        <v>2808</v>
      </c>
      <c r="CD469" s="1" t="s">
        <v>731</v>
      </c>
      <c r="CE469" s="1"/>
      <c r="CF469" s="1"/>
      <c r="CG469" s="1"/>
      <c r="CH469" s="1"/>
      <c r="CI469" s="1"/>
      <c r="CJ469" s="1" t="s">
        <v>2812</v>
      </c>
      <c r="CK469" t="s">
        <v>1263</v>
      </c>
      <c r="CL469">
        <v>226</v>
      </c>
      <c r="CM469" t="s">
        <v>2924</v>
      </c>
    </row>
    <row r="470" spans="1:91" ht="19" customHeight="1">
      <c r="A470" s="1" t="s">
        <v>4066</v>
      </c>
      <c r="B470" s="1" t="s">
        <v>3597</v>
      </c>
      <c r="C470" s="1">
        <v>227</v>
      </c>
      <c r="D470" s="1" t="s">
        <v>1147</v>
      </c>
      <c r="E470" s="1">
        <v>2010</v>
      </c>
      <c r="F470" s="1" t="s">
        <v>978</v>
      </c>
      <c r="G470" s="1" t="s">
        <v>1606</v>
      </c>
      <c r="H470" s="4">
        <v>-43.588000000000001</v>
      </c>
      <c r="I470" s="4">
        <v>172.08930000000001</v>
      </c>
      <c r="J470" s="1" t="s">
        <v>1404</v>
      </c>
      <c r="K470" s="1" t="s">
        <v>70</v>
      </c>
      <c r="L470" s="1" t="s">
        <v>1608</v>
      </c>
      <c r="M470" s="1" t="s">
        <v>3598</v>
      </c>
      <c r="N470" s="1"/>
      <c r="O470" s="1" t="s">
        <v>3095</v>
      </c>
      <c r="P470" s="1"/>
      <c r="Q470" s="4">
        <v>7</v>
      </c>
      <c r="R470" s="4"/>
      <c r="S470" s="4"/>
      <c r="T470" s="4"/>
      <c r="U470" s="4"/>
      <c r="V470" s="4">
        <v>1.22</v>
      </c>
      <c r="W470" s="4"/>
      <c r="X470" s="4"/>
      <c r="Y470" s="4"/>
      <c r="Z470" s="4"/>
      <c r="AA470" s="4"/>
      <c r="AB470" s="4" t="s">
        <v>1032</v>
      </c>
      <c r="AC470" s="4"/>
      <c r="AD470" s="4">
        <v>-43.615000000000002</v>
      </c>
      <c r="AE470" s="4">
        <v>172.04900000000001</v>
      </c>
      <c r="AF470" s="4">
        <v>10.9</v>
      </c>
      <c r="AG470" s="4">
        <v>344.02</v>
      </c>
      <c r="AH470" s="27" t="b">
        <v>1</v>
      </c>
      <c r="AI470" s="4">
        <v>6.23</v>
      </c>
      <c r="AJ470" s="27" t="b">
        <v>0</v>
      </c>
      <c r="AK470" s="4"/>
      <c r="AL470" s="27" t="b">
        <v>0</v>
      </c>
      <c r="AM470" s="4">
        <v>749.97</v>
      </c>
      <c r="AN470" s="4">
        <v>694.58699999999999</v>
      </c>
      <c r="AO470" s="4">
        <v>1226.07</v>
      </c>
      <c r="AP470" s="4">
        <v>116.124</v>
      </c>
      <c r="AQ470" s="4">
        <v>100.342</v>
      </c>
      <c r="AR470" s="4">
        <v>38.378900000000002</v>
      </c>
      <c r="AS470" s="4">
        <v>100.411</v>
      </c>
      <c r="AT470" s="4">
        <v>44.567</v>
      </c>
      <c r="AU470" s="4">
        <v>25.234000000000002</v>
      </c>
      <c r="AV470" s="4">
        <v>-9.2921000000000004E-2</v>
      </c>
      <c r="AW470" s="4">
        <v>-1.09E-3</v>
      </c>
      <c r="AX470" s="4">
        <v>2.1059999999999998E-3</v>
      </c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1" t="s">
        <v>3599</v>
      </c>
      <c r="BJ470" s="1" t="s">
        <v>4067</v>
      </c>
      <c r="BK470" s="1">
        <v>1</v>
      </c>
      <c r="BL470" s="1"/>
      <c r="BM470" s="1" t="s">
        <v>620</v>
      </c>
      <c r="BN470" s="1" t="s">
        <v>2792</v>
      </c>
      <c r="BO470" s="1" t="s">
        <v>2793</v>
      </c>
      <c r="BP470" s="1">
        <v>7</v>
      </c>
      <c r="BQ470" s="1" t="s">
        <v>1003</v>
      </c>
      <c r="BR470" s="1">
        <v>-43.615000000000002</v>
      </c>
      <c r="BS470" s="1">
        <v>172.04900000000001</v>
      </c>
      <c r="BT470" s="1">
        <v>10.9</v>
      </c>
      <c r="BU470" s="1" t="s">
        <v>1032</v>
      </c>
      <c r="BV470" s="1" t="s">
        <v>2922</v>
      </c>
      <c r="BW470" s="1">
        <v>85</v>
      </c>
      <c r="BX470" s="1">
        <v>82</v>
      </c>
      <c r="BY470" s="1">
        <v>154</v>
      </c>
      <c r="BZ470" s="1"/>
      <c r="CA470" s="1"/>
      <c r="CB470" s="1"/>
      <c r="CC470" s="1" t="s">
        <v>2808</v>
      </c>
      <c r="CD470" s="1" t="s">
        <v>731</v>
      </c>
      <c r="CE470" s="1"/>
      <c r="CF470" s="1"/>
      <c r="CG470" s="1"/>
      <c r="CH470" s="1"/>
      <c r="CI470" s="1"/>
      <c r="CJ470" s="1" t="s">
        <v>2812</v>
      </c>
      <c r="CK470" t="s">
        <v>1263</v>
      </c>
      <c r="CL470">
        <v>227</v>
      </c>
      <c r="CM470" t="s">
        <v>2924</v>
      </c>
    </row>
    <row r="471" spans="1:91" ht="19" customHeight="1">
      <c r="A471" s="1" t="s">
        <v>4068</v>
      </c>
      <c r="B471" s="1" t="s">
        <v>3597</v>
      </c>
      <c r="C471" s="1">
        <v>228</v>
      </c>
      <c r="D471" s="1" t="s">
        <v>1147</v>
      </c>
      <c r="E471" s="1">
        <v>2010</v>
      </c>
      <c r="F471" s="1" t="s">
        <v>979</v>
      </c>
      <c r="G471" s="1" t="s">
        <v>1609</v>
      </c>
      <c r="H471" s="4">
        <v>-43.5413</v>
      </c>
      <c r="I471" s="4">
        <v>171.9598</v>
      </c>
      <c r="J471" s="1" t="s">
        <v>1404</v>
      </c>
      <c r="K471" s="1" t="s">
        <v>70</v>
      </c>
      <c r="L471" s="1" t="s">
        <v>1611</v>
      </c>
      <c r="M471" s="1" t="s">
        <v>3598</v>
      </c>
      <c r="N471" s="1"/>
      <c r="O471" s="1" t="s">
        <v>3095</v>
      </c>
      <c r="P471" s="1"/>
      <c r="Q471" s="4">
        <v>7</v>
      </c>
      <c r="R471" s="4"/>
      <c r="S471" s="4"/>
      <c r="T471" s="4"/>
      <c r="U471" s="4"/>
      <c r="V471" s="4">
        <v>7.29</v>
      </c>
      <c r="W471" s="4"/>
      <c r="X471" s="4"/>
      <c r="Y471" s="4"/>
      <c r="Z471" s="4"/>
      <c r="AA471" s="4"/>
      <c r="AB471" s="4" t="s">
        <v>1032</v>
      </c>
      <c r="AC471" s="4"/>
      <c r="AD471" s="4">
        <v>-43.615000000000002</v>
      </c>
      <c r="AE471" s="4">
        <v>172.04900000000001</v>
      </c>
      <c r="AF471" s="4">
        <v>10.9</v>
      </c>
      <c r="AG471" s="4">
        <v>326.01</v>
      </c>
      <c r="AH471" s="27" t="b">
        <v>1</v>
      </c>
      <c r="AI471" s="4">
        <v>9.9190000000000005</v>
      </c>
      <c r="AJ471" s="27" t="b">
        <v>0</v>
      </c>
      <c r="AK471" s="4"/>
      <c r="AL471" s="27" t="b">
        <v>0</v>
      </c>
      <c r="AM471" s="4">
        <v>441.53500000000003</v>
      </c>
      <c r="AN471" s="4">
        <v>467.56400000000002</v>
      </c>
      <c r="AO471" s="4">
        <v>795.88900000000001</v>
      </c>
      <c r="AP471" s="4">
        <v>105.982</v>
      </c>
      <c r="AQ471" s="4">
        <v>69.860100000000003</v>
      </c>
      <c r="AR471" s="4">
        <v>61.478400000000001</v>
      </c>
      <c r="AS471" s="4">
        <v>52.975999999999999</v>
      </c>
      <c r="AT471" s="4">
        <v>29.679099999999998</v>
      </c>
      <c r="AU471" s="4">
        <v>34.929600000000001</v>
      </c>
      <c r="AV471" s="4">
        <v>-0.115076</v>
      </c>
      <c r="AW471" s="4">
        <v>0.135598</v>
      </c>
      <c r="AX471" s="4">
        <v>0.13208600000000001</v>
      </c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1" t="s">
        <v>3599</v>
      </c>
      <c r="BJ471" s="1" t="s">
        <v>4069</v>
      </c>
      <c r="BK471" s="1">
        <v>1</v>
      </c>
      <c r="BL471" s="1"/>
      <c r="BM471" s="1" t="s">
        <v>620</v>
      </c>
      <c r="BN471" s="1" t="s">
        <v>2792</v>
      </c>
      <c r="BO471" s="1" t="s">
        <v>2793</v>
      </c>
      <c r="BP471" s="1">
        <v>7</v>
      </c>
      <c r="BQ471" s="1" t="s">
        <v>1003</v>
      </c>
      <c r="BR471" s="1">
        <v>-43.615000000000002</v>
      </c>
      <c r="BS471" s="1">
        <v>172.04900000000001</v>
      </c>
      <c r="BT471" s="1">
        <v>10.9</v>
      </c>
      <c r="BU471" s="1" t="s">
        <v>1032</v>
      </c>
      <c r="BV471" s="1" t="s">
        <v>2922</v>
      </c>
      <c r="BW471" s="1">
        <v>85</v>
      </c>
      <c r="BX471" s="1">
        <v>82</v>
      </c>
      <c r="BY471" s="1">
        <v>154</v>
      </c>
      <c r="BZ471" s="1"/>
      <c r="CA471" s="1"/>
      <c r="CB471" s="1"/>
      <c r="CC471" s="1" t="s">
        <v>2808</v>
      </c>
      <c r="CD471" s="1" t="s">
        <v>731</v>
      </c>
      <c r="CE471" s="1"/>
      <c r="CF471" s="1"/>
      <c r="CG471" s="1"/>
      <c r="CH471" s="1"/>
      <c r="CI471" s="1"/>
      <c r="CJ471" s="1" t="s">
        <v>2812</v>
      </c>
      <c r="CK471" t="s">
        <v>1263</v>
      </c>
      <c r="CL471">
        <v>228</v>
      </c>
      <c r="CM471" t="s">
        <v>2924</v>
      </c>
    </row>
    <row r="472" spans="1:91" ht="19" customHeight="1">
      <c r="A472" s="1" t="s">
        <v>4070</v>
      </c>
      <c r="B472" s="1" t="s">
        <v>3597</v>
      </c>
      <c r="C472" s="1">
        <v>229</v>
      </c>
      <c r="D472" s="1" t="s">
        <v>1147</v>
      </c>
      <c r="E472" s="1">
        <v>2010</v>
      </c>
      <c r="F472" s="1" t="s">
        <v>980</v>
      </c>
      <c r="G472" s="1" t="s">
        <v>1616</v>
      </c>
      <c r="H472" s="4">
        <v>-43.6248</v>
      </c>
      <c r="I472" s="4">
        <v>172.46789999999999</v>
      </c>
      <c r="J472" s="1" t="s">
        <v>1404</v>
      </c>
      <c r="K472" s="1" t="s">
        <v>70</v>
      </c>
      <c r="L472" s="1" t="s">
        <v>1618</v>
      </c>
      <c r="M472" s="1" t="s">
        <v>3598</v>
      </c>
      <c r="N472" s="1"/>
      <c r="O472" s="1" t="s">
        <v>3095</v>
      </c>
      <c r="P472" s="1"/>
      <c r="Q472" s="4">
        <v>7</v>
      </c>
      <c r="R472" s="4"/>
      <c r="S472" s="4"/>
      <c r="T472" s="4"/>
      <c r="U472" s="4"/>
      <c r="V472" s="4">
        <v>7.11</v>
      </c>
      <c r="W472" s="4"/>
      <c r="X472" s="4"/>
      <c r="Y472" s="4"/>
      <c r="Z472" s="4"/>
      <c r="AA472" s="4"/>
      <c r="AB472" s="4" t="s">
        <v>1032</v>
      </c>
      <c r="AC472" s="4"/>
      <c r="AD472" s="4">
        <v>-43.615000000000002</v>
      </c>
      <c r="AE472" s="4">
        <v>172.04900000000001</v>
      </c>
      <c r="AF472" s="4">
        <v>10.9</v>
      </c>
      <c r="AG472" s="4">
        <v>263.2</v>
      </c>
      <c r="AH472" s="27" t="b">
        <v>1</v>
      </c>
      <c r="AI472" s="4">
        <v>7.3710000000000004</v>
      </c>
      <c r="AJ472" s="27" t="b">
        <v>1</v>
      </c>
      <c r="AK472" s="4">
        <v>3.367</v>
      </c>
      <c r="AL472" s="27" t="b">
        <v>0</v>
      </c>
      <c r="AM472" s="4">
        <v>452.58100000000002</v>
      </c>
      <c r="AN472" s="4">
        <v>380.21300000000002</v>
      </c>
      <c r="AO472" s="4">
        <v>897.13699999999994</v>
      </c>
      <c r="AP472" s="4">
        <v>108.806</v>
      </c>
      <c r="AQ472" s="4">
        <v>56.954300000000003</v>
      </c>
      <c r="AR472" s="4">
        <v>77.604299999999995</v>
      </c>
      <c r="AS472" s="4">
        <v>66.682400000000001</v>
      </c>
      <c r="AT472" s="4">
        <v>33.825699999999998</v>
      </c>
      <c r="AU472" s="4">
        <v>33.184699999999999</v>
      </c>
      <c r="AV472" s="4">
        <v>0.29106799999999999</v>
      </c>
      <c r="AW472" s="4">
        <v>-8.9504E-2</v>
      </c>
      <c r="AX472" s="4">
        <v>3.3903999999999997E-2</v>
      </c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1"/>
      <c r="BJ472" s="1" t="s">
        <v>4071</v>
      </c>
      <c r="BK472" s="1">
        <v>1</v>
      </c>
      <c r="BL472" s="1"/>
      <c r="BM472" s="1" t="s">
        <v>620</v>
      </c>
      <c r="BN472" s="1" t="s">
        <v>2792</v>
      </c>
      <c r="BO472" s="1" t="s">
        <v>2793</v>
      </c>
      <c r="BP472" s="1">
        <v>7</v>
      </c>
      <c r="BQ472" s="1" t="s">
        <v>1003</v>
      </c>
      <c r="BR472" s="1">
        <v>-43.615000000000002</v>
      </c>
      <c r="BS472" s="1">
        <v>172.04900000000001</v>
      </c>
      <c r="BT472" s="1">
        <v>10.9</v>
      </c>
      <c r="BU472" s="1" t="s">
        <v>1032</v>
      </c>
      <c r="BV472" s="1" t="s">
        <v>2922</v>
      </c>
      <c r="BW472" s="1">
        <v>85</v>
      </c>
      <c r="BX472" s="1">
        <v>82</v>
      </c>
      <c r="BY472" s="1">
        <v>154</v>
      </c>
      <c r="BZ472" s="1"/>
      <c r="CA472" s="1"/>
      <c r="CB472" s="1"/>
      <c r="CC472" s="1" t="s">
        <v>2808</v>
      </c>
      <c r="CD472" s="1" t="s">
        <v>731</v>
      </c>
      <c r="CE472" s="1"/>
      <c r="CF472" s="1"/>
      <c r="CG472" s="1"/>
      <c r="CH472" s="1"/>
      <c r="CI472" s="1"/>
      <c r="CJ472" s="1" t="s">
        <v>2812</v>
      </c>
      <c r="CK472" t="s">
        <v>1263</v>
      </c>
      <c r="CL472">
        <v>229</v>
      </c>
      <c r="CM472" t="s">
        <v>2924</v>
      </c>
    </row>
    <row r="473" spans="1:91" ht="19" customHeight="1">
      <c r="A473" s="1" t="s">
        <v>4072</v>
      </c>
      <c r="B473" s="1" t="s">
        <v>3597</v>
      </c>
      <c r="C473" s="1">
        <v>230</v>
      </c>
      <c r="D473" s="1" t="s">
        <v>1147</v>
      </c>
      <c r="E473" s="1">
        <v>2010</v>
      </c>
      <c r="F473" s="1" t="s">
        <v>981</v>
      </c>
      <c r="G473" s="1" t="s">
        <v>1619</v>
      </c>
      <c r="H473" s="4">
        <v>-43.605600000000003</v>
      </c>
      <c r="I473" s="4">
        <v>172.72229999999999</v>
      </c>
      <c r="J473" s="1" t="s">
        <v>1404</v>
      </c>
      <c r="K473" s="1" t="s">
        <v>70</v>
      </c>
      <c r="L473" s="1" t="s">
        <v>1622</v>
      </c>
      <c r="M473" s="1" t="s">
        <v>3598</v>
      </c>
      <c r="N473" s="1"/>
      <c r="O473" s="1" t="s">
        <v>3095</v>
      </c>
      <c r="P473" s="1"/>
      <c r="Q473" s="4">
        <v>7</v>
      </c>
      <c r="R473" s="4"/>
      <c r="S473" s="4"/>
      <c r="T473" s="4"/>
      <c r="U473" s="4"/>
      <c r="V473" s="4">
        <v>25.67</v>
      </c>
      <c r="W473" s="4"/>
      <c r="X473" s="4"/>
      <c r="Y473" s="4"/>
      <c r="Z473" s="4"/>
      <c r="AA473" s="4"/>
      <c r="AB473" s="4" t="s">
        <v>1032</v>
      </c>
      <c r="AC473" s="4"/>
      <c r="AD473" s="4">
        <v>-43.615000000000002</v>
      </c>
      <c r="AE473" s="4">
        <v>172.04900000000001</v>
      </c>
      <c r="AF473" s="4">
        <v>10.9</v>
      </c>
      <c r="AG473" s="4">
        <v>649.66999999999996</v>
      </c>
      <c r="AH473" s="27" t="b">
        <v>1</v>
      </c>
      <c r="AI473" s="4">
        <v>10.632999999999999</v>
      </c>
      <c r="AJ473" s="27" t="b">
        <v>0</v>
      </c>
      <c r="AK473" s="4"/>
      <c r="AL473" s="27" t="b">
        <v>0</v>
      </c>
      <c r="AM473" s="4">
        <v>234.92500000000001</v>
      </c>
      <c r="AN473" s="4">
        <v>349.83</v>
      </c>
      <c r="AO473" s="4">
        <v>153.68700000000001</v>
      </c>
      <c r="AP473" s="4">
        <v>17.704899999999999</v>
      </c>
      <c r="AQ473" s="4">
        <v>30.305299999999999</v>
      </c>
      <c r="AR473" s="4">
        <v>9.9258400000000009</v>
      </c>
      <c r="AS473" s="4">
        <v>3.8163</v>
      </c>
      <c r="AT473" s="4">
        <v>21.277899999999999</v>
      </c>
      <c r="AU473" s="4">
        <v>6.05905</v>
      </c>
      <c r="AV473" s="4">
        <v>0.111315</v>
      </c>
      <c r="AW473" s="4">
        <v>-0.15221899999999999</v>
      </c>
      <c r="AX473" s="4">
        <v>3.6542999999999999E-2</v>
      </c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1" t="s">
        <v>3599</v>
      </c>
      <c r="BJ473" s="1" t="s">
        <v>4073</v>
      </c>
      <c r="BK473" s="1">
        <v>1</v>
      </c>
      <c r="BL473" s="1"/>
      <c r="BM473" s="1" t="s">
        <v>620</v>
      </c>
      <c r="BN473" s="1" t="s">
        <v>2792</v>
      </c>
      <c r="BO473" s="1" t="s">
        <v>2793</v>
      </c>
      <c r="BP473" s="1">
        <v>7</v>
      </c>
      <c r="BQ473" s="1" t="s">
        <v>1003</v>
      </c>
      <c r="BR473" s="1">
        <v>-43.615000000000002</v>
      </c>
      <c r="BS473" s="1">
        <v>172.04900000000001</v>
      </c>
      <c r="BT473" s="1">
        <v>10.9</v>
      </c>
      <c r="BU473" s="1" t="s">
        <v>1032</v>
      </c>
      <c r="BV473" s="1" t="s">
        <v>2922</v>
      </c>
      <c r="BW473" s="1">
        <v>85</v>
      </c>
      <c r="BX473" s="1">
        <v>82</v>
      </c>
      <c r="BY473" s="1">
        <v>154</v>
      </c>
      <c r="BZ473" s="1"/>
      <c r="CA473" s="1"/>
      <c r="CB473" s="1"/>
      <c r="CC473" s="1" t="s">
        <v>2808</v>
      </c>
      <c r="CD473" s="1" t="s">
        <v>731</v>
      </c>
      <c r="CE473" s="1"/>
      <c r="CF473" s="1"/>
      <c r="CG473" s="1"/>
      <c r="CH473" s="1"/>
      <c r="CI473" s="1"/>
      <c r="CJ473" s="1" t="s">
        <v>2812</v>
      </c>
      <c r="CK473" t="s">
        <v>1263</v>
      </c>
      <c r="CL473">
        <v>230</v>
      </c>
      <c r="CM473" t="s">
        <v>2924</v>
      </c>
    </row>
    <row r="474" spans="1:91" ht="19" customHeight="1">
      <c r="A474" s="1" t="s">
        <v>4074</v>
      </c>
      <c r="B474" s="1" t="s">
        <v>3597</v>
      </c>
      <c r="C474" s="1">
        <v>231</v>
      </c>
      <c r="D474" s="1" t="s">
        <v>1147</v>
      </c>
      <c r="E474" s="1">
        <v>2010</v>
      </c>
      <c r="F474" s="1" t="s">
        <v>1150</v>
      </c>
      <c r="G474" s="1" t="s">
        <v>1625</v>
      </c>
      <c r="H474" s="4">
        <v>-43.497100000000003</v>
      </c>
      <c r="I474" s="4">
        <v>172.71789999999999</v>
      </c>
      <c r="J474" s="1" t="s">
        <v>1404</v>
      </c>
      <c r="K474" s="1" t="s">
        <v>70</v>
      </c>
      <c r="L474" s="1" t="s">
        <v>1626</v>
      </c>
      <c r="M474" s="1" t="s">
        <v>3598</v>
      </c>
      <c r="N474" s="1"/>
      <c r="O474" s="1" t="s">
        <v>3095</v>
      </c>
      <c r="P474" s="1"/>
      <c r="Q474" s="4">
        <v>7</v>
      </c>
      <c r="R474" s="4"/>
      <c r="S474" s="4"/>
      <c r="T474" s="4"/>
      <c r="U474" s="4"/>
      <c r="V474" s="4">
        <v>26.76</v>
      </c>
      <c r="W474" s="4"/>
      <c r="X474" s="4"/>
      <c r="Y474" s="4"/>
      <c r="Z474" s="4"/>
      <c r="AA474" s="4"/>
      <c r="AB474" s="4" t="s">
        <v>1032</v>
      </c>
      <c r="AC474" s="4"/>
      <c r="AD474" s="4">
        <v>-43.615000000000002</v>
      </c>
      <c r="AE474" s="4">
        <v>172.04900000000001</v>
      </c>
      <c r="AF474" s="4">
        <v>10.9</v>
      </c>
      <c r="AG474" s="4">
        <v>211</v>
      </c>
      <c r="AH474" s="27" t="b">
        <v>1</v>
      </c>
      <c r="AI474" s="4">
        <v>8.0429999999999993</v>
      </c>
      <c r="AJ474" s="27" t="b">
        <v>0</v>
      </c>
      <c r="AK474" s="4"/>
      <c r="AL474" s="27" t="b">
        <v>0</v>
      </c>
      <c r="AM474" s="4">
        <v>198.80199999999999</v>
      </c>
      <c r="AN474" s="4">
        <v>190.119</v>
      </c>
      <c r="AO474" s="4">
        <v>144.096</v>
      </c>
      <c r="AP474" s="4">
        <v>56.5212</v>
      </c>
      <c r="AQ474" s="4">
        <v>26.2698</v>
      </c>
      <c r="AR474" s="4">
        <v>18.950900000000001</v>
      </c>
      <c r="AS474" s="4">
        <v>52.319000000000003</v>
      </c>
      <c r="AT474" s="4">
        <v>16.023800000000001</v>
      </c>
      <c r="AU474" s="4">
        <v>11.691599999999999</v>
      </c>
      <c r="AV474" s="4">
        <v>1.5692999999999999E-2</v>
      </c>
      <c r="AW474" s="4">
        <v>4.1640000000000002E-3</v>
      </c>
      <c r="AX474" s="4">
        <v>4.64E-4</v>
      </c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1" t="s">
        <v>3599</v>
      </c>
      <c r="BJ474" s="1" t="s">
        <v>4075</v>
      </c>
      <c r="BK474" s="1">
        <v>1</v>
      </c>
      <c r="BL474" s="1"/>
      <c r="BM474" s="1" t="s">
        <v>620</v>
      </c>
      <c r="BN474" s="1" t="s">
        <v>2792</v>
      </c>
      <c r="BO474" s="1" t="s">
        <v>2793</v>
      </c>
      <c r="BP474" s="1">
        <v>7</v>
      </c>
      <c r="BQ474" s="1" t="s">
        <v>1003</v>
      </c>
      <c r="BR474" s="1">
        <v>-43.615000000000002</v>
      </c>
      <c r="BS474" s="1">
        <v>172.04900000000001</v>
      </c>
      <c r="BT474" s="1">
        <v>10.9</v>
      </c>
      <c r="BU474" s="1" t="s">
        <v>1032</v>
      </c>
      <c r="BV474" s="1" t="s">
        <v>2922</v>
      </c>
      <c r="BW474" s="1">
        <v>85</v>
      </c>
      <c r="BX474" s="1">
        <v>82</v>
      </c>
      <c r="BY474" s="1">
        <v>154</v>
      </c>
      <c r="BZ474" s="1"/>
      <c r="CA474" s="1"/>
      <c r="CB474" s="1"/>
      <c r="CC474" s="1" t="s">
        <v>2808</v>
      </c>
      <c r="CD474" s="1" t="s">
        <v>731</v>
      </c>
      <c r="CE474" s="1"/>
      <c r="CF474" s="1"/>
      <c r="CG474" s="1"/>
      <c r="CH474" s="1"/>
      <c r="CI474" s="1"/>
      <c r="CJ474" s="1" t="s">
        <v>2812</v>
      </c>
      <c r="CK474" t="s">
        <v>1263</v>
      </c>
      <c r="CL474">
        <v>231</v>
      </c>
      <c r="CM474" t="s">
        <v>2924</v>
      </c>
    </row>
    <row r="475" spans="1:91" ht="19" customHeight="1">
      <c r="A475" s="1" t="s">
        <v>4076</v>
      </c>
      <c r="B475" s="1" t="s">
        <v>3597</v>
      </c>
      <c r="C475" s="1">
        <v>232</v>
      </c>
      <c r="D475" s="1" t="s">
        <v>1147</v>
      </c>
      <c r="E475" s="1">
        <v>2010</v>
      </c>
      <c r="F475" s="1" t="s">
        <v>1151</v>
      </c>
      <c r="G475" s="1" t="s">
        <v>1636</v>
      </c>
      <c r="H475" s="4">
        <v>-43.536200000000001</v>
      </c>
      <c r="I475" s="4">
        <v>172.56440000000001</v>
      </c>
      <c r="J475" s="1" t="s">
        <v>1404</v>
      </c>
      <c r="K475" s="1" t="s">
        <v>70</v>
      </c>
      <c r="L475" s="1" t="s">
        <v>1637</v>
      </c>
      <c r="M475" s="1" t="s">
        <v>3598</v>
      </c>
      <c r="N475" s="1"/>
      <c r="O475" s="1" t="s">
        <v>3095</v>
      </c>
      <c r="P475" s="1"/>
      <c r="Q475" s="4">
        <v>7</v>
      </c>
      <c r="R475" s="4"/>
      <c r="S475" s="4"/>
      <c r="T475" s="4"/>
      <c r="U475" s="4"/>
      <c r="V475" s="4">
        <v>13.64</v>
      </c>
      <c r="W475" s="4"/>
      <c r="X475" s="4"/>
      <c r="Y475" s="4"/>
      <c r="Z475" s="4"/>
      <c r="AA475" s="4"/>
      <c r="AB475" s="4" t="s">
        <v>1032</v>
      </c>
      <c r="AC475" s="4"/>
      <c r="AD475" s="4">
        <v>-43.615000000000002</v>
      </c>
      <c r="AE475" s="4">
        <v>172.04900000000001</v>
      </c>
      <c r="AF475" s="4">
        <v>10.9</v>
      </c>
      <c r="AG475" s="4">
        <v>293</v>
      </c>
      <c r="AH475" s="27" t="b">
        <v>1</v>
      </c>
      <c r="AI475" s="4">
        <v>9.3940000000000001</v>
      </c>
      <c r="AJ475" s="27" t="b">
        <v>0</v>
      </c>
      <c r="AK475" s="4"/>
      <c r="AL475" s="27" t="b">
        <v>0</v>
      </c>
      <c r="AM475" s="4">
        <v>186.44800000000001</v>
      </c>
      <c r="AN475" s="4">
        <v>229.15</v>
      </c>
      <c r="AO475" s="4">
        <v>302.60000000000002</v>
      </c>
      <c r="AP475" s="4">
        <v>30.547000000000001</v>
      </c>
      <c r="AQ475" s="4">
        <v>62.7224</v>
      </c>
      <c r="AR475" s="4">
        <v>17.390899999999998</v>
      </c>
      <c r="AS475" s="4">
        <v>19.845199999999998</v>
      </c>
      <c r="AT475" s="4">
        <v>59.343800000000002</v>
      </c>
      <c r="AU475" s="4">
        <v>7.5868700000000002</v>
      </c>
      <c r="AV475" s="4">
        <v>5.9519999999999998E-3</v>
      </c>
      <c r="AW475" s="4">
        <v>2.1092E-2</v>
      </c>
      <c r="AX475" s="4">
        <v>3.6359999999999999E-3</v>
      </c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1" t="s">
        <v>3599</v>
      </c>
      <c r="BJ475" s="1" t="s">
        <v>4077</v>
      </c>
      <c r="BK475" s="1">
        <v>1</v>
      </c>
      <c r="BL475" s="1"/>
      <c r="BM475" s="1" t="s">
        <v>620</v>
      </c>
      <c r="BN475" s="1" t="s">
        <v>2792</v>
      </c>
      <c r="BO475" s="1" t="s">
        <v>2793</v>
      </c>
      <c r="BP475" s="1">
        <v>7</v>
      </c>
      <c r="BQ475" s="1" t="s">
        <v>1003</v>
      </c>
      <c r="BR475" s="1">
        <v>-43.615000000000002</v>
      </c>
      <c r="BS475" s="1">
        <v>172.04900000000001</v>
      </c>
      <c r="BT475" s="1">
        <v>10.9</v>
      </c>
      <c r="BU475" s="1" t="s">
        <v>1032</v>
      </c>
      <c r="BV475" s="1" t="s">
        <v>2922</v>
      </c>
      <c r="BW475" s="1">
        <v>85</v>
      </c>
      <c r="BX475" s="1">
        <v>82</v>
      </c>
      <c r="BY475" s="1">
        <v>154</v>
      </c>
      <c r="BZ475" s="1"/>
      <c r="CA475" s="1"/>
      <c r="CB475" s="1"/>
      <c r="CC475" s="1" t="s">
        <v>2808</v>
      </c>
      <c r="CD475" s="1" t="s">
        <v>731</v>
      </c>
      <c r="CE475" s="1"/>
      <c r="CF475" s="1"/>
      <c r="CG475" s="1"/>
      <c r="CH475" s="1"/>
      <c r="CI475" s="1"/>
      <c r="CJ475" s="1" t="s">
        <v>2812</v>
      </c>
      <c r="CK475" t="s">
        <v>1263</v>
      </c>
      <c r="CL475">
        <v>232</v>
      </c>
      <c r="CM475" t="s">
        <v>2924</v>
      </c>
    </row>
    <row r="476" spans="1:91" ht="19" customHeight="1">
      <c r="A476" s="1" t="s">
        <v>4078</v>
      </c>
      <c r="B476" s="1" t="s">
        <v>3597</v>
      </c>
      <c r="C476" s="1">
        <v>233</v>
      </c>
      <c r="D476" s="1" t="s">
        <v>1147</v>
      </c>
      <c r="E476" s="1">
        <v>2010</v>
      </c>
      <c r="F476" s="1" t="s">
        <v>985</v>
      </c>
      <c r="G476" s="1" t="s">
        <v>1638</v>
      </c>
      <c r="H476" s="4">
        <v>-43.594499999999996</v>
      </c>
      <c r="I476" s="4">
        <v>172.381</v>
      </c>
      <c r="J476" s="1" t="s">
        <v>1404</v>
      </c>
      <c r="K476" s="1" t="s">
        <v>70</v>
      </c>
      <c r="L476" s="1" t="s">
        <v>1640</v>
      </c>
      <c r="M476" s="1" t="s">
        <v>3598</v>
      </c>
      <c r="N476" s="1"/>
      <c r="O476" s="1" t="s">
        <v>3095</v>
      </c>
      <c r="P476" s="1"/>
      <c r="Q476" s="4">
        <v>7</v>
      </c>
      <c r="R476" s="4"/>
      <c r="S476" s="4"/>
      <c r="T476" s="4"/>
      <c r="U476" s="4"/>
      <c r="V476" s="4">
        <v>1.54</v>
      </c>
      <c r="W476" s="4"/>
      <c r="X476" s="4"/>
      <c r="Y476" s="4"/>
      <c r="Z476" s="4"/>
      <c r="AA476" s="4"/>
      <c r="AB476" s="4" t="s">
        <v>1032</v>
      </c>
      <c r="AC476" s="4"/>
      <c r="AD476" s="4">
        <v>-43.615000000000002</v>
      </c>
      <c r="AE476" s="4">
        <v>172.04900000000001</v>
      </c>
      <c r="AF476" s="4">
        <v>10.9</v>
      </c>
      <c r="AG476" s="4">
        <v>295.74</v>
      </c>
      <c r="AH476" s="27" t="b">
        <v>1</v>
      </c>
      <c r="AI476" s="4">
        <v>7.14</v>
      </c>
      <c r="AJ476" s="27" t="b">
        <v>0</v>
      </c>
      <c r="AK476" s="4"/>
      <c r="AL476" s="27" t="b">
        <v>0</v>
      </c>
      <c r="AM476" s="4">
        <v>382.983</v>
      </c>
      <c r="AN476" s="4">
        <v>318.339</v>
      </c>
      <c r="AO476" s="4">
        <v>696.91800000000001</v>
      </c>
      <c r="AP476" s="4">
        <v>85.754300000000001</v>
      </c>
      <c r="AQ476" s="4">
        <v>57.018700000000003</v>
      </c>
      <c r="AR476" s="4">
        <v>28.9253</v>
      </c>
      <c r="AS476" s="4">
        <v>107.27200000000001</v>
      </c>
      <c r="AT476" s="4">
        <v>21.0761</v>
      </c>
      <c r="AU476" s="4">
        <v>10.5726</v>
      </c>
      <c r="AV476" s="4">
        <v>0.231825</v>
      </c>
      <c r="AW476" s="4">
        <v>3.7214999999999998E-2</v>
      </c>
      <c r="AX476" s="4">
        <v>4.8224000000000003E-2</v>
      </c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1" t="s">
        <v>3599</v>
      </c>
      <c r="BJ476" s="1" t="s">
        <v>4079</v>
      </c>
      <c r="BK476" s="1">
        <v>1</v>
      </c>
      <c r="BL476" s="1"/>
      <c r="BM476" s="1" t="s">
        <v>620</v>
      </c>
      <c r="BN476" s="1" t="s">
        <v>2792</v>
      </c>
      <c r="BO476" s="1" t="s">
        <v>2793</v>
      </c>
      <c r="BP476" s="1">
        <v>7</v>
      </c>
      <c r="BQ476" s="1" t="s">
        <v>1003</v>
      </c>
      <c r="BR476" s="1">
        <v>-43.615000000000002</v>
      </c>
      <c r="BS476" s="1">
        <v>172.04900000000001</v>
      </c>
      <c r="BT476" s="1">
        <v>10.9</v>
      </c>
      <c r="BU476" s="1" t="s">
        <v>1032</v>
      </c>
      <c r="BV476" s="1" t="s">
        <v>2922</v>
      </c>
      <c r="BW476" s="1">
        <v>85</v>
      </c>
      <c r="BX476" s="1">
        <v>82</v>
      </c>
      <c r="BY476" s="1">
        <v>154</v>
      </c>
      <c r="BZ476" s="1"/>
      <c r="CA476" s="1"/>
      <c r="CB476" s="1"/>
      <c r="CC476" s="1" t="s">
        <v>2808</v>
      </c>
      <c r="CD476" s="1" t="s">
        <v>731</v>
      </c>
      <c r="CE476" s="1"/>
      <c r="CF476" s="1"/>
      <c r="CG476" s="1"/>
      <c r="CH476" s="1"/>
      <c r="CI476" s="1"/>
      <c r="CJ476" s="1" t="s">
        <v>2812</v>
      </c>
      <c r="CK476" t="s">
        <v>1263</v>
      </c>
      <c r="CL476">
        <v>233</v>
      </c>
      <c r="CM476" t="s">
        <v>2924</v>
      </c>
    </row>
    <row r="477" spans="1:91" ht="19" customHeight="1">
      <c r="A477" s="1" t="s">
        <v>4080</v>
      </c>
      <c r="B477" s="1" t="s">
        <v>3597</v>
      </c>
      <c r="C477" s="1">
        <v>234</v>
      </c>
      <c r="D477" s="1" t="s">
        <v>1147</v>
      </c>
      <c r="E477" s="1">
        <v>2010</v>
      </c>
      <c r="F477" s="1" t="s">
        <v>1152</v>
      </c>
      <c r="G477" s="1" t="s">
        <v>1643</v>
      </c>
      <c r="H477" s="4">
        <v>-43.505299999999998</v>
      </c>
      <c r="I477" s="4">
        <v>172.6634</v>
      </c>
      <c r="J477" s="1" t="s">
        <v>1404</v>
      </c>
      <c r="K477" s="1" t="s">
        <v>70</v>
      </c>
      <c r="L477" s="1" t="s">
        <v>1644</v>
      </c>
      <c r="M477" s="1" t="s">
        <v>3598</v>
      </c>
      <c r="N477" s="1"/>
      <c r="O477" s="1" t="s">
        <v>3095</v>
      </c>
      <c r="P477" s="1"/>
      <c r="Q477" s="4">
        <v>7</v>
      </c>
      <c r="R477" s="4"/>
      <c r="S477" s="4"/>
      <c r="T477" s="4"/>
      <c r="U477" s="4"/>
      <c r="V477" s="4">
        <v>22.33</v>
      </c>
      <c r="W477" s="4"/>
      <c r="X477" s="4"/>
      <c r="Y477" s="4"/>
      <c r="Z477" s="4"/>
      <c r="AA477" s="4"/>
      <c r="AB477" s="4" t="s">
        <v>1032</v>
      </c>
      <c r="AC477" s="4"/>
      <c r="AD477" s="4">
        <v>-43.615000000000002</v>
      </c>
      <c r="AE477" s="4">
        <v>172.04900000000001</v>
      </c>
      <c r="AF477" s="4">
        <v>10.9</v>
      </c>
      <c r="AG477" s="4">
        <v>207</v>
      </c>
      <c r="AH477" s="27" t="b">
        <v>1</v>
      </c>
      <c r="AI477" s="4">
        <v>8.7569999999999997</v>
      </c>
      <c r="AJ477" s="27" t="b">
        <v>0</v>
      </c>
      <c r="AK477" s="4"/>
      <c r="AL477" s="27" t="b">
        <v>0</v>
      </c>
      <c r="AM477" s="4">
        <v>163.91399999999999</v>
      </c>
      <c r="AN477" s="4">
        <v>188.565</v>
      </c>
      <c r="AO477" s="4">
        <v>140.767</v>
      </c>
      <c r="AP477" s="4">
        <v>37.6023</v>
      </c>
      <c r="AQ477" s="4">
        <v>57.837200000000003</v>
      </c>
      <c r="AR477" s="4">
        <v>17.4985</v>
      </c>
      <c r="AS477" s="4">
        <v>36.5274</v>
      </c>
      <c r="AT477" s="4">
        <v>47.875100000000003</v>
      </c>
      <c r="AU477" s="4">
        <v>13.404500000000001</v>
      </c>
      <c r="AV477" s="4">
        <v>-3.7078E-2</v>
      </c>
      <c r="AW477" s="4">
        <v>4.3129000000000001E-2</v>
      </c>
      <c r="AX477" s="4">
        <v>-5.1400000000000003E-4</v>
      </c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1" t="s">
        <v>3599</v>
      </c>
      <c r="BJ477" s="1" t="s">
        <v>4081</v>
      </c>
      <c r="BK477" s="1">
        <v>1</v>
      </c>
      <c r="BL477" s="1"/>
      <c r="BM477" s="1" t="s">
        <v>620</v>
      </c>
      <c r="BN477" s="1" t="s">
        <v>2792</v>
      </c>
      <c r="BO477" s="1" t="s">
        <v>2793</v>
      </c>
      <c r="BP477" s="1">
        <v>7</v>
      </c>
      <c r="BQ477" s="1" t="s">
        <v>1003</v>
      </c>
      <c r="BR477" s="1">
        <v>-43.615000000000002</v>
      </c>
      <c r="BS477" s="1">
        <v>172.04900000000001</v>
      </c>
      <c r="BT477" s="1">
        <v>10.9</v>
      </c>
      <c r="BU477" s="1" t="s">
        <v>1032</v>
      </c>
      <c r="BV477" s="1" t="s">
        <v>2922</v>
      </c>
      <c r="BW477" s="1">
        <v>85</v>
      </c>
      <c r="BX477" s="1">
        <v>82</v>
      </c>
      <c r="BY477" s="1">
        <v>154</v>
      </c>
      <c r="BZ477" s="1"/>
      <c r="CA477" s="1"/>
      <c r="CB477" s="1"/>
      <c r="CC477" s="1" t="s">
        <v>2808</v>
      </c>
      <c r="CD477" s="1" t="s">
        <v>731</v>
      </c>
      <c r="CE477" s="1"/>
      <c r="CF477" s="1"/>
      <c r="CG477" s="1"/>
      <c r="CH477" s="1"/>
      <c r="CI477" s="1"/>
      <c r="CJ477" s="1" t="s">
        <v>2812</v>
      </c>
      <c r="CK477" t="s">
        <v>1263</v>
      </c>
      <c r="CL477">
        <v>234</v>
      </c>
      <c r="CM477" t="s">
        <v>2924</v>
      </c>
    </row>
    <row r="478" spans="1:91" ht="19" customHeight="1">
      <c r="A478" s="1" t="s">
        <v>4082</v>
      </c>
      <c r="B478" s="1" t="s">
        <v>3597</v>
      </c>
      <c r="C478" s="1">
        <v>235</v>
      </c>
      <c r="D478" s="1" t="s">
        <v>1147</v>
      </c>
      <c r="E478" s="1">
        <v>2010</v>
      </c>
      <c r="F478" s="1" t="s">
        <v>1153</v>
      </c>
      <c r="G478" s="1" t="s">
        <v>1649</v>
      </c>
      <c r="H478" s="4">
        <v>-43.467500000000001</v>
      </c>
      <c r="I478" s="4">
        <v>172.6139</v>
      </c>
      <c r="J478" s="1" t="s">
        <v>1404</v>
      </c>
      <c r="K478" s="1" t="s">
        <v>70</v>
      </c>
      <c r="L478" s="1" t="s">
        <v>1650</v>
      </c>
      <c r="M478" s="1" t="s">
        <v>3598</v>
      </c>
      <c r="N478" s="1"/>
      <c r="O478" s="1" t="s">
        <v>3095</v>
      </c>
      <c r="P478" s="1"/>
      <c r="Q478" s="4">
        <v>7</v>
      </c>
      <c r="R478" s="4"/>
      <c r="S478" s="4"/>
      <c r="T478" s="4"/>
      <c r="U478" s="4"/>
      <c r="V478" s="4">
        <v>20.86</v>
      </c>
      <c r="W478" s="4"/>
      <c r="X478" s="4"/>
      <c r="Y478" s="4"/>
      <c r="Z478" s="4"/>
      <c r="AA478" s="4"/>
      <c r="AB478" s="4" t="s">
        <v>1032</v>
      </c>
      <c r="AC478" s="4"/>
      <c r="AD478" s="4">
        <v>-43.615000000000002</v>
      </c>
      <c r="AE478" s="4">
        <v>172.04900000000001</v>
      </c>
      <c r="AF478" s="4">
        <v>10.9</v>
      </c>
      <c r="AG478" s="4">
        <v>247.5</v>
      </c>
      <c r="AH478" s="27" t="b">
        <v>1</v>
      </c>
      <c r="AI478" s="4">
        <v>9.3520000000000003</v>
      </c>
      <c r="AJ478" s="27" t="b">
        <v>0</v>
      </c>
      <c r="AK478" s="4"/>
      <c r="AL478" s="27" t="b">
        <v>0</v>
      </c>
      <c r="AM478" s="4">
        <v>172.46600000000001</v>
      </c>
      <c r="AN478" s="4">
        <v>166.99799999999999</v>
      </c>
      <c r="AO478" s="4">
        <v>228.869</v>
      </c>
      <c r="AP478" s="4">
        <v>38.694400000000002</v>
      </c>
      <c r="AQ478" s="4">
        <v>60.162199999999999</v>
      </c>
      <c r="AR478" s="4">
        <v>12.362</v>
      </c>
      <c r="AS478" s="4">
        <v>26.659700000000001</v>
      </c>
      <c r="AT478" s="4">
        <v>47.691000000000003</v>
      </c>
      <c r="AU478" s="4">
        <v>9.37134</v>
      </c>
      <c r="AV478" s="4">
        <v>-0.60031299999999999</v>
      </c>
      <c r="AW478" s="4">
        <v>2.00285</v>
      </c>
      <c r="AX478" s="4">
        <v>-0.175318</v>
      </c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1" t="s">
        <v>3599</v>
      </c>
      <c r="BJ478" s="1" t="s">
        <v>4083</v>
      </c>
      <c r="BK478" s="1">
        <v>1</v>
      </c>
      <c r="BL478" s="1"/>
      <c r="BM478" s="1" t="s">
        <v>620</v>
      </c>
      <c r="BN478" s="1" t="s">
        <v>2792</v>
      </c>
      <c r="BO478" s="1" t="s">
        <v>2793</v>
      </c>
      <c r="BP478" s="1">
        <v>7</v>
      </c>
      <c r="BQ478" s="1" t="s">
        <v>1003</v>
      </c>
      <c r="BR478" s="1">
        <v>-43.615000000000002</v>
      </c>
      <c r="BS478" s="1">
        <v>172.04900000000001</v>
      </c>
      <c r="BT478" s="1">
        <v>10.9</v>
      </c>
      <c r="BU478" s="1" t="s">
        <v>1032</v>
      </c>
      <c r="BV478" s="1" t="s">
        <v>2922</v>
      </c>
      <c r="BW478" s="1">
        <v>85</v>
      </c>
      <c r="BX478" s="1">
        <v>82</v>
      </c>
      <c r="BY478" s="1">
        <v>154</v>
      </c>
      <c r="BZ478" s="1"/>
      <c r="CA478" s="1"/>
      <c r="CB478" s="1"/>
      <c r="CC478" s="1" t="s">
        <v>2808</v>
      </c>
      <c r="CD478" s="1" t="s">
        <v>731</v>
      </c>
      <c r="CE478" s="1"/>
      <c r="CF478" s="1"/>
      <c r="CG478" s="1"/>
      <c r="CH478" s="1"/>
      <c r="CI478" s="1"/>
      <c r="CJ478" s="1" t="s">
        <v>2812</v>
      </c>
      <c r="CK478" t="s">
        <v>1263</v>
      </c>
      <c r="CL478">
        <v>235</v>
      </c>
      <c r="CM478" t="s">
        <v>2924</v>
      </c>
    </row>
    <row r="479" spans="1:91" ht="19" customHeight="1">
      <c r="A479" s="1" t="s">
        <v>4084</v>
      </c>
      <c r="B479" s="1" t="s">
        <v>3597</v>
      </c>
      <c r="C479" s="1">
        <v>236</v>
      </c>
      <c r="D479" s="1" t="s">
        <v>1147</v>
      </c>
      <c r="E479" s="1">
        <v>2010</v>
      </c>
      <c r="F479" s="1" t="s">
        <v>988</v>
      </c>
      <c r="G479" s="1" t="s">
        <v>1651</v>
      </c>
      <c r="H479" s="4">
        <v>-43.551699999999997</v>
      </c>
      <c r="I479" s="4">
        <v>172.4718</v>
      </c>
      <c r="J479" s="1" t="s">
        <v>1404</v>
      </c>
      <c r="K479" s="1" t="s">
        <v>70</v>
      </c>
      <c r="L479" s="1" t="s">
        <v>1653</v>
      </c>
      <c r="M479" s="1" t="s">
        <v>3598</v>
      </c>
      <c r="N479" s="1"/>
      <c r="O479" s="1" t="s">
        <v>3095</v>
      </c>
      <c r="P479" s="1"/>
      <c r="Q479" s="4">
        <v>7</v>
      </c>
      <c r="R479" s="4"/>
      <c r="S479" s="4"/>
      <c r="T479" s="4"/>
      <c r="U479" s="4"/>
      <c r="V479" s="4">
        <v>6.11</v>
      </c>
      <c r="W479" s="4"/>
      <c r="X479" s="4"/>
      <c r="Y479" s="4"/>
      <c r="Z479" s="4"/>
      <c r="AA479" s="4"/>
      <c r="AB479" s="4" t="s">
        <v>1032</v>
      </c>
      <c r="AC479" s="4"/>
      <c r="AD479" s="4">
        <v>-43.615000000000002</v>
      </c>
      <c r="AE479" s="4">
        <v>172.04900000000001</v>
      </c>
      <c r="AF479" s="4">
        <v>10.9</v>
      </c>
      <c r="AG479" s="4">
        <v>249.28</v>
      </c>
      <c r="AH479" s="27" t="b">
        <v>1</v>
      </c>
      <c r="AI479" s="4">
        <v>8.9320000000000004</v>
      </c>
      <c r="AJ479" s="27" t="b">
        <v>0</v>
      </c>
      <c r="AK479" s="4"/>
      <c r="AL479" s="27" t="b">
        <v>0</v>
      </c>
      <c r="AM479" s="4">
        <v>294.03100000000001</v>
      </c>
      <c r="AN479" s="4">
        <v>204.23500000000001</v>
      </c>
      <c r="AO479" s="4">
        <v>858.22400000000005</v>
      </c>
      <c r="AP479" s="4">
        <v>76.332999999999998</v>
      </c>
      <c r="AQ479" s="4">
        <v>45.810899999999997</v>
      </c>
      <c r="AR479" s="4">
        <v>20.5794</v>
      </c>
      <c r="AS479" s="4">
        <v>79.430300000000003</v>
      </c>
      <c r="AT479" s="4">
        <v>40.931800000000003</v>
      </c>
      <c r="AU479" s="4">
        <v>12.417199999999999</v>
      </c>
      <c r="AV479" s="4">
        <v>-0.46790199999999998</v>
      </c>
      <c r="AW479" s="4">
        <v>-0.22628699999999999</v>
      </c>
      <c r="AX479" s="4">
        <v>0.13154199999999999</v>
      </c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1" t="s">
        <v>3599</v>
      </c>
      <c r="BJ479" s="1" t="s">
        <v>4085</v>
      </c>
      <c r="BK479" s="1">
        <v>1</v>
      </c>
      <c r="BL479" s="1"/>
      <c r="BM479" s="1" t="s">
        <v>620</v>
      </c>
      <c r="BN479" s="1" t="s">
        <v>2792</v>
      </c>
      <c r="BO479" s="1" t="s">
        <v>2793</v>
      </c>
      <c r="BP479" s="1">
        <v>7</v>
      </c>
      <c r="BQ479" s="1" t="s">
        <v>1003</v>
      </c>
      <c r="BR479" s="1">
        <v>-43.615000000000002</v>
      </c>
      <c r="BS479" s="1">
        <v>172.04900000000001</v>
      </c>
      <c r="BT479" s="1">
        <v>10.9</v>
      </c>
      <c r="BU479" s="1" t="s">
        <v>1032</v>
      </c>
      <c r="BV479" s="1" t="s">
        <v>2922</v>
      </c>
      <c r="BW479" s="1">
        <v>85</v>
      </c>
      <c r="BX479" s="1">
        <v>82</v>
      </c>
      <c r="BY479" s="1">
        <v>154</v>
      </c>
      <c r="BZ479" s="1"/>
      <c r="CA479" s="1"/>
      <c r="CB479" s="1"/>
      <c r="CC479" s="1" t="s">
        <v>2808</v>
      </c>
      <c r="CD479" s="1" t="s">
        <v>731</v>
      </c>
      <c r="CE479" s="1"/>
      <c r="CF479" s="1"/>
      <c r="CG479" s="1"/>
      <c r="CH479" s="1"/>
      <c r="CI479" s="1"/>
      <c r="CJ479" s="1" t="s">
        <v>2812</v>
      </c>
      <c r="CK479" t="s">
        <v>1263</v>
      </c>
      <c r="CL479">
        <v>236</v>
      </c>
      <c r="CM479" t="s">
        <v>2924</v>
      </c>
    </row>
    <row r="480" spans="1:91" ht="19" customHeight="1">
      <c r="A480" s="1" t="s">
        <v>4086</v>
      </c>
      <c r="B480" s="1" t="s">
        <v>3597</v>
      </c>
      <c r="C480" s="1">
        <v>237</v>
      </c>
      <c r="D480" s="1" t="s">
        <v>1154</v>
      </c>
      <c r="E480" s="1">
        <v>2010</v>
      </c>
      <c r="F480" s="1" t="s">
        <v>1155</v>
      </c>
      <c r="G480" s="1" t="s">
        <v>1577</v>
      </c>
      <c r="H480" s="4">
        <v>32.718000000000004</v>
      </c>
      <c r="I480" s="4">
        <v>-115.637</v>
      </c>
      <c r="J480" s="1" t="s">
        <v>1404</v>
      </c>
      <c r="K480" s="1" t="s">
        <v>70</v>
      </c>
      <c r="L480" s="1" t="s">
        <v>1579</v>
      </c>
      <c r="M480" s="1" t="s">
        <v>3598</v>
      </c>
      <c r="N480" s="1"/>
      <c r="O480" s="1" t="s">
        <v>3095</v>
      </c>
      <c r="P480" s="1"/>
      <c r="Q480" s="4">
        <v>7.2</v>
      </c>
      <c r="R480" s="4"/>
      <c r="S480" s="4"/>
      <c r="T480" s="4"/>
      <c r="U480" s="4"/>
      <c r="V480" s="4">
        <v>11.26</v>
      </c>
      <c r="W480" s="4"/>
      <c r="X480" s="4"/>
      <c r="Y480" s="4"/>
      <c r="Z480" s="4"/>
      <c r="AA480" s="4"/>
      <c r="AB480" s="4" t="s">
        <v>1032</v>
      </c>
      <c r="AC480" s="4"/>
      <c r="AD480" s="4">
        <v>32.299999999999997</v>
      </c>
      <c r="AE480" s="4">
        <v>-115.267</v>
      </c>
      <c r="AF480" s="4">
        <v>5.45</v>
      </c>
      <c r="AG480" s="4">
        <v>196.88</v>
      </c>
      <c r="AH480" s="27" t="b">
        <v>1</v>
      </c>
      <c r="AI480" s="4">
        <v>8.7219999999999995</v>
      </c>
      <c r="AJ480" s="27" t="b">
        <v>0</v>
      </c>
      <c r="AK480" s="4"/>
      <c r="AL480" s="27" t="b">
        <v>0</v>
      </c>
      <c r="AM480" s="4">
        <v>398.40499999999997</v>
      </c>
      <c r="AN480" s="4">
        <v>324.99</v>
      </c>
      <c r="AO480" s="4">
        <v>269.58</v>
      </c>
      <c r="AP480" s="4">
        <v>70.162199999999999</v>
      </c>
      <c r="AQ480" s="4">
        <v>72.612399999999994</v>
      </c>
      <c r="AR480" s="4">
        <v>17.059699999999999</v>
      </c>
      <c r="AS480" s="4">
        <v>62.385599999999997</v>
      </c>
      <c r="AT480" s="4">
        <v>54.6479</v>
      </c>
      <c r="AU480" s="4">
        <v>9.2518200000000004</v>
      </c>
      <c r="AV480" s="4">
        <v>-1.0021E-2</v>
      </c>
      <c r="AW480" s="4">
        <v>1.6871000000000001E-2</v>
      </c>
      <c r="AX480" s="4">
        <v>-1.1795E-2</v>
      </c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1" t="s">
        <v>3599</v>
      </c>
      <c r="BJ480" s="1" t="s">
        <v>4087</v>
      </c>
      <c r="BK480" s="1">
        <v>1</v>
      </c>
      <c r="BL480" s="1"/>
      <c r="BM480" s="1" t="s">
        <v>626</v>
      </c>
      <c r="BN480" s="1" t="s">
        <v>2799</v>
      </c>
      <c r="BO480" s="1" t="s">
        <v>2800</v>
      </c>
      <c r="BP480" s="1">
        <v>7.2</v>
      </c>
      <c r="BQ480" s="1" t="s">
        <v>1003</v>
      </c>
      <c r="BR480" s="1">
        <v>32.299999999999997</v>
      </c>
      <c r="BS480" s="1">
        <v>-115.267</v>
      </c>
      <c r="BT480" s="1">
        <v>5.45</v>
      </c>
      <c r="BU480" s="1" t="s">
        <v>1032</v>
      </c>
      <c r="BV480" s="1" t="s">
        <v>2809</v>
      </c>
      <c r="BW480" s="1">
        <v>236</v>
      </c>
      <c r="BX480" s="1">
        <v>63</v>
      </c>
      <c r="BY480" s="1">
        <v>-164</v>
      </c>
      <c r="BZ480" s="1"/>
      <c r="CA480" s="1"/>
      <c r="CB480" s="1"/>
      <c r="CC480" s="1" t="s">
        <v>2808</v>
      </c>
      <c r="CD480" s="1" t="s">
        <v>731</v>
      </c>
      <c r="CE480" s="1"/>
      <c r="CF480" s="1"/>
      <c r="CG480" s="1"/>
      <c r="CH480" s="1"/>
      <c r="CI480" s="1"/>
      <c r="CJ480" s="1" t="s">
        <v>2812</v>
      </c>
      <c r="CK480" t="s">
        <v>1263</v>
      </c>
      <c r="CL480">
        <v>237</v>
      </c>
      <c r="CM480" t="s">
        <v>2925</v>
      </c>
    </row>
    <row r="481" spans="1:91" ht="19" customHeight="1">
      <c r="A481" s="1" t="s">
        <v>4088</v>
      </c>
      <c r="B481" s="1" t="s">
        <v>3597</v>
      </c>
      <c r="C481" s="1">
        <v>238</v>
      </c>
      <c r="D481" s="1" t="s">
        <v>1154</v>
      </c>
      <c r="E481" s="1">
        <v>2010</v>
      </c>
      <c r="F481" s="1" t="s">
        <v>992</v>
      </c>
      <c r="G481" s="1" t="s">
        <v>1582</v>
      </c>
      <c r="H481" s="4">
        <v>32.759039999999999</v>
      </c>
      <c r="I481" s="4">
        <v>-115.7316</v>
      </c>
      <c r="J481" s="1" t="s">
        <v>1404</v>
      </c>
      <c r="K481" s="1" t="s">
        <v>70</v>
      </c>
      <c r="L481" s="1" t="s">
        <v>1584</v>
      </c>
      <c r="M481" s="1" t="s">
        <v>3598</v>
      </c>
      <c r="N481" s="1"/>
      <c r="O481" s="1" t="s">
        <v>3095</v>
      </c>
      <c r="P481" s="1"/>
      <c r="Q481" s="4">
        <v>7.2</v>
      </c>
      <c r="R481" s="4"/>
      <c r="S481" s="4"/>
      <c r="T481" s="4"/>
      <c r="U481" s="4"/>
      <c r="V481" s="4">
        <v>11.44</v>
      </c>
      <c r="W481" s="4"/>
      <c r="X481" s="4"/>
      <c r="Y481" s="4"/>
      <c r="Z481" s="4"/>
      <c r="AA481" s="4"/>
      <c r="AB481" s="4" t="s">
        <v>1032</v>
      </c>
      <c r="AC481" s="4"/>
      <c r="AD481" s="4">
        <v>32.299999999999997</v>
      </c>
      <c r="AE481" s="4">
        <v>-115.267</v>
      </c>
      <c r="AF481" s="4">
        <v>5.45</v>
      </c>
      <c r="AG481" s="4">
        <v>242</v>
      </c>
      <c r="AH481" s="27" t="b">
        <v>1</v>
      </c>
      <c r="AI481" s="4">
        <v>7.0839999999999996</v>
      </c>
      <c r="AJ481" s="27" t="b">
        <v>0</v>
      </c>
      <c r="AK481" s="4"/>
      <c r="AL481" s="27" t="b">
        <v>0</v>
      </c>
      <c r="AM481" s="4">
        <v>275.57799999999997</v>
      </c>
      <c r="AN481" s="4">
        <v>250.21899999999999</v>
      </c>
      <c r="AO481" s="4">
        <v>236.82599999999999</v>
      </c>
      <c r="AP481" s="4">
        <v>52.056399999999996</v>
      </c>
      <c r="AQ481" s="4">
        <v>55.314</v>
      </c>
      <c r="AR481" s="4">
        <v>10.9297</v>
      </c>
      <c r="AS481" s="4">
        <v>56.379100000000001</v>
      </c>
      <c r="AT481" s="4">
        <v>46.865900000000003</v>
      </c>
      <c r="AU481" s="4">
        <v>4.2840699999999998</v>
      </c>
      <c r="AV481" s="4">
        <v>-7.36E-4</v>
      </c>
      <c r="AW481" s="4">
        <v>-5.2068999999999997E-2</v>
      </c>
      <c r="AX481" s="4">
        <v>4.463E-3</v>
      </c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1" t="s">
        <v>3599</v>
      </c>
      <c r="BJ481" s="1" t="s">
        <v>4089</v>
      </c>
      <c r="BK481" s="1">
        <v>1</v>
      </c>
      <c r="BL481" s="1"/>
      <c r="BM481" s="1" t="s">
        <v>626</v>
      </c>
      <c r="BN481" s="1" t="s">
        <v>2799</v>
      </c>
      <c r="BO481" s="1" t="s">
        <v>2800</v>
      </c>
      <c r="BP481" s="1">
        <v>7.2</v>
      </c>
      <c r="BQ481" s="1" t="s">
        <v>1003</v>
      </c>
      <c r="BR481" s="1">
        <v>32.299999999999997</v>
      </c>
      <c r="BS481" s="1">
        <v>-115.267</v>
      </c>
      <c r="BT481" s="1">
        <v>5.45</v>
      </c>
      <c r="BU481" s="1" t="s">
        <v>1032</v>
      </c>
      <c r="BV481" s="1" t="s">
        <v>2809</v>
      </c>
      <c r="BW481" s="1">
        <v>236</v>
      </c>
      <c r="BX481" s="1">
        <v>63</v>
      </c>
      <c r="BY481" s="1">
        <v>-164</v>
      </c>
      <c r="BZ481" s="1"/>
      <c r="CA481" s="1"/>
      <c r="CB481" s="1"/>
      <c r="CC481" s="1" t="s">
        <v>2808</v>
      </c>
      <c r="CD481" s="1" t="s">
        <v>731</v>
      </c>
      <c r="CE481" s="1"/>
      <c r="CF481" s="1"/>
      <c r="CG481" s="1"/>
      <c r="CH481" s="1"/>
      <c r="CI481" s="1"/>
      <c r="CJ481" s="1" t="s">
        <v>2812</v>
      </c>
      <c r="CK481" t="s">
        <v>1263</v>
      </c>
      <c r="CL481">
        <v>238</v>
      </c>
      <c r="CM481" t="s">
        <v>2925</v>
      </c>
    </row>
    <row r="482" spans="1:91" ht="19" customHeight="1">
      <c r="A482" s="1" t="s">
        <v>4090</v>
      </c>
      <c r="B482" s="1" t="s">
        <v>3597</v>
      </c>
      <c r="C482" s="1">
        <v>239</v>
      </c>
      <c r="D482" s="1" t="s">
        <v>634</v>
      </c>
      <c r="E482" s="1">
        <v>2010</v>
      </c>
      <c r="F482" s="1" t="s">
        <v>1092</v>
      </c>
      <c r="G482" s="1" t="s">
        <v>1773</v>
      </c>
      <c r="H482" s="4">
        <v>23.48367</v>
      </c>
      <c r="I482" s="4">
        <v>120.2775</v>
      </c>
      <c r="J482" s="1" t="s">
        <v>1404</v>
      </c>
      <c r="K482" s="1" t="s">
        <v>70</v>
      </c>
      <c r="L482" s="1" t="s">
        <v>1774</v>
      </c>
      <c r="M482" s="1" t="s">
        <v>3598</v>
      </c>
      <c r="N482" s="1"/>
      <c r="O482" s="1" t="s">
        <v>3095</v>
      </c>
      <c r="P482" s="1"/>
      <c r="Q482" s="4">
        <v>6.29</v>
      </c>
      <c r="R482" s="4"/>
      <c r="S482" s="4"/>
      <c r="T482" s="4"/>
      <c r="U482" s="4"/>
      <c r="V482" s="4">
        <v>50.913269999999997</v>
      </c>
      <c r="W482" s="4"/>
      <c r="X482" s="4"/>
      <c r="Y482" s="4"/>
      <c r="Z482" s="4"/>
      <c r="AA482" s="4"/>
      <c r="AB482" s="4" t="s">
        <v>1028</v>
      </c>
      <c r="AC482" s="4"/>
      <c r="AD482" s="4">
        <v>22.978999999999999</v>
      </c>
      <c r="AE482" s="4">
        <v>120.7316</v>
      </c>
      <c r="AF482" s="4">
        <v>22.6</v>
      </c>
      <c r="AG482" s="4">
        <v>209.49719999999999</v>
      </c>
      <c r="AH482" s="27" t="b">
        <v>1</v>
      </c>
      <c r="AI482" s="4">
        <v>1.379</v>
      </c>
      <c r="AJ482" s="27" t="b">
        <v>0</v>
      </c>
      <c r="AK482" s="4"/>
      <c r="AL482" s="27" t="b">
        <v>0</v>
      </c>
      <c r="AM482" s="4">
        <v>128.208</v>
      </c>
      <c r="AN482" s="4">
        <v>170.90600000000001</v>
      </c>
      <c r="AO482" s="4">
        <v>32.075000000000003</v>
      </c>
      <c r="AP482" s="4">
        <v>19.719000000000001</v>
      </c>
      <c r="AQ482" s="4">
        <v>22.958200000000001</v>
      </c>
      <c r="AR482" s="4">
        <v>3.0842499999999999</v>
      </c>
      <c r="AS482" s="4">
        <v>5.4788899999999998</v>
      </c>
      <c r="AT482" s="4">
        <v>5.2023900000000003</v>
      </c>
      <c r="AU482" s="4">
        <v>1.74193</v>
      </c>
      <c r="AV482" s="4">
        <v>4.5243999999999999E-2</v>
      </c>
      <c r="AW482" s="4">
        <v>-2.0965000000000001E-2</v>
      </c>
      <c r="AX482" s="4">
        <v>3.1718000000000003E-2</v>
      </c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1" t="s">
        <v>3599</v>
      </c>
      <c r="BJ482" s="1" t="s">
        <v>4091</v>
      </c>
      <c r="BK482" s="1">
        <v>1</v>
      </c>
      <c r="BL482" s="1"/>
      <c r="BM482" s="1" t="s">
        <v>633</v>
      </c>
      <c r="BN482" s="1" t="s">
        <v>2927</v>
      </c>
      <c r="BO482" s="1" t="s">
        <v>2928</v>
      </c>
      <c r="BP482" s="1">
        <v>6.29</v>
      </c>
      <c r="BQ482" s="1" t="s">
        <v>1003</v>
      </c>
      <c r="BR482" s="1">
        <v>22.978999999999999</v>
      </c>
      <c r="BS482" s="1">
        <v>120.7316</v>
      </c>
      <c r="BT482" s="1">
        <v>22.6</v>
      </c>
      <c r="BU482" s="1" t="s">
        <v>1028</v>
      </c>
      <c r="BV482" s="1" t="s">
        <v>2834</v>
      </c>
      <c r="BW482" s="1">
        <v>310</v>
      </c>
      <c r="BX482" s="1">
        <v>26</v>
      </c>
      <c r="BY482" s="1">
        <v>42</v>
      </c>
      <c r="BZ482" s="1">
        <v>181</v>
      </c>
      <c r="CA482" s="1">
        <v>72</v>
      </c>
      <c r="CB482" s="1">
        <v>110</v>
      </c>
      <c r="CC482" s="1" t="s">
        <v>2808</v>
      </c>
      <c r="CD482" s="1" t="s">
        <v>731</v>
      </c>
      <c r="CE482" s="1"/>
      <c r="CF482" s="1"/>
      <c r="CG482" s="1"/>
      <c r="CH482" s="1"/>
      <c r="CI482" s="1"/>
      <c r="CJ482" s="1" t="s">
        <v>2812</v>
      </c>
      <c r="CK482" t="s">
        <v>1263</v>
      </c>
      <c r="CL482">
        <v>239</v>
      </c>
      <c r="CM482" t="s">
        <v>2930</v>
      </c>
    </row>
    <row r="483" spans="1:91" ht="19" customHeight="1">
      <c r="A483" s="1" t="s">
        <v>4092</v>
      </c>
      <c r="B483" s="1" t="s">
        <v>3597</v>
      </c>
      <c r="C483" s="1">
        <v>240</v>
      </c>
      <c r="D483" s="1" t="s">
        <v>634</v>
      </c>
      <c r="E483" s="1">
        <v>2010</v>
      </c>
      <c r="F483" s="1" t="s">
        <v>1156</v>
      </c>
      <c r="G483" s="1" t="s">
        <v>1789</v>
      </c>
      <c r="H483" s="4">
        <v>23.219169999999998</v>
      </c>
      <c r="I483" s="4">
        <v>120.1622</v>
      </c>
      <c r="J483" s="1" t="s">
        <v>1404</v>
      </c>
      <c r="K483" s="1" t="s">
        <v>70</v>
      </c>
      <c r="L483" s="1" t="s">
        <v>1790</v>
      </c>
      <c r="M483" s="1" t="s">
        <v>3598</v>
      </c>
      <c r="N483" s="1"/>
      <c r="O483" s="1" t="s">
        <v>3095</v>
      </c>
      <c r="P483" s="1"/>
      <c r="Q483" s="4">
        <v>6.29</v>
      </c>
      <c r="R483" s="4"/>
      <c r="S483" s="4"/>
      <c r="T483" s="4"/>
      <c r="U483" s="4"/>
      <c r="V483" s="4">
        <v>32.505690000000001</v>
      </c>
      <c r="W483" s="4"/>
      <c r="X483" s="4"/>
      <c r="Y483" s="4"/>
      <c r="Z483" s="4"/>
      <c r="AA483" s="4"/>
      <c r="AB483" s="4" t="s">
        <v>1028</v>
      </c>
      <c r="AC483" s="4"/>
      <c r="AD483" s="4">
        <v>22.978999999999999</v>
      </c>
      <c r="AE483" s="4">
        <v>120.7316</v>
      </c>
      <c r="AF483" s="4">
        <v>22.6</v>
      </c>
      <c r="AG483" s="4">
        <v>199.46809999999999</v>
      </c>
      <c r="AH483" s="27" t="b">
        <v>1</v>
      </c>
      <c r="AI483" s="4">
        <v>2.0510000000000002</v>
      </c>
      <c r="AJ483" s="27" t="b">
        <v>0</v>
      </c>
      <c r="AK483" s="4"/>
      <c r="AL483" s="27" t="b">
        <v>0</v>
      </c>
      <c r="AM483" s="4">
        <v>152.892</v>
      </c>
      <c r="AN483" s="4">
        <v>146.46799999999999</v>
      </c>
      <c r="AO483" s="4">
        <v>28.908000000000001</v>
      </c>
      <c r="AP483" s="4">
        <v>19.643899999999999</v>
      </c>
      <c r="AQ483" s="4">
        <v>30.347799999999999</v>
      </c>
      <c r="AR483" s="4">
        <v>3.3263500000000001</v>
      </c>
      <c r="AS483" s="4">
        <v>7.6740199999999996</v>
      </c>
      <c r="AT483" s="4">
        <v>6.3108500000000003</v>
      </c>
      <c r="AU483" s="4">
        <v>2.1143000000000001</v>
      </c>
      <c r="AV483" s="4">
        <v>-6.5231999999999998E-2</v>
      </c>
      <c r="AW483" s="4">
        <v>1.8844E-2</v>
      </c>
      <c r="AX483" s="4">
        <v>-4.3973999999999999E-2</v>
      </c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1" t="s">
        <v>3599</v>
      </c>
      <c r="BJ483" s="1" t="s">
        <v>4093</v>
      </c>
      <c r="BK483" s="1">
        <v>1</v>
      </c>
      <c r="BL483" s="1"/>
      <c r="BM483" s="1" t="s">
        <v>633</v>
      </c>
      <c r="BN483" s="1" t="s">
        <v>2927</v>
      </c>
      <c r="BO483" s="1" t="s">
        <v>2928</v>
      </c>
      <c r="BP483" s="1">
        <v>6.29</v>
      </c>
      <c r="BQ483" s="1" t="s">
        <v>1003</v>
      </c>
      <c r="BR483" s="1">
        <v>22.978999999999999</v>
      </c>
      <c r="BS483" s="1">
        <v>120.7316</v>
      </c>
      <c r="BT483" s="1">
        <v>22.6</v>
      </c>
      <c r="BU483" s="1" t="s">
        <v>1028</v>
      </c>
      <c r="BV483" s="1" t="s">
        <v>2834</v>
      </c>
      <c r="BW483" s="1">
        <v>310</v>
      </c>
      <c r="BX483" s="1">
        <v>26</v>
      </c>
      <c r="BY483" s="1">
        <v>42</v>
      </c>
      <c r="BZ483" s="1">
        <v>181</v>
      </c>
      <c r="CA483" s="1">
        <v>72</v>
      </c>
      <c r="CB483" s="1">
        <v>110</v>
      </c>
      <c r="CC483" s="1" t="s">
        <v>2808</v>
      </c>
      <c r="CD483" s="1" t="s">
        <v>731</v>
      </c>
      <c r="CE483" s="1"/>
      <c r="CF483" s="1"/>
      <c r="CG483" s="1"/>
      <c r="CH483" s="1"/>
      <c r="CI483" s="1"/>
      <c r="CJ483" s="1" t="s">
        <v>2812</v>
      </c>
      <c r="CK483" t="s">
        <v>1263</v>
      </c>
      <c r="CL483">
        <v>240</v>
      </c>
      <c r="CM483" t="s">
        <v>2930</v>
      </c>
    </row>
    <row r="484" spans="1:91" ht="19" customHeight="1">
      <c r="A484" s="1" t="s">
        <v>4094</v>
      </c>
      <c r="B484" s="1" t="s">
        <v>3597</v>
      </c>
      <c r="C484" s="1">
        <v>241</v>
      </c>
      <c r="D484" s="1" t="s">
        <v>634</v>
      </c>
      <c r="E484" s="1">
        <v>2010</v>
      </c>
      <c r="F484" s="1" t="s">
        <v>1157</v>
      </c>
      <c r="G484" s="1" t="s">
        <v>1791</v>
      </c>
      <c r="H484" s="4">
        <v>23.21367</v>
      </c>
      <c r="I484" s="4">
        <v>120.277</v>
      </c>
      <c r="J484" s="1" t="s">
        <v>1404</v>
      </c>
      <c r="K484" s="1" t="s">
        <v>70</v>
      </c>
      <c r="L484" s="1" t="s">
        <v>1793</v>
      </c>
      <c r="M484" s="1" t="s">
        <v>3598</v>
      </c>
      <c r="N484" s="1"/>
      <c r="O484" s="1" t="s">
        <v>3095</v>
      </c>
      <c r="P484" s="1"/>
      <c r="Q484" s="4">
        <v>6.29</v>
      </c>
      <c r="R484" s="4"/>
      <c r="S484" s="4"/>
      <c r="T484" s="4"/>
      <c r="U484" s="4"/>
      <c r="V484" s="4">
        <v>24.77478</v>
      </c>
      <c r="W484" s="4"/>
      <c r="X484" s="4"/>
      <c r="Y484" s="4"/>
      <c r="Z484" s="4"/>
      <c r="AA484" s="4"/>
      <c r="AB484" s="4" t="s">
        <v>1028</v>
      </c>
      <c r="AC484" s="4"/>
      <c r="AD484" s="4">
        <v>22.978999999999999</v>
      </c>
      <c r="AE484" s="4">
        <v>120.7316</v>
      </c>
      <c r="AF484" s="4">
        <v>22.6</v>
      </c>
      <c r="AG484" s="4">
        <v>196.01859999999999</v>
      </c>
      <c r="AH484" s="27" t="b">
        <v>1</v>
      </c>
      <c r="AI484" s="4">
        <v>1.855</v>
      </c>
      <c r="AJ484" s="27" t="b">
        <v>0</v>
      </c>
      <c r="AK484" s="4"/>
      <c r="AL484" s="27" t="b">
        <v>0</v>
      </c>
      <c r="AM484" s="4">
        <v>200.542</v>
      </c>
      <c r="AN484" s="4">
        <v>110.29300000000001</v>
      </c>
      <c r="AO484" s="4">
        <v>32.555999999999997</v>
      </c>
      <c r="AP484" s="4">
        <v>36.831200000000003</v>
      </c>
      <c r="AQ484" s="4">
        <v>23.6144</v>
      </c>
      <c r="AR484" s="4">
        <v>6.2127699999999999</v>
      </c>
      <c r="AS484" s="4">
        <v>15.517099999999999</v>
      </c>
      <c r="AT484" s="4">
        <v>4.8299700000000003</v>
      </c>
      <c r="AU484" s="4">
        <v>3.7460200000000001</v>
      </c>
      <c r="AV484" s="4">
        <v>3.6323000000000001E-2</v>
      </c>
      <c r="AW484" s="4">
        <v>4.1041000000000001E-2</v>
      </c>
      <c r="AX484" s="4">
        <v>-1.8422000000000001E-2</v>
      </c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1" t="s">
        <v>3599</v>
      </c>
      <c r="BJ484" s="1" t="s">
        <v>4095</v>
      </c>
      <c r="BK484" s="1">
        <v>1</v>
      </c>
      <c r="BL484" s="1"/>
      <c r="BM484" s="1" t="s">
        <v>633</v>
      </c>
      <c r="BN484" s="1" t="s">
        <v>2927</v>
      </c>
      <c r="BO484" s="1" t="s">
        <v>2928</v>
      </c>
      <c r="BP484" s="1">
        <v>6.29</v>
      </c>
      <c r="BQ484" s="1" t="s">
        <v>1003</v>
      </c>
      <c r="BR484" s="1">
        <v>22.978999999999999</v>
      </c>
      <c r="BS484" s="1">
        <v>120.7316</v>
      </c>
      <c r="BT484" s="1">
        <v>22.6</v>
      </c>
      <c r="BU484" s="1" t="s">
        <v>1028</v>
      </c>
      <c r="BV484" s="1" t="s">
        <v>2834</v>
      </c>
      <c r="BW484" s="1">
        <v>310</v>
      </c>
      <c r="BX484" s="1">
        <v>26</v>
      </c>
      <c r="BY484" s="1">
        <v>42</v>
      </c>
      <c r="BZ484" s="1">
        <v>181</v>
      </c>
      <c r="CA484" s="1">
        <v>72</v>
      </c>
      <c r="CB484" s="1">
        <v>110</v>
      </c>
      <c r="CC484" s="1" t="s">
        <v>2808</v>
      </c>
      <c r="CD484" s="1" t="s">
        <v>731</v>
      </c>
      <c r="CE484" s="1"/>
      <c r="CF484" s="1"/>
      <c r="CG484" s="1"/>
      <c r="CH484" s="1"/>
      <c r="CI484" s="1"/>
      <c r="CJ484" s="1" t="s">
        <v>2812</v>
      </c>
      <c r="CK484" t="s">
        <v>1263</v>
      </c>
      <c r="CL484">
        <v>241</v>
      </c>
      <c r="CM484" t="s">
        <v>2930</v>
      </c>
    </row>
    <row r="485" spans="1:91" ht="19" customHeight="1">
      <c r="A485" s="1" t="s">
        <v>4096</v>
      </c>
      <c r="B485" s="1" t="s">
        <v>3597</v>
      </c>
      <c r="C485" s="1">
        <v>242</v>
      </c>
      <c r="D485" s="1" t="s">
        <v>634</v>
      </c>
      <c r="E485" s="1">
        <v>2010</v>
      </c>
      <c r="F485" s="1" t="s">
        <v>1158</v>
      </c>
      <c r="G485" s="1" t="s">
        <v>1821</v>
      </c>
      <c r="H485" s="4">
        <v>23.381170000000001</v>
      </c>
      <c r="I485" s="4">
        <v>120.1722</v>
      </c>
      <c r="J485" s="1" t="s">
        <v>1404</v>
      </c>
      <c r="K485" s="1" t="s">
        <v>70</v>
      </c>
      <c r="L485" s="1" t="s">
        <v>1822</v>
      </c>
      <c r="M485" s="1" t="s">
        <v>3598</v>
      </c>
      <c r="N485" s="1"/>
      <c r="O485" s="1" t="s">
        <v>3095</v>
      </c>
      <c r="P485" s="1"/>
      <c r="Q485" s="4">
        <v>6.29</v>
      </c>
      <c r="R485" s="4"/>
      <c r="S485" s="4"/>
      <c r="T485" s="4"/>
      <c r="U485" s="4"/>
      <c r="V485" s="4">
        <v>46.147289999999998</v>
      </c>
      <c r="W485" s="4"/>
      <c r="X485" s="4"/>
      <c r="Y485" s="4"/>
      <c r="Z485" s="4"/>
      <c r="AA485" s="4"/>
      <c r="AB485" s="4" t="s">
        <v>1028</v>
      </c>
      <c r="AC485" s="4"/>
      <c r="AD485" s="4">
        <v>22.978999999999999</v>
      </c>
      <c r="AE485" s="4">
        <v>120.7316</v>
      </c>
      <c r="AF485" s="4">
        <v>22.6</v>
      </c>
      <c r="AG485" s="4">
        <v>192.66589999999999</v>
      </c>
      <c r="AH485" s="27" t="b">
        <v>1</v>
      </c>
      <c r="AI485" s="4">
        <v>1.1759999999999999</v>
      </c>
      <c r="AJ485" s="27" t="b">
        <v>0</v>
      </c>
      <c r="AK485" s="4"/>
      <c r="AL485" s="27" t="b">
        <v>0</v>
      </c>
      <c r="AM485" s="4">
        <v>161.23099999999999</v>
      </c>
      <c r="AN485" s="4">
        <v>187.83099999999999</v>
      </c>
      <c r="AO485" s="4">
        <v>46.444000000000003</v>
      </c>
      <c r="AP485" s="4">
        <v>20.8049</v>
      </c>
      <c r="AQ485" s="4">
        <v>38.717500000000001</v>
      </c>
      <c r="AR485" s="4">
        <v>6.5744400000000001</v>
      </c>
      <c r="AS485" s="4">
        <v>4.2679200000000002</v>
      </c>
      <c r="AT485" s="4">
        <v>9.2299000000000007</v>
      </c>
      <c r="AU485" s="4">
        <v>2.5844900000000002</v>
      </c>
      <c r="AV485" s="4">
        <v>-0.12421599999999999</v>
      </c>
      <c r="AW485" s="4">
        <v>5.0769999999999999E-3</v>
      </c>
      <c r="AX485" s="4">
        <v>0.27293499999999998</v>
      </c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1" t="s">
        <v>3599</v>
      </c>
      <c r="BJ485" s="1" t="s">
        <v>4097</v>
      </c>
      <c r="BK485" s="1">
        <v>1</v>
      </c>
      <c r="BL485" s="1"/>
      <c r="BM485" s="1" t="s">
        <v>633</v>
      </c>
      <c r="BN485" s="1" t="s">
        <v>2927</v>
      </c>
      <c r="BO485" s="1" t="s">
        <v>2928</v>
      </c>
      <c r="BP485" s="1">
        <v>6.29</v>
      </c>
      <c r="BQ485" s="1" t="s">
        <v>1003</v>
      </c>
      <c r="BR485" s="1">
        <v>22.978999999999999</v>
      </c>
      <c r="BS485" s="1">
        <v>120.7316</v>
      </c>
      <c r="BT485" s="1">
        <v>22.6</v>
      </c>
      <c r="BU485" s="1" t="s">
        <v>1028</v>
      </c>
      <c r="BV485" s="1" t="s">
        <v>2834</v>
      </c>
      <c r="BW485" s="1">
        <v>310</v>
      </c>
      <c r="BX485" s="1">
        <v>26</v>
      </c>
      <c r="BY485" s="1">
        <v>42</v>
      </c>
      <c r="BZ485" s="1">
        <v>181</v>
      </c>
      <c r="CA485" s="1">
        <v>72</v>
      </c>
      <c r="CB485" s="1">
        <v>110</v>
      </c>
      <c r="CC485" s="1" t="s">
        <v>2808</v>
      </c>
      <c r="CD485" s="1" t="s">
        <v>731</v>
      </c>
      <c r="CE485" s="1"/>
      <c r="CF485" s="1"/>
      <c r="CG485" s="1"/>
      <c r="CH485" s="1"/>
      <c r="CI485" s="1"/>
      <c r="CJ485" s="1" t="s">
        <v>2812</v>
      </c>
      <c r="CK485" t="s">
        <v>1263</v>
      </c>
      <c r="CL485">
        <v>242</v>
      </c>
      <c r="CM485" t="s">
        <v>2930</v>
      </c>
    </row>
    <row r="486" spans="1:91" ht="19" customHeight="1">
      <c r="A486" s="1" t="s">
        <v>4098</v>
      </c>
      <c r="B486" s="1" t="s">
        <v>3597</v>
      </c>
      <c r="C486" s="1">
        <v>243</v>
      </c>
      <c r="D486" s="1" t="s">
        <v>634</v>
      </c>
      <c r="E486" s="1">
        <v>2010</v>
      </c>
      <c r="F486" s="1" t="s">
        <v>1159</v>
      </c>
      <c r="G486" s="1" t="s">
        <v>1829</v>
      </c>
      <c r="H486" s="4">
        <v>23.365500000000001</v>
      </c>
      <c r="I486" s="4">
        <v>120.36669999999999</v>
      </c>
      <c r="J486" s="1" t="s">
        <v>1404</v>
      </c>
      <c r="K486" s="1" t="s">
        <v>70</v>
      </c>
      <c r="L486" s="1" t="s">
        <v>1830</v>
      </c>
      <c r="M486" s="1" t="s">
        <v>3598</v>
      </c>
      <c r="N486" s="1"/>
      <c r="O486" s="1" t="s">
        <v>3095</v>
      </c>
      <c r="P486" s="1"/>
      <c r="Q486" s="4">
        <v>6.29</v>
      </c>
      <c r="R486" s="4"/>
      <c r="S486" s="4"/>
      <c r="T486" s="4"/>
      <c r="U486" s="4"/>
      <c r="V486" s="4">
        <v>35.810319999999997</v>
      </c>
      <c r="W486" s="4"/>
      <c r="X486" s="4"/>
      <c r="Y486" s="4"/>
      <c r="Z486" s="4"/>
      <c r="AA486" s="4"/>
      <c r="AB486" s="4" t="s">
        <v>1028</v>
      </c>
      <c r="AC486" s="4"/>
      <c r="AD486" s="4">
        <v>22.978999999999999</v>
      </c>
      <c r="AE486" s="4">
        <v>120.7316</v>
      </c>
      <c r="AF486" s="4">
        <v>22.6</v>
      </c>
      <c r="AG486" s="4">
        <v>224.82069999999999</v>
      </c>
      <c r="AH486" s="27" t="b">
        <v>1</v>
      </c>
      <c r="AI486" s="4">
        <v>1.512</v>
      </c>
      <c r="AJ486" s="27" t="b">
        <v>0</v>
      </c>
      <c r="AK486" s="4"/>
      <c r="AL486" s="27" t="b">
        <v>0</v>
      </c>
      <c r="AM486" s="4">
        <v>158.75</v>
      </c>
      <c r="AN486" s="4">
        <v>176.80799999999999</v>
      </c>
      <c r="AO486" s="4">
        <v>34.183</v>
      </c>
      <c r="AP486" s="4">
        <v>27.6569</v>
      </c>
      <c r="AQ486" s="4">
        <v>34.373600000000003</v>
      </c>
      <c r="AR486" s="4">
        <v>6.4078400000000002</v>
      </c>
      <c r="AS486" s="4">
        <v>7.1255600000000001</v>
      </c>
      <c r="AT486" s="4">
        <v>7.6079299999999996</v>
      </c>
      <c r="AU486" s="4">
        <v>3.4430999999999998</v>
      </c>
      <c r="AV486" s="4">
        <v>3.4770000000000001E-3</v>
      </c>
      <c r="AW486" s="4">
        <v>-1.6230999999999999E-2</v>
      </c>
      <c r="AX486" s="4">
        <v>4.8474999999999997E-2</v>
      </c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1" t="s">
        <v>3599</v>
      </c>
      <c r="BJ486" s="1" t="s">
        <v>4099</v>
      </c>
      <c r="BK486" s="1">
        <v>1</v>
      </c>
      <c r="BL486" s="1"/>
      <c r="BM486" s="1" t="s">
        <v>633</v>
      </c>
      <c r="BN486" s="1" t="s">
        <v>2927</v>
      </c>
      <c r="BO486" s="1" t="s">
        <v>2928</v>
      </c>
      <c r="BP486" s="1">
        <v>6.29</v>
      </c>
      <c r="BQ486" s="1" t="s">
        <v>1003</v>
      </c>
      <c r="BR486" s="1">
        <v>22.978999999999999</v>
      </c>
      <c r="BS486" s="1">
        <v>120.7316</v>
      </c>
      <c r="BT486" s="1">
        <v>22.6</v>
      </c>
      <c r="BU486" s="1" t="s">
        <v>1028</v>
      </c>
      <c r="BV486" s="1" t="s">
        <v>2834</v>
      </c>
      <c r="BW486" s="1">
        <v>310</v>
      </c>
      <c r="BX486" s="1">
        <v>26</v>
      </c>
      <c r="BY486" s="1">
        <v>42</v>
      </c>
      <c r="BZ486" s="1">
        <v>181</v>
      </c>
      <c r="CA486" s="1">
        <v>72</v>
      </c>
      <c r="CB486" s="1">
        <v>110</v>
      </c>
      <c r="CC486" s="1" t="s">
        <v>2808</v>
      </c>
      <c r="CD486" s="1" t="s">
        <v>731</v>
      </c>
      <c r="CE486" s="1"/>
      <c r="CF486" s="1"/>
      <c r="CG486" s="1"/>
      <c r="CH486" s="1"/>
      <c r="CI486" s="1"/>
      <c r="CJ486" s="1" t="s">
        <v>2812</v>
      </c>
      <c r="CK486" t="s">
        <v>1263</v>
      </c>
      <c r="CL486">
        <v>243</v>
      </c>
      <c r="CM486" t="s">
        <v>2930</v>
      </c>
    </row>
    <row r="487" spans="1:91" ht="19" customHeight="1">
      <c r="A487" s="1" t="s">
        <v>4100</v>
      </c>
      <c r="B487" s="1" t="s">
        <v>3597</v>
      </c>
      <c r="C487" s="1">
        <v>244</v>
      </c>
      <c r="D487" s="1" t="s">
        <v>634</v>
      </c>
      <c r="E487" s="1">
        <v>2010</v>
      </c>
      <c r="F487" s="1" t="s">
        <v>1160</v>
      </c>
      <c r="G487" s="1" t="s">
        <v>1833</v>
      </c>
      <c r="H487" s="4">
        <v>23.26867</v>
      </c>
      <c r="I487" s="4">
        <v>120.27679999999999</v>
      </c>
      <c r="J487" s="1" t="s">
        <v>1404</v>
      </c>
      <c r="K487" s="1" t="s">
        <v>70</v>
      </c>
      <c r="L487" s="1" t="s">
        <v>1834</v>
      </c>
      <c r="M487" s="1" t="s">
        <v>3598</v>
      </c>
      <c r="N487" s="1"/>
      <c r="O487" s="1" t="s">
        <v>3095</v>
      </c>
      <c r="P487" s="1"/>
      <c r="Q487" s="4">
        <v>6.29</v>
      </c>
      <c r="R487" s="4"/>
      <c r="S487" s="4"/>
      <c r="T487" s="4"/>
      <c r="U487" s="4"/>
      <c r="V487" s="4">
        <v>30.038119999999999</v>
      </c>
      <c r="W487" s="4"/>
      <c r="X487" s="4"/>
      <c r="Y487" s="4"/>
      <c r="Z487" s="4"/>
      <c r="AA487" s="4"/>
      <c r="AB487" s="4" t="s">
        <v>1028</v>
      </c>
      <c r="AC487" s="4"/>
      <c r="AD487" s="4">
        <v>22.978999999999999</v>
      </c>
      <c r="AE487" s="4">
        <v>120.7316</v>
      </c>
      <c r="AF487" s="4">
        <v>22.6</v>
      </c>
      <c r="AG487" s="4">
        <v>221.4512</v>
      </c>
      <c r="AH487" s="27" t="b">
        <v>1</v>
      </c>
      <c r="AI487" s="4">
        <v>1.736</v>
      </c>
      <c r="AJ487" s="27" t="b">
        <v>0</v>
      </c>
      <c r="AK487" s="4"/>
      <c r="AL487" s="27" t="b">
        <v>0</v>
      </c>
      <c r="AM487" s="4">
        <v>131.11699999999999</v>
      </c>
      <c r="AN487" s="4">
        <v>80.492999999999995</v>
      </c>
      <c r="AO487" s="4">
        <v>25.547999999999998</v>
      </c>
      <c r="AP487" s="4">
        <v>32.561100000000003</v>
      </c>
      <c r="AQ487" s="4">
        <v>17.474499999999999</v>
      </c>
      <c r="AR487" s="4">
        <v>6.4488300000000001</v>
      </c>
      <c r="AS487" s="4">
        <v>10.978899999999999</v>
      </c>
      <c r="AT487" s="4">
        <v>4.6962999999999999</v>
      </c>
      <c r="AU487" s="4">
        <v>3.5895000000000001</v>
      </c>
      <c r="AV487" s="4">
        <v>-7.1357000000000004E-2</v>
      </c>
      <c r="AW487" s="4">
        <v>-3.6933000000000001E-2</v>
      </c>
      <c r="AX487" s="4">
        <v>5.4094999999999997E-2</v>
      </c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1" t="s">
        <v>3599</v>
      </c>
      <c r="BJ487" s="1" t="s">
        <v>4101</v>
      </c>
      <c r="BK487" s="1">
        <v>1</v>
      </c>
      <c r="BL487" s="1"/>
      <c r="BM487" s="1" t="s">
        <v>633</v>
      </c>
      <c r="BN487" s="1" t="s">
        <v>2927</v>
      </c>
      <c r="BO487" s="1" t="s">
        <v>2928</v>
      </c>
      <c r="BP487" s="1">
        <v>6.29</v>
      </c>
      <c r="BQ487" s="1" t="s">
        <v>1003</v>
      </c>
      <c r="BR487" s="1">
        <v>22.978999999999999</v>
      </c>
      <c r="BS487" s="1">
        <v>120.7316</v>
      </c>
      <c r="BT487" s="1">
        <v>22.6</v>
      </c>
      <c r="BU487" s="1" t="s">
        <v>1028</v>
      </c>
      <c r="BV487" s="1" t="s">
        <v>2834</v>
      </c>
      <c r="BW487" s="1">
        <v>310</v>
      </c>
      <c r="BX487" s="1">
        <v>26</v>
      </c>
      <c r="BY487" s="1">
        <v>42</v>
      </c>
      <c r="BZ487" s="1">
        <v>181</v>
      </c>
      <c r="CA487" s="1">
        <v>72</v>
      </c>
      <c r="CB487" s="1">
        <v>110</v>
      </c>
      <c r="CC487" s="1" t="s">
        <v>2808</v>
      </c>
      <c r="CD487" s="1" t="s">
        <v>731</v>
      </c>
      <c r="CE487" s="1"/>
      <c r="CF487" s="1"/>
      <c r="CG487" s="1"/>
      <c r="CH487" s="1"/>
      <c r="CI487" s="1"/>
      <c r="CJ487" s="1" t="s">
        <v>2812</v>
      </c>
      <c r="CK487" t="s">
        <v>1263</v>
      </c>
      <c r="CL487">
        <v>244</v>
      </c>
      <c r="CM487" t="s">
        <v>2930</v>
      </c>
    </row>
    <row r="488" spans="1:91" ht="19" customHeight="1">
      <c r="A488" s="1" t="s">
        <v>4102</v>
      </c>
      <c r="B488" s="1" t="s">
        <v>3597</v>
      </c>
      <c r="C488" s="1">
        <v>245</v>
      </c>
      <c r="D488" s="1" t="s">
        <v>634</v>
      </c>
      <c r="E488" s="1">
        <v>2010</v>
      </c>
      <c r="F488" s="1" t="s">
        <v>1161</v>
      </c>
      <c r="G488" s="1" t="s">
        <v>1835</v>
      </c>
      <c r="H488" s="4">
        <v>23.262170000000001</v>
      </c>
      <c r="I488" s="4">
        <v>120.1392</v>
      </c>
      <c r="J488" s="1" t="s">
        <v>1404</v>
      </c>
      <c r="K488" s="1" t="s">
        <v>70</v>
      </c>
      <c r="L488" s="1" t="s">
        <v>1836</v>
      </c>
      <c r="M488" s="1" t="s">
        <v>3598</v>
      </c>
      <c r="N488" s="1"/>
      <c r="O488" s="1" t="s">
        <v>3095</v>
      </c>
      <c r="P488" s="1"/>
      <c r="Q488" s="4">
        <v>6.29</v>
      </c>
      <c r="R488" s="4"/>
      <c r="S488" s="4"/>
      <c r="T488" s="4"/>
      <c r="U488" s="4"/>
      <c r="V488" s="4">
        <v>37.542009999999998</v>
      </c>
      <c r="W488" s="4"/>
      <c r="X488" s="4"/>
      <c r="Y488" s="4"/>
      <c r="Z488" s="4"/>
      <c r="AA488" s="4"/>
      <c r="AB488" s="4" t="s">
        <v>1028</v>
      </c>
      <c r="AC488" s="4"/>
      <c r="AD488" s="4">
        <v>22.978999999999999</v>
      </c>
      <c r="AE488" s="4">
        <v>120.7316</v>
      </c>
      <c r="AF488" s="4">
        <v>22.6</v>
      </c>
      <c r="AG488" s="4">
        <v>189.00020000000001</v>
      </c>
      <c r="AH488" s="27" t="b">
        <v>1</v>
      </c>
      <c r="AI488" s="4">
        <v>1.9810000000000001</v>
      </c>
      <c r="AJ488" s="27" t="b">
        <v>0</v>
      </c>
      <c r="AK488" s="4"/>
      <c r="AL488" s="27" t="b">
        <v>0</v>
      </c>
      <c r="AM488" s="4">
        <v>99.111999999999995</v>
      </c>
      <c r="AN488" s="4">
        <v>153.78800000000001</v>
      </c>
      <c r="AO488" s="4">
        <v>25.097999999999999</v>
      </c>
      <c r="AP488" s="4">
        <v>16.213100000000001</v>
      </c>
      <c r="AQ488" s="4">
        <v>25.942599999999999</v>
      </c>
      <c r="AR488" s="4">
        <v>4.1572899999999997</v>
      </c>
      <c r="AS488" s="4">
        <v>5.1274199999999999</v>
      </c>
      <c r="AT488" s="4">
        <v>7.6234099999999998</v>
      </c>
      <c r="AU488" s="4">
        <v>1.9507099999999999</v>
      </c>
      <c r="AV488" s="4">
        <v>1.9421000000000001E-2</v>
      </c>
      <c r="AW488" s="4">
        <v>-4.5864000000000002E-2</v>
      </c>
      <c r="AX488" s="4">
        <v>-0.17829900000000001</v>
      </c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1" t="s">
        <v>3599</v>
      </c>
      <c r="BJ488" s="1" t="s">
        <v>4103</v>
      </c>
      <c r="BK488" s="1">
        <v>1</v>
      </c>
      <c r="BL488" s="1"/>
      <c r="BM488" s="1" t="s">
        <v>633</v>
      </c>
      <c r="BN488" s="1" t="s">
        <v>2927</v>
      </c>
      <c r="BO488" s="1" t="s">
        <v>2928</v>
      </c>
      <c r="BP488" s="1">
        <v>6.29</v>
      </c>
      <c r="BQ488" s="1" t="s">
        <v>1003</v>
      </c>
      <c r="BR488" s="1">
        <v>22.978999999999999</v>
      </c>
      <c r="BS488" s="1">
        <v>120.7316</v>
      </c>
      <c r="BT488" s="1">
        <v>22.6</v>
      </c>
      <c r="BU488" s="1" t="s">
        <v>1028</v>
      </c>
      <c r="BV488" s="1" t="s">
        <v>2834</v>
      </c>
      <c r="BW488" s="1">
        <v>310</v>
      </c>
      <c r="BX488" s="1">
        <v>26</v>
      </c>
      <c r="BY488" s="1">
        <v>42</v>
      </c>
      <c r="BZ488" s="1">
        <v>181</v>
      </c>
      <c r="CA488" s="1">
        <v>72</v>
      </c>
      <c r="CB488" s="1">
        <v>110</v>
      </c>
      <c r="CC488" s="1" t="s">
        <v>2808</v>
      </c>
      <c r="CD488" s="1" t="s">
        <v>731</v>
      </c>
      <c r="CE488" s="1"/>
      <c r="CF488" s="1"/>
      <c r="CG488" s="1"/>
      <c r="CH488" s="1"/>
      <c r="CI488" s="1"/>
      <c r="CJ488" s="1" t="s">
        <v>2812</v>
      </c>
      <c r="CK488" t="s">
        <v>1263</v>
      </c>
      <c r="CL488">
        <v>245</v>
      </c>
      <c r="CM488" t="s">
        <v>2930</v>
      </c>
    </row>
    <row r="489" spans="1:91" ht="19" customHeight="1">
      <c r="A489" s="1" t="s">
        <v>4104</v>
      </c>
      <c r="B489" s="1" t="s">
        <v>3597</v>
      </c>
      <c r="C489" s="1">
        <v>246</v>
      </c>
      <c r="D489" s="1" t="s">
        <v>634</v>
      </c>
      <c r="E489" s="1">
        <v>2010</v>
      </c>
      <c r="F489" s="1" t="s">
        <v>1162</v>
      </c>
      <c r="G489" s="1" t="s">
        <v>1838</v>
      </c>
      <c r="H489" s="4">
        <v>23.171330000000001</v>
      </c>
      <c r="I489" s="4">
        <v>120.3272</v>
      </c>
      <c r="J489" s="1" t="s">
        <v>1404</v>
      </c>
      <c r="K489" s="1" t="s">
        <v>70</v>
      </c>
      <c r="L489" s="1" t="s">
        <v>1840</v>
      </c>
      <c r="M489" s="1" t="s">
        <v>3598</v>
      </c>
      <c r="N489" s="1"/>
      <c r="O489" s="1" t="s">
        <v>3095</v>
      </c>
      <c r="P489" s="1"/>
      <c r="Q489" s="4">
        <v>6.29</v>
      </c>
      <c r="R489" s="4"/>
      <c r="S489" s="4"/>
      <c r="T489" s="4"/>
      <c r="U489" s="4"/>
      <c r="V489" s="4">
        <v>18.22719</v>
      </c>
      <c r="W489" s="4"/>
      <c r="X489" s="4"/>
      <c r="Y489" s="4"/>
      <c r="Z489" s="4"/>
      <c r="AA489" s="4"/>
      <c r="AB489" s="4" t="s">
        <v>1028</v>
      </c>
      <c r="AC489" s="4"/>
      <c r="AD489" s="4">
        <v>22.978999999999999</v>
      </c>
      <c r="AE489" s="4">
        <v>120.7316</v>
      </c>
      <c r="AF489" s="4">
        <v>22.6</v>
      </c>
      <c r="AG489" s="4">
        <v>271.12520000000001</v>
      </c>
      <c r="AH489" s="27" t="b">
        <v>1</v>
      </c>
      <c r="AI489" s="4">
        <v>1.113</v>
      </c>
      <c r="AJ489" s="27" t="b">
        <v>0</v>
      </c>
      <c r="AK489" s="4"/>
      <c r="AL489" s="27" t="b">
        <v>0</v>
      </c>
      <c r="AM489" s="4">
        <v>353.11500000000001</v>
      </c>
      <c r="AN489" s="4">
        <v>147.56700000000001</v>
      </c>
      <c r="AO489" s="4">
        <v>117.98</v>
      </c>
      <c r="AP489" s="4">
        <v>49.884500000000003</v>
      </c>
      <c r="AQ489" s="4">
        <v>16.524899999999999</v>
      </c>
      <c r="AR489" s="4">
        <v>10.410399999999999</v>
      </c>
      <c r="AS489" s="4">
        <v>12.111499999999999</v>
      </c>
      <c r="AT489" s="4">
        <v>3.73184</v>
      </c>
      <c r="AU489" s="4">
        <v>3.4642300000000001</v>
      </c>
      <c r="AV489" s="4">
        <v>-1.0841999999999999E-2</v>
      </c>
      <c r="AW489" s="4">
        <v>7.8501000000000001E-2</v>
      </c>
      <c r="AX489" s="4">
        <v>-0.1133</v>
      </c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1" t="s">
        <v>3599</v>
      </c>
      <c r="BJ489" s="1" t="s">
        <v>4105</v>
      </c>
      <c r="BK489" s="1">
        <v>1</v>
      </c>
      <c r="BL489" s="1"/>
      <c r="BM489" s="1" t="s">
        <v>633</v>
      </c>
      <c r="BN489" s="1" t="s">
        <v>2927</v>
      </c>
      <c r="BO489" s="1" t="s">
        <v>2928</v>
      </c>
      <c r="BP489" s="1">
        <v>6.29</v>
      </c>
      <c r="BQ489" s="1" t="s">
        <v>1003</v>
      </c>
      <c r="BR489" s="1">
        <v>22.978999999999999</v>
      </c>
      <c r="BS489" s="1">
        <v>120.7316</v>
      </c>
      <c r="BT489" s="1">
        <v>22.6</v>
      </c>
      <c r="BU489" s="1" t="s">
        <v>1028</v>
      </c>
      <c r="BV489" s="1" t="s">
        <v>2834</v>
      </c>
      <c r="BW489" s="1">
        <v>310</v>
      </c>
      <c r="BX489" s="1">
        <v>26</v>
      </c>
      <c r="BY489" s="1">
        <v>42</v>
      </c>
      <c r="BZ489" s="1">
        <v>181</v>
      </c>
      <c r="CA489" s="1">
        <v>72</v>
      </c>
      <c r="CB489" s="1">
        <v>110</v>
      </c>
      <c r="CC489" s="1" t="s">
        <v>2808</v>
      </c>
      <c r="CD489" s="1" t="s">
        <v>731</v>
      </c>
      <c r="CE489" s="1"/>
      <c r="CF489" s="1"/>
      <c r="CG489" s="1"/>
      <c r="CH489" s="1"/>
      <c r="CI489" s="1"/>
      <c r="CJ489" s="1" t="s">
        <v>2812</v>
      </c>
      <c r="CK489" t="s">
        <v>1263</v>
      </c>
      <c r="CL489">
        <v>246</v>
      </c>
      <c r="CM489" t="s">
        <v>2930</v>
      </c>
    </row>
    <row r="490" spans="1:91" ht="19" customHeight="1">
      <c r="A490" s="1" t="s">
        <v>4106</v>
      </c>
      <c r="B490" s="1" t="s">
        <v>3597</v>
      </c>
      <c r="C490" s="1">
        <v>247</v>
      </c>
      <c r="D490" s="1" t="s">
        <v>634</v>
      </c>
      <c r="E490" s="1">
        <v>2010</v>
      </c>
      <c r="F490" s="1" t="s">
        <v>1163</v>
      </c>
      <c r="G490" s="1" t="s">
        <v>1841</v>
      </c>
      <c r="H490" s="4">
        <v>23.183</v>
      </c>
      <c r="I490" s="4">
        <v>120.1113</v>
      </c>
      <c r="J490" s="1" t="s">
        <v>1404</v>
      </c>
      <c r="K490" s="1" t="s">
        <v>70</v>
      </c>
      <c r="L490" s="1" t="s">
        <v>1842</v>
      </c>
      <c r="M490" s="1" t="s">
        <v>3598</v>
      </c>
      <c r="N490" s="1"/>
      <c r="O490" s="1" t="s">
        <v>3095</v>
      </c>
      <c r="P490" s="1"/>
      <c r="Q490" s="4">
        <v>6.29</v>
      </c>
      <c r="R490" s="4"/>
      <c r="S490" s="4"/>
      <c r="T490" s="4"/>
      <c r="U490" s="4"/>
      <c r="V490" s="4">
        <v>34.124870000000001</v>
      </c>
      <c r="W490" s="4"/>
      <c r="X490" s="4"/>
      <c r="Y490" s="4"/>
      <c r="Z490" s="4"/>
      <c r="AA490" s="4"/>
      <c r="AB490" s="4" t="s">
        <v>1028</v>
      </c>
      <c r="AC490" s="4"/>
      <c r="AD490" s="4">
        <v>22.978999999999999</v>
      </c>
      <c r="AE490" s="4">
        <v>120.7316</v>
      </c>
      <c r="AF490" s="4">
        <v>22.6</v>
      </c>
      <c r="AG490" s="4">
        <v>186.97409999999999</v>
      </c>
      <c r="AH490" s="27" t="b">
        <v>1</v>
      </c>
      <c r="AI490" s="4">
        <v>1.498</v>
      </c>
      <c r="AJ490" s="27" t="b">
        <v>0</v>
      </c>
      <c r="AK490" s="4"/>
      <c r="AL490" s="27" t="b">
        <v>0</v>
      </c>
      <c r="AM490" s="4">
        <v>139.667</v>
      </c>
      <c r="AN490" s="4">
        <v>93.772000000000006</v>
      </c>
      <c r="AO490" s="4">
        <v>20.529</v>
      </c>
      <c r="AP490" s="4">
        <v>25.043099999999999</v>
      </c>
      <c r="AQ490" s="4">
        <v>15.6632</v>
      </c>
      <c r="AR490" s="4">
        <v>2.4097200000000001</v>
      </c>
      <c r="AS490" s="4">
        <v>6.7960500000000001</v>
      </c>
      <c r="AT490" s="4">
        <v>4.2007700000000003</v>
      </c>
      <c r="AU490" s="4">
        <v>1.1159399999999999</v>
      </c>
      <c r="AV490" s="4">
        <v>-2.6891000000000002E-2</v>
      </c>
      <c r="AW490" s="4">
        <v>-3.0032E-2</v>
      </c>
      <c r="AX490" s="4">
        <v>-2.4049999999999998E-2</v>
      </c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1" t="s">
        <v>3599</v>
      </c>
      <c r="BJ490" s="1" t="s">
        <v>4107</v>
      </c>
      <c r="BK490" s="1">
        <v>1</v>
      </c>
      <c r="BL490" s="1"/>
      <c r="BM490" s="1" t="s">
        <v>633</v>
      </c>
      <c r="BN490" s="1" t="s">
        <v>2927</v>
      </c>
      <c r="BO490" s="1" t="s">
        <v>2928</v>
      </c>
      <c r="BP490" s="1">
        <v>6.29</v>
      </c>
      <c r="BQ490" s="1" t="s">
        <v>1003</v>
      </c>
      <c r="BR490" s="1">
        <v>22.978999999999999</v>
      </c>
      <c r="BS490" s="1">
        <v>120.7316</v>
      </c>
      <c r="BT490" s="1">
        <v>22.6</v>
      </c>
      <c r="BU490" s="1" t="s">
        <v>1028</v>
      </c>
      <c r="BV490" s="1" t="s">
        <v>2834</v>
      </c>
      <c r="BW490" s="1">
        <v>310</v>
      </c>
      <c r="BX490" s="1">
        <v>26</v>
      </c>
      <c r="BY490" s="1">
        <v>42</v>
      </c>
      <c r="BZ490" s="1">
        <v>181</v>
      </c>
      <c r="CA490" s="1">
        <v>72</v>
      </c>
      <c r="CB490" s="1">
        <v>110</v>
      </c>
      <c r="CC490" s="1" t="s">
        <v>2808</v>
      </c>
      <c r="CD490" s="1" t="s">
        <v>731</v>
      </c>
      <c r="CE490" s="1"/>
      <c r="CF490" s="1"/>
      <c r="CG490" s="1"/>
      <c r="CH490" s="1"/>
      <c r="CI490" s="1"/>
      <c r="CJ490" s="1" t="s">
        <v>2812</v>
      </c>
      <c r="CK490" t="s">
        <v>1263</v>
      </c>
      <c r="CL490">
        <v>247</v>
      </c>
      <c r="CM490" t="s">
        <v>2930</v>
      </c>
    </row>
    <row r="491" spans="1:91" ht="19" customHeight="1">
      <c r="A491" s="1" t="s">
        <v>4108</v>
      </c>
      <c r="B491" s="1" t="s">
        <v>3597</v>
      </c>
      <c r="C491" s="1">
        <v>248</v>
      </c>
      <c r="D491" s="1" t="s">
        <v>634</v>
      </c>
      <c r="E491" s="1">
        <v>2010</v>
      </c>
      <c r="F491" s="1" t="s">
        <v>1164</v>
      </c>
      <c r="G491" s="1" t="s">
        <v>1847</v>
      </c>
      <c r="H491" s="4">
        <v>23.025829999999999</v>
      </c>
      <c r="I491" s="4">
        <v>120.34950000000001</v>
      </c>
      <c r="J491" s="1" t="s">
        <v>1404</v>
      </c>
      <c r="K491" s="1" t="s">
        <v>70</v>
      </c>
      <c r="L491" s="1" t="s">
        <v>1849</v>
      </c>
      <c r="M491" s="1" t="s">
        <v>3598</v>
      </c>
      <c r="N491" s="1"/>
      <c r="O491" s="1" t="s">
        <v>3095</v>
      </c>
      <c r="P491" s="1"/>
      <c r="Q491" s="4">
        <v>6.29</v>
      </c>
      <c r="R491" s="4"/>
      <c r="S491" s="4"/>
      <c r="T491" s="4"/>
      <c r="U491" s="4"/>
      <c r="V491" s="4">
        <v>4.8063630000000002</v>
      </c>
      <c r="W491" s="4"/>
      <c r="X491" s="4"/>
      <c r="Y491" s="4"/>
      <c r="Z491" s="4"/>
      <c r="AA491" s="4"/>
      <c r="AB491" s="4" t="s">
        <v>1028</v>
      </c>
      <c r="AC491" s="4"/>
      <c r="AD491" s="4">
        <v>22.978999999999999</v>
      </c>
      <c r="AE491" s="4">
        <v>120.7316</v>
      </c>
      <c r="AF491" s="4">
        <v>22.6</v>
      </c>
      <c r="AG491" s="4">
        <v>287.65940000000001</v>
      </c>
      <c r="AH491" s="27" t="b">
        <v>1</v>
      </c>
      <c r="AI491" s="4">
        <v>1.155</v>
      </c>
      <c r="AJ491" s="27" t="b">
        <v>0</v>
      </c>
      <c r="AK491" s="4"/>
      <c r="AL491" s="27" t="b">
        <v>0</v>
      </c>
      <c r="AM491" s="4">
        <v>385.13400000000001</v>
      </c>
      <c r="AN491" s="4">
        <v>174.661</v>
      </c>
      <c r="AO491" s="4">
        <v>71.277000000000001</v>
      </c>
      <c r="AP491" s="4">
        <v>61.764899999999997</v>
      </c>
      <c r="AQ491" s="4">
        <v>34.314</v>
      </c>
      <c r="AR491" s="4">
        <v>15.4948</v>
      </c>
      <c r="AS491" s="4">
        <v>18.008600000000001</v>
      </c>
      <c r="AT491" s="4">
        <v>11.286099999999999</v>
      </c>
      <c r="AU491" s="4">
        <v>5.8902299999999999</v>
      </c>
      <c r="AV491" s="4">
        <v>-4.5129999999999997E-3</v>
      </c>
      <c r="AW491" s="4">
        <v>-5.8660999999999998E-2</v>
      </c>
      <c r="AX491" s="4">
        <v>4.3484000000000002E-2</v>
      </c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1" t="s">
        <v>3599</v>
      </c>
      <c r="BJ491" s="1" t="s">
        <v>4109</v>
      </c>
      <c r="BK491" s="1">
        <v>1</v>
      </c>
      <c r="BL491" s="1"/>
      <c r="BM491" s="1" t="s">
        <v>633</v>
      </c>
      <c r="BN491" s="1" t="s">
        <v>2927</v>
      </c>
      <c r="BO491" s="1" t="s">
        <v>2928</v>
      </c>
      <c r="BP491" s="1">
        <v>6.29</v>
      </c>
      <c r="BQ491" s="1" t="s">
        <v>1003</v>
      </c>
      <c r="BR491" s="1">
        <v>22.978999999999999</v>
      </c>
      <c r="BS491" s="1">
        <v>120.7316</v>
      </c>
      <c r="BT491" s="1">
        <v>22.6</v>
      </c>
      <c r="BU491" s="1" t="s">
        <v>1028</v>
      </c>
      <c r="BV491" s="1" t="s">
        <v>2834</v>
      </c>
      <c r="BW491" s="1">
        <v>310</v>
      </c>
      <c r="BX491" s="1">
        <v>26</v>
      </c>
      <c r="BY491" s="1">
        <v>42</v>
      </c>
      <c r="BZ491" s="1">
        <v>181</v>
      </c>
      <c r="CA491" s="1">
        <v>72</v>
      </c>
      <c r="CB491" s="1">
        <v>110</v>
      </c>
      <c r="CC491" s="1" t="s">
        <v>2808</v>
      </c>
      <c r="CD491" s="1" t="s">
        <v>731</v>
      </c>
      <c r="CE491" s="1"/>
      <c r="CF491" s="1"/>
      <c r="CG491" s="1"/>
      <c r="CH491" s="1"/>
      <c r="CI491" s="1"/>
      <c r="CJ491" s="1" t="s">
        <v>2812</v>
      </c>
      <c r="CK491" t="s">
        <v>1263</v>
      </c>
      <c r="CL491">
        <v>248</v>
      </c>
      <c r="CM491" t="s">
        <v>2930</v>
      </c>
    </row>
    <row r="492" spans="1:91" ht="19" customHeight="1">
      <c r="A492" s="1" t="s">
        <v>4110</v>
      </c>
      <c r="B492" s="1" t="s">
        <v>3597</v>
      </c>
      <c r="C492" s="1">
        <v>249</v>
      </c>
      <c r="D492" s="1" t="s">
        <v>634</v>
      </c>
      <c r="E492" s="1">
        <v>2010</v>
      </c>
      <c r="F492" s="1" t="s">
        <v>1165</v>
      </c>
      <c r="G492" s="1" t="s">
        <v>1875</v>
      </c>
      <c r="H492" s="4">
        <v>23.075330000000001</v>
      </c>
      <c r="I492" s="4">
        <v>120.364</v>
      </c>
      <c r="J492" s="1" t="s">
        <v>1404</v>
      </c>
      <c r="K492" s="1" t="s">
        <v>70</v>
      </c>
      <c r="L492" s="1" t="s">
        <v>1877</v>
      </c>
      <c r="M492" s="1" t="s">
        <v>3598</v>
      </c>
      <c r="N492" s="1"/>
      <c r="O492" s="1" t="s">
        <v>3095</v>
      </c>
      <c r="P492" s="1"/>
      <c r="Q492" s="4">
        <v>6.29</v>
      </c>
      <c r="R492" s="4"/>
      <c r="S492" s="4"/>
      <c r="T492" s="4"/>
      <c r="U492" s="4"/>
      <c r="V492" s="4">
        <v>7.239649</v>
      </c>
      <c r="W492" s="4"/>
      <c r="X492" s="4"/>
      <c r="Y492" s="4"/>
      <c r="Z492" s="4"/>
      <c r="AA492" s="4"/>
      <c r="AB492" s="4" t="s">
        <v>1028</v>
      </c>
      <c r="AC492" s="4"/>
      <c r="AD492" s="4">
        <v>22.978999999999999</v>
      </c>
      <c r="AE492" s="4">
        <v>120.7316</v>
      </c>
      <c r="AF492" s="4">
        <v>22.6</v>
      </c>
      <c r="AG492" s="4">
        <v>396.19650000000001</v>
      </c>
      <c r="AH492" s="27" t="b">
        <v>1</v>
      </c>
      <c r="AI492" s="4">
        <v>2.38</v>
      </c>
      <c r="AJ492" s="27" t="b">
        <v>0</v>
      </c>
      <c r="AK492" s="4"/>
      <c r="AL492" s="27" t="b">
        <v>0</v>
      </c>
      <c r="AM492" s="4">
        <v>268.77499999999998</v>
      </c>
      <c r="AN492" s="4">
        <v>172.136</v>
      </c>
      <c r="AO492" s="4">
        <v>60.218000000000004</v>
      </c>
      <c r="AP492" s="4">
        <v>36.2179</v>
      </c>
      <c r="AQ492" s="4">
        <v>27.081399999999999</v>
      </c>
      <c r="AR492" s="4">
        <v>10.4382</v>
      </c>
      <c r="AS492" s="4">
        <v>10.2403</v>
      </c>
      <c r="AT492" s="4">
        <v>7.92103</v>
      </c>
      <c r="AU492" s="4">
        <v>5.3327799999999996</v>
      </c>
      <c r="AV492" s="4">
        <v>0.13980699999999999</v>
      </c>
      <c r="AW492" s="4">
        <v>0.55492399999999997</v>
      </c>
      <c r="AX492" s="4">
        <v>0.27835199999999999</v>
      </c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1" t="s">
        <v>3599</v>
      </c>
      <c r="BJ492" s="1" t="s">
        <v>4111</v>
      </c>
      <c r="BK492" s="1">
        <v>1</v>
      </c>
      <c r="BL492" s="1"/>
      <c r="BM492" s="1" t="s">
        <v>633</v>
      </c>
      <c r="BN492" s="1" t="s">
        <v>2927</v>
      </c>
      <c r="BO492" s="1" t="s">
        <v>2928</v>
      </c>
      <c r="BP492" s="1">
        <v>6.29</v>
      </c>
      <c r="BQ492" s="1" t="s">
        <v>1003</v>
      </c>
      <c r="BR492" s="1">
        <v>22.978999999999999</v>
      </c>
      <c r="BS492" s="1">
        <v>120.7316</v>
      </c>
      <c r="BT492" s="1">
        <v>22.6</v>
      </c>
      <c r="BU492" s="1" t="s">
        <v>1028</v>
      </c>
      <c r="BV492" s="1" t="s">
        <v>2834</v>
      </c>
      <c r="BW492" s="1">
        <v>310</v>
      </c>
      <c r="BX492" s="1">
        <v>26</v>
      </c>
      <c r="BY492" s="1">
        <v>42</v>
      </c>
      <c r="BZ492" s="1">
        <v>181</v>
      </c>
      <c r="CA492" s="1">
        <v>72</v>
      </c>
      <c r="CB492" s="1">
        <v>110</v>
      </c>
      <c r="CC492" s="1" t="s">
        <v>2808</v>
      </c>
      <c r="CD492" s="1" t="s">
        <v>731</v>
      </c>
      <c r="CE492" s="1"/>
      <c r="CF492" s="1"/>
      <c r="CG492" s="1"/>
      <c r="CH492" s="1"/>
      <c r="CI492" s="1"/>
      <c r="CJ492" s="1" t="s">
        <v>2812</v>
      </c>
      <c r="CK492" t="s">
        <v>1263</v>
      </c>
      <c r="CL492">
        <v>249</v>
      </c>
      <c r="CM492" t="s">
        <v>2930</v>
      </c>
    </row>
    <row r="493" spans="1:91" ht="19" customHeight="1">
      <c r="A493" s="1" t="s">
        <v>4112</v>
      </c>
      <c r="B493" s="1" t="s">
        <v>3597</v>
      </c>
      <c r="C493" s="1">
        <v>250</v>
      </c>
      <c r="D493" s="1" t="s">
        <v>634</v>
      </c>
      <c r="E493" s="1">
        <v>2010</v>
      </c>
      <c r="F493" s="1" t="s">
        <v>1096</v>
      </c>
      <c r="G493" s="1" t="s">
        <v>1878</v>
      </c>
      <c r="H493" s="4">
        <v>23.456</v>
      </c>
      <c r="I493" s="4">
        <v>120.33069999999999</v>
      </c>
      <c r="J493" s="1" t="s">
        <v>1404</v>
      </c>
      <c r="K493" s="1" t="s">
        <v>70</v>
      </c>
      <c r="L493" s="1" t="s">
        <v>1880</v>
      </c>
      <c r="M493" s="1" t="s">
        <v>3598</v>
      </c>
      <c r="N493" s="1"/>
      <c r="O493" s="1" t="s">
        <v>3095</v>
      </c>
      <c r="P493" s="1"/>
      <c r="Q493" s="4">
        <v>6.29</v>
      </c>
      <c r="R493" s="4"/>
      <c r="S493" s="4"/>
      <c r="T493" s="4"/>
      <c r="U493" s="4"/>
      <c r="V493" s="4">
        <v>46.0471</v>
      </c>
      <c r="W493" s="4"/>
      <c r="X493" s="4"/>
      <c r="Y493" s="4"/>
      <c r="Z493" s="4"/>
      <c r="AA493" s="4"/>
      <c r="AB493" s="4" t="s">
        <v>1028</v>
      </c>
      <c r="AC493" s="4"/>
      <c r="AD493" s="4">
        <v>22.978999999999999</v>
      </c>
      <c r="AE493" s="4">
        <v>120.7316</v>
      </c>
      <c r="AF493" s="4">
        <v>22.6</v>
      </c>
      <c r="AG493" s="4">
        <v>216.36439999999999</v>
      </c>
      <c r="AH493" s="27" t="b">
        <v>1</v>
      </c>
      <c r="AI493" s="4">
        <v>1.484</v>
      </c>
      <c r="AJ493" s="27" t="b">
        <v>0</v>
      </c>
      <c r="AK493" s="4"/>
      <c r="AL493" s="27" t="b">
        <v>0</v>
      </c>
      <c r="AM493" s="4">
        <v>185.655</v>
      </c>
      <c r="AN493" s="4">
        <v>199.59800000000001</v>
      </c>
      <c r="AO493" s="4">
        <v>29.021999999999998</v>
      </c>
      <c r="AP493" s="4">
        <v>20.569800000000001</v>
      </c>
      <c r="AQ493" s="4">
        <v>25.165199999999999</v>
      </c>
      <c r="AR493" s="4">
        <v>3.6276099999999998</v>
      </c>
      <c r="AS493" s="4">
        <v>5.7974899999999998</v>
      </c>
      <c r="AT493" s="4">
        <v>6.1667399999999999</v>
      </c>
      <c r="AU493" s="4">
        <v>1.78379</v>
      </c>
      <c r="AV493" s="4">
        <v>4.6219000000000003E-2</v>
      </c>
      <c r="AW493" s="4">
        <v>-3.1112000000000001E-2</v>
      </c>
      <c r="AX493" s="4">
        <v>3.5969000000000001E-2</v>
      </c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1" t="s">
        <v>3599</v>
      </c>
      <c r="BJ493" s="1" t="s">
        <v>4113</v>
      </c>
      <c r="BK493" s="1">
        <v>1</v>
      </c>
      <c r="BL493" s="1"/>
      <c r="BM493" s="1" t="s">
        <v>633</v>
      </c>
      <c r="BN493" s="1" t="s">
        <v>2927</v>
      </c>
      <c r="BO493" s="1" t="s">
        <v>2928</v>
      </c>
      <c r="BP493" s="1">
        <v>6.29</v>
      </c>
      <c r="BQ493" s="1" t="s">
        <v>1003</v>
      </c>
      <c r="BR493" s="1">
        <v>22.978999999999999</v>
      </c>
      <c r="BS493" s="1">
        <v>120.7316</v>
      </c>
      <c r="BT493" s="1">
        <v>22.6</v>
      </c>
      <c r="BU493" s="1" t="s">
        <v>1028</v>
      </c>
      <c r="BV493" s="1" t="s">
        <v>2834</v>
      </c>
      <c r="BW493" s="1">
        <v>310</v>
      </c>
      <c r="BX493" s="1">
        <v>26</v>
      </c>
      <c r="BY493" s="1">
        <v>42</v>
      </c>
      <c r="BZ493" s="1">
        <v>181</v>
      </c>
      <c r="CA493" s="1">
        <v>72</v>
      </c>
      <c r="CB493" s="1">
        <v>110</v>
      </c>
      <c r="CC493" s="1" t="s">
        <v>2808</v>
      </c>
      <c r="CD493" s="1" t="s">
        <v>731</v>
      </c>
      <c r="CE493" s="1"/>
      <c r="CF493" s="1"/>
      <c r="CG493" s="1"/>
      <c r="CH493" s="1"/>
      <c r="CI493" s="1"/>
      <c r="CJ493" s="1" t="s">
        <v>2812</v>
      </c>
      <c r="CK493" t="s">
        <v>1263</v>
      </c>
      <c r="CL493">
        <v>250</v>
      </c>
      <c r="CM493" t="s">
        <v>2930</v>
      </c>
    </row>
    <row r="494" spans="1:91" ht="19" customHeight="1">
      <c r="A494" s="1" t="s">
        <v>4114</v>
      </c>
      <c r="B494" s="1" t="s">
        <v>3597</v>
      </c>
      <c r="C494" s="1">
        <v>251</v>
      </c>
      <c r="D494" s="1" t="s">
        <v>634</v>
      </c>
      <c r="E494" s="1">
        <v>2010</v>
      </c>
      <c r="F494" s="1" t="s">
        <v>1166</v>
      </c>
      <c r="G494" s="1" t="s">
        <v>1895</v>
      </c>
      <c r="H494" s="4">
        <v>23.29767</v>
      </c>
      <c r="I494" s="4">
        <v>120.2992</v>
      </c>
      <c r="J494" s="1" t="s">
        <v>1404</v>
      </c>
      <c r="K494" s="1" t="s">
        <v>70</v>
      </c>
      <c r="L494" s="1" t="s">
        <v>1896</v>
      </c>
      <c r="M494" s="1" t="s">
        <v>3598</v>
      </c>
      <c r="N494" s="1"/>
      <c r="O494" s="1" t="s">
        <v>3095</v>
      </c>
      <c r="P494" s="1"/>
      <c r="Q494" s="4">
        <v>6.29</v>
      </c>
      <c r="R494" s="4"/>
      <c r="S494" s="4"/>
      <c r="T494" s="4"/>
      <c r="U494" s="4"/>
      <c r="V494" s="4">
        <v>31.794350000000001</v>
      </c>
      <c r="W494" s="4"/>
      <c r="X494" s="4"/>
      <c r="Y494" s="4"/>
      <c r="Z494" s="4"/>
      <c r="AA494" s="4"/>
      <c r="AB494" s="4" t="s">
        <v>1028</v>
      </c>
      <c r="AC494" s="4"/>
      <c r="AD494" s="4">
        <v>22.978999999999999</v>
      </c>
      <c r="AE494" s="4">
        <v>120.7316</v>
      </c>
      <c r="AF494" s="4">
        <v>22.6</v>
      </c>
      <c r="AG494" s="4">
        <v>181.0514</v>
      </c>
      <c r="AH494" s="27" t="b">
        <v>1</v>
      </c>
      <c r="AI494" s="4">
        <v>1.8620000000000001</v>
      </c>
      <c r="AJ494" s="27" t="b">
        <v>0</v>
      </c>
      <c r="AK494" s="4"/>
      <c r="AL494" s="27" t="b">
        <v>0</v>
      </c>
      <c r="AM494" s="4">
        <v>159.94900000000001</v>
      </c>
      <c r="AN494" s="4">
        <v>163.23699999999999</v>
      </c>
      <c r="AO494" s="4">
        <v>31.31</v>
      </c>
      <c r="AP494" s="4">
        <v>32.658000000000001</v>
      </c>
      <c r="AQ494" s="4">
        <v>28.4831</v>
      </c>
      <c r="AR494" s="4">
        <v>6.9752799999999997</v>
      </c>
      <c r="AS494" s="4">
        <v>10.396599999999999</v>
      </c>
      <c r="AT494" s="4">
        <v>7.5800999999999998</v>
      </c>
      <c r="AU494" s="4">
        <v>3.6374200000000001</v>
      </c>
      <c r="AV494" s="4">
        <v>-3.4549999999999997E-2</v>
      </c>
      <c r="AW494" s="4">
        <v>-6.7723000000000005E-2</v>
      </c>
      <c r="AX494" s="4">
        <v>1.6833999999999998E-2</v>
      </c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1" t="s">
        <v>3599</v>
      </c>
      <c r="BJ494" s="1" t="s">
        <v>4115</v>
      </c>
      <c r="BK494" s="1">
        <v>1</v>
      </c>
      <c r="BL494" s="1"/>
      <c r="BM494" s="1" t="s">
        <v>633</v>
      </c>
      <c r="BN494" s="1" t="s">
        <v>2927</v>
      </c>
      <c r="BO494" s="1" t="s">
        <v>2928</v>
      </c>
      <c r="BP494" s="1">
        <v>6.29</v>
      </c>
      <c r="BQ494" s="1" t="s">
        <v>1003</v>
      </c>
      <c r="BR494" s="1">
        <v>22.978999999999999</v>
      </c>
      <c r="BS494" s="1">
        <v>120.7316</v>
      </c>
      <c r="BT494" s="1">
        <v>22.6</v>
      </c>
      <c r="BU494" s="1" t="s">
        <v>1028</v>
      </c>
      <c r="BV494" s="1" t="s">
        <v>2834</v>
      </c>
      <c r="BW494" s="1">
        <v>310</v>
      </c>
      <c r="BX494" s="1">
        <v>26</v>
      </c>
      <c r="BY494" s="1">
        <v>42</v>
      </c>
      <c r="BZ494" s="1">
        <v>181</v>
      </c>
      <c r="CA494" s="1">
        <v>72</v>
      </c>
      <c r="CB494" s="1">
        <v>110</v>
      </c>
      <c r="CC494" s="1" t="s">
        <v>2808</v>
      </c>
      <c r="CD494" s="1" t="s">
        <v>731</v>
      </c>
      <c r="CE494" s="1"/>
      <c r="CF494" s="1"/>
      <c r="CG494" s="1"/>
      <c r="CH494" s="1"/>
      <c r="CI494" s="1"/>
      <c r="CJ494" s="1" t="s">
        <v>2812</v>
      </c>
      <c r="CK494" t="s">
        <v>1263</v>
      </c>
      <c r="CL494">
        <v>251</v>
      </c>
      <c r="CM494" t="s">
        <v>2930</v>
      </c>
    </row>
    <row r="495" spans="1:91" ht="19" customHeight="1">
      <c r="A495" s="1" t="s">
        <v>4116</v>
      </c>
      <c r="B495" s="1" t="s">
        <v>3597</v>
      </c>
      <c r="C495" s="1">
        <v>252</v>
      </c>
      <c r="D495" s="1" t="s">
        <v>634</v>
      </c>
      <c r="E495" s="1">
        <v>2010</v>
      </c>
      <c r="F495" s="1" t="s">
        <v>1167</v>
      </c>
      <c r="G495" s="1" t="s">
        <v>1897</v>
      </c>
      <c r="H495" s="4">
        <v>23.420169999999999</v>
      </c>
      <c r="I495" s="4">
        <v>120.21380000000001</v>
      </c>
      <c r="J495" s="1" t="s">
        <v>1404</v>
      </c>
      <c r="K495" s="1" t="s">
        <v>70</v>
      </c>
      <c r="L495" s="1" t="s">
        <v>1898</v>
      </c>
      <c r="M495" s="1" t="s">
        <v>3598</v>
      </c>
      <c r="N495" s="1"/>
      <c r="O495" s="1" t="s">
        <v>3095</v>
      </c>
      <c r="P495" s="1"/>
      <c r="Q495" s="4">
        <v>6.29</v>
      </c>
      <c r="R495" s="4"/>
      <c r="S495" s="4"/>
      <c r="T495" s="4"/>
      <c r="U495" s="4"/>
      <c r="V495" s="4">
        <v>47.687190000000001</v>
      </c>
      <c r="W495" s="4"/>
      <c r="X495" s="4"/>
      <c r="Y495" s="4"/>
      <c r="Z495" s="4"/>
      <c r="AA495" s="4"/>
      <c r="AB495" s="4" t="s">
        <v>1028</v>
      </c>
      <c r="AC495" s="4"/>
      <c r="AD495" s="4">
        <v>22.978999999999999</v>
      </c>
      <c r="AE495" s="4">
        <v>120.7316</v>
      </c>
      <c r="AF495" s="4">
        <v>22.6</v>
      </c>
      <c r="AG495" s="4">
        <v>240.64490000000001</v>
      </c>
      <c r="AH495" s="27" t="b">
        <v>1</v>
      </c>
      <c r="AI495" s="4">
        <v>1.1479999999999999</v>
      </c>
      <c r="AJ495" s="27" t="b">
        <v>0</v>
      </c>
      <c r="AK495" s="4"/>
      <c r="AL495" s="27" t="b">
        <v>0</v>
      </c>
      <c r="AM495" s="4">
        <v>190.00399999999999</v>
      </c>
      <c r="AN495" s="4">
        <v>226.43199999999999</v>
      </c>
      <c r="AO495" s="4">
        <v>46.563000000000002</v>
      </c>
      <c r="AP495" s="4">
        <v>24.5306</v>
      </c>
      <c r="AQ495" s="4">
        <v>36.388599999999997</v>
      </c>
      <c r="AR495" s="4">
        <v>5.9566400000000002</v>
      </c>
      <c r="AS495" s="4">
        <v>4.91709</v>
      </c>
      <c r="AT495" s="4">
        <v>9.2232699999999994</v>
      </c>
      <c r="AU495" s="4">
        <v>2.6701999999999999</v>
      </c>
      <c r="AV495" s="4">
        <v>-1.217E-3</v>
      </c>
      <c r="AW495" s="4">
        <v>1.0889999999999999E-3</v>
      </c>
      <c r="AX495" s="4">
        <v>2.114E-3</v>
      </c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1" t="s">
        <v>3599</v>
      </c>
      <c r="BJ495" s="1" t="s">
        <v>4117</v>
      </c>
      <c r="BK495" s="1">
        <v>1</v>
      </c>
      <c r="BL495" s="1"/>
      <c r="BM495" s="1" t="s">
        <v>633</v>
      </c>
      <c r="BN495" s="1" t="s">
        <v>2927</v>
      </c>
      <c r="BO495" s="1" t="s">
        <v>2928</v>
      </c>
      <c r="BP495" s="1">
        <v>6.29</v>
      </c>
      <c r="BQ495" s="1" t="s">
        <v>1003</v>
      </c>
      <c r="BR495" s="1">
        <v>22.978999999999999</v>
      </c>
      <c r="BS495" s="1">
        <v>120.7316</v>
      </c>
      <c r="BT495" s="1">
        <v>22.6</v>
      </c>
      <c r="BU495" s="1" t="s">
        <v>1028</v>
      </c>
      <c r="BV495" s="1" t="s">
        <v>2834</v>
      </c>
      <c r="BW495" s="1">
        <v>310</v>
      </c>
      <c r="BX495" s="1">
        <v>26</v>
      </c>
      <c r="BY495" s="1">
        <v>42</v>
      </c>
      <c r="BZ495" s="1">
        <v>181</v>
      </c>
      <c r="CA495" s="1">
        <v>72</v>
      </c>
      <c r="CB495" s="1">
        <v>110</v>
      </c>
      <c r="CC495" s="1" t="s">
        <v>2808</v>
      </c>
      <c r="CD495" s="1" t="s">
        <v>731</v>
      </c>
      <c r="CE495" s="1"/>
      <c r="CF495" s="1"/>
      <c r="CG495" s="1"/>
      <c r="CH495" s="1"/>
      <c r="CI495" s="1"/>
      <c r="CJ495" s="1" t="s">
        <v>2812</v>
      </c>
      <c r="CK495" t="s">
        <v>1263</v>
      </c>
      <c r="CL495">
        <v>252</v>
      </c>
      <c r="CM495" t="s">
        <v>2930</v>
      </c>
    </row>
    <row r="496" spans="1:91" ht="19" customHeight="1">
      <c r="A496" s="1" t="s">
        <v>4118</v>
      </c>
      <c r="B496" s="1" t="s">
        <v>3597</v>
      </c>
      <c r="C496" s="1">
        <v>253</v>
      </c>
      <c r="D496" s="1" t="s">
        <v>634</v>
      </c>
      <c r="E496" s="1">
        <v>2010</v>
      </c>
      <c r="F496" s="1" t="s">
        <v>1168</v>
      </c>
      <c r="G496" s="1" t="s">
        <v>1899</v>
      </c>
      <c r="H496" s="4">
        <v>23.146999999999998</v>
      </c>
      <c r="I496" s="4">
        <v>120.08580000000001</v>
      </c>
      <c r="J496" s="1" t="s">
        <v>1404</v>
      </c>
      <c r="K496" s="1" t="s">
        <v>70</v>
      </c>
      <c r="L496" s="1" t="s">
        <v>1901</v>
      </c>
      <c r="M496" s="1" t="s">
        <v>3598</v>
      </c>
      <c r="N496" s="1"/>
      <c r="O496" s="1" t="s">
        <v>3095</v>
      </c>
      <c r="P496" s="1"/>
      <c r="Q496" s="4">
        <v>6.29</v>
      </c>
      <c r="R496" s="4"/>
      <c r="S496" s="4"/>
      <c r="T496" s="4"/>
      <c r="U496" s="4"/>
      <c r="V496" s="4">
        <v>34.500979999999998</v>
      </c>
      <c r="W496" s="4"/>
      <c r="X496" s="4"/>
      <c r="Y496" s="4"/>
      <c r="Z496" s="4"/>
      <c r="AA496" s="4"/>
      <c r="AB496" s="4" t="s">
        <v>1028</v>
      </c>
      <c r="AC496" s="4"/>
      <c r="AD496" s="4">
        <v>22.978999999999999</v>
      </c>
      <c r="AE496" s="4">
        <v>120.7316</v>
      </c>
      <c r="AF496" s="4">
        <v>22.6</v>
      </c>
      <c r="AG496" s="4">
        <v>206.31729999999999</v>
      </c>
      <c r="AH496" s="27" t="b">
        <v>1</v>
      </c>
      <c r="AI496" s="4">
        <v>1.5680000000000001</v>
      </c>
      <c r="AJ496" s="27" t="b">
        <v>0</v>
      </c>
      <c r="AK496" s="4"/>
      <c r="AL496" s="27" t="b">
        <v>0</v>
      </c>
      <c r="AM496" s="4">
        <v>130.93700000000001</v>
      </c>
      <c r="AN496" s="4">
        <v>141.48699999999999</v>
      </c>
      <c r="AO496" s="4">
        <v>26.481999999999999</v>
      </c>
      <c r="AP496" s="4">
        <v>22.387799999999999</v>
      </c>
      <c r="AQ496" s="4">
        <v>18.189699999999998</v>
      </c>
      <c r="AR496" s="4">
        <v>4.2697399999999996</v>
      </c>
      <c r="AS496" s="4">
        <v>5.82768</v>
      </c>
      <c r="AT496" s="4">
        <v>3.9990199999999998</v>
      </c>
      <c r="AU496" s="4">
        <v>3.41513</v>
      </c>
      <c r="AV496" s="4">
        <v>-0.64016600000000001</v>
      </c>
      <c r="AW496" s="4">
        <v>-2.8420999999999998E-2</v>
      </c>
      <c r="AX496" s="4">
        <v>-2.4883700000000002</v>
      </c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1" t="s">
        <v>3599</v>
      </c>
      <c r="BJ496" s="1" t="s">
        <v>4119</v>
      </c>
      <c r="BK496" s="1">
        <v>1</v>
      </c>
      <c r="BL496" s="1"/>
      <c r="BM496" s="1" t="s">
        <v>633</v>
      </c>
      <c r="BN496" s="1" t="s">
        <v>2927</v>
      </c>
      <c r="BO496" s="1" t="s">
        <v>2928</v>
      </c>
      <c r="BP496" s="1">
        <v>6.29</v>
      </c>
      <c r="BQ496" s="1" t="s">
        <v>1003</v>
      </c>
      <c r="BR496" s="1">
        <v>22.978999999999999</v>
      </c>
      <c r="BS496" s="1">
        <v>120.7316</v>
      </c>
      <c r="BT496" s="1">
        <v>22.6</v>
      </c>
      <c r="BU496" s="1" t="s">
        <v>1028</v>
      </c>
      <c r="BV496" s="1" t="s">
        <v>2834</v>
      </c>
      <c r="BW496" s="1">
        <v>310</v>
      </c>
      <c r="BX496" s="1">
        <v>26</v>
      </c>
      <c r="BY496" s="1">
        <v>42</v>
      </c>
      <c r="BZ496" s="1">
        <v>181</v>
      </c>
      <c r="CA496" s="1">
        <v>72</v>
      </c>
      <c r="CB496" s="1">
        <v>110</v>
      </c>
      <c r="CC496" s="1" t="s">
        <v>2808</v>
      </c>
      <c r="CD496" s="1" t="s">
        <v>731</v>
      </c>
      <c r="CE496" s="1"/>
      <c r="CF496" s="1"/>
      <c r="CG496" s="1"/>
      <c r="CH496" s="1"/>
      <c r="CI496" s="1"/>
      <c r="CJ496" s="1" t="s">
        <v>2812</v>
      </c>
      <c r="CK496" t="s">
        <v>1263</v>
      </c>
      <c r="CL496">
        <v>253</v>
      </c>
      <c r="CM496" t="s">
        <v>2930</v>
      </c>
    </row>
    <row r="497" spans="1:91" ht="19" customHeight="1">
      <c r="A497" s="1" t="s">
        <v>4120</v>
      </c>
      <c r="B497" s="1" t="s">
        <v>3597</v>
      </c>
      <c r="C497" s="1">
        <v>254</v>
      </c>
      <c r="D497" s="1" t="s">
        <v>634</v>
      </c>
      <c r="E497" s="1">
        <v>2010</v>
      </c>
      <c r="F497" s="1" t="s">
        <v>1169</v>
      </c>
      <c r="G497" s="1" t="s">
        <v>1904</v>
      </c>
      <c r="H497" s="4">
        <v>23.32283</v>
      </c>
      <c r="I497" s="4">
        <v>120.3095</v>
      </c>
      <c r="J497" s="1" t="s">
        <v>1404</v>
      </c>
      <c r="K497" s="1" t="s">
        <v>70</v>
      </c>
      <c r="L497" s="1" t="s">
        <v>1905</v>
      </c>
      <c r="M497" s="1" t="s">
        <v>3598</v>
      </c>
      <c r="N497" s="1"/>
      <c r="O497" s="1" t="s">
        <v>3095</v>
      </c>
      <c r="P497" s="1"/>
      <c r="Q497" s="4">
        <v>6.29</v>
      </c>
      <c r="R497" s="4"/>
      <c r="S497" s="4"/>
      <c r="T497" s="4"/>
      <c r="U497" s="4"/>
      <c r="V497" s="4">
        <v>33.795450000000002</v>
      </c>
      <c r="W497" s="4"/>
      <c r="X497" s="4"/>
      <c r="Y497" s="4"/>
      <c r="Z497" s="4"/>
      <c r="AA497" s="4"/>
      <c r="AB497" s="4" t="s">
        <v>1028</v>
      </c>
      <c r="AC497" s="4"/>
      <c r="AD497" s="4">
        <v>22.978999999999999</v>
      </c>
      <c r="AE497" s="4">
        <v>120.7316</v>
      </c>
      <c r="AF497" s="4">
        <v>22.6</v>
      </c>
      <c r="AG497" s="4">
        <v>224.97620000000001</v>
      </c>
      <c r="AH497" s="27" t="b">
        <v>1</v>
      </c>
      <c r="AI497" s="4">
        <v>1.708</v>
      </c>
      <c r="AJ497" s="27" t="b">
        <v>0</v>
      </c>
      <c r="AK497" s="4"/>
      <c r="AL497" s="27" t="b">
        <v>0</v>
      </c>
      <c r="AM497" s="4">
        <v>114.111</v>
      </c>
      <c r="AN497" s="4">
        <v>156.56100000000001</v>
      </c>
      <c r="AO497" s="4">
        <v>38.027999999999999</v>
      </c>
      <c r="AP497" s="4">
        <v>23.941299999999998</v>
      </c>
      <c r="AQ497" s="4">
        <v>32.352600000000002</v>
      </c>
      <c r="AR497" s="4">
        <v>7.0585300000000002</v>
      </c>
      <c r="AS497" s="4">
        <v>8.0947700000000005</v>
      </c>
      <c r="AT497" s="4">
        <v>9.1160399999999999</v>
      </c>
      <c r="AU497" s="4">
        <v>3.8623500000000002</v>
      </c>
      <c r="AV497" s="4">
        <v>-2.7500000000000002E-4</v>
      </c>
      <c r="AW497" s="4">
        <v>2.0775999999999999E-2</v>
      </c>
      <c r="AX497" s="4">
        <v>-3.0197000000000002E-2</v>
      </c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1" t="s">
        <v>3599</v>
      </c>
      <c r="BJ497" s="1" t="s">
        <v>4121</v>
      </c>
      <c r="BK497" s="1">
        <v>1</v>
      </c>
      <c r="BL497" s="1"/>
      <c r="BM497" s="1" t="s">
        <v>633</v>
      </c>
      <c r="BN497" s="1" t="s">
        <v>2927</v>
      </c>
      <c r="BO497" s="1" t="s">
        <v>2928</v>
      </c>
      <c r="BP497" s="1">
        <v>6.29</v>
      </c>
      <c r="BQ497" s="1" t="s">
        <v>1003</v>
      </c>
      <c r="BR497" s="1">
        <v>22.978999999999999</v>
      </c>
      <c r="BS497" s="1">
        <v>120.7316</v>
      </c>
      <c r="BT497" s="1">
        <v>22.6</v>
      </c>
      <c r="BU497" s="1" t="s">
        <v>1028</v>
      </c>
      <c r="BV497" s="1" t="s">
        <v>2834</v>
      </c>
      <c r="BW497" s="1">
        <v>310</v>
      </c>
      <c r="BX497" s="1">
        <v>26</v>
      </c>
      <c r="BY497" s="1">
        <v>42</v>
      </c>
      <c r="BZ497" s="1">
        <v>181</v>
      </c>
      <c r="CA497" s="1">
        <v>72</v>
      </c>
      <c r="CB497" s="1">
        <v>110</v>
      </c>
      <c r="CC497" s="1" t="s">
        <v>2808</v>
      </c>
      <c r="CD497" s="1" t="s">
        <v>731</v>
      </c>
      <c r="CE497" s="1"/>
      <c r="CF497" s="1"/>
      <c r="CG497" s="1"/>
      <c r="CH497" s="1"/>
      <c r="CI497" s="1"/>
      <c r="CJ497" s="1" t="s">
        <v>2812</v>
      </c>
      <c r="CK497" t="s">
        <v>1263</v>
      </c>
      <c r="CL497">
        <v>254</v>
      </c>
      <c r="CM497" t="s">
        <v>2930</v>
      </c>
    </row>
    <row r="498" spans="1:91" ht="19" customHeight="1">
      <c r="A498" s="1" t="s">
        <v>4122</v>
      </c>
      <c r="B498" s="1" t="s">
        <v>3597</v>
      </c>
      <c r="C498" s="1">
        <v>255</v>
      </c>
      <c r="D498" s="1" t="s">
        <v>634</v>
      </c>
      <c r="E498" s="1">
        <v>2010</v>
      </c>
      <c r="F498" s="1" t="s">
        <v>1170</v>
      </c>
      <c r="G498" s="1" t="s">
        <v>1906</v>
      </c>
      <c r="H498" s="4">
        <v>23.483499999999999</v>
      </c>
      <c r="I498" s="4">
        <v>120.23950000000001</v>
      </c>
      <c r="J498" s="1" t="s">
        <v>1404</v>
      </c>
      <c r="K498" s="1" t="s">
        <v>70</v>
      </c>
      <c r="L498" s="1" t="s">
        <v>1907</v>
      </c>
      <c r="M498" s="1" t="s">
        <v>3598</v>
      </c>
      <c r="N498" s="1"/>
      <c r="O498" s="1" t="s">
        <v>3095</v>
      </c>
      <c r="P498" s="1"/>
      <c r="Q498" s="4">
        <v>6.29</v>
      </c>
      <c r="R498" s="4"/>
      <c r="S498" s="4"/>
      <c r="T498" s="4"/>
      <c r="U498" s="4"/>
      <c r="V498" s="4">
        <v>52.573830000000001</v>
      </c>
      <c r="W498" s="4"/>
      <c r="X498" s="4"/>
      <c r="Y498" s="4"/>
      <c r="Z498" s="4"/>
      <c r="AA498" s="4"/>
      <c r="AB498" s="4" t="s">
        <v>1028</v>
      </c>
      <c r="AC498" s="4"/>
      <c r="AD498" s="4">
        <v>22.978999999999999</v>
      </c>
      <c r="AE498" s="4">
        <v>120.7316</v>
      </c>
      <c r="AF498" s="4">
        <v>22.6</v>
      </c>
      <c r="AG498" s="4">
        <v>212.44909999999999</v>
      </c>
      <c r="AH498" s="27" t="b">
        <v>1</v>
      </c>
      <c r="AI498" s="4">
        <v>1.1619999999999999</v>
      </c>
      <c r="AJ498" s="27" t="b">
        <v>0</v>
      </c>
      <c r="AK498" s="4"/>
      <c r="AL498" s="27" t="b">
        <v>0</v>
      </c>
      <c r="AM498" s="4">
        <v>150.09299999999999</v>
      </c>
      <c r="AN498" s="4">
        <v>173.22499999999999</v>
      </c>
      <c r="AO498" s="4">
        <v>27.266999999999999</v>
      </c>
      <c r="AP498" s="4">
        <v>17.727599999999999</v>
      </c>
      <c r="AQ498" s="4">
        <v>26.651800000000001</v>
      </c>
      <c r="AR498" s="4">
        <v>3.04976</v>
      </c>
      <c r="AS498" s="4">
        <v>5.4500400000000004</v>
      </c>
      <c r="AT498" s="4">
        <v>5.7839700000000001</v>
      </c>
      <c r="AU498" s="4">
        <v>1.7589900000000001</v>
      </c>
      <c r="AV498" s="4">
        <v>-0.31625900000000001</v>
      </c>
      <c r="AW498" s="4">
        <v>-0.50316300000000003</v>
      </c>
      <c r="AX498" s="4">
        <v>0.226108</v>
      </c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1" t="s">
        <v>3599</v>
      </c>
      <c r="BJ498" s="1" t="s">
        <v>4123</v>
      </c>
      <c r="BK498" s="1">
        <v>1</v>
      </c>
      <c r="BL498" s="1"/>
      <c r="BM498" s="1" t="s">
        <v>633</v>
      </c>
      <c r="BN498" s="1" t="s">
        <v>2927</v>
      </c>
      <c r="BO498" s="1" t="s">
        <v>2928</v>
      </c>
      <c r="BP498" s="1">
        <v>6.29</v>
      </c>
      <c r="BQ498" s="1" t="s">
        <v>1003</v>
      </c>
      <c r="BR498" s="1">
        <v>22.978999999999999</v>
      </c>
      <c r="BS498" s="1">
        <v>120.7316</v>
      </c>
      <c r="BT498" s="1">
        <v>22.6</v>
      </c>
      <c r="BU498" s="1" t="s">
        <v>1028</v>
      </c>
      <c r="BV498" s="1" t="s">
        <v>2834</v>
      </c>
      <c r="BW498" s="1">
        <v>310</v>
      </c>
      <c r="BX498" s="1">
        <v>26</v>
      </c>
      <c r="BY498" s="1">
        <v>42</v>
      </c>
      <c r="BZ498" s="1">
        <v>181</v>
      </c>
      <c r="CA498" s="1">
        <v>72</v>
      </c>
      <c r="CB498" s="1">
        <v>110</v>
      </c>
      <c r="CC498" s="1" t="s">
        <v>2808</v>
      </c>
      <c r="CD498" s="1" t="s">
        <v>731</v>
      </c>
      <c r="CE498" s="1"/>
      <c r="CF498" s="1"/>
      <c r="CG498" s="1"/>
      <c r="CH498" s="1"/>
      <c r="CI498" s="1"/>
      <c r="CJ498" s="1" t="s">
        <v>2812</v>
      </c>
      <c r="CK498" t="s">
        <v>1263</v>
      </c>
      <c r="CL498">
        <v>255</v>
      </c>
      <c r="CM498" t="s">
        <v>2930</v>
      </c>
    </row>
    <row r="499" spans="1:91" ht="19" customHeight="1">
      <c r="A499" s="1" t="s">
        <v>4124</v>
      </c>
      <c r="B499" s="1" t="s">
        <v>3597</v>
      </c>
      <c r="C499" s="1">
        <v>256</v>
      </c>
      <c r="D499" s="1" t="s">
        <v>634</v>
      </c>
      <c r="E499" s="1">
        <v>2010</v>
      </c>
      <c r="F499" s="1" t="s">
        <v>1171</v>
      </c>
      <c r="G499" s="1" t="s">
        <v>1910</v>
      </c>
      <c r="H499" s="4">
        <v>23.294499999999999</v>
      </c>
      <c r="I499" s="4">
        <v>120.3867</v>
      </c>
      <c r="J499" s="1" t="s">
        <v>1404</v>
      </c>
      <c r="K499" s="1" t="s">
        <v>70</v>
      </c>
      <c r="L499" s="1" t="s">
        <v>1911</v>
      </c>
      <c r="M499" s="1" t="s">
        <v>3598</v>
      </c>
      <c r="N499" s="1"/>
      <c r="O499" s="1" t="s">
        <v>3095</v>
      </c>
      <c r="P499" s="1"/>
      <c r="Q499" s="4">
        <v>6.29</v>
      </c>
      <c r="R499" s="4"/>
      <c r="S499" s="4"/>
      <c r="T499" s="4"/>
      <c r="U499" s="4"/>
      <c r="V499" s="4">
        <v>28.142230000000001</v>
      </c>
      <c r="W499" s="4"/>
      <c r="X499" s="4"/>
      <c r="Y499" s="4"/>
      <c r="Z499" s="4"/>
      <c r="AA499" s="4"/>
      <c r="AB499" s="4" t="s">
        <v>1028</v>
      </c>
      <c r="AC499" s="4"/>
      <c r="AD499" s="4">
        <v>22.978999999999999</v>
      </c>
      <c r="AE499" s="4">
        <v>120.7316</v>
      </c>
      <c r="AF499" s="4">
        <v>22.6</v>
      </c>
      <c r="AG499" s="4">
        <v>253.85120000000001</v>
      </c>
      <c r="AH499" s="27" t="b">
        <v>1</v>
      </c>
      <c r="AI499" s="4">
        <v>2.9889999999999999</v>
      </c>
      <c r="AJ499" s="27" t="b">
        <v>0</v>
      </c>
      <c r="AK499" s="4"/>
      <c r="AL499" s="27" t="b">
        <v>0</v>
      </c>
      <c r="AM499" s="4">
        <v>174.96899999999999</v>
      </c>
      <c r="AN499" s="4">
        <v>203.93799999999999</v>
      </c>
      <c r="AO499" s="4">
        <v>34.847000000000001</v>
      </c>
      <c r="AP499" s="4">
        <v>35.752800000000001</v>
      </c>
      <c r="AQ499" s="4">
        <v>26.6144</v>
      </c>
      <c r="AR499" s="4">
        <v>11.4171</v>
      </c>
      <c r="AS499" s="4">
        <v>9.8267199999999999</v>
      </c>
      <c r="AT499" s="4">
        <v>6.1083699999999999</v>
      </c>
      <c r="AU499" s="4">
        <v>4.3120000000000003</v>
      </c>
      <c r="AV499" s="4">
        <v>-6.2645000000000006E-2</v>
      </c>
      <c r="AW499" s="4">
        <v>-6.8916000000000005E-2</v>
      </c>
      <c r="AX499" s="4">
        <v>5.8692000000000001E-2</v>
      </c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1" t="s">
        <v>3599</v>
      </c>
      <c r="BJ499" s="1" t="s">
        <v>4125</v>
      </c>
      <c r="BK499" s="1">
        <v>1</v>
      </c>
      <c r="BL499" s="1"/>
      <c r="BM499" s="1" t="s">
        <v>633</v>
      </c>
      <c r="BN499" s="1" t="s">
        <v>2927</v>
      </c>
      <c r="BO499" s="1" t="s">
        <v>2928</v>
      </c>
      <c r="BP499" s="1">
        <v>6.29</v>
      </c>
      <c r="BQ499" s="1" t="s">
        <v>1003</v>
      </c>
      <c r="BR499" s="1">
        <v>22.978999999999999</v>
      </c>
      <c r="BS499" s="1">
        <v>120.7316</v>
      </c>
      <c r="BT499" s="1">
        <v>22.6</v>
      </c>
      <c r="BU499" s="1" t="s">
        <v>1028</v>
      </c>
      <c r="BV499" s="1" t="s">
        <v>2834</v>
      </c>
      <c r="BW499" s="1">
        <v>310</v>
      </c>
      <c r="BX499" s="1">
        <v>26</v>
      </c>
      <c r="BY499" s="1">
        <v>42</v>
      </c>
      <c r="BZ499" s="1">
        <v>181</v>
      </c>
      <c r="CA499" s="1">
        <v>72</v>
      </c>
      <c r="CB499" s="1">
        <v>110</v>
      </c>
      <c r="CC499" s="1" t="s">
        <v>2808</v>
      </c>
      <c r="CD499" s="1" t="s">
        <v>731</v>
      </c>
      <c r="CE499" s="1"/>
      <c r="CF499" s="1"/>
      <c r="CG499" s="1"/>
      <c r="CH499" s="1"/>
      <c r="CI499" s="1"/>
      <c r="CJ499" s="1" t="s">
        <v>2812</v>
      </c>
      <c r="CK499" t="s">
        <v>1263</v>
      </c>
      <c r="CL499">
        <v>256</v>
      </c>
      <c r="CM499" t="s">
        <v>2930</v>
      </c>
    </row>
    <row r="500" spans="1:91" ht="19" customHeight="1">
      <c r="A500" s="1" t="s">
        <v>4126</v>
      </c>
      <c r="B500" s="1" t="s">
        <v>3597</v>
      </c>
      <c r="C500" s="1">
        <v>257</v>
      </c>
      <c r="D500" s="1" t="s">
        <v>634</v>
      </c>
      <c r="E500" s="1">
        <v>2010</v>
      </c>
      <c r="F500" s="1" t="s">
        <v>1172</v>
      </c>
      <c r="G500" s="1" t="s">
        <v>1912</v>
      </c>
      <c r="H500" s="4">
        <v>23.292670000000001</v>
      </c>
      <c r="I500" s="4">
        <v>120.244</v>
      </c>
      <c r="J500" s="1" t="s">
        <v>1404</v>
      </c>
      <c r="K500" s="1" t="s">
        <v>70</v>
      </c>
      <c r="L500" s="1" t="s">
        <v>1913</v>
      </c>
      <c r="M500" s="1" t="s">
        <v>3598</v>
      </c>
      <c r="N500" s="1"/>
      <c r="O500" s="1" t="s">
        <v>3095</v>
      </c>
      <c r="P500" s="1"/>
      <c r="Q500" s="4">
        <v>6.29</v>
      </c>
      <c r="R500" s="4"/>
      <c r="S500" s="4"/>
      <c r="T500" s="4"/>
      <c r="U500" s="4"/>
      <c r="V500" s="4">
        <v>33.986379999999997</v>
      </c>
      <c r="W500" s="4"/>
      <c r="X500" s="4"/>
      <c r="Y500" s="4"/>
      <c r="Z500" s="4"/>
      <c r="AA500" s="4"/>
      <c r="AB500" s="4" t="s">
        <v>1028</v>
      </c>
      <c r="AC500" s="4"/>
      <c r="AD500" s="4">
        <v>22.978999999999999</v>
      </c>
      <c r="AE500" s="4">
        <v>120.7316</v>
      </c>
      <c r="AF500" s="4">
        <v>22.6</v>
      </c>
      <c r="AG500" s="4">
        <v>210.34190000000001</v>
      </c>
      <c r="AH500" s="27" t="b">
        <v>1</v>
      </c>
      <c r="AI500" s="4">
        <v>1.806</v>
      </c>
      <c r="AJ500" s="27" t="b">
        <v>0</v>
      </c>
      <c r="AK500" s="4"/>
      <c r="AL500" s="27" t="b">
        <v>0</v>
      </c>
      <c r="AM500" s="4">
        <v>89.745000000000005</v>
      </c>
      <c r="AN500" s="4">
        <v>147.399</v>
      </c>
      <c r="AO500" s="4">
        <v>28.085999999999999</v>
      </c>
      <c r="AP500" s="4">
        <v>18.9056</v>
      </c>
      <c r="AQ500" s="4">
        <v>32.186900000000001</v>
      </c>
      <c r="AR500" s="4">
        <v>4.9344900000000003</v>
      </c>
      <c r="AS500" s="4">
        <v>7.3064099999999996</v>
      </c>
      <c r="AT500" s="4">
        <v>7.4520200000000001</v>
      </c>
      <c r="AU500" s="4">
        <v>2.5872899999999999</v>
      </c>
      <c r="AV500" s="4">
        <v>2.9599E-2</v>
      </c>
      <c r="AW500" s="4">
        <v>2.3622000000000001E-2</v>
      </c>
      <c r="AX500" s="4">
        <v>0.1148</v>
      </c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1" t="s">
        <v>3599</v>
      </c>
      <c r="BJ500" s="1" t="s">
        <v>4127</v>
      </c>
      <c r="BK500" s="1">
        <v>1</v>
      </c>
      <c r="BL500" s="1"/>
      <c r="BM500" s="1" t="s">
        <v>633</v>
      </c>
      <c r="BN500" s="1" t="s">
        <v>2927</v>
      </c>
      <c r="BO500" s="1" t="s">
        <v>2928</v>
      </c>
      <c r="BP500" s="1">
        <v>6.29</v>
      </c>
      <c r="BQ500" s="1" t="s">
        <v>1003</v>
      </c>
      <c r="BR500" s="1">
        <v>22.978999999999999</v>
      </c>
      <c r="BS500" s="1">
        <v>120.7316</v>
      </c>
      <c r="BT500" s="1">
        <v>22.6</v>
      </c>
      <c r="BU500" s="1" t="s">
        <v>1028</v>
      </c>
      <c r="BV500" s="1" t="s">
        <v>2834</v>
      </c>
      <c r="BW500" s="1">
        <v>310</v>
      </c>
      <c r="BX500" s="1">
        <v>26</v>
      </c>
      <c r="BY500" s="1">
        <v>42</v>
      </c>
      <c r="BZ500" s="1">
        <v>181</v>
      </c>
      <c r="CA500" s="1">
        <v>72</v>
      </c>
      <c r="CB500" s="1">
        <v>110</v>
      </c>
      <c r="CC500" s="1" t="s">
        <v>2808</v>
      </c>
      <c r="CD500" s="1" t="s">
        <v>731</v>
      </c>
      <c r="CE500" s="1"/>
      <c r="CF500" s="1"/>
      <c r="CG500" s="1"/>
      <c r="CH500" s="1"/>
      <c r="CI500" s="1"/>
      <c r="CJ500" s="1" t="s">
        <v>2812</v>
      </c>
      <c r="CK500" t="s">
        <v>1263</v>
      </c>
      <c r="CL500">
        <v>257</v>
      </c>
      <c r="CM500" t="s">
        <v>2930</v>
      </c>
    </row>
    <row r="501" spans="1:91" ht="19" customHeight="1">
      <c r="A501" s="1" t="s">
        <v>4128</v>
      </c>
      <c r="B501" s="1" t="s">
        <v>3597</v>
      </c>
      <c r="C501" s="1">
        <v>258</v>
      </c>
      <c r="D501" s="1" t="s">
        <v>634</v>
      </c>
      <c r="E501" s="1">
        <v>2010</v>
      </c>
      <c r="F501" s="1" t="s">
        <v>1173</v>
      </c>
      <c r="G501" s="1" t="s">
        <v>1914</v>
      </c>
      <c r="H501" s="4">
        <v>23.119700000000002</v>
      </c>
      <c r="I501" s="4">
        <v>120.3613</v>
      </c>
      <c r="J501" s="1" t="s">
        <v>1404</v>
      </c>
      <c r="K501" s="1" t="s">
        <v>70</v>
      </c>
      <c r="L501" s="1" t="s">
        <v>1916</v>
      </c>
      <c r="M501" s="1" t="s">
        <v>3598</v>
      </c>
      <c r="N501" s="1"/>
      <c r="O501" s="1" t="s">
        <v>3095</v>
      </c>
      <c r="P501" s="1"/>
      <c r="Q501" s="4">
        <v>6.29</v>
      </c>
      <c r="R501" s="4"/>
      <c r="S501" s="4"/>
      <c r="T501" s="4"/>
      <c r="U501" s="4"/>
      <c r="V501" s="4">
        <v>11.535399999999999</v>
      </c>
      <c r="W501" s="4"/>
      <c r="X501" s="4"/>
      <c r="Y501" s="4"/>
      <c r="Z501" s="4"/>
      <c r="AA501" s="4"/>
      <c r="AB501" s="4" t="s">
        <v>1028</v>
      </c>
      <c r="AC501" s="4"/>
      <c r="AD501" s="4">
        <v>22.978999999999999</v>
      </c>
      <c r="AE501" s="4">
        <v>120.7316</v>
      </c>
      <c r="AF501" s="4">
        <v>22.6</v>
      </c>
      <c r="AG501" s="4">
        <v>457.69</v>
      </c>
      <c r="AH501" s="27" t="b">
        <v>1</v>
      </c>
      <c r="AI501" s="4">
        <v>2.891</v>
      </c>
      <c r="AJ501" s="27" t="b">
        <v>0</v>
      </c>
      <c r="AK501" s="4"/>
      <c r="AL501" s="27" t="b">
        <v>0</v>
      </c>
      <c r="AM501" s="4">
        <v>163.16532599999999</v>
      </c>
      <c r="AN501" s="4">
        <v>136.76641499999999</v>
      </c>
      <c r="AO501" s="4">
        <v>143.096868</v>
      </c>
      <c r="AP501" s="4">
        <v>31.088429999999999</v>
      </c>
      <c r="AQ501" s="4">
        <v>15.173655</v>
      </c>
      <c r="AR501" s="4">
        <v>13.339755</v>
      </c>
      <c r="AS501" s="4">
        <v>11.562950000000001</v>
      </c>
      <c r="AT501" s="4">
        <v>4.1340409999999999</v>
      </c>
      <c r="AU501" s="4">
        <v>5.6593619999999998</v>
      </c>
      <c r="AV501" s="4">
        <v>7.7499999999999997E-4</v>
      </c>
      <c r="AW501" s="4">
        <v>3.4417999999999997E-2</v>
      </c>
      <c r="AX501" s="4">
        <v>-5.3020000000000003E-3</v>
      </c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1" t="s">
        <v>3599</v>
      </c>
      <c r="BJ501" s="1" t="s">
        <v>4129</v>
      </c>
      <c r="BK501" s="1">
        <v>1</v>
      </c>
      <c r="BL501" s="1"/>
      <c r="BM501" s="1" t="s">
        <v>633</v>
      </c>
      <c r="BN501" s="1" t="s">
        <v>2927</v>
      </c>
      <c r="BO501" s="1" t="s">
        <v>2928</v>
      </c>
      <c r="BP501" s="1">
        <v>6.29</v>
      </c>
      <c r="BQ501" s="1" t="s">
        <v>1003</v>
      </c>
      <c r="BR501" s="1">
        <v>22.978999999999999</v>
      </c>
      <c r="BS501" s="1">
        <v>120.7316</v>
      </c>
      <c r="BT501" s="1">
        <v>22.6</v>
      </c>
      <c r="BU501" s="1" t="s">
        <v>1028</v>
      </c>
      <c r="BV501" s="1" t="s">
        <v>2834</v>
      </c>
      <c r="BW501" s="1">
        <v>310</v>
      </c>
      <c r="BX501" s="1">
        <v>26</v>
      </c>
      <c r="BY501" s="1">
        <v>42</v>
      </c>
      <c r="BZ501" s="1">
        <v>181</v>
      </c>
      <c r="CA501" s="1">
        <v>72</v>
      </c>
      <c r="CB501" s="1">
        <v>110</v>
      </c>
      <c r="CC501" s="1" t="s">
        <v>2808</v>
      </c>
      <c r="CD501" s="1" t="s">
        <v>731</v>
      </c>
      <c r="CE501" s="1"/>
      <c r="CF501" s="1"/>
      <c r="CG501" s="1"/>
      <c r="CH501" s="1"/>
      <c r="CI501" s="1"/>
      <c r="CJ501" s="1" t="s">
        <v>2812</v>
      </c>
      <c r="CK501" t="s">
        <v>1263</v>
      </c>
      <c r="CL501">
        <v>258</v>
      </c>
      <c r="CM501" t="s">
        <v>2930</v>
      </c>
    </row>
    <row r="502" spans="1:91" ht="19" customHeight="1">
      <c r="A502" s="1" t="s">
        <v>4130</v>
      </c>
      <c r="B502" s="1" t="s">
        <v>3597</v>
      </c>
      <c r="C502" s="1">
        <v>259</v>
      </c>
      <c r="D502" s="1" t="s">
        <v>634</v>
      </c>
      <c r="E502" s="1">
        <v>2010</v>
      </c>
      <c r="F502" s="1" t="s">
        <v>1174</v>
      </c>
      <c r="G502" s="1" t="s">
        <v>1917</v>
      </c>
      <c r="H502" s="4">
        <v>23.347329999999999</v>
      </c>
      <c r="I502" s="4">
        <v>120.2227</v>
      </c>
      <c r="J502" s="1" t="s">
        <v>1404</v>
      </c>
      <c r="K502" s="1" t="s">
        <v>70</v>
      </c>
      <c r="L502" s="1" t="s">
        <v>1918</v>
      </c>
      <c r="M502" s="1" t="s">
        <v>3598</v>
      </c>
      <c r="N502" s="1"/>
      <c r="O502" s="1" t="s">
        <v>3095</v>
      </c>
      <c r="P502" s="1"/>
      <c r="Q502" s="4">
        <v>6.29</v>
      </c>
      <c r="R502" s="4"/>
      <c r="S502" s="4"/>
      <c r="T502" s="4"/>
      <c r="U502" s="4"/>
      <c r="V502" s="4">
        <v>40.274970000000003</v>
      </c>
      <c r="W502" s="4"/>
      <c r="X502" s="4"/>
      <c r="Y502" s="4"/>
      <c r="Z502" s="4"/>
      <c r="AA502" s="4"/>
      <c r="AB502" s="4" t="s">
        <v>1028</v>
      </c>
      <c r="AC502" s="4"/>
      <c r="AD502" s="4">
        <v>22.978999999999999</v>
      </c>
      <c r="AE502" s="4">
        <v>120.7316</v>
      </c>
      <c r="AF502" s="4">
        <v>22.6</v>
      </c>
      <c r="AG502" s="4">
        <v>215.9213</v>
      </c>
      <c r="AH502" s="27" t="b">
        <v>1</v>
      </c>
      <c r="AI502" s="4">
        <v>1.3720000000000001</v>
      </c>
      <c r="AJ502" s="27" t="b">
        <v>0</v>
      </c>
      <c r="AK502" s="4"/>
      <c r="AL502" s="27" t="b">
        <v>0</v>
      </c>
      <c r="AM502" s="4">
        <v>105.28700000000001</v>
      </c>
      <c r="AN502" s="4">
        <v>156.66499999999999</v>
      </c>
      <c r="AO502" s="4">
        <v>18.937999999999999</v>
      </c>
      <c r="AP502" s="4">
        <v>25.027100000000001</v>
      </c>
      <c r="AQ502" s="4">
        <v>30.001000000000001</v>
      </c>
      <c r="AR502" s="4">
        <v>3.9918499999999999</v>
      </c>
      <c r="AS502" s="4">
        <v>6.86015</v>
      </c>
      <c r="AT502" s="4">
        <v>8.7479899999999997</v>
      </c>
      <c r="AU502" s="4">
        <v>2.16445</v>
      </c>
      <c r="AV502" s="4">
        <v>0.25458900000000001</v>
      </c>
      <c r="AW502" s="4">
        <v>-0.192134</v>
      </c>
      <c r="AX502" s="4">
        <v>-0.14907100000000001</v>
      </c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1" t="s">
        <v>3599</v>
      </c>
      <c r="BJ502" s="1" t="s">
        <v>4131</v>
      </c>
      <c r="BK502" s="1">
        <v>1</v>
      </c>
      <c r="BL502" s="1"/>
      <c r="BM502" s="1" t="s">
        <v>633</v>
      </c>
      <c r="BN502" s="1" t="s">
        <v>2927</v>
      </c>
      <c r="BO502" s="1" t="s">
        <v>2928</v>
      </c>
      <c r="BP502" s="1">
        <v>6.29</v>
      </c>
      <c r="BQ502" s="1" t="s">
        <v>1003</v>
      </c>
      <c r="BR502" s="1">
        <v>22.978999999999999</v>
      </c>
      <c r="BS502" s="1">
        <v>120.7316</v>
      </c>
      <c r="BT502" s="1">
        <v>22.6</v>
      </c>
      <c r="BU502" s="1" t="s">
        <v>1028</v>
      </c>
      <c r="BV502" s="1" t="s">
        <v>2834</v>
      </c>
      <c r="BW502" s="1">
        <v>310</v>
      </c>
      <c r="BX502" s="1">
        <v>26</v>
      </c>
      <c r="BY502" s="1">
        <v>42</v>
      </c>
      <c r="BZ502" s="1">
        <v>181</v>
      </c>
      <c r="CA502" s="1">
        <v>72</v>
      </c>
      <c r="CB502" s="1">
        <v>110</v>
      </c>
      <c r="CC502" s="1" t="s">
        <v>2808</v>
      </c>
      <c r="CD502" s="1" t="s">
        <v>731</v>
      </c>
      <c r="CE502" s="1"/>
      <c r="CF502" s="1"/>
      <c r="CG502" s="1"/>
      <c r="CH502" s="1"/>
      <c r="CI502" s="1"/>
      <c r="CJ502" s="1" t="s">
        <v>2812</v>
      </c>
      <c r="CK502" t="s">
        <v>1263</v>
      </c>
      <c r="CL502">
        <v>259</v>
      </c>
      <c r="CM502" t="s">
        <v>2930</v>
      </c>
    </row>
    <row r="503" spans="1:91" ht="19" customHeight="1">
      <c r="A503" s="1" t="s">
        <v>4132</v>
      </c>
      <c r="B503" s="1" t="s">
        <v>3597</v>
      </c>
      <c r="C503" s="1">
        <v>260</v>
      </c>
      <c r="D503" s="1" t="s">
        <v>1175</v>
      </c>
      <c r="E503" s="1">
        <v>2011</v>
      </c>
      <c r="F503" s="1" t="s">
        <v>1149</v>
      </c>
      <c r="G503" s="1" t="s">
        <v>1595</v>
      </c>
      <c r="H503" s="4">
        <v>-43.523600000000002</v>
      </c>
      <c r="I503" s="4">
        <v>172.63499999999999</v>
      </c>
      <c r="J503" s="1" t="s">
        <v>1404</v>
      </c>
      <c r="K503" s="1" t="s">
        <v>70</v>
      </c>
      <c r="L503" s="1" t="s">
        <v>4133</v>
      </c>
      <c r="M503" s="1" t="s">
        <v>3598</v>
      </c>
      <c r="N503" s="1"/>
      <c r="O503" s="1" t="s">
        <v>3095</v>
      </c>
      <c r="P503" s="1"/>
      <c r="Q503" s="4">
        <v>6.2</v>
      </c>
      <c r="R503" s="4"/>
      <c r="S503" s="4"/>
      <c r="T503" s="4"/>
      <c r="U503" s="4"/>
      <c r="V503" s="4">
        <v>5.13</v>
      </c>
      <c r="W503" s="4"/>
      <c r="X503" s="4"/>
      <c r="Y503" s="4"/>
      <c r="Z503" s="4"/>
      <c r="AA503" s="4"/>
      <c r="AB503" s="4" t="s">
        <v>1055</v>
      </c>
      <c r="AC503" s="4"/>
      <c r="AD503" s="4">
        <v>-43.570999999999998</v>
      </c>
      <c r="AE503" s="4">
        <v>172.703</v>
      </c>
      <c r="AF503" s="4">
        <v>6</v>
      </c>
      <c r="AG503" s="4">
        <v>141</v>
      </c>
      <c r="AH503" s="27" t="b">
        <v>1</v>
      </c>
      <c r="AI503" s="4">
        <v>1.554</v>
      </c>
      <c r="AJ503" s="27" t="b">
        <v>0</v>
      </c>
      <c r="AK503" s="4"/>
      <c r="AL503" s="27" t="b">
        <v>0</v>
      </c>
      <c r="AM503" s="4">
        <v>364.29899999999998</v>
      </c>
      <c r="AN503" s="4">
        <v>701.74699999999996</v>
      </c>
      <c r="AO503" s="4">
        <v>511.89600000000002</v>
      </c>
      <c r="AP503" s="4">
        <v>48.255600000000001</v>
      </c>
      <c r="AQ503" s="4">
        <v>86.572400000000002</v>
      </c>
      <c r="AR503" s="4">
        <v>21.0139</v>
      </c>
      <c r="AS503" s="4">
        <v>18.4054</v>
      </c>
      <c r="AT503" s="4">
        <v>26.980499999999999</v>
      </c>
      <c r="AU503" s="4">
        <v>7.4213199999999997</v>
      </c>
      <c r="AV503" s="4">
        <v>2.5080999999999999E-2</v>
      </c>
      <c r="AW503" s="4">
        <v>0.18226100000000001</v>
      </c>
      <c r="AX503" s="4">
        <v>-7.4635000000000007E-2</v>
      </c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1" t="s">
        <v>3599</v>
      </c>
      <c r="BJ503" s="1" t="s">
        <v>4134</v>
      </c>
      <c r="BK503" s="1">
        <v>1</v>
      </c>
      <c r="BL503" s="1"/>
      <c r="BM503" s="1" t="s">
        <v>638</v>
      </c>
      <c r="BN503" s="1" t="s">
        <v>2804</v>
      </c>
      <c r="BO503" s="1" t="s">
        <v>2805</v>
      </c>
      <c r="BP503" s="1">
        <v>6.2</v>
      </c>
      <c r="BQ503" s="1" t="s">
        <v>1003</v>
      </c>
      <c r="BR503" s="1">
        <v>-43.570999999999998</v>
      </c>
      <c r="BS503" s="1">
        <v>172.703</v>
      </c>
      <c r="BT503" s="1">
        <v>6</v>
      </c>
      <c r="BU503" s="1" t="s">
        <v>1055</v>
      </c>
      <c r="BV503" s="1" t="s">
        <v>2809</v>
      </c>
      <c r="BW503" s="1">
        <v>59</v>
      </c>
      <c r="BX503" s="1">
        <v>67</v>
      </c>
      <c r="BY503" s="1">
        <v>135</v>
      </c>
      <c r="BZ503" s="1"/>
      <c r="CA503" s="1"/>
      <c r="CB503" s="1"/>
      <c r="CC503" s="1" t="s">
        <v>2808</v>
      </c>
      <c r="CD503" s="1" t="s">
        <v>731</v>
      </c>
      <c r="CE503" s="1"/>
      <c r="CF503" s="1"/>
      <c r="CG503" s="1"/>
      <c r="CH503" s="1"/>
      <c r="CI503" s="1"/>
      <c r="CJ503" s="1" t="s">
        <v>2812</v>
      </c>
      <c r="CK503" t="s">
        <v>1263</v>
      </c>
      <c r="CL503">
        <v>260</v>
      </c>
      <c r="CM503" t="s">
        <v>2931</v>
      </c>
    </row>
    <row r="504" spans="1:91" ht="19" customHeight="1">
      <c r="A504" s="1" t="s">
        <v>4135</v>
      </c>
      <c r="B504" s="1" t="s">
        <v>3597</v>
      </c>
      <c r="C504" s="1">
        <v>261</v>
      </c>
      <c r="D504" s="1" t="s">
        <v>1175</v>
      </c>
      <c r="E504" s="1">
        <v>2011</v>
      </c>
      <c r="F504" s="1" t="s">
        <v>1176</v>
      </c>
      <c r="G504" s="1" t="s">
        <v>1627</v>
      </c>
      <c r="H504" s="4">
        <v>-43.527000000000001</v>
      </c>
      <c r="I504" s="4">
        <v>172.70169999999999</v>
      </c>
      <c r="J504" s="1" t="s">
        <v>1404</v>
      </c>
      <c r="K504" s="1" t="s">
        <v>70</v>
      </c>
      <c r="L504" s="1" t="s">
        <v>1628</v>
      </c>
      <c r="M504" s="1" t="s">
        <v>3598</v>
      </c>
      <c r="N504" s="1"/>
      <c r="O504" s="1" t="s">
        <v>3095</v>
      </c>
      <c r="P504" s="1"/>
      <c r="Q504" s="4">
        <v>6.2</v>
      </c>
      <c r="R504" s="4"/>
      <c r="S504" s="4"/>
      <c r="T504" s="4"/>
      <c r="U504" s="4"/>
      <c r="V504" s="4">
        <v>1.98</v>
      </c>
      <c r="W504" s="4"/>
      <c r="X504" s="4"/>
      <c r="Y504" s="4"/>
      <c r="Z504" s="4"/>
      <c r="AA504" s="4"/>
      <c r="AB504" s="4" t="s">
        <v>1055</v>
      </c>
      <c r="AC504" s="4"/>
      <c r="AD504" s="4">
        <v>-43.570999999999998</v>
      </c>
      <c r="AE504" s="4">
        <v>172.703</v>
      </c>
      <c r="AF504" s="4">
        <v>6</v>
      </c>
      <c r="AG504" s="4">
        <v>206</v>
      </c>
      <c r="AH504" s="27" t="b">
        <v>1</v>
      </c>
      <c r="AI504" s="4">
        <v>4.8230000000000004</v>
      </c>
      <c r="AJ504" s="27" t="b">
        <v>0</v>
      </c>
      <c r="AK504" s="4"/>
      <c r="AL504" s="27" t="b">
        <v>0</v>
      </c>
      <c r="AM504" s="4">
        <v>656.98900000000003</v>
      </c>
      <c r="AN504" s="4">
        <v>584.74</v>
      </c>
      <c r="AO504" s="4">
        <v>1861.88</v>
      </c>
      <c r="AP504" s="4">
        <v>96.657300000000006</v>
      </c>
      <c r="AQ504" s="4">
        <v>81.309700000000007</v>
      </c>
      <c r="AR504" s="4">
        <v>50.756399999999999</v>
      </c>
      <c r="AS504" s="4">
        <v>40.386000000000003</v>
      </c>
      <c r="AT504" s="4">
        <v>38.4651</v>
      </c>
      <c r="AU504" s="4">
        <v>9.3277800000000006</v>
      </c>
      <c r="AV504" s="4">
        <v>0.451764</v>
      </c>
      <c r="AW504" s="4">
        <v>-0.54387600000000003</v>
      </c>
      <c r="AX504" s="4">
        <v>-4.1847000000000002E-2</v>
      </c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1" t="s">
        <v>3599</v>
      </c>
      <c r="BJ504" s="1" t="s">
        <v>4136</v>
      </c>
      <c r="BK504" s="1">
        <v>1</v>
      </c>
      <c r="BL504" s="1"/>
      <c r="BM504" s="1" t="s">
        <v>638</v>
      </c>
      <c r="BN504" s="1" t="s">
        <v>2804</v>
      </c>
      <c r="BO504" s="1" t="s">
        <v>2805</v>
      </c>
      <c r="BP504" s="1">
        <v>6.2</v>
      </c>
      <c r="BQ504" s="1" t="s">
        <v>1003</v>
      </c>
      <c r="BR504" s="1">
        <v>-43.570999999999998</v>
      </c>
      <c r="BS504" s="1">
        <v>172.703</v>
      </c>
      <c r="BT504" s="1">
        <v>6</v>
      </c>
      <c r="BU504" s="1" t="s">
        <v>1055</v>
      </c>
      <c r="BV504" s="1" t="s">
        <v>2809</v>
      </c>
      <c r="BW504" s="1">
        <v>59</v>
      </c>
      <c r="BX504" s="1">
        <v>67</v>
      </c>
      <c r="BY504" s="1">
        <v>135</v>
      </c>
      <c r="BZ504" s="1"/>
      <c r="CA504" s="1"/>
      <c r="CB504" s="1"/>
      <c r="CC504" s="1" t="s">
        <v>2808</v>
      </c>
      <c r="CD504" s="1" t="s">
        <v>731</v>
      </c>
      <c r="CE504" s="1"/>
      <c r="CF504" s="1"/>
      <c r="CG504" s="1"/>
      <c r="CH504" s="1"/>
      <c r="CI504" s="1"/>
      <c r="CJ504" s="1" t="s">
        <v>2812</v>
      </c>
      <c r="CK504" t="s">
        <v>1263</v>
      </c>
      <c r="CL504">
        <v>261</v>
      </c>
      <c r="CM504" t="s">
        <v>2931</v>
      </c>
    </row>
    <row r="505" spans="1:91" ht="19" customHeight="1">
      <c r="A505" s="1" t="s">
        <v>4137</v>
      </c>
      <c r="B505" s="1" t="s">
        <v>3597</v>
      </c>
      <c r="C505" s="1">
        <v>262</v>
      </c>
      <c r="D505" s="1" t="s">
        <v>647</v>
      </c>
      <c r="E505" s="1">
        <v>2013</v>
      </c>
      <c r="F505" s="1" t="s">
        <v>894</v>
      </c>
      <c r="G505" s="1" t="s">
        <v>2176</v>
      </c>
      <c r="H505" s="4">
        <v>24.056170000000002</v>
      </c>
      <c r="I505" s="4">
        <v>120.6998</v>
      </c>
      <c r="J505" s="1" t="s">
        <v>1404</v>
      </c>
      <c r="K505" s="1" t="s">
        <v>70</v>
      </c>
      <c r="L505" s="1" t="s">
        <v>2179</v>
      </c>
      <c r="M505" s="1" t="s">
        <v>3598</v>
      </c>
      <c r="N505" s="1"/>
      <c r="O505" s="1" t="s">
        <v>3095</v>
      </c>
      <c r="P505" s="1"/>
      <c r="Q505" s="4">
        <v>6.01</v>
      </c>
      <c r="R505" s="4"/>
      <c r="S505" s="4"/>
      <c r="T505" s="4"/>
      <c r="U505" s="4"/>
      <c r="V505" s="4">
        <v>29.757010000000001</v>
      </c>
      <c r="W505" s="4"/>
      <c r="X505" s="4"/>
      <c r="Y505" s="4"/>
      <c r="Z505" s="4"/>
      <c r="AA505" s="4"/>
      <c r="AB505" s="4" t="s">
        <v>1028</v>
      </c>
      <c r="AC505" s="4"/>
      <c r="AD505" s="4">
        <v>23.900400000000001</v>
      </c>
      <c r="AE505" s="4">
        <v>121.05370000000001</v>
      </c>
      <c r="AF505" s="4">
        <v>19.399999999999999</v>
      </c>
      <c r="AG505" s="4">
        <v>290.10730000000001</v>
      </c>
      <c r="AH505" s="27" t="b">
        <v>1</v>
      </c>
      <c r="AI505" s="4">
        <v>1.8759999999999999</v>
      </c>
      <c r="AJ505" s="27" t="b">
        <v>0</v>
      </c>
      <c r="AK505" s="4"/>
      <c r="AL505" s="27" t="b">
        <v>0</v>
      </c>
      <c r="AM505" s="4">
        <v>135.21199999999999</v>
      </c>
      <c r="AN505" s="4">
        <v>108.26300000000001</v>
      </c>
      <c r="AO505" s="4">
        <v>46.215000000000003</v>
      </c>
      <c r="AP505" s="4">
        <v>21.440300000000001</v>
      </c>
      <c r="AQ505" s="4">
        <v>10.9222</v>
      </c>
      <c r="AR505" s="4">
        <v>8.8855699999999995</v>
      </c>
      <c r="AS505" s="4">
        <v>7.5532000000000004</v>
      </c>
      <c r="AT505" s="4">
        <v>4.0834299999999999</v>
      </c>
      <c r="AU505" s="4">
        <v>3.28986</v>
      </c>
      <c r="AV505" s="4">
        <v>2.2539E-2</v>
      </c>
      <c r="AW505" s="4">
        <v>-4.5990999999999997E-2</v>
      </c>
      <c r="AX505" s="4">
        <v>-2.1374000000000001E-2</v>
      </c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1" t="s">
        <v>3599</v>
      </c>
      <c r="BJ505" s="1" t="s">
        <v>4138</v>
      </c>
      <c r="BK505" s="1">
        <v>1</v>
      </c>
      <c r="BL505" s="1"/>
      <c r="BM505" s="1" t="s">
        <v>646</v>
      </c>
      <c r="BN505" s="1" t="s">
        <v>2933</v>
      </c>
      <c r="BO505" s="1" t="s">
        <v>2934</v>
      </c>
      <c r="BP505" s="1">
        <v>6.01</v>
      </c>
      <c r="BQ505" s="1" t="s">
        <v>1003</v>
      </c>
      <c r="BR505" s="1">
        <v>23.900400000000001</v>
      </c>
      <c r="BS505" s="1">
        <v>121.05370000000001</v>
      </c>
      <c r="BT505" s="1">
        <v>19.399999999999999</v>
      </c>
      <c r="BU505" s="1" t="s">
        <v>1028</v>
      </c>
      <c r="BV505" s="1" t="s">
        <v>2834</v>
      </c>
      <c r="BW505" s="1">
        <v>8</v>
      </c>
      <c r="BX505" s="1">
        <v>23</v>
      </c>
      <c r="BY505" s="1">
        <v>73</v>
      </c>
      <c r="BZ505" s="1">
        <v>207</v>
      </c>
      <c r="CA505" s="1">
        <v>68</v>
      </c>
      <c r="CB505" s="1">
        <v>97</v>
      </c>
      <c r="CC505" s="1" t="s">
        <v>2808</v>
      </c>
      <c r="CD505" s="1" t="s">
        <v>731</v>
      </c>
      <c r="CE505" s="1"/>
      <c r="CF505" s="1"/>
      <c r="CG505" s="1"/>
      <c r="CH505" s="1"/>
      <c r="CI505" s="1"/>
      <c r="CJ505" s="1" t="s">
        <v>2812</v>
      </c>
      <c r="CK505" t="s">
        <v>1263</v>
      </c>
      <c r="CL505">
        <v>262</v>
      </c>
      <c r="CM505" t="s">
        <v>2936</v>
      </c>
    </row>
    <row r="506" spans="1:91" ht="19" customHeight="1">
      <c r="A506" s="1" t="s">
        <v>4139</v>
      </c>
      <c r="B506" s="1" t="s">
        <v>3597</v>
      </c>
      <c r="C506" s="1">
        <v>263</v>
      </c>
      <c r="D506" s="1" t="s">
        <v>647</v>
      </c>
      <c r="E506" s="1">
        <v>2013</v>
      </c>
      <c r="F506" s="1" t="s">
        <v>1177</v>
      </c>
      <c r="G506" s="1" t="s">
        <v>2198</v>
      </c>
      <c r="H506" s="4">
        <v>23.827169999999999</v>
      </c>
      <c r="I506" s="4">
        <v>120.7873</v>
      </c>
      <c r="J506" s="1" t="s">
        <v>1404</v>
      </c>
      <c r="K506" s="1" t="s">
        <v>70</v>
      </c>
      <c r="L506" s="1" t="s">
        <v>2200</v>
      </c>
      <c r="M506" s="1" t="s">
        <v>3598</v>
      </c>
      <c r="N506" s="1"/>
      <c r="O506" s="1" t="s">
        <v>3095</v>
      </c>
      <c r="P506" s="1"/>
      <c r="Q506" s="4">
        <v>6.01</v>
      </c>
      <c r="R506" s="4"/>
      <c r="S506" s="4"/>
      <c r="T506" s="4"/>
      <c r="U506" s="4"/>
      <c r="V506" s="4">
        <v>22.29589</v>
      </c>
      <c r="W506" s="4"/>
      <c r="X506" s="4"/>
      <c r="Y506" s="4"/>
      <c r="Z506" s="4"/>
      <c r="AA506" s="4"/>
      <c r="AB506" s="4" t="s">
        <v>1028</v>
      </c>
      <c r="AC506" s="4"/>
      <c r="AD506" s="4">
        <v>23.900400000000001</v>
      </c>
      <c r="AE506" s="4">
        <v>121.05370000000001</v>
      </c>
      <c r="AF506" s="4">
        <v>19.399999999999999</v>
      </c>
      <c r="AG506" s="4">
        <v>507.48540000000003</v>
      </c>
      <c r="AH506" s="27" t="b">
        <v>1</v>
      </c>
      <c r="AI506" s="4">
        <v>1.169</v>
      </c>
      <c r="AJ506" s="27" t="b">
        <v>0</v>
      </c>
      <c r="AK506" s="4"/>
      <c r="AL506" s="27" t="b">
        <v>0</v>
      </c>
      <c r="AM506" s="4">
        <v>193.33799999999999</v>
      </c>
      <c r="AN506" s="4">
        <v>86.804000000000002</v>
      </c>
      <c r="AO506" s="4">
        <v>29.952000000000002</v>
      </c>
      <c r="AP506" s="4">
        <v>27.337199999999999</v>
      </c>
      <c r="AQ506" s="4">
        <v>7.5670799999999998</v>
      </c>
      <c r="AR506" s="4">
        <v>5.4265999999999996</v>
      </c>
      <c r="AS506" s="4">
        <v>6.1430600000000002</v>
      </c>
      <c r="AT506" s="4">
        <v>1.3351599999999999</v>
      </c>
      <c r="AU506" s="4">
        <v>2.2455400000000001</v>
      </c>
      <c r="AV506" s="4">
        <v>-3.604E-3</v>
      </c>
      <c r="AW506" s="4">
        <v>-9.4473000000000001E-2</v>
      </c>
      <c r="AX506" s="4">
        <v>-0.49417</v>
      </c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1" t="s">
        <v>3599</v>
      </c>
      <c r="BJ506" s="1" t="s">
        <v>4140</v>
      </c>
      <c r="BK506" s="1">
        <v>1</v>
      </c>
      <c r="BL506" s="1"/>
      <c r="BM506" s="1" t="s">
        <v>646</v>
      </c>
      <c r="BN506" s="1" t="s">
        <v>2933</v>
      </c>
      <c r="BO506" s="1" t="s">
        <v>2934</v>
      </c>
      <c r="BP506" s="1">
        <v>6.01</v>
      </c>
      <c r="BQ506" s="1" t="s">
        <v>1003</v>
      </c>
      <c r="BR506" s="1">
        <v>23.900400000000001</v>
      </c>
      <c r="BS506" s="1">
        <v>121.05370000000001</v>
      </c>
      <c r="BT506" s="1">
        <v>19.399999999999999</v>
      </c>
      <c r="BU506" s="1" t="s">
        <v>1028</v>
      </c>
      <c r="BV506" s="1" t="s">
        <v>2834</v>
      </c>
      <c r="BW506" s="1">
        <v>8</v>
      </c>
      <c r="BX506" s="1">
        <v>23</v>
      </c>
      <c r="BY506" s="1">
        <v>73</v>
      </c>
      <c r="BZ506" s="1">
        <v>207</v>
      </c>
      <c r="CA506" s="1">
        <v>68</v>
      </c>
      <c r="CB506" s="1">
        <v>97</v>
      </c>
      <c r="CC506" s="1" t="s">
        <v>2808</v>
      </c>
      <c r="CD506" s="1" t="s">
        <v>731</v>
      </c>
      <c r="CE506" s="1"/>
      <c r="CF506" s="1"/>
      <c r="CG506" s="1"/>
      <c r="CH506" s="1"/>
      <c r="CI506" s="1"/>
      <c r="CJ506" s="1" t="s">
        <v>2812</v>
      </c>
      <c r="CK506" t="s">
        <v>1263</v>
      </c>
      <c r="CL506">
        <v>263</v>
      </c>
      <c r="CM506" t="s">
        <v>2936</v>
      </c>
    </row>
    <row r="507" spans="1:91" ht="19" customHeight="1">
      <c r="A507" s="1" t="s">
        <v>4141</v>
      </c>
      <c r="B507" s="1" t="s">
        <v>3597</v>
      </c>
      <c r="C507" s="1">
        <v>264</v>
      </c>
      <c r="D507" s="1" t="s">
        <v>647</v>
      </c>
      <c r="E507" s="1">
        <v>2013</v>
      </c>
      <c r="F507" s="1" t="s">
        <v>1071</v>
      </c>
      <c r="G507" s="1" t="s">
        <v>2219</v>
      </c>
      <c r="H507" s="4">
        <v>23.881329999999998</v>
      </c>
      <c r="I507" s="4">
        <v>120.90819999999999</v>
      </c>
      <c r="J507" s="1" t="s">
        <v>1404</v>
      </c>
      <c r="K507" s="1" t="s">
        <v>70</v>
      </c>
      <c r="L507" s="1" t="s">
        <v>2220</v>
      </c>
      <c r="M507" s="1" t="s">
        <v>3598</v>
      </c>
      <c r="N507" s="1"/>
      <c r="O507" s="1" t="s">
        <v>3095</v>
      </c>
      <c r="P507" s="1"/>
      <c r="Q507" s="4">
        <v>6.01</v>
      </c>
      <c r="R507" s="4"/>
      <c r="S507" s="4"/>
      <c r="T507" s="4"/>
      <c r="U507" s="4"/>
      <c r="V507" s="4">
        <v>14.90794</v>
      </c>
      <c r="W507" s="4"/>
      <c r="X507" s="4"/>
      <c r="Y507" s="4"/>
      <c r="Z507" s="4"/>
      <c r="AA507" s="4"/>
      <c r="AB507" s="4" t="s">
        <v>1028</v>
      </c>
      <c r="AC507" s="4"/>
      <c r="AD507" s="4">
        <v>23.900400000000001</v>
      </c>
      <c r="AE507" s="4">
        <v>121.05370000000001</v>
      </c>
      <c r="AF507" s="4">
        <v>19.399999999999999</v>
      </c>
      <c r="AG507" s="4">
        <v>733.78</v>
      </c>
      <c r="AH507" s="27" t="b">
        <v>1</v>
      </c>
      <c r="AI507" s="4">
        <v>1.1479999999999999</v>
      </c>
      <c r="AJ507" s="27" t="b">
        <v>0</v>
      </c>
      <c r="AK507" s="4"/>
      <c r="AL507" s="27" t="b">
        <v>0</v>
      </c>
      <c r="AM507" s="4">
        <v>275.565</v>
      </c>
      <c r="AN507" s="4">
        <v>139.596</v>
      </c>
      <c r="AO507" s="4">
        <v>78.98</v>
      </c>
      <c r="AP507" s="4">
        <v>31.7485</v>
      </c>
      <c r="AQ507" s="4">
        <v>22.9496</v>
      </c>
      <c r="AR507" s="4">
        <v>8.8388200000000001</v>
      </c>
      <c r="AS507" s="4">
        <v>6.54725</v>
      </c>
      <c r="AT507" s="4">
        <v>5.0920500000000004</v>
      </c>
      <c r="AU507" s="4">
        <v>4.0010500000000002</v>
      </c>
      <c r="AV507" s="4">
        <v>-0.29188900000000001</v>
      </c>
      <c r="AW507" s="4">
        <v>1.6119999999999999E-3</v>
      </c>
      <c r="AX507" s="4">
        <v>0.31169000000000002</v>
      </c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1" t="s">
        <v>3599</v>
      </c>
      <c r="BJ507" s="1" t="s">
        <v>4142</v>
      </c>
      <c r="BK507" s="1">
        <v>1</v>
      </c>
      <c r="BL507" s="1"/>
      <c r="BM507" s="1" t="s">
        <v>646</v>
      </c>
      <c r="BN507" s="1" t="s">
        <v>2933</v>
      </c>
      <c r="BO507" s="1" t="s">
        <v>2934</v>
      </c>
      <c r="BP507" s="1">
        <v>6.01</v>
      </c>
      <c r="BQ507" s="1" t="s">
        <v>1003</v>
      </c>
      <c r="BR507" s="1">
        <v>23.900400000000001</v>
      </c>
      <c r="BS507" s="1">
        <v>121.05370000000001</v>
      </c>
      <c r="BT507" s="1">
        <v>19.399999999999999</v>
      </c>
      <c r="BU507" s="1" t="s">
        <v>1028</v>
      </c>
      <c r="BV507" s="1" t="s">
        <v>2834</v>
      </c>
      <c r="BW507" s="1">
        <v>8</v>
      </c>
      <c r="BX507" s="1">
        <v>23</v>
      </c>
      <c r="BY507" s="1">
        <v>73</v>
      </c>
      <c r="BZ507" s="1">
        <v>207</v>
      </c>
      <c r="CA507" s="1">
        <v>68</v>
      </c>
      <c r="CB507" s="1">
        <v>97</v>
      </c>
      <c r="CC507" s="1" t="s">
        <v>2808</v>
      </c>
      <c r="CD507" s="1" t="s">
        <v>731</v>
      </c>
      <c r="CE507" s="1"/>
      <c r="CF507" s="1"/>
      <c r="CG507" s="1"/>
      <c r="CH507" s="1"/>
      <c r="CI507" s="1"/>
      <c r="CJ507" s="1" t="s">
        <v>2812</v>
      </c>
      <c r="CK507" t="s">
        <v>1263</v>
      </c>
      <c r="CL507">
        <v>264</v>
      </c>
      <c r="CM507" t="s">
        <v>2936</v>
      </c>
    </row>
    <row r="508" spans="1:91" ht="19" customHeight="1">
      <c r="A508" s="1" t="s">
        <v>4143</v>
      </c>
      <c r="B508" s="1" t="s">
        <v>3597</v>
      </c>
      <c r="C508" s="1">
        <v>265</v>
      </c>
      <c r="D508" s="1" t="s">
        <v>647</v>
      </c>
      <c r="E508" s="1">
        <v>2013</v>
      </c>
      <c r="F508" s="1" t="s">
        <v>1146</v>
      </c>
      <c r="G508" s="1" t="s">
        <v>2255</v>
      </c>
      <c r="H508" s="4">
        <v>23.913830000000001</v>
      </c>
      <c r="I508" s="4">
        <v>120.6918</v>
      </c>
      <c r="J508" s="1" t="s">
        <v>1404</v>
      </c>
      <c r="K508" s="1" t="s">
        <v>70</v>
      </c>
      <c r="L508" s="1" t="s">
        <v>4144</v>
      </c>
      <c r="M508" s="1" t="s">
        <v>3598</v>
      </c>
      <c r="N508" s="1"/>
      <c r="O508" s="1" t="s">
        <v>3095</v>
      </c>
      <c r="P508" s="1"/>
      <c r="Q508" s="4">
        <v>6.01</v>
      </c>
      <c r="R508" s="4"/>
      <c r="S508" s="4"/>
      <c r="T508" s="4"/>
      <c r="U508" s="4"/>
      <c r="V508" s="4">
        <v>29.404250000000001</v>
      </c>
      <c r="W508" s="4"/>
      <c r="X508" s="4"/>
      <c r="Y508" s="4"/>
      <c r="Z508" s="4"/>
      <c r="AA508" s="4"/>
      <c r="AB508" s="4" t="s">
        <v>1028</v>
      </c>
      <c r="AC508" s="4"/>
      <c r="AD508" s="4">
        <v>23.900400000000001</v>
      </c>
      <c r="AE508" s="4">
        <v>121.05370000000001</v>
      </c>
      <c r="AF508" s="4">
        <v>19.399999999999999</v>
      </c>
      <c r="AG508" s="4">
        <v>242</v>
      </c>
      <c r="AH508" s="27" t="b">
        <v>1</v>
      </c>
      <c r="AI508" s="4">
        <v>0.86799999999999999</v>
      </c>
      <c r="AJ508" s="27" t="b">
        <v>0</v>
      </c>
      <c r="AK508" s="4"/>
      <c r="AL508" s="27" t="b">
        <v>0</v>
      </c>
      <c r="AM508" s="4">
        <v>229.65299999999999</v>
      </c>
      <c r="AN508" s="4">
        <v>111.05200000000001</v>
      </c>
      <c r="AO508" s="4">
        <v>99.263999999999996</v>
      </c>
      <c r="AP508" s="4">
        <v>25.346</v>
      </c>
      <c r="AQ508" s="4">
        <v>9.6032200000000003</v>
      </c>
      <c r="AR508" s="4">
        <v>9.5222200000000008</v>
      </c>
      <c r="AS508" s="4">
        <v>4.7050700000000001</v>
      </c>
      <c r="AT508" s="4">
        <v>1.23214</v>
      </c>
      <c r="AU508" s="4">
        <v>2.7128000000000001</v>
      </c>
      <c r="AV508" s="4">
        <v>-2.3647000000000001E-2</v>
      </c>
      <c r="AW508" s="4">
        <v>1.15E-4</v>
      </c>
      <c r="AX508" s="4">
        <v>-2.5021000000000002E-2</v>
      </c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1" t="s">
        <v>3599</v>
      </c>
      <c r="BJ508" s="1" t="s">
        <v>4145</v>
      </c>
      <c r="BK508" s="1">
        <v>1</v>
      </c>
      <c r="BL508" s="1"/>
      <c r="BM508" s="1" t="s">
        <v>646</v>
      </c>
      <c r="BN508" s="1" t="s">
        <v>2933</v>
      </c>
      <c r="BO508" s="1" t="s">
        <v>2934</v>
      </c>
      <c r="BP508" s="1">
        <v>6.01</v>
      </c>
      <c r="BQ508" s="1" t="s">
        <v>1003</v>
      </c>
      <c r="BR508" s="1">
        <v>23.900400000000001</v>
      </c>
      <c r="BS508" s="1">
        <v>121.05370000000001</v>
      </c>
      <c r="BT508" s="1">
        <v>19.399999999999999</v>
      </c>
      <c r="BU508" s="1" t="s">
        <v>1028</v>
      </c>
      <c r="BV508" s="1" t="s">
        <v>2834</v>
      </c>
      <c r="BW508" s="1">
        <v>8</v>
      </c>
      <c r="BX508" s="1">
        <v>23</v>
      </c>
      <c r="BY508" s="1">
        <v>73</v>
      </c>
      <c r="BZ508" s="1">
        <v>207</v>
      </c>
      <c r="CA508" s="1">
        <v>68</v>
      </c>
      <c r="CB508" s="1">
        <v>97</v>
      </c>
      <c r="CC508" s="1" t="s">
        <v>2808</v>
      </c>
      <c r="CD508" s="1" t="s">
        <v>731</v>
      </c>
      <c r="CE508" s="1"/>
      <c r="CF508" s="1"/>
      <c r="CG508" s="1"/>
      <c r="CH508" s="1"/>
      <c r="CI508" s="1"/>
      <c r="CJ508" s="1" t="s">
        <v>2812</v>
      </c>
      <c r="CK508" t="s">
        <v>1263</v>
      </c>
      <c r="CL508">
        <v>265</v>
      </c>
      <c r="CM508" t="s">
        <v>2936</v>
      </c>
    </row>
    <row r="509" spans="1:91" ht="19" customHeight="1">
      <c r="A509" s="1" t="s">
        <v>4146</v>
      </c>
      <c r="B509" s="1" t="s">
        <v>3597</v>
      </c>
      <c r="C509" s="1">
        <v>266</v>
      </c>
      <c r="D509" s="1" t="s">
        <v>647</v>
      </c>
      <c r="E509" s="1">
        <v>2013</v>
      </c>
      <c r="F509" s="1" t="s">
        <v>1178</v>
      </c>
      <c r="G509" s="1" t="s">
        <v>2258</v>
      </c>
      <c r="H509" s="4">
        <v>23.95317</v>
      </c>
      <c r="I509" s="4">
        <v>120.6905</v>
      </c>
      <c r="J509" s="1" t="s">
        <v>1404</v>
      </c>
      <c r="K509" s="1" t="s">
        <v>70</v>
      </c>
      <c r="L509" s="1" t="s">
        <v>2259</v>
      </c>
      <c r="M509" s="1" t="s">
        <v>3598</v>
      </c>
      <c r="N509" s="1"/>
      <c r="O509" s="1" t="s">
        <v>3095</v>
      </c>
      <c r="P509" s="1"/>
      <c r="Q509" s="4">
        <v>6.01</v>
      </c>
      <c r="R509" s="4"/>
      <c r="S509" s="4"/>
      <c r="T509" s="4"/>
      <c r="U509" s="4"/>
      <c r="V509" s="4">
        <v>29.178920000000002</v>
      </c>
      <c r="W509" s="4"/>
      <c r="X509" s="4"/>
      <c r="Y509" s="4"/>
      <c r="Z509" s="4"/>
      <c r="AA509" s="4"/>
      <c r="AB509" s="4" t="s">
        <v>1028</v>
      </c>
      <c r="AC509" s="4"/>
      <c r="AD509" s="4">
        <v>23.900400000000001</v>
      </c>
      <c r="AE509" s="4">
        <v>121.05370000000001</v>
      </c>
      <c r="AF509" s="4">
        <v>19.399999999999999</v>
      </c>
      <c r="AG509" s="4">
        <v>630.45000000000005</v>
      </c>
      <c r="AH509" s="27" t="b">
        <v>1</v>
      </c>
      <c r="AI509" s="4">
        <v>0.90300000000000002</v>
      </c>
      <c r="AJ509" s="27" t="b">
        <v>0</v>
      </c>
      <c r="AK509" s="4"/>
      <c r="AL509" s="27" t="b">
        <v>0</v>
      </c>
      <c r="AM509" s="4">
        <v>245.21299999999999</v>
      </c>
      <c r="AN509" s="4">
        <v>76.540000000000006</v>
      </c>
      <c r="AO509" s="4">
        <v>46.776000000000003</v>
      </c>
      <c r="AP509" s="4">
        <v>34.675400000000003</v>
      </c>
      <c r="AQ509" s="4">
        <v>8.9495199999999997</v>
      </c>
      <c r="AR509" s="4">
        <v>6.0035400000000001</v>
      </c>
      <c r="AS509" s="4">
        <v>5.9784199999999998</v>
      </c>
      <c r="AT509" s="4">
        <v>1.4771000000000001</v>
      </c>
      <c r="AU509" s="4">
        <v>2.7266699999999999</v>
      </c>
      <c r="AV509" s="4">
        <v>3.0664E-2</v>
      </c>
      <c r="AW509" s="4">
        <v>9.9889999999999996E-3</v>
      </c>
      <c r="AX509" s="4">
        <v>8.5999999999999993E-2</v>
      </c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1" t="s">
        <v>3599</v>
      </c>
      <c r="BJ509" s="1" t="s">
        <v>4147</v>
      </c>
      <c r="BK509" s="1">
        <v>1</v>
      </c>
      <c r="BL509" s="1"/>
      <c r="BM509" s="1" t="s">
        <v>646</v>
      </c>
      <c r="BN509" s="1" t="s">
        <v>2933</v>
      </c>
      <c r="BO509" s="1" t="s">
        <v>2934</v>
      </c>
      <c r="BP509" s="1">
        <v>6.01</v>
      </c>
      <c r="BQ509" s="1" t="s">
        <v>1003</v>
      </c>
      <c r="BR509" s="1">
        <v>23.900400000000001</v>
      </c>
      <c r="BS509" s="1">
        <v>121.05370000000001</v>
      </c>
      <c r="BT509" s="1">
        <v>19.399999999999999</v>
      </c>
      <c r="BU509" s="1" t="s">
        <v>1028</v>
      </c>
      <c r="BV509" s="1" t="s">
        <v>2834</v>
      </c>
      <c r="BW509" s="1">
        <v>8</v>
      </c>
      <c r="BX509" s="1">
        <v>23</v>
      </c>
      <c r="BY509" s="1">
        <v>73</v>
      </c>
      <c r="BZ509" s="1">
        <v>207</v>
      </c>
      <c r="CA509" s="1">
        <v>68</v>
      </c>
      <c r="CB509" s="1">
        <v>97</v>
      </c>
      <c r="CC509" s="1" t="s">
        <v>2808</v>
      </c>
      <c r="CD509" s="1" t="s">
        <v>731</v>
      </c>
      <c r="CE509" s="1"/>
      <c r="CF509" s="1"/>
      <c r="CG509" s="1"/>
      <c r="CH509" s="1"/>
      <c r="CI509" s="1"/>
      <c r="CJ509" s="1" t="s">
        <v>2812</v>
      </c>
      <c r="CK509" t="s">
        <v>1263</v>
      </c>
      <c r="CL509">
        <v>266</v>
      </c>
      <c r="CM509" t="s">
        <v>2936</v>
      </c>
    </row>
    <row r="510" spans="1:91" ht="19" customHeight="1">
      <c r="A510" s="1" t="s">
        <v>4148</v>
      </c>
      <c r="B510" s="1" t="s">
        <v>3597</v>
      </c>
      <c r="C510" s="1">
        <v>267</v>
      </c>
      <c r="D510" s="1" t="s">
        <v>647</v>
      </c>
      <c r="E510" s="1">
        <v>2013</v>
      </c>
      <c r="F510" s="1" t="s">
        <v>1179</v>
      </c>
      <c r="G510" s="1" t="s">
        <v>2276</v>
      </c>
      <c r="H510" s="4">
        <v>23.879829999999998</v>
      </c>
      <c r="I510" s="4">
        <v>120.7632</v>
      </c>
      <c r="J510" s="1" t="s">
        <v>1404</v>
      </c>
      <c r="K510" s="1" t="s">
        <v>70</v>
      </c>
      <c r="L510" s="1" t="s">
        <v>2277</v>
      </c>
      <c r="M510" s="1" t="s">
        <v>3598</v>
      </c>
      <c r="N510" s="1"/>
      <c r="O510" s="1" t="s">
        <v>3095</v>
      </c>
      <c r="P510" s="1"/>
      <c r="Q510" s="4">
        <v>6.01</v>
      </c>
      <c r="R510" s="4"/>
      <c r="S510" s="4"/>
      <c r="T510" s="4"/>
      <c r="U510" s="4"/>
      <c r="V510" s="4">
        <v>23.625789999999999</v>
      </c>
      <c r="W510" s="4"/>
      <c r="X510" s="4"/>
      <c r="Y510" s="4"/>
      <c r="Z510" s="4"/>
      <c r="AA510" s="4"/>
      <c r="AB510" s="4" t="s">
        <v>1028</v>
      </c>
      <c r="AC510" s="4"/>
      <c r="AD510" s="4">
        <v>23.900400000000001</v>
      </c>
      <c r="AE510" s="4">
        <v>121.05370000000001</v>
      </c>
      <c r="AF510" s="4">
        <v>19.399999999999999</v>
      </c>
      <c r="AG510" s="4">
        <v>465.91090000000003</v>
      </c>
      <c r="AH510" s="27" t="b">
        <v>1</v>
      </c>
      <c r="AI510" s="4">
        <v>1.274</v>
      </c>
      <c r="AJ510" s="27" t="b">
        <v>0</v>
      </c>
      <c r="AK510" s="4"/>
      <c r="AL510" s="27" t="b">
        <v>0</v>
      </c>
      <c r="AM510" s="4">
        <v>445.66899999999998</v>
      </c>
      <c r="AN510" s="4">
        <v>239.71100000000001</v>
      </c>
      <c r="AO510" s="4">
        <v>75.772000000000006</v>
      </c>
      <c r="AP510" s="4">
        <v>61.593400000000003</v>
      </c>
      <c r="AQ510" s="4">
        <v>13.5024</v>
      </c>
      <c r="AR510" s="4">
        <v>7.1587800000000001</v>
      </c>
      <c r="AS510" s="4">
        <v>10.4498</v>
      </c>
      <c r="AT510" s="4">
        <v>1.45642</v>
      </c>
      <c r="AU510" s="4">
        <v>1.97142</v>
      </c>
      <c r="AV510" s="4">
        <v>-2.0059E-2</v>
      </c>
      <c r="AW510" s="4">
        <v>-1.0214000000000001E-2</v>
      </c>
      <c r="AX510" s="4">
        <v>-1.8187999999999999E-2</v>
      </c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1" t="s">
        <v>3599</v>
      </c>
      <c r="BJ510" s="1" t="s">
        <v>4149</v>
      </c>
      <c r="BK510" s="1">
        <v>1</v>
      </c>
      <c r="BL510" s="1"/>
      <c r="BM510" s="1" t="s">
        <v>646</v>
      </c>
      <c r="BN510" s="1" t="s">
        <v>2933</v>
      </c>
      <c r="BO510" s="1" t="s">
        <v>2934</v>
      </c>
      <c r="BP510" s="1">
        <v>6.01</v>
      </c>
      <c r="BQ510" s="1" t="s">
        <v>1003</v>
      </c>
      <c r="BR510" s="1">
        <v>23.900400000000001</v>
      </c>
      <c r="BS510" s="1">
        <v>121.05370000000001</v>
      </c>
      <c r="BT510" s="1">
        <v>19.399999999999999</v>
      </c>
      <c r="BU510" s="1" t="s">
        <v>1028</v>
      </c>
      <c r="BV510" s="1" t="s">
        <v>2834</v>
      </c>
      <c r="BW510" s="1">
        <v>8</v>
      </c>
      <c r="BX510" s="1">
        <v>23</v>
      </c>
      <c r="BY510" s="1">
        <v>73</v>
      </c>
      <c r="BZ510" s="1">
        <v>207</v>
      </c>
      <c r="CA510" s="1">
        <v>68</v>
      </c>
      <c r="CB510" s="1">
        <v>97</v>
      </c>
      <c r="CC510" s="1" t="s">
        <v>2808</v>
      </c>
      <c r="CD510" s="1" t="s">
        <v>731</v>
      </c>
      <c r="CE510" s="1"/>
      <c r="CF510" s="1"/>
      <c r="CG510" s="1"/>
      <c r="CH510" s="1"/>
      <c r="CI510" s="1"/>
      <c r="CJ510" s="1" t="s">
        <v>2812</v>
      </c>
      <c r="CK510" t="s">
        <v>1263</v>
      </c>
      <c r="CL510">
        <v>267</v>
      </c>
      <c r="CM510" t="s">
        <v>2936</v>
      </c>
    </row>
    <row r="511" spans="1:91" ht="19" customHeight="1">
      <c r="A511" s="1" t="s">
        <v>4150</v>
      </c>
      <c r="B511" s="1" t="s">
        <v>3597</v>
      </c>
      <c r="C511" s="1">
        <v>268</v>
      </c>
      <c r="D511" s="1" t="s">
        <v>652</v>
      </c>
      <c r="E511" s="1">
        <v>2013</v>
      </c>
      <c r="F511" s="1" t="s">
        <v>1180</v>
      </c>
      <c r="G511" s="1" t="s">
        <v>1871</v>
      </c>
      <c r="H511" s="4">
        <v>23.722169999999998</v>
      </c>
      <c r="I511" s="4">
        <v>120.58580000000001</v>
      </c>
      <c r="J511" s="1" t="s">
        <v>1404</v>
      </c>
      <c r="K511" s="1" t="s">
        <v>70</v>
      </c>
      <c r="L511" s="1" t="s">
        <v>1872</v>
      </c>
      <c r="M511" s="1" t="s">
        <v>3598</v>
      </c>
      <c r="N511" s="1"/>
      <c r="O511" s="1" t="s">
        <v>3095</v>
      </c>
      <c r="P511" s="1"/>
      <c r="Q511" s="4">
        <v>6.3</v>
      </c>
      <c r="R511" s="4"/>
      <c r="S511" s="4"/>
      <c r="T511" s="4"/>
      <c r="U511" s="4"/>
      <c r="V511" s="4">
        <v>27.398119999999999</v>
      </c>
      <c r="W511" s="4"/>
      <c r="X511" s="4"/>
      <c r="Y511" s="4"/>
      <c r="Z511" s="4"/>
      <c r="AA511" s="4"/>
      <c r="AB511" s="4" t="s">
        <v>1028</v>
      </c>
      <c r="AC511" s="4"/>
      <c r="AD511" s="4">
        <v>23.8583</v>
      </c>
      <c r="AE511" s="4">
        <v>120.97620000000001</v>
      </c>
      <c r="AF511" s="4">
        <v>14.5</v>
      </c>
      <c r="AG511" s="4">
        <v>374.01819999999998</v>
      </c>
      <c r="AH511" s="27" t="b">
        <v>1</v>
      </c>
      <c r="AI511" s="4">
        <v>1.778</v>
      </c>
      <c r="AJ511" s="27" t="b">
        <v>0</v>
      </c>
      <c r="AK511" s="4"/>
      <c r="AL511" s="27" t="b">
        <v>0</v>
      </c>
      <c r="AM511" s="4">
        <v>180.95</v>
      </c>
      <c r="AN511" s="4">
        <v>204.26900000000001</v>
      </c>
      <c r="AO511" s="4">
        <v>63.253</v>
      </c>
      <c r="AP511" s="4">
        <v>40.190399999999997</v>
      </c>
      <c r="AQ511" s="4">
        <v>22.013400000000001</v>
      </c>
      <c r="AR511" s="4">
        <v>14.104100000000001</v>
      </c>
      <c r="AS511" s="4">
        <v>10.568</v>
      </c>
      <c r="AT511" s="4">
        <v>6.1605999999999996</v>
      </c>
      <c r="AU511" s="4">
        <v>3.8863099999999999</v>
      </c>
      <c r="AV511" s="4">
        <v>0.123568</v>
      </c>
      <c r="AW511" s="4">
        <v>-1.0314399999999999</v>
      </c>
      <c r="AX511" s="4">
        <v>0.67508800000000002</v>
      </c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1" t="s">
        <v>3599</v>
      </c>
      <c r="BJ511" s="1" t="s">
        <v>4151</v>
      </c>
      <c r="BK511" s="1">
        <v>1</v>
      </c>
      <c r="BL511" s="1"/>
      <c r="BM511" s="1" t="s">
        <v>651</v>
      </c>
      <c r="BN511" s="1" t="s">
        <v>2937</v>
      </c>
      <c r="BO511" s="1" t="s">
        <v>2938</v>
      </c>
      <c r="BP511" s="1">
        <v>6.3</v>
      </c>
      <c r="BQ511" s="1" t="s">
        <v>1003</v>
      </c>
      <c r="BR511" s="1">
        <v>23.8583</v>
      </c>
      <c r="BS511" s="1">
        <v>120.97620000000001</v>
      </c>
      <c r="BT511" s="1">
        <v>14.5</v>
      </c>
      <c r="BU511" s="1" t="s">
        <v>1028</v>
      </c>
      <c r="BV511" s="1" t="s">
        <v>2834</v>
      </c>
      <c r="BW511" s="1">
        <v>14</v>
      </c>
      <c r="BX511" s="1">
        <v>29</v>
      </c>
      <c r="BY511" s="1">
        <v>87</v>
      </c>
      <c r="BZ511" s="1">
        <v>198</v>
      </c>
      <c r="CA511" s="1">
        <v>61</v>
      </c>
      <c r="CB511" s="1">
        <v>92</v>
      </c>
      <c r="CC511" s="1" t="s">
        <v>2808</v>
      </c>
      <c r="CD511" s="1" t="s">
        <v>731</v>
      </c>
      <c r="CE511" s="1"/>
      <c r="CF511" s="1"/>
      <c r="CG511" s="1"/>
      <c r="CH511" s="1"/>
      <c r="CI511" s="1"/>
      <c r="CJ511" s="1" t="s">
        <v>2812</v>
      </c>
      <c r="CK511" t="s">
        <v>1263</v>
      </c>
      <c r="CL511">
        <v>268</v>
      </c>
      <c r="CM511" t="s">
        <v>2940</v>
      </c>
    </row>
    <row r="512" spans="1:91" ht="19" customHeight="1">
      <c r="A512" s="1" t="s">
        <v>4152</v>
      </c>
      <c r="B512" s="1" t="s">
        <v>3597</v>
      </c>
      <c r="C512" s="1">
        <v>269</v>
      </c>
      <c r="D512" s="1" t="s">
        <v>652</v>
      </c>
      <c r="E512" s="1">
        <v>2013</v>
      </c>
      <c r="F512" s="1" t="s">
        <v>144</v>
      </c>
      <c r="G512" s="1" t="s">
        <v>2190</v>
      </c>
      <c r="H512" s="4">
        <v>23.96133</v>
      </c>
      <c r="I512" s="4">
        <v>120.9712</v>
      </c>
      <c r="J512" s="1" t="s">
        <v>1404</v>
      </c>
      <c r="K512" s="1" t="s">
        <v>70</v>
      </c>
      <c r="L512" s="1" t="s">
        <v>2191</v>
      </c>
      <c r="M512" s="1" t="s">
        <v>3598</v>
      </c>
      <c r="N512" s="1"/>
      <c r="O512" s="1" t="s">
        <v>3095</v>
      </c>
      <c r="P512" s="1"/>
      <c r="Q512" s="4">
        <v>6.3</v>
      </c>
      <c r="R512" s="4"/>
      <c r="S512" s="4"/>
      <c r="T512" s="4"/>
      <c r="U512" s="4"/>
      <c r="V512" s="4">
        <v>13.38852</v>
      </c>
      <c r="W512" s="4"/>
      <c r="X512" s="4"/>
      <c r="Y512" s="4"/>
      <c r="Z512" s="4"/>
      <c r="AA512" s="4"/>
      <c r="AB512" s="4" t="s">
        <v>1028</v>
      </c>
      <c r="AC512" s="4"/>
      <c r="AD512" s="4">
        <v>23.8583</v>
      </c>
      <c r="AE512" s="4">
        <v>120.97620000000001</v>
      </c>
      <c r="AF512" s="4">
        <v>14.5</v>
      </c>
      <c r="AG512" s="4">
        <v>558.24339999999995</v>
      </c>
      <c r="AH512" s="27" t="b">
        <v>1</v>
      </c>
      <c r="AI512" s="4">
        <v>0.91700000000000004</v>
      </c>
      <c r="AJ512" s="27" t="b">
        <v>0</v>
      </c>
      <c r="AK512" s="4"/>
      <c r="AL512" s="27" t="b">
        <v>0</v>
      </c>
      <c r="AM512" s="4">
        <v>281.00099999999998</v>
      </c>
      <c r="AN512" s="4">
        <v>160.15899999999999</v>
      </c>
      <c r="AO512" s="4">
        <v>76.674000000000007</v>
      </c>
      <c r="AP512" s="4">
        <v>31.171299999999999</v>
      </c>
      <c r="AQ512" s="4">
        <v>17.335699999999999</v>
      </c>
      <c r="AR512" s="4">
        <v>6.0476000000000001</v>
      </c>
      <c r="AS512" s="4">
        <v>4.0420699999999998</v>
      </c>
      <c r="AT512" s="4">
        <v>3.21271</v>
      </c>
      <c r="AU512" s="4">
        <v>2.1594000000000002</v>
      </c>
      <c r="AV512" s="4">
        <v>-3.6491999999999997E-2</v>
      </c>
      <c r="AW512" s="4">
        <v>3.4887000000000001E-2</v>
      </c>
      <c r="AX512" s="4">
        <v>-2.2342999999999998E-2</v>
      </c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1" t="s">
        <v>3599</v>
      </c>
      <c r="BJ512" s="1" t="s">
        <v>4153</v>
      </c>
      <c r="BK512" s="1">
        <v>1</v>
      </c>
      <c r="BL512" s="1"/>
      <c r="BM512" s="1" t="s">
        <v>651</v>
      </c>
      <c r="BN512" s="1" t="s">
        <v>2937</v>
      </c>
      <c r="BO512" s="1" t="s">
        <v>2938</v>
      </c>
      <c r="BP512" s="1">
        <v>6.3</v>
      </c>
      <c r="BQ512" s="1" t="s">
        <v>1003</v>
      </c>
      <c r="BR512" s="1">
        <v>23.8583</v>
      </c>
      <c r="BS512" s="1">
        <v>120.97620000000001</v>
      </c>
      <c r="BT512" s="1">
        <v>14.5</v>
      </c>
      <c r="BU512" s="1" t="s">
        <v>1028</v>
      </c>
      <c r="BV512" s="1" t="s">
        <v>2834</v>
      </c>
      <c r="BW512" s="1">
        <v>14</v>
      </c>
      <c r="BX512" s="1">
        <v>29</v>
      </c>
      <c r="BY512" s="1">
        <v>87</v>
      </c>
      <c r="BZ512" s="1">
        <v>198</v>
      </c>
      <c r="CA512" s="1">
        <v>61</v>
      </c>
      <c r="CB512" s="1">
        <v>92</v>
      </c>
      <c r="CC512" s="1" t="s">
        <v>2808</v>
      </c>
      <c r="CD512" s="1" t="s">
        <v>731</v>
      </c>
      <c r="CE512" s="1"/>
      <c r="CF512" s="1"/>
      <c r="CG512" s="1"/>
      <c r="CH512" s="1"/>
      <c r="CI512" s="1"/>
      <c r="CJ512" s="1" t="s">
        <v>2812</v>
      </c>
      <c r="CK512" t="s">
        <v>1263</v>
      </c>
      <c r="CL512">
        <v>269</v>
      </c>
      <c r="CM512" t="s">
        <v>2940</v>
      </c>
    </row>
    <row r="513" spans="1:91" ht="19" customHeight="1">
      <c r="A513" s="1" t="s">
        <v>4154</v>
      </c>
      <c r="B513" s="1" t="s">
        <v>3597</v>
      </c>
      <c r="C513" s="1">
        <v>270</v>
      </c>
      <c r="D513" s="1" t="s">
        <v>652</v>
      </c>
      <c r="E513" s="1">
        <v>2013</v>
      </c>
      <c r="F513" s="1" t="s">
        <v>1177</v>
      </c>
      <c r="G513" s="1" t="s">
        <v>2198</v>
      </c>
      <c r="H513" s="4">
        <v>23.827169999999999</v>
      </c>
      <c r="I513" s="4">
        <v>120.7873</v>
      </c>
      <c r="J513" s="1" t="s">
        <v>1404</v>
      </c>
      <c r="K513" s="1" t="s">
        <v>70</v>
      </c>
      <c r="L513" s="1" t="s">
        <v>4155</v>
      </c>
      <c r="M513" s="1" t="s">
        <v>3598</v>
      </c>
      <c r="N513" s="1"/>
      <c r="O513" s="1" t="s">
        <v>3095</v>
      </c>
      <c r="P513" s="1"/>
      <c r="Q513" s="4">
        <v>6.3</v>
      </c>
      <c r="R513" s="4"/>
      <c r="S513" s="4"/>
      <c r="T513" s="4"/>
      <c r="U513" s="4"/>
      <c r="V513" s="4">
        <v>9.3433170000000008</v>
      </c>
      <c r="W513" s="4"/>
      <c r="X513" s="4"/>
      <c r="Y513" s="4"/>
      <c r="Z513" s="4"/>
      <c r="AA513" s="4"/>
      <c r="AB513" s="4" t="s">
        <v>1028</v>
      </c>
      <c r="AC513" s="4"/>
      <c r="AD513" s="4">
        <v>23.8583</v>
      </c>
      <c r="AE513" s="4">
        <v>120.97620000000001</v>
      </c>
      <c r="AF513" s="4">
        <v>14.5</v>
      </c>
      <c r="AG513" s="4">
        <v>507.48540000000003</v>
      </c>
      <c r="AH513" s="27" t="b">
        <v>1</v>
      </c>
      <c r="AI513" s="4">
        <v>1.8759999999999999</v>
      </c>
      <c r="AJ513" s="27" t="b">
        <v>0</v>
      </c>
      <c r="AK513" s="4"/>
      <c r="AL513" s="27" t="b">
        <v>0</v>
      </c>
      <c r="AM513" s="4">
        <v>312.327</v>
      </c>
      <c r="AN513" s="4">
        <v>190.583</v>
      </c>
      <c r="AO513" s="4">
        <v>84.236999999999995</v>
      </c>
      <c r="AP513" s="4">
        <v>39.685299999999998</v>
      </c>
      <c r="AQ513" s="4">
        <v>14.328900000000001</v>
      </c>
      <c r="AR513" s="4">
        <v>11.2599</v>
      </c>
      <c r="AS513" s="4">
        <v>7.0760300000000003</v>
      </c>
      <c r="AT513" s="4">
        <v>3.3342299999999998</v>
      </c>
      <c r="AU513" s="4">
        <v>5.9171500000000004</v>
      </c>
      <c r="AV513" s="4">
        <v>-1.9796999999999999E-2</v>
      </c>
      <c r="AW513" s="4">
        <v>-0.18532100000000001</v>
      </c>
      <c r="AX513" s="4">
        <v>9.2355999999999994E-2</v>
      </c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1" t="s">
        <v>3599</v>
      </c>
      <c r="BJ513" s="1" t="s">
        <v>4156</v>
      </c>
      <c r="BK513" s="1">
        <v>1</v>
      </c>
      <c r="BL513" s="1"/>
      <c r="BM513" s="1" t="s">
        <v>651</v>
      </c>
      <c r="BN513" s="1" t="s">
        <v>2937</v>
      </c>
      <c r="BO513" s="1" t="s">
        <v>2938</v>
      </c>
      <c r="BP513" s="1">
        <v>6.3</v>
      </c>
      <c r="BQ513" s="1" t="s">
        <v>1003</v>
      </c>
      <c r="BR513" s="1">
        <v>23.8583</v>
      </c>
      <c r="BS513" s="1">
        <v>120.97620000000001</v>
      </c>
      <c r="BT513" s="1">
        <v>14.5</v>
      </c>
      <c r="BU513" s="1" t="s">
        <v>1028</v>
      </c>
      <c r="BV513" s="1" t="s">
        <v>2834</v>
      </c>
      <c r="BW513" s="1">
        <v>14</v>
      </c>
      <c r="BX513" s="1">
        <v>29</v>
      </c>
      <c r="BY513" s="1">
        <v>87</v>
      </c>
      <c r="BZ513" s="1">
        <v>198</v>
      </c>
      <c r="CA513" s="1">
        <v>61</v>
      </c>
      <c r="CB513" s="1">
        <v>92</v>
      </c>
      <c r="CC513" s="1" t="s">
        <v>2808</v>
      </c>
      <c r="CD513" s="1" t="s">
        <v>731</v>
      </c>
      <c r="CE513" s="1"/>
      <c r="CF513" s="1"/>
      <c r="CG513" s="1"/>
      <c r="CH513" s="1"/>
      <c r="CI513" s="1"/>
      <c r="CJ513" s="1" t="s">
        <v>2812</v>
      </c>
      <c r="CK513" t="s">
        <v>1263</v>
      </c>
      <c r="CL513">
        <v>270</v>
      </c>
      <c r="CM513" t="s">
        <v>2940</v>
      </c>
    </row>
    <row r="514" spans="1:91" ht="19" customHeight="1">
      <c r="A514" s="1" t="s">
        <v>4157</v>
      </c>
      <c r="B514" s="1" t="s">
        <v>3597</v>
      </c>
      <c r="C514" s="1">
        <v>271</v>
      </c>
      <c r="D514" s="1" t="s">
        <v>652</v>
      </c>
      <c r="E514" s="1">
        <v>2013</v>
      </c>
      <c r="F514" s="1" t="s">
        <v>1181</v>
      </c>
      <c r="G514" s="1" t="s">
        <v>2260</v>
      </c>
      <c r="H514" s="4">
        <v>23.76333</v>
      </c>
      <c r="I514" s="4">
        <v>120.6862</v>
      </c>
      <c r="J514" s="1" t="s">
        <v>1404</v>
      </c>
      <c r="K514" s="1" t="s">
        <v>70</v>
      </c>
      <c r="L514" s="1" t="s">
        <v>2261</v>
      </c>
      <c r="M514" s="1" t="s">
        <v>3598</v>
      </c>
      <c r="N514" s="1"/>
      <c r="O514" s="1" t="s">
        <v>3095</v>
      </c>
      <c r="P514" s="1"/>
      <c r="Q514" s="4">
        <v>6.3</v>
      </c>
      <c r="R514" s="4"/>
      <c r="S514" s="4"/>
      <c r="T514" s="4"/>
      <c r="U514" s="4"/>
      <c r="V514" s="4">
        <v>17.531199999999998</v>
      </c>
      <c r="W514" s="4"/>
      <c r="X514" s="4"/>
      <c r="Y514" s="4"/>
      <c r="Z514" s="4"/>
      <c r="AA514" s="4"/>
      <c r="AB514" s="4" t="s">
        <v>1028</v>
      </c>
      <c r="AC514" s="4"/>
      <c r="AD514" s="4">
        <v>23.8583</v>
      </c>
      <c r="AE514" s="4">
        <v>120.97620000000001</v>
      </c>
      <c r="AF514" s="4">
        <v>14.5</v>
      </c>
      <c r="AG514" s="4">
        <v>469.07900000000001</v>
      </c>
      <c r="AH514" s="27" t="b">
        <v>1</v>
      </c>
      <c r="AI514" s="4">
        <v>1.113</v>
      </c>
      <c r="AJ514" s="27" t="b">
        <v>0</v>
      </c>
      <c r="AK514" s="4"/>
      <c r="AL514" s="27" t="b">
        <v>0</v>
      </c>
      <c r="AM514" s="4">
        <v>227.12299999999999</v>
      </c>
      <c r="AN514" s="4">
        <v>320.63799999999998</v>
      </c>
      <c r="AO514" s="4">
        <v>80.385000000000005</v>
      </c>
      <c r="AP514" s="4">
        <v>35.4071</v>
      </c>
      <c r="AQ514" s="4">
        <v>20.974599999999999</v>
      </c>
      <c r="AR514" s="4">
        <v>8.5016499999999997</v>
      </c>
      <c r="AS514" s="4">
        <v>9.9787300000000005</v>
      </c>
      <c r="AT514" s="4">
        <v>5.2626799999999996</v>
      </c>
      <c r="AU514" s="4">
        <v>4.44496</v>
      </c>
      <c r="AV514" s="4">
        <v>-0.401974</v>
      </c>
      <c r="AW514" s="4">
        <v>-0.93207799999999996</v>
      </c>
      <c r="AX514" s="4">
        <v>0.141012</v>
      </c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1" t="s">
        <v>3599</v>
      </c>
      <c r="BJ514" s="1" t="s">
        <v>4158</v>
      </c>
      <c r="BK514" s="1">
        <v>1</v>
      </c>
      <c r="BL514" s="1"/>
      <c r="BM514" s="1" t="s">
        <v>651</v>
      </c>
      <c r="BN514" s="1" t="s">
        <v>2937</v>
      </c>
      <c r="BO514" s="1" t="s">
        <v>2938</v>
      </c>
      <c r="BP514" s="1">
        <v>6.3</v>
      </c>
      <c r="BQ514" s="1" t="s">
        <v>1003</v>
      </c>
      <c r="BR514" s="1">
        <v>23.8583</v>
      </c>
      <c r="BS514" s="1">
        <v>120.97620000000001</v>
      </c>
      <c r="BT514" s="1">
        <v>14.5</v>
      </c>
      <c r="BU514" s="1" t="s">
        <v>1028</v>
      </c>
      <c r="BV514" s="1" t="s">
        <v>2834</v>
      </c>
      <c r="BW514" s="1">
        <v>14</v>
      </c>
      <c r="BX514" s="1">
        <v>29</v>
      </c>
      <c r="BY514" s="1">
        <v>87</v>
      </c>
      <c r="BZ514" s="1">
        <v>198</v>
      </c>
      <c r="CA514" s="1">
        <v>61</v>
      </c>
      <c r="CB514" s="1">
        <v>92</v>
      </c>
      <c r="CC514" s="1" t="s">
        <v>2808</v>
      </c>
      <c r="CD514" s="1" t="s">
        <v>731</v>
      </c>
      <c r="CE514" s="1"/>
      <c r="CF514" s="1"/>
      <c r="CG514" s="1"/>
      <c r="CH514" s="1"/>
      <c r="CI514" s="1"/>
      <c r="CJ514" s="1" t="s">
        <v>2812</v>
      </c>
      <c r="CK514" t="s">
        <v>1263</v>
      </c>
      <c r="CL514">
        <v>271</v>
      </c>
      <c r="CM514" t="s">
        <v>2940</v>
      </c>
    </row>
    <row r="515" spans="1:91" ht="19" customHeight="1">
      <c r="A515" s="1" t="s">
        <v>4159</v>
      </c>
      <c r="B515" s="1" t="s">
        <v>3597</v>
      </c>
      <c r="C515" s="1">
        <v>272</v>
      </c>
      <c r="D515" s="1" t="s">
        <v>652</v>
      </c>
      <c r="E515" s="1">
        <v>2013</v>
      </c>
      <c r="F515" s="1" t="s">
        <v>1182</v>
      </c>
      <c r="G515" s="1" t="s">
        <v>2278</v>
      </c>
      <c r="H515" s="4">
        <v>23.6645</v>
      </c>
      <c r="I515" s="4">
        <v>120.7685</v>
      </c>
      <c r="J515" s="1" t="s">
        <v>1404</v>
      </c>
      <c r="K515" s="1" t="s">
        <v>70</v>
      </c>
      <c r="L515" s="1" t="s">
        <v>2279</v>
      </c>
      <c r="M515" s="1" t="s">
        <v>3598</v>
      </c>
      <c r="N515" s="1"/>
      <c r="O515" s="1" t="s">
        <v>3095</v>
      </c>
      <c r="P515" s="1"/>
      <c r="Q515" s="4">
        <v>6.3</v>
      </c>
      <c r="R515" s="4"/>
      <c r="S515" s="4"/>
      <c r="T515" s="4"/>
      <c r="U515" s="4"/>
      <c r="V515" s="4">
        <v>14.518269999999999</v>
      </c>
      <c r="W515" s="4"/>
      <c r="X515" s="4"/>
      <c r="Y515" s="4"/>
      <c r="Z515" s="4"/>
      <c r="AA515" s="4"/>
      <c r="AB515" s="4" t="s">
        <v>1028</v>
      </c>
      <c r="AC515" s="4"/>
      <c r="AD515" s="4">
        <v>23.8583</v>
      </c>
      <c r="AE515" s="4">
        <v>120.97620000000001</v>
      </c>
      <c r="AF515" s="4">
        <v>14.5</v>
      </c>
      <c r="AG515" s="4">
        <v>363.85</v>
      </c>
      <c r="AH515" s="27" t="b">
        <v>1</v>
      </c>
      <c r="AI515" s="4">
        <v>1.19</v>
      </c>
      <c r="AJ515" s="27" t="b">
        <v>0</v>
      </c>
      <c r="AK515" s="4"/>
      <c r="AL515" s="27" t="b">
        <v>0</v>
      </c>
      <c r="AM515" s="4">
        <v>741.86800000000005</v>
      </c>
      <c r="AN515" s="4">
        <v>696.577</v>
      </c>
      <c r="AO515" s="4">
        <v>262.08</v>
      </c>
      <c r="AP515" s="4">
        <v>59.735700000000001</v>
      </c>
      <c r="AQ515" s="4">
        <v>50.346600000000002</v>
      </c>
      <c r="AR515" s="4">
        <v>20.711500000000001</v>
      </c>
      <c r="AS515" s="4">
        <v>9.8645999999999994</v>
      </c>
      <c r="AT515" s="4">
        <v>8.3791100000000007</v>
      </c>
      <c r="AU515" s="4">
        <v>5.1502299999999996</v>
      </c>
      <c r="AV515" s="4">
        <v>-1.2165E-2</v>
      </c>
      <c r="AW515" s="4">
        <v>-7.4481000000000006E-2</v>
      </c>
      <c r="AX515" s="4">
        <v>5.3421999999999997E-2</v>
      </c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1" t="s">
        <v>3599</v>
      </c>
      <c r="BJ515" s="1" t="s">
        <v>4160</v>
      </c>
      <c r="BK515" s="1">
        <v>1</v>
      </c>
      <c r="BL515" s="1"/>
      <c r="BM515" s="1" t="s">
        <v>651</v>
      </c>
      <c r="BN515" s="1" t="s">
        <v>2937</v>
      </c>
      <c r="BO515" s="1" t="s">
        <v>2938</v>
      </c>
      <c r="BP515" s="1">
        <v>6.3</v>
      </c>
      <c r="BQ515" s="1" t="s">
        <v>1003</v>
      </c>
      <c r="BR515" s="1">
        <v>23.8583</v>
      </c>
      <c r="BS515" s="1">
        <v>120.97620000000001</v>
      </c>
      <c r="BT515" s="1">
        <v>14.5</v>
      </c>
      <c r="BU515" s="1" t="s">
        <v>1028</v>
      </c>
      <c r="BV515" s="1" t="s">
        <v>2834</v>
      </c>
      <c r="BW515" s="1">
        <v>14</v>
      </c>
      <c r="BX515" s="1">
        <v>29</v>
      </c>
      <c r="BY515" s="1">
        <v>87</v>
      </c>
      <c r="BZ515" s="1">
        <v>198</v>
      </c>
      <c r="CA515" s="1">
        <v>61</v>
      </c>
      <c r="CB515" s="1">
        <v>92</v>
      </c>
      <c r="CC515" s="1" t="s">
        <v>2808</v>
      </c>
      <c r="CD515" s="1" t="s">
        <v>731</v>
      </c>
      <c r="CE515" s="1"/>
      <c r="CF515" s="1"/>
      <c r="CG515" s="1"/>
      <c r="CH515" s="1"/>
      <c r="CI515" s="1"/>
      <c r="CJ515" s="1" t="s">
        <v>2812</v>
      </c>
      <c r="CK515" t="s">
        <v>1263</v>
      </c>
      <c r="CL515">
        <v>272</v>
      </c>
      <c r="CM515" t="s">
        <v>2940</v>
      </c>
    </row>
    <row r="516" spans="1:91" ht="19" customHeight="1">
      <c r="A516" s="1" t="s">
        <v>4161</v>
      </c>
      <c r="B516" s="1" t="s">
        <v>3597</v>
      </c>
      <c r="C516" s="1">
        <v>273</v>
      </c>
      <c r="D516" s="1" t="s">
        <v>657</v>
      </c>
      <c r="E516" s="1">
        <v>2013</v>
      </c>
      <c r="F516" s="1" t="s">
        <v>1183</v>
      </c>
      <c r="G516" s="1" t="s">
        <v>1919</v>
      </c>
      <c r="H516" s="4">
        <v>23.66067</v>
      </c>
      <c r="I516" s="4">
        <v>121.4248</v>
      </c>
      <c r="J516" s="1" t="s">
        <v>1404</v>
      </c>
      <c r="K516" s="1" t="s">
        <v>70</v>
      </c>
      <c r="L516" s="1" t="s">
        <v>1920</v>
      </c>
      <c r="M516" s="1" t="s">
        <v>3598</v>
      </c>
      <c r="N516" s="1"/>
      <c r="O516" s="1" t="s">
        <v>3095</v>
      </c>
      <c r="P516" s="1"/>
      <c r="Q516" s="4">
        <v>6.32</v>
      </c>
      <c r="R516" s="4"/>
      <c r="S516" s="4"/>
      <c r="T516" s="4"/>
      <c r="U516" s="4"/>
      <c r="V516" s="4">
        <v>7.7320880000000001</v>
      </c>
      <c r="W516" s="4"/>
      <c r="X516" s="4"/>
      <c r="Y516" s="4"/>
      <c r="Z516" s="4"/>
      <c r="AA516" s="4"/>
      <c r="AB516" s="4" t="s">
        <v>1055</v>
      </c>
      <c r="AC516" s="4"/>
      <c r="AD516" s="4">
        <v>23.567900000000002</v>
      </c>
      <c r="AE516" s="4">
        <v>121.3463</v>
      </c>
      <c r="AF516" s="4">
        <v>14.98</v>
      </c>
      <c r="AG516" s="4">
        <v>445.75310000000002</v>
      </c>
      <c r="AH516" s="27" t="b">
        <v>1</v>
      </c>
      <c r="AI516" s="4">
        <v>2.0720000000000001</v>
      </c>
      <c r="AJ516" s="27" t="b">
        <v>0</v>
      </c>
      <c r="AK516" s="4"/>
      <c r="AL516" s="27" t="b">
        <v>0</v>
      </c>
      <c r="AM516" s="4">
        <v>330.34699999999998</v>
      </c>
      <c r="AN516" s="4">
        <v>231.55799999999999</v>
      </c>
      <c r="AO516" s="4">
        <v>516.62199999999996</v>
      </c>
      <c r="AP516" s="4">
        <v>40.270600000000002</v>
      </c>
      <c r="AQ516" s="4">
        <v>21.515699999999999</v>
      </c>
      <c r="AR516" s="4">
        <v>18.155899999999999</v>
      </c>
      <c r="AS516" s="4">
        <v>11.498799999999999</v>
      </c>
      <c r="AT516" s="4">
        <v>5.24064</v>
      </c>
      <c r="AU516" s="4">
        <v>7.5055800000000001</v>
      </c>
      <c r="AV516" s="4">
        <v>-9.2313999999999993E-2</v>
      </c>
      <c r="AW516" s="4">
        <v>-1.9411999999999999E-2</v>
      </c>
      <c r="AX516" s="4">
        <v>3.5236000000000003E-2</v>
      </c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1" t="s">
        <v>3599</v>
      </c>
      <c r="BJ516" s="1" t="s">
        <v>4162</v>
      </c>
      <c r="BK516" s="1">
        <v>1</v>
      </c>
      <c r="BL516" s="1"/>
      <c r="BM516" s="1" t="s">
        <v>656</v>
      </c>
      <c r="BN516" s="1" t="s">
        <v>2942</v>
      </c>
      <c r="BO516" s="1" t="s">
        <v>2943</v>
      </c>
      <c r="BP516" s="1">
        <v>6.32</v>
      </c>
      <c r="BQ516" s="1" t="s">
        <v>1003</v>
      </c>
      <c r="BR516" s="1">
        <v>23.567900000000002</v>
      </c>
      <c r="BS516" s="1">
        <v>121.3463</v>
      </c>
      <c r="BT516" s="1">
        <v>14.98</v>
      </c>
      <c r="BU516" s="1" t="s">
        <v>1055</v>
      </c>
      <c r="BV516" s="1" t="s">
        <v>2834</v>
      </c>
      <c r="BW516" s="1">
        <v>201</v>
      </c>
      <c r="BX516" s="1">
        <v>45</v>
      </c>
      <c r="BY516" s="1">
        <v>39</v>
      </c>
      <c r="BZ516" s="1">
        <v>81</v>
      </c>
      <c r="CA516" s="1">
        <v>63</v>
      </c>
      <c r="CB516" s="1">
        <v>128</v>
      </c>
      <c r="CC516" s="1" t="s">
        <v>2808</v>
      </c>
      <c r="CD516" s="1" t="s">
        <v>731</v>
      </c>
      <c r="CE516" s="1"/>
      <c r="CF516" s="1"/>
      <c r="CG516" s="1"/>
      <c r="CH516" s="1"/>
      <c r="CI516" s="1"/>
      <c r="CJ516" s="1" t="s">
        <v>2812</v>
      </c>
      <c r="CK516" t="s">
        <v>1263</v>
      </c>
      <c r="CL516">
        <v>273</v>
      </c>
      <c r="CM516" t="s">
        <v>2945</v>
      </c>
    </row>
    <row r="517" spans="1:91" ht="19" customHeight="1">
      <c r="A517" s="1" t="s">
        <v>4163</v>
      </c>
      <c r="B517" s="1" t="s">
        <v>3597</v>
      </c>
      <c r="C517" s="1">
        <v>274</v>
      </c>
      <c r="D517" s="1" t="s">
        <v>657</v>
      </c>
      <c r="E517" s="1">
        <v>2013</v>
      </c>
      <c r="F517" s="1" t="s">
        <v>1184</v>
      </c>
      <c r="G517" s="1" t="s">
        <v>1921</v>
      </c>
      <c r="H517" s="4">
        <v>23.670829999999999</v>
      </c>
      <c r="I517" s="4">
        <v>121.42449999999999</v>
      </c>
      <c r="J517" s="1" t="s">
        <v>1404</v>
      </c>
      <c r="K517" s="1" t="s">
        <v>70</v>
      </c>
      <c r="L517" s="1" t="s">
        <v>1922</v>
      </c>
      <c r="M517" s="1" t="s">
        <v>3598</v>
      </c>
      <c r="N517" s="1"/>
      <c r="O517" s="1" t="s">
        <v>3095</v>
      </c>
      <c r="P517" s="1"/>
      <c r="Q517" s="4">
        <v>6.32</v>
      </c>
      <c r="R517" s="4"/>
      <c r="S517" s="4"/>
      <c r="T517" s="4"/>
      <c r="U517" s="4"/>
      <c r="V517" s="4">
        <v>7.9445920000000001</v>
      </c>
      <c r="W517" s="4"/>
      <c r="X517" s="4"/>
      <c r="Y517" s="4"/>
      <c r="Z517" s="4"/>
      <c r="AA517" s="4"/>
      <c r="AB517" s="4" t="s">
        <v>1055</v>
      </c>
      <c r="AC517" s="4"/>
      <c r="AD517" s="4">
        <v>23.567900000000002</v>
      </c>
      <c r="AE517" s="4">
        <v>121.3463</v>
      </c>
      <c r="AF517" s="4">
        <v>14.98</v>
      </c>
      <c r="AG517" s="4">
        <v>557.05129999999997</v>
      </c>
      <c r="AH517" s="27" t="b">
        <v>1</v>
      </c>
      <c r="AI517" s="4">
        <v>1.1619999999999999</v>
      </c>
      <c r="AJ517" s="27" t="b">
        <v>0</v>
      </c>
      <c r="AK517" s="4"/>
      <c r="AL517" s="27" t="b">
        <v>0</v>
      </c>
      <c r="AM517" s="4">
        <v>278.78800000000001</v>
      </c>
      <c r="AN517" s="4">
        <v>257.62</v>
      </c>
      <c r="AO517" s="4">
        <v>355.66800000000001</v>
      </c>
      <c r="AP517" s="4">
        <v>20.058299999999999</v>
      </c>
      <c r="AQ517" s="4">
        <v>27.970300000000002</v>
      </c>
      <c r="AR517" s="4">
        <v>16.5627</v>
      </c>
      <c r="AS517" s="4">
        <v>7.5408600000000003</v>
      </c>
      <c r="AT517" s="4">
        <v>6.3541699999999999</v>
      </c>
      <c r="AU517" s="4">
        <v>7.1378199999999996</v>
      </c>
      <c r="AV517" s="4">
        <v>-8.4326999999999999E-2</v>
      </c>
      <c r="AW517" s="4">
        <v>-3.4944999999999997E-2</v>
      </c>
      <c r="AX517" s="4">
        <v>7.3245000000000005E-2</v>
      </c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1" t="s">
        <v>3599</v>
      </c>
      <c r="BJ517" s="1" t="s">
        <v>4164</v>
      </c>
      <c r="BK517" s="1">
        <v>1</v>
      </c>
      <c r="BL517" s="1"/>
      <c r="BM517" s="1" t="s">
        <v>656</v>
      </c>
      <c r="BN517" s="1" t="s">
        <v>2942</v>
      </c>
      <c r="BO517" s="1" t="s">
        <v>2943</v>
      </c>
      <c r="BP517" s="1">
        <v>6.32</v>
      </c>
      <c r="BQ517" s="1" t="s">
        <v>1003</v>
      </c>
      <c r="BR517" s="1">
        <v>23.567900000000002</v>
      </c>
      <c r="BS517" s="1">
        <v>121.3463</v>
      </c>
      <c r="BT517" s="1">
        <v>14.98</v>
      </c>
      <c r="BU517" s="1" t="s">
        <v>1055</v>
      </c>
      <c r="BV517" s="1" t="s">
        <v>2834</v>
      </c>
      <c r="BW517" s="1">
        <v>201</v>
      </c>
      <c r="BX517" s="1">
        <v>45</v>
      </c>
      <c r="BY517" s="1">
        <v>39</v>
      </c>
      <c r="BZ517" s="1">
        <v>81</v>
      </c>
      <c r="CA517" s="1">
        <v>63</v>
      </c>
      <c r="CB517" s="1">
        <v>128</v>
      </c>
      <c r="CC517" s="1" t="s">
        <v>2808</v>
      </c>
      <c r="CD517" s="1" t="s">
        <v>731</v>
      </c>
      <c r="CE517" s="1"/>
      <c r="CF517" s="1"/>
      <c r="CG517" s="1"/>
      <c r="CH517" s="1"/>
      <c r="CI517" s="1"/>
      <c r="CJ517" s="1" t="s">
        <v>2812</v>
      </c>
      <c r="CK517" t="s">
        <v>1263</v>
      </c>
      <c r="CL517">
        <v>274</v>
      </c>
      <c r="CM517" t="s">
        <v>2945</v>
      </c>
    </row>
    <row r="518" spans="1:91" ht="19" customHeight="1">
      <c r="A518" s="1" t="s">
        <v>4165</v>
      </c>
      <c r="B518" s="1" t="s">
        <v>3597</v>
      </c>
      <c r="C518" s="1">
        <v>275</v>
      </c>
      <c r="D518" s="1" t="s">
        <v>657</v>
      </c>
      <c r="E518" s="1">
        <v>2013</v>
      </c>
      <c r="F518" s="1" t="s">
        <v>1185</v>
      </c>
      <c r="G518" s="1" t="s">
        <v>1957</v>
      </c>
      <c r="H518" s="4">
        <v>23.783999999999999</v>
      </c>
      <c r="I518" s="4">
        <v>121.456</v>
      </c>
      <c r="J518" s="1" t="s">
        <v>1404</v>
      </c>
      <c r="K518" s="1" t="s">
        <v>70</v>
      </c>
      <c r="L518" s="1" t="s">
        <v>1958</v>
      </c>
      <c r="M518" s="1" t="s">
        <v>3598</v>
      </c>
      <c r="N518" s="1"/>
      <c r="O518" s="1" t="s">
        <v>3095</v>
      </c>
      <c r="P518" s="1"/>
      <c r="Q518" s="4">
        <v>6.32</v>
      </c>
      <c r="R518" s="4"/>
      <c r="S518" s="4"/>
      <c r="T518" s="4"/>
      <c r="U518" s="4"/>
      <c r="V518" s="4">
        <v>11.158160000000001</v>
      </c>
      <c r="W518" s="4"/>
      <c r="X518" s="4"/>
      <c r="Y518" s="4"/>
      <c r="Z518" s="4"/>
      <c r="AA518" s="4"/>
      <c r="AB518" s="4" t="s">
        <v>1055</v>
      </c>
      <c r="AC518" s="4"/>
      <c r="AD518" s="4">
        <v>23.567900000000002</v>
      </c>
      <c r="AE518" s="4">
        <v>121.3463</v>
      </c>
      <c r="AF518" s="4">
        <v>14.98</v>
      </c>
      <c r="AG518" s="4">
        <v>594.05939999999998</v>
      </c>
      <c r="AH518" s="27" t="b">
        <v>1</v>
      </c>
      <c r="AI518" s="4">
        <v>1.1200000000000001</v>
      </c>
      <c r="AJ518" s="27" t="b">
        <v>0</v>
      </c>
      <c r="AK518" s="4"/>
      <c r="AL518" s="27" t="b">
        <v>0</v>
      </c>
      <c r="AM518" s="4">
        <v>250.28899999999999</v>
      </c>
      <c r="AN518" s="4">
        <v>227.536</v>
      </c>
      <c r="AO518" s="4">
        <v>106.84099999999999</v>
      </c>
      <c r="AP518" s="4">
        <v>16.6448</v>
      </c>
      <c r="AQ518" s="4">
        <v>23.3904</v>
      </c>
      <c r="AR518" s="4">
        <v>5.9417299999999997</v>
      </c>
      <c r="AS518" s="4">
        <v>3.60453</v>
      </c>
      <c r="AT518" s="4">
        <v>6.7921199999999997</v>
      </c>
      <c r="AU518" s="4">
        <v>2.2136499999999999</v>
      </c>
      <c r="AV518" s="4">
        <v>-9.2900000000000003E-4</v>
      </c>
      <c r="AW518" s="4">
        <v>9.1889999999999993E-3</v>
      </c>
      <c r="AX518" s="4">
        <v>8.0579999999999992E-3</v>
      </c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1" t="s">
        <v>3599</v>
      </c>
      <c r="BJ518" s="1" t="s">
        <v>4166</v>
      </c>
      <c r="BK518" s="1">
        <v>1</v>
      </c>
      <c r="BL518" s="1"/>
      <c r="BM518" s="1" t="s">
        <v>656</v>
      </c>
      <c r="BN518" s="1" t="s">
        <v>2942</v>
      </c>
      <c r="BO518" s="1" t="s">
        <v>2943</v>
      </c>
      <c r="BP518" s="1">
        <v>6.32</v>
      </c>
      <c r="BQ518" s="1" t="s">
        <v>1003</v>
      </c>
      <c r="BR518" s="1">
        <v>23.567900000000002</v>
      </c>
      <c r="BS518" s="1">
        <v>121.3463</v>
      </c>
      <c r="BT518" s="1">
        <v>14.98</v>
      </c>
      <c r="BU518" s="1" t="s">
        <v>1055</v>
      </c>
      <c r="BV518" s="1" t="s">
        <v>2834</v>
      </c>
      <c r="BW518" s="1">
        <v>201</v>
      </c>
      <c r="BX518" s="1">
        <v>45</v>
      </c>
      <c r="BY518" s="1">
        <v>39</v>
      </c>
      <c r="BZ518" s="1">
        <v>81</v>
      </c>
      <c r="CA518" s="1">
        <v>63</v>
      </c>
      <c r="CB518" s="1">
        <v>128</v>
      </c>
      <c r="CC518" s="1" t="s">
        <v>2808</v>
      </c>
      <c r="CD518" s="1" t="s">
        <v>731</v>
      </c>
      <c r="CE518" s="1"/>
      <c r="CF518" s="1"/>
      <c r="CG518" s="1"/>
      <c r="CH518" s="1"/>
      <c r="CI518" s="1"/>
      <c r="CJ518" s="1" t="s">
        <v>2812</v>
      </c>
      <c r="CK518" t="s">
        <v>1263</v>
      </c>
      <c r="CL518">
        <v>275</v>
      </c>
      <c r="CM518" t="s">
        <v>2945</v>
      </c>
    </row>
    <row r="519" spans="1:91" ht="19" customHeight="1">
      <c r="A519" s="1" t="s">
        <v>4167</v>
      </c>
      <c r="B519" s="1" t="s">
        <v>3597</v>
      </c>
      <c r="C519" s="1">
        <v>276</v>
      </c>
      <c r="D519" s="1" t="s">
        <v>657</v>
      </c>
      <c r="E519" s="1">
        <v>2013</v>
      </c>
      <c r="F519" s="1" t="s">
        <v>1186</v>
      </c>
      <c r="G519" s="1" t="s">
        <v>1959</v>
      </c>
      <c r="H519" s="4">
        <v>23.70833</v>
      </c>
      <c r="I519" s="4">
        <v>121.4198</v>
      </c>
      <c r="J519" s="1" t="s">
        <v>1404</v>
      </c>
      <c r="K519" s="1" t="s">
        <v>70</v>
      </c>
      <c r="L519" s="1" t="s">
        <v>1960</v>
      </c>
      <c r="M519" s="1" t="s">
        <v>3598</v>
      </c>
      <c r="N519" s="1"/>
      <c r="O519" s="1" t="s">
        <v>3095</v>
      </c>
      <c r="P519" s="1"/>
      <c r="Q519" s="4">
        <v>6.32</v>
      </c>
      <c r="R519" s="4"/>
      <c r="S519" s="4"/>
      <c r="T519" s="4"/>
      <c r="U519" s="4"/>
      <c r="V519" s="4">
        <v>9.2026039999999991</v>
      </c>
      <c r="W519" s="4"/>
      <c r="X519" s="4"/>
      <c r="Y519" s="4"/>
      <c r="Z519" s="4"/>
      <c r="AA519" s="4"/>
      <c r="AB519" s="4" t="s">
        <v>1055</v>
      </c>
      <c r="AC519" s="4"/>
      <c r="AD519" s="4">
        <v>23.567900000000002</v>
      </c>
      <c r="AE519" s="4">
        <v>121.3463</v>
      </c>
      <c r="AF519" s="4">
        <v>14.98</v>
      </c>
      <c r="AG519" s="4">
        <v>636.2672</v>
      </c>
      <c r="AH519" s="27" t="b">
        <v>1</v>
      </c>
      <c r="AI519" s="4">
        <v>1.841</v>
      </c>
      <c r="AJ519" s="27" t="b">
        <v>0</v>
      </c>
      <c r="AK519" s="4"/>
      <c r="AL519" s="27" t="b">
        <v>0</v>
      </c>
      <c r="AM519" s="4">
        <v>333.166</v>
      </c>
      <c r="AN519" s="4">
        <v>426.226</v>
      </c>
      <c r="AO519" s="4">
        <v>456.37299999999999</v>
      </c>
      <c r="AP519" s="4">
        <v>15.5212</v>
      </c>
      <c r="AQ519" s="4">
        <v>33.926900000000003</v>
      </c>
      <c r="AR519" s="4">
        <v>17.164100000000001</v>
      </c>
      <c r="AS519" s="4">
        <v>3.7192400000000001</v>
      </c>
      <c r="AT519" s="4">
        <v>7.4390400000000003</v>
      </c>
      <c r="AU519" s="4">
        <v>5.5970300000000002</v>
      </c>
      <c r="AV519" s="4">
        <v>3.3015999999999997E-2</v>
      </c>
      <c r="AW519" s="4">
        <v>-3.5758999999999999E-2</v>
      </c>
      <c r="AX519" s="4">
        <v>-5.8580000000000004E-3</v>
      </c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1" t="s">
        <v>3599</v>
      </c>
      <c r="BJ519" s="1" t="s">
        <v>4168</v>
      </c>
      <c r="BK519" s="1">
        <v>1</v>
      </c>
      <c r="BL519" s="1"/>
      <c r="BM519" s="1" t="s">
        <v>656</v>
      </c>
      <c r="BN519" s="1" t="s">
        <v>2942</v>
      </c>
      <c r="BO519" s="1" t="s">
        <v>2943</v>
      </c>
      <c r="BP519" s="1">
        <v>6.32</v>
      </c>
      <c r="BQ519" s="1" t="s">
        <v>1003</v>
      </c>
      <c r="BR519" s="1">
        <v>23.567900000000002</v>
      </c>
      <c r="BS519" s="1">
        <v>121.3463</v>
      </c>
      <c r="BT519" s="1">
        <v>14.98</v>
      </c>
      <c r="BU519" s="1" t="s">
        <v>1055</v>
      </c>
      <c r="BV519" s="1" t="s">
        <v>2834</v>
      </c>
      <c r="BW519" s="1">
        <v>201</v>
      </c>
      <c r="BX519" s="1">
        <v>45</v>
      </c>
      <c r="BY519" s="1">
        <v>39</v>
      </c>
      <c r="BZ519" s="1">
        <v>81</v>
      </c>
      <c r="CA519" s="1">
        <v>63</v>
      </c>
      <c r="CB519" s="1">
        <v>128</v>
      </c>
      <c r="CC519" s="1" t="s">
        <v>2808</v>
      </c>
      <c r="CD519" s="1" t="s">
        <v>731</v>
      </c>
      <c r="CE519" s="1"/>
      <c r="CF519" s="1"/>
      <c r="CG519" s="1"/>
      <c r="CH519" s="1"/>
      <c r="CI519" s="1"/>
      <c r="CJ519" s="1" t="s">
        <v>2812</v>
      </c>
      <c r="CK519" t="s">
        <v>1263</v>
      </c>
      <c r="CL519">
        <v>276</v>
      </c>
      <c r="CM519" t="s">
        <v>2945</v>
      </c>
    </row>
    <row r="520" spans="1:91" ht="19" customHeight="1">
      <c r="A520" s="1" t="s">
        <v>4169</v>
      </c>
      <c r="B520" s="1" t="s">
        <v>3597</v>
      </c>
      <c r="C520" s="1">
        <v>277</v>
      </c>
      <c r="D520" s="1" t="s">
        <v>657</v>
      </c>
      <c r="E520" s="1">
        <v>2013</v>
      </c>
      <c r="F520" s="1" t="s">
        <v>1187</v>
      </c>
      <c r="G520" s="1" t="s">
        <v>1963</v>
      </c>
      <c r="H520" s="4">
        <v>23.730329999999999</v>
      </c>
      <c r="I520" s="4">
        <v>121.4447</v>
      </c>
      <c r="J520" s="1" t="s">
        <v>1404</v>
      </c>
      <c r="K520" s="1" t="s">
        <v>70</v>
      </c>
      <c r="L520" s="1" t="s">
        <v>1964</v>
      </c>
      <c r="M520" s="1" t="s">
        <v>3598</v>
      </c>
      <c r="N520" s="1"/>
      <c r="O520" s="1" t="s">
        <v>3095</v>
      </c>
      <c r="P520" s="1"/>
      <c r="Q520" s="4">
        <v>6.32</v>
      </c>
      <c r="R520" s="4"/>
      <c r="S520" s="4"/>
      <c r="T520" s="4"/>
      <c r="U520" s="4"/>
      <c r="V520" s="4">
        <v>8.6083590000000001</v>
      </c>
      <c r="W520" s="4"/>
      <c r="X520" s="4"/>
      <c r="Y520" s="4"/>
      <c r="Z520" s="4"/>
      <c r="AA520" s="4"/>
      <c r="AB520" s="4" t="s">
        <v>1055</v>
      </c>
      <c r="AC520" s="4"/>
      <c r="AD520" s="4">
        <v>23.567900000000002</v>
      </c>
      <c r="AE520" s="4">
        <v>121.3463</v>
      </c>
      <c r="AF520" s="4">
        <v>14.98</v>
      </c>
      <c r="AG520" s="4">
        <v>686.10630000000003</v>
      </c>
      <c r="AH520" s="27" t="b">
        <v>1</v>
      </c>
      <c r="AI520" s="4">
        <v>1.4630000000000001</v>
      </c>
      <c r="AJ520" s="27" t="b">
        <v>0</v>
      </c>
      <c r="AK520" s="4"/>
      <c r="AL520" s="27" t="b">
        <v>0</v>
      </c>
      <c r="AM520" s="4">
        <v>319.75200000000001</v>
      </c>
      <c r="AN520" s="4">
        <v>460.613</v>
      </c>
      <c r="AO520" s="4">
        <v>309.12099999999998</v>
      </c>
      <c r="AP520" s="4">
        <v>20.941299999999998</v>
      </c>
      <c r="AQ520" s="4">
        <v>27.809100000000001</v>
      </c>
      <c r="AR520" s="4">
        <v>9.6441300000000005</v>
      </c>
      <c r="AS520" s="4">
        <v>5.0075900000000004</v>
      </c>
      <c r="AT520" s="4">
        <v>6.5259799999999997</v>
      </c>
      <c r="AU520" s="4">
        <v>3.22661</v>
      </c>
      <c r="AV520" s="4">
        <v>5.0280000000000004E-3</v>
      </c>
      <c r="AW520" s="4">
        <v>6.0170000000000001E-2</v>
      </c>
      <c r="AX520" s="4">
        <v>7.156E-3</v>
      </c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1" t="s">
        <v>3599</v>
      </c>
      <c r="BJ520" s="1" t="s">
        <v>4170</v>
      </c>
      <c r="BK520" s="1">
        <v>1</v>
      </c>
      <c r="BL520" s="1"/>
      <c r="BM520" s="1" t="s">
        <v>656</v>
      </c>
      <c r="BN520" s="1" t="s">
        <v>2942</v>
      </c>
      <c r="BO520" s="1" t="s">
        <v>2943</v>
      </c>
      <c r="BP520" s="1">
        <v>6.32</v>
      </c>
      <c r="BQ520" s="1" t="s">
        <v>1003</v>
      </c>
      <c r="BR520" s="1">
        <v>23.567900000000002</v>
      </c>
      <c r="BS520" s="1">
        <v>121.3463</v>
      </c>
      <c r="BT520" s="1">
        <v>14.98</v>
      </c>
      <c r="BU520" s="1" t="s">
        <v>1055</v>
      </c>
      <c r="BV520" s="1" t="s">
        <v>2834</v>
      </c>
      <c r="BW520" s="1">
        <v>201</v>
      </c>
      <c r="BX520" s="1">
        <v>45</v>
      </c>
      <c r="BY520" s="1">
        <v>39</v>
      </c>
      <c r="BZ520" s="1">
        <v>81</v>
      </c>
      <c r="CA520" s="1">
        <v>63</v>
      </c>
      <c r="CB520" s="1">
        <v>128</v>
      </c>
      <c r="CC520" s="1" t="s">
        <v>2808</v>
      </c>
      <c r="CD520" s="1" t="s">
        <v>731</v>
      </c>
      <c r="CE520" s="1"/>
      <c r="CF520" s="1"/>
      <c r="CG520" s="1"/>
      <c r="CH520" s="1"/>
      <c r="CI520" s="1"/>
      <c r="CJ520" s="1" t="s">
        <v>2812</v>
      </c>
      <c r="CK520" t="s">
        <v>1263</v>
      </c>
      <c r="CL520">
        <v>277</v>
      </c>
      <c r="CM520" t="s">
        <v>2945</v>
      </c>
    </row>
    <row r="521" spans="1:91" ht="19" customHeight="1">
      <c r="A521" s="1" t="s">
        <v>4171</v>
      </c>
      <c r="B521" s="1" t="s">
        <v>3597</v>
      </c>
      <c r="C521" s="1">
        <v>278</v>
      </c>
      <c r="D521" s="1" t="s">
        <v>657</v>
      </c>
      <c r="E521" s="1">
        <v>2013</v>
      </c>
      <c r="F521" s="1" t="s">
        <v>1188</v>
      </c>
      <c r="G521" s="1" t="s">
        <v>1965</v>
      </c>
      <c r="H521" s="4">
        <v>23.651669999999999</v>
      </c>
      <c r="I521" s="4">
        <v>121.5363</v>
      </c>
      <c r="J521" s="1" t="s">
        <v>1404</v>
      </c>
      <c r="K521" s="1" t="s">
        <v>70</v>
      </c>
      <c r="L521" s="1" t="s">
        <v>1966</v>
      </c>
      <c r="M521" s="1" t="s">
        <v>3598</v>
      </c>
      <c r="N521" s="1"/>
      <c r="O521" s="1" t="s">
        <v>3095</v>
      </c>
      <c r="P521" s="1"/>
      <c r="Q521" s="4">
        <v>6.32</v>
      </c>
      <c r="R521" s="4"/>
      <c r="S521" s="4"/>
      <c r="T521" s="4"/>
      <c r="U521" s="4"/>
      <c r="V521" s="4">
        <v>10.65174</v>
      </c>
      <c r="W521" s="4"/>
      <c r="X521" s="4"/>
      <c r="Y521" s="4"/>
      <c r="Z521" s="4"/>
      <c r="AA521" s="4"/>
      <c r="AB521" s="4" t="s">
        <v>1055</v>
      </c>
      <c r="AC521" s="4"/>
      <c r="AD521" s="4">
        <v>23.567900000000002</v>
      </c>
      <c r="AE521" s="4">
        <v>121.3463</v>
      </c>
      <c r="AF521" s="4">
        <v>14.98</v>
      </c>
      <c r="AG521" s="4">
        <v>533.04899999999998</v>
      </c>
      <c r="AH521" s="27" t="b">
        <v>1</v>
      </c>
      <c r="AI521" s="4">
        <v>0.88200000000000001</v>
      </c>
      <c r="AJ521" s="27" t="b">
        <v>0</v>
      </c>
      <c r="AK521" s="4"/>
      <c r="AL521" s="27" t="b">
        <v>0</v>
      </c>
      <c r="AM521" s="4">
        <v>172.15600000000001</v>
      </c>
      <c r="AN521" s="4">
        <v>293.76400000000001</v>
      </c>
      <c r="AO521" s="4">
        <v>98.227999999999994</v>
      </c>
      <c r="AP521" s="4">
        <v>15.202500000000001</v>
      </c>
      <c r="AQ521" s="4">
        <v>28.875699999999998</v>
      </c>
      <c r="AR521" s="4">
        <v>8.5422100000000007</v>
      </c>
      <c r="AS521" s="4">
        <v>4.1490799999999997</v>
      </c>
      <c r="AT521" s="4">
        <v>5.5694600000000003</v>
      </c>
      <c r="AU521" s="4">
        <v>4.0891599999999997</v>
      </c>
      <c r="AV521" s="4">
        <v>-5.2574000000000003E-2</v>
      </c>
      <c r="AW521" s="4">
        <v>6.3072000000000003E-2</v>
      </c>
      <c r="AX521" s="4">
        <v>2.4698000000000001E-2</v>
      </c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1" t="s">
        <v>3599</v>
      </c>
      <c r="BJ521" s="1" t="s">
        <v>4172</v>
      </c>
      <c r="BK521" s="1">
        <v>1</v>
      </c>
      <c r="BL521" s="1"/>
      <c r="BM521" s="1" t="s">
        <v>656</v>
      </c>
      <c r="BN521" s="1" t="s">
        <v>2942</v>
      </c>
      <c r="BO521" s="1" t="s">
        <v>2943</v>
      </c>
      <c r="BP521" s="1">
        <v>6.32</v>
      </c>
      <c r="BQ521" s="1" t="s">
        <v>1003</v>
      </c>
      <c r="BR521" s="1">
        <v>23.567900000000002</v>
      </c>
      <c r="BS521" s="1">
        <v>121.3463</v>
      </c>
      <c r="BT521" s="1">
        <v>14.98</v>
      </c>
      <c r="BU521" s="1" t="s">
        <v>1055</v>
      </c>
      <c r="BV521" s="1" t="s">
        <v>2834</v>
      </c>
      <c r="BW521" s="1">
        <v>201</v>
      </c>
      <c r="BX521" s="1">
        <v>45</v>
      </c>
      <c r="BY521" s="1">
        <v>39</v>
      </c>
      <c r="BZ521" s="1">
        <v>81</v>
      </c>
      <c r="CA521" s="1">
        <v>63</v>
      </c>
      <c r="CB521" s="1">
        <v>128</v>
      </c>
      <c r="CC521" s="1" t="s">
        <v>2808</v>
      </c>
      <c r="CD521" s="1" t="s">
        <v>731</v>
      </c>
      <c r="CE521" s="1"/>
      <c r="CF521" s="1"/>
      <c r="CG521" s="1"/>
      <c r="CH521" s="1"/>
      <c r="CI521" s="1"/>
      <c r="CJ521" s="1" t="s">
        <v>2812</v>
      </c>
      <c r="CK521" t="s">
        <v>1263</v>
      </c>
      <c r="CL521">
        <v>278</v>
      </c>
      <c r="CM521" t="s">
        <v>2945</v>
      </c>
    </row>
    <row r="522" spans="1:91" ht="19" customHeight="1">
      <c r="A522" s="1" t="s">
        <v>4173</v>
      </c>
      <c r="B522" s="1" t="s">
        <v>3597</v>
      </c>
      <c r="C522" s="1">
        <v>279</v>
      </c>
      <c r="D522" s="1" t="s">
        <v>661</v>
      </c>
      <c r="E522" s="1">
        <v>2015</v>
      </c>
      <c r="F522" s="1" t="s">
        <v>1189</v>
      </c>
      <c r="G522" s="1" t="s">
        <v>1585</v>
      </c>
      <c r="H522" s="4">
        <v>27.712350000000001</v>
      </c>
      <c r="I522" s="4">
        <v>85.315610000000007</v>
      </c>
      <c r="J522" s="1" t="s">
        <v>1404</v>
      </c>
      <c r="K522" s="1" t="s">
        <v>70</v>
      </c>
      <c r="L522" s="1" t="s">
        <v>1586</v>
      </c>
      <c r="M522" s="1" t="s">
        <v>3598</v>
      </c>
      <c r="N522" s="1"/>
      <c r="O522" s="1" t="s">
        <v>3095</v>
      </c>
      <c r="P522" s="1"/>
      <c r="Q522" s="4">
        <v>7.8</v>
      </c>
      <c r="R522" s="4"/>
      <c r="S522" s="4"/>
      <c r="T522" s="4"/>
      <c r="U522" s="4"/>
      <c r="V522" s="4">
        <v>13.21</v>
      </c>
      <c r="W522" s="4"/>
      <c r="X522" s="4"/>
      <c r="Y522" s="4"/>
      <c r="Z522" s="4"/>
      <c r="AA522" s="4"/>
      <c r="AB522" s="4" t="s">
        <v>1028</v>
      </c>
      <c r="AC522" s="4"/>
      <c r="AD522" s="4">
        <v>28.231000000000002</v>
      </c>
      <c r="AE522" s="4">
        <v>84.730999999999995</v>
      </c>
      <c r="AF522" s="4">
        <v>8.1999999999999993</v>
      </c>
      <c r="AG522" s="4"/>
      <c r="AH522" s="27" t="b">
        <v>1</v>
      </c>
      <c r="AI522" s="4">
        <v>6.5590000000000002</v>
      </c>
      <c r="AJ522" s="27" t="b">
        <v>1</v>
      </c>
      <c r="AK522" s="4">
        <v>11.151</v>
      </c>
      <c r="AL522" s="27" t="b">
        <v>0</v>
      </c>
      <c r="AM522" s="4">
        <v>154.447</v>
      </c>
      <c r="AN522" s="4">
        <v>160</v>
      </c>
      <c r="AO522" s="4">
        <v>179.06200000000001</v>
      </c>
      <c r="AP522" s="4">
        <v>114.55</v>
      </c>
      <c r="AQ522" s="4">
        <v>91.417199999999994</v>
      </c>
      <c r="AR522" s="4">
        <v>63.887900000000002</v>
      </c>
      <c r="AS522" s="4">
        <v>271.98399999999998</v>
      </c>
      <c r="AT522" s="4">
        <v>219.477</v>
      </c>
      <c r="AU522" s="4">
        <v>151.88499999999999</v>
      </c>
      <c r="AV522" s="4">
        <v>-257.11500000000001</v>
      </c>
      <c r="AW522" s="4">
        <v>-82.160899999999998</v>
      </c>
      <c r="AX522" s="4">
        <v>126.113</v>
      </c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1" t="s">
        <v>4174</v>
      </c>
      <c r="BJ522" s="1" t="s">
        <v>4175</v>
      </c>
      <c r="BK522" s="1">
        <v>1</v>
      </c>
      <c r="BL522" s="1"/>
      <c r="BM522" s="1" t="s">
        <v>220</v>
      </c>
      <c r="BN522" s="1" t="s">
        <v>2947</v>
      </c>
      <c r="BO522" s="1" t="s">
        <v>2948</v>
      </c>
      <c r="BP522" s="1">
        <v>7.8</v>
      </c>
      <c r="BQ522" s="1" t="s">
        <v>1003</v>
      </c>
      <c r="BR522" s="1">
        <v>28.231000000000002</v>
      </c>
      <c r="BS522" s="1">
        <v>84.730999999999995</v>
      </c>
      <c r="BT522" s="1">
        <v>8.1999999999999993</v>
      </c>
      <c r="BU522" s="1" t="s">
        <v>1028</v>
      </c>
      <c r="BV522" s="1" t="s">
        <v>2834</v>
      </c>
      <c r="BW522" s="1">
        <v>99</v>
      </c>
      <c r="BX522" s="1">
        <v>83</v>
      </c>
      <c r="BY522" s="1">
        <v>89</v>
      </c>
      <c r="BZ522" s="1">
        <v>290</v>
      </c>
      <c r="CA522" s="1">
        <v>7</v>
      </c>
      <c r="CB522" s="1">
        <v>101</v>
      </c>
      <c r="CC522" s="1" t="s">
        <v>2808</v>
      </c>
      <c r="CD522" s="1" t="s">
        <v>862</v>
      </c>
      <c r="CE522" s="1">
        <v>1</v>
      </c>
      <c r="CF522" s="1">
        <v>7.82</v>
      </c>
      <c r="CG522" s="1">
        <v>4.4804000000000004</v>
      </c>
      <c r="CH522" s="1">
        <v>32457.599999999999</v>
      </c>
      <c r="CI522" s="1" t="s">
        <v>1190</v>
      </c>
      <c r="CJ522" s="1" t="s">
        <v>2812</v>
      </c>
      <c r="CK522" t="s">
        <v>1263</v>
      </c>
      <c r="CL522">
        <v>279</v>
      </c>
      <c r="CM522" t="s">
        <v>2952</v>
      </c>
    </row>
    <row r="523" spans="1:91" ht="19" customHeight="1">
      <c r="A523" s="1" t="s">
        <v>4176</v>
      </c>
      <c r="B523" s="1" t="s">
        <v>3597</v>
      </c>
      <c r="C523" s="1">
        <v>280</v>
      </c>
      <c r="D523" s="1" t="s">
        <v>664</v>
      </c>
      <c r="E523" s="1">
        <v>2016</v>
      </c>
      <c r="F523" s="1" t="s">
        <v>1191</v>
      </c>
      <c r="G523" s="1" t="s">
        <v>1614</v>
      </c>
      <c r="H523" s="4">
        <v>-42.425812000000001</v>
      </c>
      <c r="I523" s="4">
        <v>173.68212500000001</v>
      </c>
      <c r="J523" s="1" t="s">
        <v>1404</v>
      </c>
      <c r="K523" s="1" t="s">
        <v>70</v>
      </c>
      <c r="L523" s="1" t="s">
        <v>1615</v>
      </c>
      <c r="M523" s="1" t="s">
        <v>3598</v>
      </c>
      <c r="N523" s="1"/>
      <c r="O523" s="1" t="s">
        <v>3095</v>
      </c>
      <c r="P523" s="1"/>
      <c r="Q523" s="4">
        <v>7.8</v>
      </c>
      <c r="R523" s="4"/>
      <c r="S523" s="4"/>
      <c r="T523" s="4"/>
      <c r="U523" s="4"/>
      <c r="V523" s="4">
        <v>0.7</v>
      </c>
      <c r="W523" s="4"/>
      <c r="X523" s="4"/>
      <c r="Y523" s="4"/>
      <c r="Z523" s="4"/>
      <c r="AA523" s="4"/>
      <c r="AB523" s="4" t="s">
        <v>1055</v>
      </c>
      <c r="AC523" s="4"/>
      <c r="AD523" s="4">
        <v>-42.737000000000002</v>
      </c>
      <c r="AE523" s="4">
        <v>173.054</v>
      </c>
      <c r="AF523" s="4">
        <v>15.1</v>
      </c>
      <c r="AG523" s="4">
        <v>195</v>
      </c>
      <c r="AH523" s="27" t="b">
        <v>1</v>
      </c>
      <c r="AI523" s="4">
        <v>5.74</v>
      </c>
      <c r="AJ523" s="27" t="b">
        <v>1</v>
      </c>
      <c r="AK523" s="4">
        <v>11.276999999999999</v>
      </c>
      <c r="AL523" s="27" t="b">
        <v>0</v>
      </c>
      <c r="AM523" s="4">
        <v>244.27500000000001</v>
      </c>
      <c r="AN523" s="4">
        <v>191.048</v>
      </c>
      <c r="AO523" s="4">
        <v>239.089</v>
      </c>
      <c r="AP523" s="4">
        <v>65.737499999999997</v>
      </c>
      <c r="AQ523" s="4">
        <v>72.062299999999993</v>
      </c>
      <c r="AR523" s="4">
        <v>66.128399999999999</v>
      </c>
      <c r="AS523" s="4">
        <v>132.59100000000001</v>
      </c>
      <c r="AT523" s="4">
        <v>150.31299999999999</v>
      </c>
      <c r="AU523" s="4">
        <v>121.2</v>
      </c>
      <c r="AV523" s="4">
        <v>112.136</v>
      </c>
      <c r="AW523" s="4">
        <v>82.023499999999999</v>
      </c>
      <c r="AX523" s="4">
        <v>73.985100000000003</v>
      </c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1"/>
      <c r="BJ523" s="1" t="s">
        <v>4177</v>
      </c>
      <c r="BK523" s="1">
        <v>1</v>
      </c>
      <c r="BL523" s="1"/>
      <c r="BM523" s="1" t="s">
        <v>223</v>
      </c>
      <c r="BN523" s="1" t="s">
        <v>2953</v>
      </c>
      <c r="BO523" s="1" t="s">
        <v>2954</v>
      </c>
      <c r="BP523" s="1">
        <v>7.8</v>
      </c>
      <c r="BQ523" s="1" t="s">
        <v>1003</v>
      </c>
      <c r="BR523" s="1">
        <v>-42.737000000000002</v>
      </c>
      <c r="BS523" s="1">
        <v>173.054</v>
      </c>
      <c r="BT523" s="1">
        <v>15.1</v>
      </c>
      <c r="BU523" s="1" t="s">
        <v>1055</v>
      </c>
      <c r="BV523" s="1" t="s">
        <v>2834</v>
      </c>
      <c r="BW523" s="1">
        <v>354</v>
      </c>
      <c r="BX523" s="1">
        <v>61</v>
      </c>
      <c r="BY523" s="1">
        <v>64</v>
      </c>
      <c r="BZ523" s="1">
        <v>219</v>
      </c>
      <c r="CA523" s="1">
        <v>38</v>
      </c>
      <c r="CB523" s="1">
        <v>128</v>
      </c>
      <c r="CC523" s="1" t="s">
        <v>2808</v>
      </c>
      <c r="CD523" s="1" t="s">
        <v>862</v>
      </c>
      <c r="CE523" s="1">
        <v>5</v>
      </c>
      <c r="CF523" s="1">
        <v>7.89</v>
      </c>
      <c r="CG523" s="1">
        <v>5.2484999999999999</v>
      </c>
      <c r="CH523" s="1">
        <v>38805</v>
      </c>
      <c r="CI523" s="1" t="s">
        <v>1192</v>
      </c>
      <c r="CJ523" s="1" t="s">
        <v>2812</v>
      </c>
      <c r="CK523" t="s">
        <v>1263</v>
      </c>
      <c r="CL523">
        <v>280</v>
      </c>
      <c r="CM523" t="s">
        <v>2958</v>
      </c>
    </row>
    <row r="524" spans="1:91" ht="19" customHeight="1">
      <c r="A524" s="1" t="s">
        <v>4178</v>
      </c>
      <c r="B524" s="1" t="s">
        <v>3597</v>
      </c>
      <c r="C524" s="1">
        <v>281</v>
      </c>
      <c r="D524" s="1" t="s">
        <v>664</v>
      </c>
      <c r="E524" s="1">
        <v>2016</v>
      </c>
      <c r="F524" s="1" t="s">
        <v>1193</v>
      </c>
      <c r="G524" s="1" t="s">
        <v>1641</v>
      </c>
      <c r="H524" s="4">
        <v>-41.672289999999997</v>
      </c>
      <c r="I524" s="4">
        <v>174.07644999999999</v>
      </c>
      <c r="J524" s="1" t="s">
        <v>1404</v>
      </c>
      <c r="K524" s="1" t="s">
        <v>70</v>
      </c>
      <c r="L524" s="1" t="s">
        <v>1642</v>
      </c>
      <c r="M524" s="1" t="s">
        <v>3598</v>
      </c>
      <c r="N524" s="1"/>
      <c r="O524" s="1" t="s">
        <v>3095</v>
      </c>
      <c r="P524" s="1"/>
      <c r="Q524" s="4">
        <v>7.8</v>
      </c>
      <c r="R524" s="4"/>
      <c r="S524" s="4"/>
      <c r="T524" s="4"/>
      <c r="U524" s="4"/>
      <c r="V524" s="4">
        <v>23.2</v>
      </c>
      <c r="W524" s="4"/>
      <c r="X524" s="4"/>
      <c r="Y524" s="4"/>
      <c r="Z524" s="4"/>
      <c r="AA524" s="4"/>
      <c r="AB524" s="4" t="s">
        <v>1055</v>
      </c>
      <c r="AC524" s="4"/>
      <c r="AD524" s="4">
        <v>-42.737000000000002</v>
      </c>
      <c r="AE524" s="4">
        <v>173.054</v>
      </c>
      <c r="AF524" s="4">
        <v>15.1</v>
      </c>
      <c r="AG524" s="4">
        <v>350</v>
      </c>
      <c r="AH524" s="27" t="b">
        <v>1</v>
      </c>
      <c r="AI524" s="4">
        <v>10.997</v>
      </c>
      <c r="AJ524" s="27" t="b">
        <v>0</v>
      </c>
      <c r="AK524" s="4"/>
      <c r="AL524" s="27" t="b">
        <v>0</v>
      </c>
      <c r="AM524" s="4">
        <v>738.93</v>
      </c>
      <c r="AN524" s="4">
        <v>569.95100000000002</v>
      </c>
      <c r="AO524" s="4">
        <v>172.42500000000001</v>
      </c>
      <c r="AP524" s="4">
        <v>64.4465</v>
      </c>
      <c r="AQ524" s="4">
        <v>75.546499999999995</v>
      </c>
      <c r="AR524" s="4">
        <v>47.450699999999998</v>
      </c>
      <c r="AS524" s="4">
        <v>84.985500000000002</v>
      </c>
      <c r="AT524" s="4">
        <v>313.084</v>
      </c>
      <c r="AU524" s="4">
        <v>88.039599999999993</v>
      </c>
      <c r="AV524" s="4">
        <v>-24.083400000000001</v>
      </c>
      <c r="AW524" s="4">
        <v>228.84800000000001</v>
      </c>
      <c r="AX524" s="4">
        <v>53.206400000000002</v>
      </c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1" t="s">
        <v>3599</v>
      </c>
      <c r="BJ524" s="1" t="s">
        <v>4179</v>
      </c>
      <c r="BK524" s="1">
        <v>1</v>
      </c>
      <c r="BL524" s="1"/>
      <c r="BM524" s="1" t="s">
        <v>223</v>
      </c>
      <c r="BN524" s="1" t="s">
        <v>2953</v>
      </c>
      <c r="BO524" s="1" t="s">
        <v>2954</v>
      </c>
      <c r="BP524" s="1">
        <v>7.8</v>
      </c>
      <c r="BQ524" s="1" t="s">
        <v>1003</v>
      </c>
      <c r="BR524" s="1">
        <v>-42.737000000000002</v>
      </c>
      <c r="BS524" s="1">
        <v>173.054</v>
      </c>
      <c r="BT524" s="1">
        <v>15.1</v>
      </c>
      <c r="BU524" s="1" t="s">
        <v>1055</v>
      </c>
      <c r="BV524" s="1" t="s">
        <v>2834</v>
      </c>
      <c r="BW524" s="1">
        <v>354</v>
      </c>
      <c r="BX524" s="1">
        <v>61</v>
      </c>
      <c r="BY524" s="1">
        <v>64</v>
      </c>
      <c r="BZ524" s="1">
        <v>219</v>
      </c>
      <c r="CA524" s="1">
        <v>38</v>
      </c>
      <c r="CB524" s="1">
        <v>128</v>
      </c>
      <c r="CC524" s="1" t="s">
        <v>2808</v>
      </c>
      <c r="CD524" s="1" t="s">
        <v>862</v>
      </c>
      <c r="CE524" s="1">
        <v>5</v>
      </c>
      <c r="CF524" s="1">
        <v>7.89</v>
      </c>
      <c r="CG524" s="1">
        <v>5.2484999999999999</v>
      </c>
      <c r="CH524" s="1">
        <v>38805</v>
      </c>
      <c r="CI524" s="1" t="s">
        <v>1192</v>
      </c>
      <c r="CJ524" s="1" t="s">
        <v>2812</v>
      </c>
      <c r="CK524" t="s">
        <v>1263</v>
      </c>
      <c r="CL524">
        <v>281</v>
      </c>
      <c r="CM524" t="s">
        <v>2958</v>
      </c>
    </row>
    <row r="525" spans="1:91" ht="19" customHeight="1">
      <c r="A525" s="1" t="s">
        <v>4180</v>
      </c>
      <c r="B525" s="1" t="s">
        <v>3597</v>
      </c>
      <c r="C525" s="1">
        <v>282</v>
      </c>
      <c r="D525" s="1" t="s">
        <v>1194</v>
      </c>
      <c r="E525" s="1">
        <v>2016</v>
      </c>
      <c r="F525" s="1" t="s">
        <v>1195</v>
      </c>
      <c r="G525" s="1" t="s">
        <v>1521</v>
      </c>
      <c r="H525" s="4">
        <v>32.932000000000002</v>
      </c>
      <c r="I525" s="4">
        <v>131.12139999999999</v>
      </c>
      <c r="J525" s="1" t="s">
        <v>1404</v>
      </c>
      <c r="K525" s="1" t="s">
        <v>70</v>
      </c>
      <c r="L525" s="1" t="s">
        <v>1522</v>
      </c>
      <c r="M525" s="1" t="s">
        <v>3598</v>
      </c>
      <c r="N525" s="1"/>
      <c r="O525" s="1" t="s">
        <v>3095</v>
      </c>
      <c r="P525" s="1"/>
      <c r="Q525" s="4">
        <v>7</v>
      </c>
      <c r="R525" s="4"/>
      <c r="S525" s="4"/>
      <c r="T525" s="4"/>
      <c r="U525" s="4"/>
      <c r="V525" s="4">
        <v>10.61</v>
      </c>
      <c r="W525" s="4"/>
      <c r="X525" s="4"/>
      <c r="Y525" s="4"/>
      <c r="Z525" s="4"/>
      <c r="AA525" s="4"/>
      <c r="AB525" s="4" t="s">
        <v>1032</v>
      </c>
      <c r="AC525" s="4"/>
      <c r="AD525" s="4">
        <v>32.790999999999997</v>
      </c>
      <c r="AE525" s="4">
        <v>130.75399999999999</v>
      </c>
      <c r="AF525" s="4">
        <v>15.1</v>
      </c>
      <c r="AG525" s="4">
        <v>286</v>
      </c>
      <c r="AH525" s="27" t="b">
        <v>1</v>
      </c>
      <c r="AI525" s="4">
        <v>3.9620000000000002</v>
      </c>
      <c r="AJ525" s="27" t="b">
        <v>0</v>
      </c>
      <c r="AK525" s="4"/>
      <c r="AL525" s="27" t="b">
        <v>0</v>
      </c>
      <c r="AM525" s="4">
        <v>329.66899999999998</v>
      </c>
      <c r="AN525" s="4">
        <v>255.89</v>
      </c>
      <c r="AO525" s="4">
        <v>226.58199999999999</v>
      </c>
      <c r="AP525" s="4">
        <v>80.750500000000002</v>
      </c>
      <c r="AQ525" s="4">
        <v>74.792100000000005</v>
      </c>
      <c r="AR525" s="4">
        <v>22.245200000000001</v>
      </c>
      <c r="AS525" s="4">
        <v>71.018799999999999</v>
      </c>
      <c r="AT525" s="4">
        <v>43.223300000000002</v>
      </c>
      <c r="AU525" s="4">
        <v>19.292200000000001</v>
      </c>
      <c r="AV525" s="4">
        <v>-9.1504999999999992</v>
      </c>
      <c r="AW525" s="4">
        <v>-2.2938200000000002</v>
      </c>
      <c r="AX525" s="4">
        <v>-3.7463799999999998</v>
      </c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1" t="s">
        <v>3599</v>
      </c>
      <c r="BJ525" s="1" t="s">
        <v>4181</v>
      </c>
      <c r="BK525" s="1">
        <v>1</v>
      </c>
      <c r="BL525" s="1"/>
      <c r="BM525" s="1" t="s">
        <v>226</v>
      </c>
      <c r="BN525" s="1" t="s">
        <v>2959</v>
      </c>
      <c r="BO525" s="1" t="s">
        <v>2960</v>
      </c>
      <c r="BP525" s="1">
        <v>7</v>
      </c>
      <c r="BQ525" s="1" t="s">
        <v>1003</v>
      </c>
      <c r="BR525" s="1">
        <v>32.790999999999997</v>
      </c>
      <c r="BS525" s="1">
        <v>130.75399999999999</v>
      </c>
      <c r="BT525" s="1">
        <v>15.1</v>
      </c>
      <c r="BU525" s="1" t="s">
        <v>1032</v>
      </c>
      <c r="BV525" s="1" t="s">
        <v>2961</v>
      </c>
      <c r="BW525" s="1">
        <v>205</v>
      </c>
      <c r="BX525" s="1">
        <v>72</v>
      </c>
      <c r="BY525" s="1">
        <v>-142</v>
      </c>
      <c r="BZ525" s="1">
        <v>235</v>
      </c>
      <c r="CA525" s="1">
        <v>65</v>
      </c>
      <c r="CB525" s="1">
        <v>-142</v>
      </c>
      <c r="CC525" s="1" t="s">
        <v>2808</v>
      </c>
      <c r="CD525" s="1" t="s">
        <v>862</v>
      </c>
      <c r="CE525" s="1">
        <v>1</v>
      </c>
      <c r="CF525" s="1">
        <v>7.04</v>
      </c>
      <c r="CG525" s="1">
        <v>3.4371</v>
      </c>
      <c r="CH525" s="1">
        <v>2349</v>
      </c>
      <c r="CI525" s="1" t="s">
        <v>1196</v>
      </c>
      <c r="CJ525" s="1" t="s">
        <v>2812</v>
      </c>
      <c r="CK525" t="s">
        <v>1263</v>
      </c>
      <c r="CL525">
        <v>282</v>
      </c>
      <c r="CM525" t="s">
        <v>2964</v>
      </c>
    </row>
    <row r="526" spans="1:91" ht="19" customHeight="1">
      <c r="A526" s="1" t="s">
        <v>4182</v>
      </c>
      <c r="B526" s="1" t="s">
        <v>3597</v>
      </c>
      <c r="C526" s="1">
        <v>283</v>
      </c>
      <c r="D526" s="1" t="s">
        <v>1194</v>
      </c>
      <c r="E526" s="1">
        <v>2016</v>
      </c>
      <c r="F526" s="1" t="s">
        <v>1197</v>
      </c>
      <c r="G526" s="1" t="s">
        <v>1523</v>
      </c>
      <c r="H526" s="4">
        <v>32.876100000000001</v>
      </c>
      <c r="I526" s="4">
        <v>130.87739999999999</v>
      </c>
      <c r="J526" s="1" t="s">
        <v>1404</v>
      </c>
      <c r="K526" s="1" t="s">
        <v>70</v>
      </c>
      <c r="L526" s="1" t="s">
        <v>1524</v>
      </c>
      <c r="M526" s="1" t="s">
        <v>3598</v>
      </c>
      <c r="N526" s="1"/>
      <c r="O526" s="1" t="s">
        <v>3095</v>
      </c>
      <c r="P526" s="1"/>
      <c r="Q526" s="4">
        <v>7</v>
      </c>
      <c r="R526" s="4"/>
      <c r="S526" s="4"/>
      <c r="T526" s="4"/>
      <c r="U526" s="4"/>
      <c r="V526" s="4">
        <v>3.27</v>
      </c>
      <c r="W526" s="4"/>
      <c r="X526" s="4"/>
      <c r="Y526" s="4"/>
      <c r="Z526" s="4"/>
      <c r="AA526" s="4"/>
      <c r="AB526" s="4" t="s">
        <v>1032</v>
      </c>
      <c r="AC526" s="4"/>
      <c r="AD526" s="4">
        <v>32.790999999999997</v>
      </c>
      <c r="AE526" s="4">
        <v>130.75399999999999</v>
      </c>
      <c r="AF526" s="4">
        <v>15.1</v>
      </c>
      <c r="AG526" s="4">
        <v>382</v>
      </c>
      <c r="AH526" s="27" t="b">
        <v>1</v>
      </c>
      <c r="AI526" s="4">
        <v>3.024</v>
      </c>
      <c r="AJ526" s="27" t="b">
        <v>1</v>
      </c>
      <c r="AK526" s="4">
        <v>6.8879999999999999</v>
      </c>
      <c r="AL526" s="27" t="b">
        <v>0</v>
      </c>
      <c r="AM526" s="4">
        <v>469.62200000000001</v>
      </c>
      <c r="AN526" s="4">
        <v>514.21500000000003</v>
      </c>
      <c r="AO526" s="4">
        <v>368.185</v>
      </c>
      <c r="AP526" s="4">
        <v>67.549499999999995</v>
      </c>
      <c r="AQ526" s="4">
        <v>60.356499999999997</v>
      </c>
      <c r="AR526" s="4">
        <v>59.620899999999999</v>
      </c>
      <c r="AS526" s="4">
        <v>117.79</v>
      </c>
      <c r="AT526" s="4">
        <v>51.461300000000001</v>
      </c>
      <c r="AU526" s="4">
        <v>70.911900000000003</v>
      </c>
      <c r="AV526" s="4">
        <v>93.587500000000006</v>
      </c>
      <c r="AW526" s="4">
        <v>38.529400000000003</v>
      </c>
      <c r="AX526" s="4">
        <v>-62.1995</v>
      </c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1"/>
      <c r="BJ526" s="1" t="s">
        <v>4183</v>
      </c>
      <c r="BK526" s="1">
        <v>1</v>
      </c>
      <c r="BL526" s="1"/>
      <c r="BM526" s="1" t="s">
        <v>226</v>
      </c>
      <c r="BN526" s="1" t="s">
        <v>2959</v>
      </c>
      <c r="BO526" s="1" t="s">
        <v>2960</v>
      </c>
      <c r="BP526" s="1">
        <v>7</v>
      </c>
      <c r="BQ526" s="1" t="s">
        <v>1003</v>
      </c>
      <c r="BR526" s="1">
        <v>32.790999999999997</v>
      </c>
      <c r="BS526" s="1">
        <v>130.75399999999999</v>
      </c>
      <c r="BT526" s="1">
        <v>15.1</v>
      </c>
      <c r="BU526" s="1" t="s">
        <v>1032</v>
      </c>
      <c r="BV526" s="1" t="s">
        <v>2961</v>
      </c>
      <c r="BW526" s="1">
        <v>205</v>
      </c>
      <c r="BX526" s="1">
        <v>72</v>
      </c>
      <c r="BY526" s="1">
        <v>-142</v>
      </c>
      <c r="BZ526" s="1">
        <v>235</v>
      </c>
      <c r="CA526" s="1">
        <v>65</v>
      </c>
      <c r="CB526" s="1">
        <v>-142</v>
      </c>
      <c r="CC526" s="1" t="s">
        <v>2808</v>
      </c>
      <c r="CD526" s="1" t="s">
        <v>862</v>
      </c>
      <c r="CE526" s="1">
        <v>1</v>
      </c>
      <c r="CF526" s="1">
        <v>7.04</v>
      </c>
      <c r="CG526" s="1">
        <v>3.4371</v>
      </c>
      <c r="CH526" s="1">
        <v>2349</v>
      </c>
      <c r="CI526" s="1" t="s">
        <v>1196</v>
      </c>
      <c r="CJ526" s="1" t="s">
        <v>2812</v>
      </c>
      <c r="CK526" t="s">
        <v>1263</v>
      </c>
      <c r="CL526">
        <v>283</v>
      </c>
      <c r="CM526" t="s">
        <v>2964</v>
      </c>
    </row>
    <row r="527" spans="1:91" ht="19" customHeight="1">
      <c r="A527" s="1" t="s">
        <v>4184</v>
      </c>
      <c r="B527" s="1" t="s">
        <v>3597</v>
      </c>
      <c r="C527" s="1">
        <v>284</v>
      </c>
      <c r="D527" s="1" t="s">
        <v>1194</v>
      </c>
      <c r="E527" s="1">
        <v>2016</v>
      </c>
      <c r="F527" s="1" t="s">
        <v>1198</v>
      </c>
      <c r="G527" s="1" t="s">
        <v>1525</v>
      </c>
      <c r="H527" s="4">
        <v>32.793399999999998</v>
      </c>
      <c r="I527" s="4">
        <v>130.77719999999999</v>
      </c>
      <c r="J527" s="1" t="s">
        <v>1404</v>
      </c>
      <c r="K527" s="1" t="s">
        <v>70</v>
      </c>
      <c r="L527" s="1" t="s">
        <v>1526</v>
      </c>
      <c r="M527" s="1" t="s">
        <v>3598</v>
      </c>
      <c r="N527" s="1"/>
      <c r="O527" s="1" t="s">
        <v>3095</v>
      </c>
      <c r="P527" s="1"/>
      <c r="Q527" s="4">
        <v>7</v>
      </c>
      <c r="R527" s="4"/>
      <c r="S527" s="4"/>
      <c r="T527" s="4"/>
      <c r="U527" s="4"/>
      <c r="V527" s="4">
        <v>2.69</v>
      </c>
      <c r="W527" s="4"/>
      <c r="X527" s="4"/>
      <c r="Y527" s="4"/>
      <c r="Z527" s="4"/>
      <c r="AA527" s="4"/>
      <c r="AB527" s="4" t="s">
        <v>1032</v>
      </c>
      <c r="AC527" s="4"/>
      <c r="AD527" s="4">
        <v>32.790999999999997</v>
      </c>
      <c r="AE527" s="4">
        <v>130.75399999999999</v>
      </c>
      <c r="AF527" s="4">
        <v>15.1</v>
      </c>
      <c r="AG527" s="4">
        <v>238</v>
      </c>
      <c r="AH527" s="27" t="b">
        <v>1</v>
      </c>
      <c r="AI527" s="4">
        <v>6.1459999999999999</v>
      </c>
      <c r="AJ527" s="27" t="b">
        <v>0</v>
      </c>
      <c r="AK527" s="4"/>
      <c r="AL527" s="27" t="b">
        <v>0</v>
      </c>
      <c r="AM527" s="4">
        <v>570.06500000000005</v>
      </c>
      <c r="AN527" s="4">
        <v>763.12599999999998</v>
      </c>
      <c r="AO527" s="4">
        <v>494.51400000000001</v>
      </c>
      <c r="AP527" s="4">
        <v>100.063</v>
      </c>
      <c r="AQ527" s="4">
        <v>70.239999999999995</v>
      </c>
      <c r="AR527" s="4">
        <v>35.976300000000002</v>
      </c>
      <c r="AS527" s="4">
        <v>82.038200000000003</v>
      </c>
      <c r="AT527" s="4">
        <v>73.099699999999999</v>
      </c>
      <c r="AU527" s="4">
        <v>35.245100000000001</v>
      </c>
      <c r="AV527" s="4">
        <v>46.725700000000003</v>
      </c>
      <c r="AW527" s="4">
        <v>65.2119</v>
      </c>
      <c r="AX527" s="4">
        <v>-35.098700000000001</v>
      </c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1" t="s">
        <v>3599</v>
      </c>
      <c r="BJ527" s="1" t="s">
        <v>4185</v>
      </c>
      <c r="BK527" s="1">
        <v>1</v>
      </c>
      <c r="BL527" s="1"/>
      <c r="BM527" s="1" t="s">
        <v>226</v>
      </c>
      <c r="BN527" s="1" t="s">
        <v>2959</v>
      </c>
      <c r="BO527" s="1" t="s">
        <v>2960</v>
      </c>
      <c r="BP527" s="1">
        <v>7</v>
      </c>
      <c r="BQ527" s="1" t="s">
        <v>1003</v>
      </c>
      <c r="BR527" s="1">
        <v>32.790999999999997</v>
      </c>
      <c r="BS527" s="1">
        <v>130.75399999999999</v>
      </c>
      <c r="BT527" s="1">
        <v>15.1</v>
      </c>
      <c r="BU527" s="1" t="s">
        <v>1032</v>
      </c>
      <c r="BV527" s="1" t="s">
        <v>2961</v>
      </c>
      <c r="BW527" s="1">
        <v>205</v>
      </c>
      <c r="BX527" s="1">
        <v>72</v>
      </c>
      <c r="BY527" s="1">
        <v>-142</v>
      </c>
      <c r="BZ527" s="1">
        <v>235</v>
      </c>
      <c r="CA527" s="1">
        <v>65</v>
      </c>
      <c r="CB527" s="1">
        <v>-142</v>
      </c>
      <c r="CC527" s="1" t="s">
        <v>2808</v>
      </c>
      <c r="CD527" s="1" t="s">
        <v>862</v>
      </c>
      <c r="CE527" s="1">
        <v>1</v>
      </c>
      <c r="CF527" s="1">
        <v>7.04</v>
      </c>
      <c r="CG527" s="1">
        <v>3.4371</v>
      </c>
      <c r="CH527" s="1">
        <v>2349</v>
      </c>
      <c r="CI527" s="1" t="s">
        <v>1196</v>
      </c>
      <c r="CJ527" s="1" t="s">
        <v>2812</v>
      </c>
      <c r="CK527" t="s">
        <v>1263</v>
      </c>
      <c r="CL527">
        <v>284</v>
      </c>
      <c r="CM527" t="s">
        <v>2964</v>
      </c>
    </row>
    <row r="528" spans="1:91" ht="19" customHeight="1">
      <c r="A528" s="1" t="s">
        <v>4186</v>
      </c>
      <c r="B528" s="1" t="s">
        <v>3597</v>
      </c>
      <c r="C528" s="1">
        <v>285</v>
      </c>
      <c r="D528" s="1" t="s">
        <v>1194</v>
      </c>
      <c r="E528" s="1">
        <v>2016</v>
      </c>
      <c r="F528" s="1" t="s">
        <v>1199</v>
      </c>
      <c r="G528" s="1" t="s">
        <v>1527</v>
      </c>
      <c r="H528" s="4">
        <v>32.826700000000002</v>
      </c>
      <c r="I528" s="4">
        <v>131.12260000000001</v>
      </c>
      <c r="J528" s="1" t="s">
        <v>1404</v>
      </c>
      <c r="K528" s="1" t="s">
        <v>70</v>
      </c>
      <c r="L528" s="1" t="s">
        <v>1528</v>
      </c>
      <c r="M528" s="1" t="s">
        <v>3598</v>
      </c>
      <c r="N528" s="1"/>
      <c r="O528" s="1" t="s">
        <v>3095</v>
      </c>
      <c r="P528" s="1"/>
      <c r="Q528" s="4">
        <v>7</v>
      </c>
      <c r="R528" s="4"/>
      <c r="S528" s="4"/>
      <c r="T528" s="4"/>
      <c r="U528" s="4"/>
      <c r="V528" s="4">
        <v>18.54</v>
      </c>
      <c r="W528" s="4"/>
      <c r="X528" s="4"/>
      <c r="Y528" s="4"/>
      <c r="Z528" s="4"/>
      <c r="AA528" s="4"/>
      <c r="AB528" s="4" t="s">
        <v>1032</v>
      </c>
      <c r="AC528" s="4"/>
      <c r="AD528" s="4">
        <v>32.790999999999997</v>
      </c>
      <c r="AE528" s="4">
        <v>130.75399999999999</v>
      </c>
      <c r="AF528" s="4">
        <v>15.1</v>
      </c>
      <c r="AG528" s="4">
        <v>341</v>
      </c>
      <c r="AH528" s="27" t="b">
        <v>1</v>
      </c>
      <c r="AI528" s="4">
        <v>5.4039999999999999</v>
      </c>
      <c r="AJ528" s="27" t="b">
        <v>0</v>
      </c>
      <c r="AK528" s="4"/>
      <c r="AL528" s="27" t="b">
        <v>0</v>
      </c>
      <c r="AM528" s="4">
        <v>408.899</v>
      </c>
      <c r="AN528" s="4">
        <v>273.26900000000001</v>
      </c>
      <c r="AO528" s="4">
        <v>292.53300000000002</v>
      </c>
      <c r="AP528" s="4">
        <v>43.701999999999998</v>
      </c>
      <c r="AQ528" s="4">
        <v>34.256599999999999</v>
      </c>
      <c r="AR528" s="4">
        <v>21.219200000000001</v>
      </c>
      <c r="AS528" s="4">
        <v>37.824100000000001</v>
      </c>
      <c r="AT528" s="4">
        <v>32.281300000000002</v>
      </c>
      <c r="AU528" s="4">
        <v>13.2859</v>
      </c>
      <c r="AV528" s="4">
        <v>-12.0967</v>
      </c>
      <c r="AW528" s="4">
        <v>-3.5265399999999998</v>
      </c>
      <c r="AX528" s="4">
        <v>-1.5578799999999999</v>
      </c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1" t="s">
        <v>3599</v>
      </c>
      <c r="BJ528" s="1" t="s">
        <v>4187</v>
      </c>
      <c r="BK528" s="1">
        <v>1</v>
      </c>
      <c r="BL528" s="1"/>
      <c r="BM528" s="1" t="s">
        <v>226</v>
      </c>
      <c r="BN528" s="1" t="s">
        <v>2959</v>
      </c>
      <c r="BO528" s="1" t="s">
        <v>2960</v>
      </c>
      <c r="BP528" s="1">
        <v>7</v>
      </c>
      <c r="BQ528" s="1" t="s">
        <v>1003</v>
      </c>
      <c r="BR528" s="1">
        <v>32.790999999999997</v>
      </c>
      <c r="BS528" s="1">
        <v>130.75399999999999</v>
      </c>
      <c r="BT528" s="1">
        <v>15.1</v>
      </c>
      <c r="BU528" s="1" t="s">
        <v>1032</v>
      </c>
      <c r="BV528" s="1" t="s">
        <v>2961</v>
      </c>
      <c r="BW528" s="1">
        <v>205</v>
      </c>
      <c r="BX528" s="1">
        <v>72</v>
      </c>
      <c r="BY528" s="1">
        <v>-142</v>
      </c>
      <c r="BZ528" s="1">
        <v>235</v>
      </c>
      <c r="CA528" s="1">
        <v>65</v>
      </c>
      <c r="CB528" s="1">
        <v>-142</v>
      </c>
      <c r="CC528" s="1" t="s">
        <v>2808</v>
      </c>
      <c r="CD528" s="1" t="s">
        <v>862</v>
      </c>
      <c r="CE528" s="1">
        <v>1</v>
      </c>
      <c r="CF528" s="1">
        <v>7.04</v>
      </c>
      <c r="CG528" s="1">
        <v>3.4371</v>
      </c>
      <c r="CH528" s="1">
        <v>2349</v>
      </c>
      <c r="CI528" s="1" t="s">
        <v>1196</v>
      </c>
      <c r="CJ528" s="1" t="s">
        <v>2812</v>
      </c>
      <c r="CK528" t="s">
        <v>1263</v>
      </c>
      <c r="CL528">
        <v>285</v>
      </c>
      <c r="CM528" t="s">
        <v>2964</v>
      </c>
    </row>
    <row r="529" spans="1:91" ht="19" customHeight="1">
      <c r="A529" s="1" t="s">
        <v>4188</v>
      </c>
      <c r="B529" s="1" t="s">
        <v>3597</v>
      </c>
      <c r="C529" s="1">
        <v>286</v>
      </c>
      <c r="D529" s="1" t="s">
        <v>1194</v>
      </c>
      <c r="E529" s="1">
        <v>2016</v>
      </c>
      <c r="F529" s="1" t="s">
        <v>1200</v>
      </c>
      <c r="G529" s="1" t="s">
        <v>1531</v>
      </c>
      <c r="H529" s="4">
        <v>32.998399999999997</v>
      </c>
      <c r="I529" s="4">
        <v>130.83009999999999</v>
      </c>
      <c r="J529" s="1" t="s">
        <v>1404</v>
      </c>
      <c r="K529" s="1" t="s">
        <v>70</v>
      </c>
      <c r="L529" s="1" t="s">
        <v>1532</v>
      </c>
      <c r="M529" s="1" t="s">
        <v>3598</v>
      </c>
      <c r="N529" s="1"/>
      <c r="O529" s="1" t="s">
        <v>3095</v>
      </c>
      <c r="P529" s="1"/>
      <c r="Q529" s="4">
        <v>7</v>
      </c>
      <c r="R529" s="4"/>
      <c r="S529" s="4"/>
      <c r="T529" s="4"/>
      <c r="U529" s="4"/>
      <c r="V529" s="4">
        <v>13.83</v>
      </c>
      <c r="W529" s="4"/>
      <c r="X529" s="4"/>
      <c r="Y529" s="4"/>
      <c r="Z529" s="4"/>
      <c r="AA529" s="4"/>
      <c r="AB529" s="4" t="s">
        <v>1032</v>
      </c>
      <c r="AC529" s="4"/>
      <c r="AD529" s="4">
        <v>32.790999999999997</v>
      </c>
      <c r="AE529" s="4">
        <v>130.75399999999999</v>
      </c>
      <c r="AF529" s="4">
        <v>15.1</v>
      </c>
      <c r="AG529" s="4">
        <v>421.16</v>
      </c>
      <c r="AH529" s="27" t="b">
        <v>1</v>
      </c>
      <c r="AI529" s="4">
        <v>1.288</v>
      </c>
      <c r="AJ529" s="27" t="b">
        <v>0</v>
      </c>
      <c r="AK529" s="4"/>
      <c r="AL529" s="27" t="b">
        <v>0</v>
      </c>
      <c r="AM529" s="4">
        <v>219.761</v>
      </c>
      <c r="AN529" s="4">
        <v>764.63499999999999</v>
      </c>
      <c r="AO529" s="4">
        <v>348.86599999999999</v>
      </c>
      <c r="AP529" s="4">
        <v>22.031500000000001</v>
      </c>
      <c r="AQ529" s="4">
        <v>76.598699999999994</v>
      </c>
      <c r="AR529" s="4">
        <v>15.900499999999999</v>
      </c>
      <c r="AS529" s="4">
        <v>15.165800000000001</v>
      </c>
      <c r="AT529" s="4">
        <v>60.982300000000002</v>
      </c>
      <c r="AU529" s="4">
        <v>13.700699999999999</v>
      </c>
      <c r="AV529" s="4">
        <v>12.8947</v>
      </c>
      <c r="AW529" s="4">
        <v>40.048200000000001</v>
      </c>
      <c r="AX529" s="4">
        <v>5.0391500000000002</v>
      </c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1" t="s">
        <v>3599</v>
      </c>
      <c r="BJ529" s="1" t="s">
        <v>4189</v>
      </c>
      <c r="BK529" s="1">
        <v>1</v>
      </c>
      <c r="BL529" s="1"/>
      <c r="BM529" s="1" t="s">
        <v>226</v>
      </c>
      <c r="BN529" s="1" t="s">
        <v>2959</v>
      </c>
      <c r="BO529" s="1" t="s">
        <v>2960</v>
      </c>
      <c r="BP529" s="1">
        <v>7</v>
      </c>
      <c r="BQ529" s="1" t="s">
        <v>1003</v>
      </c>
      <c r="BR529" s="1">
        <v>32.790999999999997</v>
      </c>
      <c r="BS529" s="1">
        <v>130.75399999999999</v>
      </c>
      <c r="BT529" s="1">
        <v>15.1</v>
      </c>
      <c r="BU529" s="1" t="s">
        <v>1032</v>
      </c>
      <c r="BV529" s="1" t="s">
        <v>2961</v>
      </c>
      <c r="BW529" s="1">
        <v>205</v>
      </c>
      <c r="BX529" s="1">
        <v>72</v>
      </c>
      <c r="BY529" s="1">
        <v>-142</v>
      </c>
      <c r="BZ529" s="1">
        <v>235</v>
      </c>
      <c r="CA529" s="1">
        <v>65</v>
      </c>
      <c r="CB529" s="1">
        <v>-142</v>
      </c>
      <c r="CC529" s="1" t="s">
        <v>2808</v>
      </c>
      <c r="CD529" s="1" t="s">
        <v>862</v>
      </c>
      <c r="CE529" s="1">
        <v>1</v>
      </c>
      <c r="CF529" s="1">
        <v>7.04</v>
      </c>
      <c r="CG529" s="1">
        <v>3.4371</v>
      </c>
      <c r="CH529" s="1">
        <v>2349</v>
      </c>
      <c r="CI529" s="1" t="s">
        <v>1196</v>
      </c>
      <c r="CJ529" s="1" t="s">
        <v>2812</v>
      </c>
      <c r="CK529" t="s">
        <v>1263</v>
      </c>
      <c r="CL529">
        <v>286</v>
      </c>
      <c r="CM529" t="s">
        <v>2964</v>
      </c>
    </row>
    <row r="530" spans="1:91" ht="19" customHeight="1">
      <c r="A530" s="1" t="s">
        <v>4190</v>
      </c>
      <c r="B530" s="1" t="s">
        <v>3597</v>
      </c>
      <c r="C530" s="1">
        <v>287</v>
      </c>
      <c r="D530" s="1" t="s">
        <v>1194</v>
      </c>
      <c r="E530" s="1">
        <v>2016</v>
      </c>
      <c r="F530" s="1" t="s">
        <v>1201</v>
      </c>
      <c r="G530" s="1" t="s">
        <v>1537</v>
      </c>
      <c r="H530" s="4">
        <v>32.796700000000001</v>
      </c>
      <c r="I530" s="4">
        <v>130.81989999999999</v>
      </c>
      <c r="J530" s="1" t="s">
        <v>1404</v>
      </c>
      <c r="K530" s="1" t="s">
        <v>70</v>
      </c>
      <c r="L530" s="1" t="s">
        <v>1538</v>
      </c>
      <c r="M530" s="1" t="s">
        <v>3598</v>
      </c>
      <c r="N530" s="1"/>
      <c r="O530" s="1" t="s">
        <v>3095</v>
      </c>
      <c r="P530" s="1"/>
      <c r="Q530" s="4">
        <v>7</v>
      </c>
      <c r="R530" s="4"/>
      <c r="S530" s="4"/>
      <c r="T530" s="4"/>
      <c r="U530" s="4"/>
      <c r="V530" s="4">
        <v>2.71</v>
      </c>
      <c r="W530" s="4"/>
      <c r="X530" s="4"/>
      <c r="Y530" s="4"/>
      <c r="Z530" s="4"/>
      <c r="AA530" s="4"/>
      <c r="AB530" s="4" t="s">
        <v>1032</v>
      </c>
      <c r="AC530" s="4"/>
      <c r="AD530" s="4">
        <v>32.790999999999997</v>
      </c>
      <c r="AE530" s="4">
        <v>130.75399999999999</v>
      </c>
      <c r="AF530" s="4">
        <v>15.1</v>
      </c>
      <c r="AG530" s="4">
        <v>2700</v>
      </c>
      <c r="AH530" s="27" t="b">
        <v>1</v>
      </c>
      <c r="AI530" s="4">
        <v>6.3140000000000001</v>
      </c>
      <c r="AJ530" s="27" t="b">
        <v>1</v>
      </c>
      <c r="AK530" s="4">
        <v>6.0060000000000002</v>
      </c>
      <c r="AL530" s="27" t="b">
        <v>0</v>
      </c>
      <c r="AM530" s="4">
        <v>238.989</v>
      </c>
      <c r="AN530" s="4">
        <v>157.268</v>
      </c>
      <c r="AO530" s="4">
        <v>171.87299999999999</v>
      </c>
      <c r="AP530" s="4">
        <v>68.605199999999996</v>
      </c>
      <c r="AQ530" s="4">
        <v>44.406500000000001</v>
      </c>
      <c r="AR530" s="4">
        <v>42.636200000000002</v>
      </c>
      <c r="AS530" s="4">
        <v>106.821</v>
      </c>
      <c r="AT530" s="4">
        <v>65.370999999999995</v>
      </c>
      <c r="AU530" s="4">
        <v>56.597799999999999</v>
      </c>
      <c r="AV530" s="4">
        <v>103.23699999999999</v>
      </c>
      <c r="AW530" s="4">
        <v>61.225200000000001</v>
      </c>
      <c r="AX530" s="4">
        <v>-28.441500000000001</v>
      </c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1"/>
      <c r="BJ530" s="1" t="s">
        <v>4191</v>
      </c>
      <c r="BK530" s="1">
        <v>1</v>
      </c>
      <c r="BL530" s="1"/>
      <c r="BM530" s="1" t="s">
        <v>226</v>
      </c>
      <c r="BN530" s="1" t="s">
        <v>2959</v>
      </c>
      <c r="BO530" s="1" t="s">
        <v>2960</v>
      </c>
      <c r="BP530" s="1">
        <v>7</v>
      </c>
      <c r="BQ530" s="1" t="s">
        <v>1003</v>
      </c>
      <c r="BR530" s="1">
        <v>32.790999999999997</v>
      </c>
      <c r="BS530" s="1">
        <v>130.75399999999999</v>
      </c>
      <c r="BT530" s="1">
        <v>15.1</v>
      </c>
      <c r="BU530" s="1" t="s">
        <v>1032</v>
      </c>
      <c r="BV530" s="1" t="s">
        <v>2961</v>
      </c>
      <c r="BW530" s="1">
        <v>205</v>
      </c>
      <c r="BX530" s="1">
        <v>72</v>
      </c>
      <c r="BY530" s="1">
        <v>-142</v>
      </c>
      <c r="BZ530" s="1">
        <v>235</v>
      </c>
      <c r="CA530" s="1">
        <v>65</v>
      </c>
      <c r="CB530" s="1">
        <v>-142</v>
      </c>
      <c r="CC530" s="1" t="s">
        <v>2808</v>
      </c>
      <c r="CD530" s="1" t="s">
        <v>862</v>
      </c>
      <c r="CE530" s="1">
        <v>1</v>
      </c>
      <c r="CF530" s="1">
        <v>7.04</v>
      </c>
      <c r="CG530" s="1">
        <v>3.4371</v>
      </c>
      <c r="CH530" s="1">
        <v>2349</v>
      </c>
      <c r="CI530" s="1" t="s">
        <v>1196</v>
      </c>
      <c r="CJ530" s="1" t="s">
        <v>2812</v>
      </c>
      <c r="CK530" t="s">
        <v>1263</v>
      </c>
      <c r="CL530">
        <v>287</v>
      </c>
      <c r="CM530" t="s">
        <v>2964</v>
      </c>
    </row>
    <row r="531" spans="1:91" ht="19" customHeight="1">
      <c r="A531" s="1" t="s">
        <v>4192</v>
      </c>
      <c r="B531" s="1" t="s">
        <v>3597</v>
      </c>
      <c r="C531" s="1">
        <v>288</v>
      </c>
      <c r="D531" s="1" t="s">
        <v>1202</v>
      </c>
      <c r="E531" s="1">
        <v>2016</v>
      </c>
      <c r="F531" s="1" t="s">
        <v>1203</v>
      </c>
      <c r="G531" s="1" t="s">
        <v>1767</v>
      </c>
      <c r="H531" s="4">
        <v>23.61</v>
      </c>
      <c r="I531" s="4">
        <v>120.4217</v>
      </c>
      <c r="J531" s="1" t="s">
        <v>1404</v>
      </c>
      <c r="K531" s="1" t="s">
        <v>70</v>
      </c>
      <c r="L531" s="1" t="s">
        <v>1768</v>
      </c>
      <c r="M531" s="1" t="s">
        <v>3598</v>
      </c>
      <c r="N531" s="1"/>
      <c r="O531" s="1" t="s">
        <v>3095</v>
      </c>
      <c r="P531" s="1"/>
      <c r="Q531" s="4">
        <v>6.4</v>
      </c>
      <c r="R531" s="4"/>
      <c r="S531" s="4"/>
      <c r="T531" s="4"/>
      <c r="U531" s="4"/>
      <c r="V531" s="4">
        <v>63.165080000000003</v>
      </c>
      <c r="W531" s="4"/>
      <c r="X531" s="4"/>
      <c r="Y531" s="4"/>
      <c r="Z531" s="4"/>
      <c r="AA531" s="4"/>
      <c r="AB531" s="4" t="s">
        <v>1032</v>
      </c>
      <c r="AC531" s="4"/>
      <c r="AD531" s="4">
        <v>22.922000000000001</v>
      </c>
      <c r="AE531" s="4">
        <v>120.544</v>
      </c>
      <c r="AF531" s="4">
        <v>14.6</v>
      </c>
      <c r="AG531" s="4">
        <v>211.02979999999999</v>
      </c>
      <c r="AH531" s="27" t="b">
        <v>1</v>
      </c>
      <c r="AI531" s="4">
        <v>1.1479999999999999</v>
      </c>
      <c r="AJ531" s="27" t="b">
        <v>0</v>
      </c>
      <c r="AK531" s="4"/>
      <c r="AL531" s="27" t="b">
        <v>0</v>
      </c>
      <c r="AM531" s="4">
        <v>227.59399999999999</v>
      </c>
      <c r="AN531" s="4">
        <v>206.20400000000001</v>
      </c>
      <c r="AO531" s="4">
        <v>31.664000000000001</v>
      </c>
      <c r="AP531" s="4">
        <v>28.2727</v>
      </c>
      <c r="AQ531" s="4">
        <v>29.7637</v>
      </c>
      <c r="AR531" s="4">
        <v>2.9899</v>
      </c>
      <c r="AS531" s="4">
        <v>5.1216699999999999</v>
      </c>
      <c r="AT531" s="4">
        <v>4.2123499999999998</v>
      </c>
      <c r="AU531" s="4">
        <v>0.72866900000000001</v>
      </c>
      <c r="AV531" s="4">
        <v>-0.55828999999999995</v>
      </c>
      <c r="AW531" s="4">
        <v>-0.301178</v>
      </c>
      <c r="AX531" s="4">
        <v>-0.45030999999999999</v>
      </c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1" t="s">
        <v>3599</v>
      </c>
      <c r="BJ531" s="1" t="s">
        <v>4193</v>
      </c>
      <c r="BK531" s="1">
        <v>1</v>
      </c>
      <c r="BL531" s="1"/>
      <c r="BM531" s="1" t="s">
        <v>672</v>
      </c>
      <c r="BN531" s="1" t="s">
        <v>2966</v>
      </c>
      <c r="BO531" s="1" t="s">
        <v>2967</v>
      </c>
      <c r="BP531" s="1">
        <v>6.4</v>
      </c>
      <c r="BQ531" s="1" t="s">
        <v>1003</v>
      </c>
      <c r="BR531" s="1">
        <v>22.922000000000001</v>
      </c>
      <c r="BS531" s="1">
        <v>120.544</v>
      </c>
      <c r="BT531" s="1">
        <v>14.6</v>
      </c>
      <c r="BU531" s="1" t="s">
        <v>1032</v>
      </c>
      <c r="BV531" s="1" t="s">
        <v>2922</v>
      </c>
      <c r="BW531" s="1">
        <v>295</v>
      </c>
      <c r="BX531" s="1">
        <v>22</v>
      </c>
      <c r="BY531" s="1">
        <v>20</v>
      </c>
      <c r="BZ531" s="1"/>
      <c r="CA531" s="1"/>
      <c r="CB531" s="1"/>
      <c r="CC531" s="1" t="s">
        <v>2808</v>
      </c>
      <c r="CD531" s="1" t="s">
        <v>731</v>
      </c>
      <c r="CE531" s="1"/>
      <c r="CF531" s="1"/>
      <c r="CG531" s="1"/>
      <c r="CH531" s="1"/>
      <c r="CI531" s="1"/>
      <c r="CJ531" s="1" t="s">
        <v>2812</v>
      </c>
      <c r="CK531" t="s">
        <v>1263</v>
      </c>
      <c r="CL531">
        <v>288</v>
      </c>
      <c r="CM531" t="s">
        <v>2968</v>
      </c>
    </row>
    <row r="532" spans="1:91" ht="19" customHeight="1">
      <c r="A532" s="1" t="s">
        <v>4194</v>
      </c>
      <c r="B532" s="1" t="s">
        <v>3597</v>
      </c>
      <c r="C532" s="1">
        <v>289</v>
      </c>
      <c r="D532" s="1" t="s">
        <v>1202</v>
      </c>
      <c r="E532" s="1">
        <v>2016</v>
      </c>
      <c r="F532" s="1" t="s">
        <v>1204</v>
      </c>
      <c r="G532" s="1" t="s">
        <v>1783</v>
      </c>
      <c r="H532" s="4">
        <v>23.330500000000001</v>
      </c>
      <c r="I532" s="4">
        <v>120.1598</v>
      </c>
      <c r="J532" s="1" t="s">
        <v>1404</v>
      </c>
      <c r="K532" s="1" t="s">
        <v>70</v>
      </c>
      <c r="L532" s="1" t="s">
        <v>1784</v>
      </c>
      <c r="M532" s="1" t="s">
        <v>3598</v>
      </c>
      <c r="N532" s="1"/>
      <c r="O532" s="1" t="s">
        <v>3095</v>
      </c>
      <c r="P532" s="1"/>
      <c r="Q532" s="4">
        <v>6.4</v>
      </c>
      <c r="R532" s="4"/>
      <c r="S532" s="4"/>
      <c r="T532" s="4"/>
      <c r="U532" s="4"/>
      <c r="V532" s="4">
        <v>42.787909999999997</v>
      </c>
      <c r="W532" s="4"/>
      <c r="X532" s="4"/>
      <c r="Y532" s="4"/>
      <c r="Z532" s="4"/>
      <c r="AA532" s="4"/>
      <c r="AB532" s="4" t="s">
        <v>1032</v>
      </c>
      <c r="AC532" s="4"/>
      <c r="AD532" s="4">
        <v>22.922000000000001</v>
      </c>
      <c r="AE532" s="4">
        <v>120.544</v>
      </c>
      <c r="AF532" s="4">
        <v>14.6</v>
      </c>
      <c r="AG532" s="4">
        <v>192.22139999999999</v>
      </c>
      <c r="AH532" s="27" t="b">
        <v>1</v>
      </c>
      <c r="AI532" s="4">
        <v>1.8480000000000001</v>
      </c>
      <c r="AJ532" s="27" t="b">
        <v>0</v>
      </c>
      <c r="AK532" s="4"/>
      <c r="AL532" s="27" t="b">
        <v>0</v>
      </c>
      <c r="AM532" s="4">
        <v>108.964</v>
      </c>
      <c r="AN532" s="4">
        <v>131.602</v>
      </c>
      <c r="AO532" s="4">
        <v>37.725999999999999</v>
      </c>
      <c r="AP532" s="4">
        <v>17.0093</v>
      </c>
      <c r="AQ532" s="4">
        <v>21.2805</v>
      </c>
      <c r="AR532" s="4">
        <v>3.86232</v>
      </c>
      <c r="AS532" s="4">
        <v>4.3752800000000001</v>
      </c>
      <c r="AT532" s="4">
        <v>5.03071</v>
      </c>
      <c r="AU532" s="4">
        <v>0.75412999999999997</v>
      </c>
      <c r="AV532" s="4">
        <v>-4.4929999999999996E-3</v>
      </c>
      <c r="AW532" s="4">
        <v>-8.097E-3</v>
      </c>
      <c r="AX532" s="4">
        <v>-0.26354100000000003</v>
      </c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1" t="s">
        <v>3599</v>
      </c>
      <c r="BJ532" s="1" t="s">
        <v>4195</v>
      </c>
      <c r="BK532" s="1">
        <v>1</v>
      </c>
      <c r="BL532" s="1"/>
      <c r="BM532" s="1" t="s">
        <v>672</v>
      </c>
      <c r="BN532" s="1" t="s">
        <v>2966</v>
      </c>
      <c r="BO532" s="1" t="s">
        <v>2967</v>
      </c>
      <c r="BP532" s="1">
        <v>6.4</v>
      </c>
      <c r="BQ532" s="1" t="s">
        <v>1003</v>
      </c>
      <c r="BR532" s="1">
        <v>22.922000000000001</v>
      </c>
      <c r="BS532" s="1">
        <v>120.544</v>
      </c>
      <c r="BT532" s="1">
        <v>14.6</v>
      </c>
      <c r="BU532" s="1" t="s">
        <v>1032</v>
      </c>
      <c r="BV532" s="1" t="s">
        <v>2922</v>
      </c>
      <c r="BW532" s="1">
        <v>295</v>
      </c>
      <c r="BX532" s="1">
        <v>22</v>
      </c>
      <c r="BY532" s="1">
        <v>20</v>
      </c>
      <c r="BZ532" s="1"/>
      <c r="CA532" s="1"/>
      <c r="CB532" s="1"/>
      <c r="CC532" s="1" t="s">
        <v>2808</v>
      </c>
      <c r="CD532" s="1" t="s">
        <v>731</v>
      </c>
      <c r="CE532" s="1"/>
      <c r="CF532" s="1"/>
      <c r="CG532" s="1"/>
      <c r="CH532" s="1"/>
      <c r="CI532" s="1"/>
      <c r="CJ532" s="1" t="s">
        <v>2812</v>
      </c>
      <c r="CK532" t="s">
        <v>1263</v>
      </c>
      <c r="CL532">
        <v>289</v>
      </c>
      <c r="CM532" t="s">
        <v>2968</v>
      </c>
    </row>
    <row r="533" spans="1:91" ht="19" customHeight="1">
      <c r="A533" s="1" t="s">
        <v>4196</v>
      </c>
      <c r="B533" s="1" t="s">
        <v>3597</v>
      </c>
      <c r="C533" s="1">
        <v>290</v>
      </c>
      <c r="D533" s="1" t="s">
        <v>1202</v>
      </c>
      <c r="E533" s="1">
        <v>2016</v>
      </c>
      <c r="F533" s="1" t="s">
        <v>1157</v>
      </c>
      <c r="G533" s="1" t="s">
        <v>1791</v>
      </c>
      <c r="H533" s="4">
        <v>23.21367</v>
      </c>
      <c r="I533" s="4">
        <v>120.277</v>
      </c>
      <c r="J533" s="1" t="s">
        <v>1404</v>
      </c>
      <c r="K533" s="1" t="s">
        <v>70</v>
      </c>
      <c r="L533" s="1" t="s">
        <v>4197</v>
      </c>
      <c r="M533" s="1" t="s">
        <v>3598</v>
      </c>
      <c r="N533" s="1"/>
      <c r="O533" s="1" t="s">
        <v>3095</v>
      </c>
      <c r="P533" s="1"/>
      <c r="Q533" s="4">
        <v>6.4</v>
      </c>
      <c r="R533" s="4"/>
      <c r="S533" s="4"/>
      <c r="T533" s="4"/>
      <c r="U533" s="4"/>
      <c r="V533" s="4">
        <v>28.65258</v>
      </c>
      <c r="W533" s="4"/>
      <c r="X533" s="4"/>
      <c r="Y533" s="4"/>
      <c r="Z533" s="4"/>
      <c r="AA533" s="4"/>
      <c r="AB533" s="4" t="s">
        <v>1032</v>
      </c>
      <c r="AC533" s="4"/>
      <c r="AD533" s="4">
        <v>22.922000000000001</v>
      </c>
      <c r="AE533" s="4">
        <v>120.544</v>
      </c>
      <c r="AF533" s="4">
        <v>14.6</v>
      </c>
      <c r="AG533" s="4">
        <v>196.01859999999999</v>
      </c>
      <c r="AH533" s="27" t="b">
        <v>1</v>
      </c>
      <c r="AI533" s="4">
        <v>1.5609999999999999</v>
      </c>
      <c r="AJ533" s="27" t="b">
        <v>0</v>
      </c>
      <c r="AK533" s="4"/>
      <c r="AL533" s="27" t="b">
        <v>1</v>
      </c>
      <c r="AM533" s="4">
        <v>176.62799999999999</v>
      </c>
      <c r="AN533" s="4">
        <v>210.083</v>
      </c>
      <c r="AO533" s="4">
        <v>38.189799999999998</v>
      </c>
      <c r="AP533" s="4">
        <v>27.6191</v>
      </c>
      <c r="AQ533" s="4">
        <v>48.605400000000003</v>
      </c>
      <c r="AR533" s="4">
        <v>4.0488999999999997</v>
      </c>
      <c r="AS533" s="4">
        <v>8.8347700000000007</v>
      </c>
      <c r="AT533" s="4">
        <v>12.4832</v>
      </c>
      <c r="AU533" s="4">
        <v>3.8576299999999999</v>
      </c>
      <c r="AV533" s="4">
        <v>0.40312999999999999</v>
      </c>
      <c r="AW533" s="4">
        <v>-2.5080999999999999E-2</v>
      </c>
      <c r="AX533" s="4">
        <v>-2.7307299999999999</v>
      </c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1" t="s">
        <v>3599</v>
      </c>
      <c r="BJ533" s="1" t="s">
        <v>4198</v>
      </c>
      <c r="BK533" s="1">
        <v>1</v>
      </c>
      <c r="BL533" s="1"/>
      <c r="BM533" s="1" t="s">
        <v>672</v>
      </c>
      <c r="BN533" s="1" t="s">
        <v>2966</v>
      </c>
      <c r="BO533" s="1" t="s">
        <v>2967</v>
      </c>
      <c r="BP533" s="1">
        <v>6.4</v>
      </c>
      <c r="BQ533" s="1" t="s">
        <v>1003</v>
      </c>
      <c r="BR533" s="1">
        <v>22.922000000000001</v>
      </c>
      <c r="BS533" s="1">
        <v>120.544</v>
      </c>
      <c r="BT533" s="1">
        <v>14.6</v>
      </c>
      <c r="BU533" s="1" t="s">
        <v>1032</v>
      </c>
      <c r="BV533" s="1" t="s">
        <v>2922</v>
      </c>
      <c r="BW533" s="1">
        <v>295</v>
      </c>
      <c r="BX533" s="1">
        <v>22</v>
      </c>
      <c r="BY533" s="1">
        <v>20</v>
      </c>
      <c r="BZ533" s="1"/>
      <c r="CA533" s="1"/>
      <c r="CB533" s="1"/>
      <c r="CC533" s="1" t="s">
        <v>2808</v>
      </c>
      <c r="CD533" s="1" t="s">
        <v>731</v>
      </c>
      <c r="CE533" s="1"/>
      <c r="CF533" s="1"/>
      <c r="CG533" s="1"/>
      <c r="CH533" s="1"/>
      <c r="CI533" s="1"/>
      <c r="CJ533" s="1" t="s">
        <v>2812</v>
      </c>
      <c r="CK533" t="s">
        <v>1263</v>
      </c>
      <c r="CL533">
        <v>290</v>
      </c>
      <c r="CM533" t="s">
        <v>2968</v>
      </c>
    </row>
    <row r="534" spans="1:91" ht="19" customHeight="1">
      <c r="A534" s="1" t="s">
        <v>4199</v>
      </c>
      <c r="B534" s="1" t="s">
        <v>3597</v>
      </c>
      <c r="C534" s="1">
        <v>291</v>
      </c>
      <c r="D534" s="1" t="s">
        <v>1202</v>
      </c>
      <c r="E534" s="1">
        <v>2016</v>
      </c>
      <c r="F534" s="1" t="s">
        <v>1205</v>
      </c>
      <c r="G534" s="1" t="s">
        <v>1794</v>
      </c>
      <c r="H534" s="4">
        <v>23.2225</v>
      </c>
      <c r="I534" s="4">
        <v>120.4003</v>
      </c>
      <c r="J534" s="1" t="s">
        <v>1404</v>
      </c>
      <c r="K534" s="1" t="s">
        <v>70</v>
      </c>
      <c r="L534" s="1" t="s">
        <v>1795</v>
      </c>
      <c r="M534" s="1" t="s">
        <v>3598</v>
      </c>
      <c r="N534" s="1"/>
      <c r="O534" s="1" t="s">
        <v>3095</v>
      </c>
      <c r="P534" s="1"/>
      <c r="Q534" s="4">
        <v>6.4</v>
      </c>
      <c r="R534" s="4"/>
      <c r="S534" s="4"/>
      <c r="T534" s="4"/>
      <c r="U534" s="4"/>
      <c r="V534" s="4">
        <v>26.49578</v>
      </c>
      <c r="W534" s="4"/>
      <c r="X534" s="4"/>
      <c r="Y534" s="4"/>
      <c r="Z534" s="4"/>
      <c r="AA534" s="4"/>
      <c r="AB534" s="4" t="s">
        <v>1032</v>
      </c>
      <c r="AC534" s="4"/>
      <c r="AD534" s="4">
        <v>22.922000000000001</v>
      </c>
      <c r="AE534" s="4">
        <v>120.544</v>
      </c>
      <c r="AF534" s="4">
        <v>14.6</v>
      </c>
      <c r="AG534" s="4">
        <v>594.64819999999997</v>
      </c>
      <c r="AH534" s="27" t="b">
        <v>1</v>
      </c>
      <c r="AI534" s="4">
        <v>0.93799999999999994</v>
      </c>
      <c r="AJ534" s="27" t="b">
        <v>0</v>
      </c>
      <c r="AK534" s="4"/>
      <c r="AL534" s="27" t="b">
        <v>0</v>
      </c>
      <c r="AM534" s="4">
        <v>164.988</v>
      </c>
      <c r="AN534" s="4">
        <v>227.57599999999999</v>
      </c>
      <c r="AO534" s="4">
        <v>61.57</v>
      </c>
      <c r="AP534" s="4">
        <v>16.973800000000001</v>
      </c>
      <c r="AQ534" s="4">
        <v>27.508299999999998</v>
      </c>
      <c r="AR534" s="4">
        <v>6.3611199999999997</v>
      </c>
      <c r="AS534" s="4">
        <v>4.3973300000000002</v>
      </c>
      <c r="AT534" s="4">
        <v>4.4598899999999997</v>
      </c>
      <c r="AU534" s="4">
        <v>1.0837699999999999</v>
      </c>
      <c r="AV534" s="4">
        <v>-2.8811E-2</v>
      </c>
      <c r="AW534" s="4">
        <v>-0.307278</v>
      </c>
      <c r="AX534" s="4">
        <v>-4.3156E-2</v>
      </c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1" t="s">
        <v>3599</v>
      </c>
      <c r="BJ534" s="1" t="s">
        <v>4200</v>
      </c>
      <c r="BK534" s="1">
        <v>1</v>
      </c>
      <c r="BL534" s="1"/>
      <c r="BM534" s="1" t="s">
        <v>672</v>
      </c>
      <c r="BN534" s="1" t="s">
        <v>2966</v>
      </c>
      <c r="BO534" s="1" t="s">
        <v>2967</v>
      </c>
      <c r="BP534" s="1">
        <v>6.4</v>
      </c>
      <c r="BQ534" s="1" t="s">
        <v>1003</v>
      </c>
      <c r="BR534" s="1">
        <v>22.922000000000001</v>
      </c>
      <c r="BS534" s="1">
        <v>120.544</v>
      </c>
      <c r="BT534" s="1">
        <v>14.6</v>
      </c>
      <c r="BU534" s="1" t="s">
        <v>1032</v>
      </c>
      <c r="BV534" s="1" t="s">
        <v>2922</v>
      </c>
      <c r="BW534" s="1">
        <v>295</v>
      </c>
      <c r="BX534" s="1">
        <v>22</v>
      </c>
      <c r="BY534" s="1">
        <v>20</v>
      </c>
      <c r="BZ534" s="1"/>
      <c r="CA534" s="1"/>
      <c r="CB534" s="1"/>
      <c r="CC534" s="1" t="s">
        <v>2808</v>
      </c>
      <c r="CD534" s="1" t="s">
        <v>731</v>
      </c>
      <c r="CE534" s="1"/>
      <c r="CF534" s="1"/>
      <c r="CG534" s="1"/>
      <c r="CH534" s="1"/>
      <c r="CI534" s="1"/>
      <c r="CJ534" s="1" t="s">
        <v>2812</v>
      </c>
      <c r="CK534" t="s">
        <v>1263</v>
      </c>
      <c r="CL534">
        <v>291</v>
      </c>
      <c r="CM534" t="s">
        <v>2968</v>
      </c>
    </row>
    <row r="535" spans="1:91" ht="19" customHeight="1">
      <c r="A535" s="1" t="s">
        <v>4201</v>
      </c>
      <c r="B535" s="1" t="s">
        <v>3597</v>
      </c>
      <c r="C535" s="1">
        <v>292</v>
      </c>
      <c r="D535" s="1" t="s">
        <v>1202</v>
      </c>
      <c r="E535" s="1">
        <v>2016</v>
      </c>
      <c r="F535" s="1" t="s">
        <v>1206</v>
      </c>
      <c r="G535" s="1" t="s">
        <v>1796</v>
      </c>
      <c r="H535" s="4">
        <v>23.102333000000002</v>
      </c>
      <c r="I535" s="4">
        <v>120.158333</v>
      </c>
      <c r="J535" s="1" t="s">
        <v>1404</v>
      </c>
      <c r="K535" s="1" t="s">
        <v>70</v>
      </c>
      <c r="L535" s="1" t="s">
        <v>1798</v>
      </c>
      <c r="M535" s="1" t="s">
        <v>3598</v>
      </c>
      <c r="N535" s="1"/>
      <c r="O535" s="1" t="s">
        <v>3095</v>
      </c>
      <c r="P535" s="1"/>
      <c r="Q535" s="4">
        <v>6.4</v>
      </c>
      <c r="R535" s="4"/>
      <c r="S535" s="4"/>
      <c r="T535" s="4"/>
      <c r="U535" s="4"/>
      <c r="V535" s="4">
        <v>37.143805999999998</v>
      </c>
      <c r="W535" s="4"/>
      <c r="X535" s="4"/>
      <c r="Y535" s="4"/>
      <c r="Z535" s="4"/>
      <c r="AA535" s="4"/>
      <c r="AB535" s="4" t="s">
        <v>1032</v>
      </c>
      <c r="AC535" s="4"/>
      <c r="AD535" s="4">
        <v>22.922000000000001</v>
      </c>
      <c r="AE535" s="4">
        <v>120.544</v>
      </c>
      <c r="AF535" s="4">
        <v>14.6</v>
      </c>
      <c r="AG535" s="4">
        <v>214.1404</v>
      </c>
      <c r="AH535" s="27" t="b">
        <v>1</v>
      </c>
      <c r="AI535" s="4">
        <v>2.3940000000000001</v>
      </c>
      <c r="AJ535" s="27" t="b">
        <v>0</v>
      </c>
      <c r="AK535" s="4"/>
      <c r="AL535" s="27" t="b">
        <v>1</v>
      </c>
      <c r="AM535" s="4">
        <v>173.97800000000001</v>
      </c>
      <c r="AN535" s="4">
        <v>76.270899999999997</v>
      </c>
      <c r="AO535" s="4">
        <v>56.5809</v>
      </c>
      <c r="AP535" s="4">
        <v>51.078000000000003</v>
      </c>
      <c r="AQ535" s="4">
        <v>20.425799999999999</v>
      </c>
      <c r="AR535" s="4">
        <v>6.7905300000000004</v>
      </c>
      <c r="AS535" s="4">
        <v>15.4473</v>
      </c>
      <c r="AT535" s="4">
        <v>11.505000000000001</v>
      </c>
      <c r="AU535" s="4">
        <v>4.9908000000000001</v>
      </c>
      <c r="AV535" s="4">
        <v>-4.1569799999999999</v>
      </c>
      <c r="AW535" s="4">
        <v>0.32148300000000002</v>
      </c>
      <c r="AX535" s="4">
        <v>-3.68784</v>
      </c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1" t="s">
        <v>3599</v>
      </c>
      <c r="BJ535" s="1" t="s">
        <v>4202</v>
      </c>
      <c r="BK535" s="1">
        <v>1</v>
      </c>
      <c r="BL535" s="1"/>
      <c r="BM535" s="1" t="s">
        <v>672</v>
      </c>
      <c r="BN535" s="1" t="s">
        <v>2966</v>
      </c>
      <c r="BO535" s="1" t="s">
        <v>2967</v>
      </c>
      <c r="BP535" s="1">
        <v>6.4</v>
      </c>
      <c r="BQ535" s="1" t="s">
        <v>1003</v>
      </c>
      <c r="BR535" s="1">
        <v>22.922000000000001</v>
      </c>
      <c r="BS535" s="1">
        <v>120.544</v>
      </c>
      <c r="BT535" s="1">
        <v>14.6</v>
      </c>
      <c r="BU535" s="1" t="s">
        <v>1032</v>
      </c>
      <c r="BV535" s="1" t="s">
        <v>2922</v>
      </c>
      <c r="BW535" s="1">
        <v>295</v>
      </c>
      <c r="BX535" s="1">
        <v>22</v>
      </c>
      <c r="BY535" s="1">
        <v>20</v>
      </c>
      <c r="BZ535" s="1"/>
      <c r="CA535" s="1"/>
      <c r="CB535" s="1"/>
      <c r="CC535" s="1" t="s">
        <v>2808</v>
      </c>
      <c r="CD535" s="1" t="s">
        <v>731</v>
      </c>
      <c r="CE535" s="1"/>
      <c r="CF535" s="1"/>
      <c r="CG535" s="1"/>
      <c r="CH535" s="1"/>
      <c r="CI535" s="1"/>
      <c r="CJ535" s="1" t="s">
        <v>2812</v>
      </c>
      <c r="CK535" t="s">
        <v>1263</v>
      </c>
      <c r="CL535">
        <v>292</v>
      </c>
      <c r="CM535" t="s">
        <v>2968</v>
      </c>
    </row>
    <row r="536" spans="1:91" ht="19" customHeight="1">
      <c r="A536" s="1" t="s">
        <v>4203</v>
      </c>
      <c r="B536" s="1" t="s">
        <v>3597</v>
      </c>
      <c r="C536" s="1">
        <v>293</v>
      </c>
      <c r="D536" s="1" t="s">
        <v>1202</v>
      </c>
      <c r="E536" s="1">
        <v>2016</v>
      </c>
      <c r="F536" s="1" t="s">
        <v>1086</v>
      </c>
      <c r="G536" s="1" t="s">
        <v>1813</v>
      </c>
      <c r="H536" s="4">
        <v>23.554500000000001</v>
      </c>
      <c r="I536" s="4">
        <v>120.42919999999999</v>
      </c>
      <c r="J536" s="1" t="s">
        <v>1404</v>
      </c>
      <c r="K536" s="1" t="s">
        <v>70</v>
      </c>
      <c r="L536" s="1" t="s">
        <v>1815</v>
      </c>
      <c r="M536" s="1" t="s">
        <v>3598</v>
      </c>
      <c r="N536" s="1"/>
      <c r="O536" s="1" t="s">
        <v>3095</v>
      </c>
      <c r="P536" s="1"/>
      <c r="Q536" s="4">
        <v>6.4</v>
      </c>
      <c r="R536" s="4"/>
      <c r="S536" s="4"/>
      <c r="T536" s="4"/>
      <c r="U536" s="4"/>
      <c r="V536" s="4">
        <v>57.414790000000004</v>
      </c>
      <c r="W536" s="4"/>
      <c r="X536" s="4"/>
      <c r="Y536" s="4"/>
      <c r="Z536" s="4"/>
      <c r="AA536" s="4"/>
      <c r="AB536" s="4" t="s">
        <v>1032</v>
      </c>
      <c r="AC536" s="4"/>
      <c r="AD536" s="4">
        <v>22.922000000000001</v>
      </c>
      <c r="AE536" s="4">
        <v>120.544</v>
      </c>
      <c r="AF536" s="4">
        <v>14.6</v>
      </c>
      <c r="AG536" s="4">
        <v>208.77549999999999</v>
      </c>
      <c r="AH536" s="27" t="b">
        <v>1</v>
      </c>
      <c r="AI536" s="4">
        <v>1.218</v>
      </c>
      <c r="AJ536" s="27" t="b">
        <v>0</v>
      </c>
      <c r="AK536" s="4"/>
      <c r="AL536" s="27" t="b">
        <v>0</v>
      </c>
      <c r="AM536" s="4">
        <v>271.28100000000001</v>
      </c>
      <c r="AN536" s="4">
        <v>212.06100000000001</v>
      </c>
      <c r="AO536" s="4">
        <v>56.991999999999997</v>
      </c>
      <c r="AP536" s="4">
        <v>24.8675</v>
      </c>
      <c r="AQ536" s="4">
        <v>25.587599999999998</v>
      </c>
      <c r="AR536" s="4">
        <v>2.5968900000000001</v>
      </c>
      <c r="AS536" s="4">
        <v>4.6223099999999997</v>
      </c>
      <c r="AT536" s="4">
        <v>4.4294099999999998</v>
      </c>
      <c r="AU536" s="4">
        <v>0.70756600000000003</v>
      </c>
      <c r="AV536" s="4">
        <v>-2.9076999999999999E-2</v>
      </c>
      <c r="AW536" s="4">
        <v>0.126412</v>
      </c>
      <c r="AX536" s="4">
        <v>-5.8520000000000004E-3</v>
      </c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1" t="s">
        <v>3599</v>
      </c>
      <c r="BJ536" s="1" t="s">
        <v>4204</v>
      </c>
      <c r="BK536" s="1">
        <v>1</v>
      </c>
      <c r="BL536" s="1"/>
      <c r="BM536" s="1" t="s">
        <v>672</v>
      </c>
      <c r="BN536" s="1" t="s">
        <v>2966</v>
      </c>
      <c r="BO536" s="1" t="s">
        <v>2967</v>
      </c>
      <c r="BP536" s="1">
        <v>6.4</v>
      </c>
      <c r="BQ536" s="1" t="s">
        <v>1003</v>
      </c>
      <c r="BR536" s="1">
        <v>22.922000000000001</v>
      </c>
      <c r="BS536" s="1">
        <v>120.544</v>
      </c>
      <c r="BT536" s="1">
        <v>14.6</v>
      </c>
      <c r="BU536" s="1" t="s">
        <v>1032</v>
      </c>
      <c r="BV536" s="1" t="s">
        <v>2922</v>
      </c>
      <c r="BW536" s="1">
        <v>295</v>
      </c>
      <c r="BX536" s="1">
        <v>22</v>
      </c>
      <c r="BY536" s="1">
        <v>20</v>
      </c>
      <c r="BZ536" s="1"/>
      <c r="CA536" s="1"/>
      <c r="CB536" s="1"/>
      <c r="CC536" s="1" t="s">
        <v>2808</v>
      </c>
      <c r="CD536" s="1" t="s">
        <v>731</v>
      </c>
      <c r="CE536" s="1"/>
      <c r="CF536" s="1"/>
      <c r="CG536" s="1"/>
      <c r="CH536" s="1"/>
      <c r="CI536" s="1"/>
      <c r="CJ536" s="1" t="s">
        <v>2812</v>
      </c>
      <c r="CK536" t="s">
        <v>1263</v>
      </c>
      <c r="CL536">
        <v>293</v>
      </c>
      <c r="CM536" t="s">
        <v>2968</v>
      </c>
    </row>
    <row r="537" spans="1:91" ht="19" customHeight="1">
      <c r="A537" s="1" t="s">
        <v>4205</v>
      </c>
      <c r="B537" s="1" t="s">
        <v>3597</v>
      </c>
      <c r="C537" s="1">
        <v>294</v>
      </c>
      <c r="D537" s="1" t="s">
        <v>1202</v>
      </c>
      <c r="E537" s="1">
        <v>2016</v>
      </c>
      <c r="F537" s="1" t="s">
        <v>1095</v>
      </c>
      <c r="G537" s="1" t="s">
        <v>1818</v>
      </c>
      <c r="H537" s="4">
        <v>23.51933</v>
      </c>
      <c r="I537" s="4">
        <v>120.35120000000001</v>
      </c>
      <c r="J537" s="1" t="s">
        <v>1404</v>
      </c>
      <c r="K537" s="1" t="s">
        <v>70</v>
      </c>
      <c r="L537" s="1" t="s">
        <v>1819</v>
      </c>
      <c r="M537" s="1" t="s">
        <v>3598</v>
      </c>
      <c r="N537" s="1"/>
      <c r="O537" s="1" t="s">
        <v>3095</v>
      </c>
      <c r="P537" s="1"/>
      <c r="Q537" s="4">
        <v>6.4</v>
      </c>
      <c r="R537" s="4"/>
      <c r="S537" s="4"/>
      <c r="T537" s="4"/>
      <c r="U537" s="4"/>
      <c r="V537" s="4">
        <v>53.892139999999998</v>
      </c>
      <c r="W537" s="4"/>
      <c r="X537" s="4"/>
      <c r="Y537" s="4"/>
      <c r="Z537" s="4"/>
      <c r="AA537" s="4"/>
      <c r="AB537" s="4" t="s">
        <v>1032</v>
      </c>
      <c r="AC537" s="4"/>
      <c r="AD537" s="4">
        <v>22.922000000000001</v>
      </c>
      <c r="AE537" s="4">
        <v>120.544</v>
      </c>
      <c r="AF537" s="4">
        <v>14.6</v>
      </c>
      <c r="AG537" s="4">
        <v>195.14949999999999</v>
      </c>
      <c r="AH537" s="27" t="b">
        <v>1</v>
      </c>
      <c r="AI537" s="4">
        <v>1.099</v>
      </c>
      <c r="AJ537" s="27" t="b">
        <v>0</v>
      </c>
      <c r="AK537" s="4"/>
      <c r="AL537" s="27" t="b">
        <v>0</v>
      </c>
      <c r="AM537" s="4">
        <v>219.578</v>
      </c>
      <c r="AN537" s="4">
        <v>205.28399999999999</v>
      </c>
      <c r="AO537" s="4">
        <v>22.969000000000001</v>
      </c>
      <c r="AP537" s="4">
        <v>28.0181</v>
      </c>
      <c r="AQ537" s="4">
        <v>22.306799999999999</v>
      </c>
      <c r="AR537" s="4">
        <v>1.6615899999999999</v>
      </c>
      <c r="AS537" s="4">
        <v>4.8347899999999999</v>
      </c>
      <c r="AT537" s="4">
        <v>4.7094500000000004</v>
      </c>
      <c r="AU537" s="4">
        <v>0.57899500000000004</v>
      </c>
      <c r="AV537" s="4">
        <v>8.6383000000000001E-2</v>
      </c>
      <c r="AW537" s="4">
        <v>3.0960000000000001E-2</v>
      </c>
      <c r="AX537" s="4">
        <v>-1.111E-2</v>
      </c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1" t="s">
        <v>3599</v>
      </c>
      <c r="BJ537" s="1" t="s">
        <v>4206</v>
      </c>
      <c r="BK537" s="1">
        <v>1</v>
      </c>
      <c r="BL537" s="1"/>
      <c r="BM537" s="1" t="s">
        <v>672</v>
      </c>
      <c r="BN537" s="1" t="s">
        <v>2966</v>
      </c>
      <c r="BO537" s="1" t="s">
        <v>2967</v>
      </c>
      <c r="BP537" s="1">
        <v>6.4</v>
      </c>
      <c r="BQ537" s="1" t="s">
        <v>1003</v>
      </c>
      <c r="BR537" s="1">
        <v>22.922000000000001</v>
      </c>
      <c r="BS537" s="1">
        <v>120.544</v>
      </c>
      <c r="BT537" s="1">
        <v>14.6</v>
      </c>
      <c r="BU537" s="1" t="s">
        <v>1032</v>
      </c>
      <c r="BV537" s="1" t="s">
        <v>2922</v>
      </c>
      <c r="BW537" s="1">
        <v>295</v>
      </c>
      <c r="BX537" s="1">
        <v>22</v>
      </c>
      <c r="BY537" s="1">
        <v>20</v>
      </c>
      <c r="BZ537" s="1"/>
      <c r="CA537" s="1"/>
      <c r="CB537" s="1"/>
      <c r="CC537" s="1" t="s">
        <v>2808</v>
      </c>
      <c r="CD537" s="1" t="s">
        <v>731</v>
      </c>
      <c r="CE537" s="1"/>
      <c r="CF537" s="1"/>
      <c r="CG537" s="1"/>
      <c r="CH537" s="1"/>
      <c r="CI537" s="1"/>
      <c r="CJ537" s="1" t="s">
        <v>2812</v>
      </c>
      <c r="CK537" t="s">
        <v>1263</v>
      </c>
      <c r="CL537">
        <v>294</v>
      </c>
      <c r="CM537" t="s">
        <v>2968</v>
      </c>
    </row>
    <row r="538" spans="1:91" ht="19" customHeight="1">
      <c r="A538" s="1" t="s">
        <v>4207</v>
      </c>
      <c r="B538" s="1" t="s">
        <v>3597</v>
      </c>
      <c r="C538" s="1">
        <v>295</v>
      </c>
      <c r="D538" s="1" t="s">
        <v>1202</v>
      </c>
      <c r="E538" s="1">
        <v>2016</v>
      </c>
      <c r="F538" s="1" t="s">
        <v>1207</v>
      </c>
      <c r="G538" s="1" t="s">
        <v>1831</v>
      </c>
      <c r="H538" s="4">
        <v>23.28</v>
      </c>
      <c r="I538" s="4">
        <v>120.46729999999999</v>
      </c>
      <c r="J538" s="1" t="s">
        <v>1404</v>
      </c>
      <c r="K538" s="1" t="s">
        <v>70</v>
      </c>
      <c r="L538" s="1" t="s">
        <v>1832</v>
      </c>
      <c r="M538" s="1" t="s">
        <v>3598</v>
      </c>
      <c r="N538" s="1"/>
      <c r="O538" s="1" t="s">
        <v>3095</v>
      </c>
      <c r="P538" s="1"/>
      <c r="Q538" s="4">
        <v>6.4</v>
      </c>
      <c r="R538" s="4"/>
      <c r="S538" s="4"/>
      <c r="T538" s="4"/>
      <c r="U538" s="4"/>
      <c r="V538" s="4">
        <v>31.778199999999998</v>
      </c>
      <c r="W538" s="4"/>
      <c r="X538" s="4"/>
      <c r="Y538" s="4"/>
      <c r="Z538" s="4"/>
      <c r="AA538" s="4"/>
      <c r="AB538" s="4" t="s">
        <v>1032</v>
      </c>
      <c r="AC538" s="4"/>
      <c r="AD538" s="4">
        <v>22.922000000000001</v>
      </c>
      <c r="AE538" s="4">
        <v>120.544</v>
      </c>
      <c r="AF538" s="4">
        <v>14.6</v>
      </c>
      <c r="AG538" s="4">
        <v>363.88</v>
      </c>
      <c r="AH538" s="27" t="b">
        <v>1</v>
      </c>
      <c r="AI538" s="4">
        <v>1.0289999999999999</v>
      </c>
      <c r="AJ538" s="27" t="b">
        <v>0</v>
      </c>
      <c r="AK538" s="4"/>
      <c r="AL538" s="27" t="b">
        <v>0</v>
      </c>
      <c r="AM538" s="4">
        <v>195.802595</v>
      </c>
      <c r="AN538" s="4">
        <v>216.43963199999999</v>
      </c>
      <c r="AO538" s="4">
        <v>51.275267999999997</v>
      </c>
      <c r="AP538" s="4">
        <v>21.587375000000002</v>
      </c>
      <c r="AQ538" s="4">
        <v>18.140789999999999</v>
      </c>
      <c r="AR538" s="4">
        <v>2.7244600000000001</v>
      </c>
      <c r="AS538" s="4">
        <v>3.6880869999999999</v>
      </c>
      <c r="AT538" s="4">
        <v>3.296068</v>
      </c>
      <c r="AU538" s="4">
        <v>0.63501399999999997</v>
      </c>
      <c r="AV538" s="4">
        <v>1.089E-2</v>
      </c>
      <c r="AW538" s="4">
        <v>-5.0000000000000001E-4</v>
      </c>
      <c r="AX538" s="4">
        <v>5.1279999999999997E-3</v>
      </c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1" t="s">
        <v>3599</v>
      </c>
      <c r="BJ538" s="1" t="s">
        <v>4208</v>
      </c>
      <c r="BK538" s="1">
        <v>1</v>
      </c>
      <c r="BL538" s="1"/>
      <c r="BM538" s="1" t="s">
        <v>672</v>
      </c>
      <c r="BN538" s="1" t="s">
        <v>2966</v>
      </c>
      <c r="BO538" s="1" t="s">
        <v>2967</v>
      </c>
      <c r="BP538" s="1">
        <v>6.4</v>
      </c>
      <c r="BQ538" s="1" t="s">
        <v>1003</v>
      </c>
      <c r="BR538" s="1">
        <v>22.922000000000001</v>
      </c>
      <c r="BS538" s="1">
        <v>120.544</v>
      </c>
      <c r="BT538" s="1">
        <v>14.6</v>
      </c>
      <c r="BU538" s="1" t="s">
        <v>1032</v>
      </c>
      <c r="BV538" s="1" t="s">
        <v>2922</v>
      </c>
      <c r="BW538" s="1">
        <v>295</v>
      </c>
      <c r="BX538" s="1">
        <v>22</v>
      </c>
      <c r="BY538" s="1">
        <v>20</v>
      </c>
      <c r="BZ538" s="1"/>
      <c r="CA538" s="1"/>
      <c r="CB538" s="1"/>
      <c r="CC538" s="1" t="s">
        <v>2808</v>
      </c>
      <c r="CD538" s="1" t="s">
        <v>731</v>
      </c>
      <c r="CE538" s="1"/>
      <c r="CF538" s="1"/>
      <c r="CG538" s="1"/>
      <c r="CH538" s="1"/>
      <c r="CI538" s="1"/>
      <c r="CJ538" s="1" t="s">
        <v>2812</v>
      </c>
      <c r="CK538" t="s">
        <v>1263</v>
      </c>
      <c r="CL538">
        <v>295</v>
      </c>
      <c r="CM538" t="s">
        <v>2968</v>
      </c>
    </row>
    <row r="539" spans="1:91" ht="19" customHeight="1">
      <c r="A539" s="1" t="s">
        <v>4209</v>
      </c>
      <c r="B539" s="1" t="s">
        <v>3597</v>
      </c>
      <c r="C539" s="1">
        <v>296</v>
      </c>
      <c r="D539" s="1" t="s">
        <v>1202</v>
      </c>
      <c r="E539" s="1">
        <v>2016</v>
      </c>
      <c r="F539" s="1" t="s">
        <v>1160</v>
      </c>
      <c r="G539" s="1" t="s">
        <v>1833</v>
      </c>
      <c r="H539" s="4">
        <v>23.26867</v>
      </c>
      <c r="I539" s="4">
        <v>120.27679999999999</v>
      </c>
      <c r="J539" s="1" t="s">
        <v>1404</v>
      </c>
      <c r="K539" s="1" t="s">
        <v>70</v>
      </c>
      <c r="L539" s="1" t="s">
        <v>4210</v>
      </c>
      <c r="M539" s="1" t="s">
        <v>3598</v>
      </c>
      <c r="N539" s="1"/>
      <c r="O539" s="1" t="s">
        <v>3095</v>
      </c>
      <c r="P539" s="1"/>
      <c r="Q539" s="4">
        <v>6.4</v>
      </c>
      <c r="R539" s="4"/>
      <c r="S539" s="4"/>
      <c r="T539" s="4"/>
      <c r="U539" s="4"/>
      <c r="V539" s="4">
        <v>32.389749999999999</v>
      </c>
      <c r="W539" s="4"/>
      <c r="X539" s="4"/>
      <c r="Y539" s="4"/>
      <c r="Z539" s="4"/>
      <c r="AA539" s="4"/>
      <c r="AB539" s="4" t="s">
        <v>1032</v>
      </c>
      <c r="AC539" s="4"/>
      <c r="AD539" s="4">
        <v>22.922000000000001</v>
      </c>
      <c r="AE539" s="4">
        <v>120.544</v>
      </c>
      <c r="AF539" s="4">
        <v>14.6</v>
      </c>
      <c r="AG539" s="4">
        <v>221.4512</v>
      </c>
      <c r="AH539" s="27" t="b">
        <v>1</v>
      </c>
      <c r="AI539" s="4">
        <v>1.7849999999999999</v>
      </c>
      <c r="AJ539" s="27" t="b">
        <v>0</v>
      </c>
      <c r="AK539" s="4"/>
      <c r="AL539" s="27" t="b">
        <v>0</v>
      </c>
      <c r="AM539" s="4">
        <v>139.28700000000001</v>
      </c>
      <c r="AN539" s="4">
        <v>173.96299999999999</v>
      </c>
      <c r="AO539" s="4">
        <v>33.506999999999998</v>
      </c>
      <c r="AP539" s="4">
        <v>20.721299999999999</v>
      </c>
      <c r="AQ539" s="4">
        <v>29.1173</v>
      </c>
      <c r="AR539" s="4">
        <v>3.20533</v>
      </c>
      <c r="AS539" s="4">
        <v>4.0391899999999996</v>
      </c>
      <c r="AT539" s="4">
        <v>6.6281800000000004</v>
      </c>
      <c r="AU539" s="4">
        <v>1.2370300000000001</v>
      </c>
      <c r="AV539" s="4">
        <v>-0.121613</v>
      </c>
      <c r="AW539" s="4">
        <v>-0.190972</v>
      </c>
      <c r="AX539" s="4">
        <v>6.7247000000000001E-2</v>
      </c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1" t="s">
        <v>3599</v>
      </c>
      <c r="BJ539" s="1" t="s">
        <v>4211</v>
      </c>
      <c r="BK539" s="1">
        <v>1</v>
      </c>
      <c r="BL539" s="1"/>
      <c r="BM539" s="1" t="s">
        <v>672</v>
      </c>
      <c r="BN539" s="1" t="s">
        <v>2966</v>
      </c>
      <c r="BO539" s="1" t="s">
        <v>2967</v>
      </c>
      <c r="BP539" s="1">
        <v>6.4</v>
      </c>
      <c r="BQ539" s="1" t="s">
        <v>1003</v>
      </c>
      <c r="BR539" s="1">
        <v>22.922000000000001</v>
      </c>
      <c r="BS539" s="1">
        <v>120.544</v>
      </c>
      <c r="BT539" s="1">
        <v>14.6</v>
      </c>
      <c r="BU539" s="1" t="s">
        <v>1032</v>
      </c>
      <c r="BV539" s="1" t="s">
        <v>2922</v>
      </c>
      <c r="BW539" s="1">
        <v>295</v>
      </c>
      <c r="BX539" s="1">
        <v>22</v>
      </c>
      <c r="BY539" s="1">
        <v>20</v>
      </c>
      <c r="BZ539" s="1"/>
      <c r="CA539" s="1"/>
      <c r="CB539" s="1"/>
      <c r="CC539" s="1" t="s">
        <v>2808</v>
      </c>
      <c r="CD539" s="1" t="s">
        <v>731</v>
      </c>
      <c r="CE539" s="1"/>
      <c r="CF539" s="1"/>
      <c r="CG539" s="1"/>
      <c r="CH539" s="1"/>
      <c r="CI539" s="1"/>
      <c r="CJ539" s="1" t="s">
        <v>2812</v>
      </c>
      <c r="CK539" t="s">
        <v>1263</v>
      </c>
      <c r="CL539">
        <v>296</v>
      </c>
      <c r="CM539" t="s">
        <v>2968</v>
      </c>
    </row>
    <row r="540" spans="1:91" ht="19" customHeight="1">
      <c r="A540" s="1" t="s">
        <v>4212</v>
      </c>
      <c r="B540" s="1" t="s">
        <v>3597</v>
      </c>
      <c r="C540" s="1">
        <v>297</v>
      </c>
      <c r="D540" s="1" t="s">
        <v>1202</v>
      </c>
      <c r="E540" s="1">
        <v>2016</v>
      </c>
      <c r="F540" s="1" t="s">
        <v>1161</v>
      </c>
      <c r="G540" s="1" t="s">
        <v>1835</v>
      </c>
      <c r="H540" s="4">
        <v>23.2622</v>
      </c>
      <c r="I540" s="4">
        <v>120.1392</v>
      </c>
      <c r="J540" s="1" t="s">
        <v>1404</v>
      </c>
      <c r="K540" s="1" t="s">
        <v>70</v>
      </c>
      <c r="L540" s="1" t="s">
        <v>1837</v>
      </c>
      <c r="M540" s="1" t="s">
        <v>3598</v>
      </c>
      <c r="N540" s="1"/>
      <c r="O540" s="1" t="s">
        <v>3095</v>
      </c>
      <c r="P540" s="1"/>
      <c r="Q540" s="4">
        <v>6.4</v>
      </c>
      <c r="R540" s="4"/>
      <c r="S540" s="4"/>
      <c r="T540" s="4"/>
      <c r="U540" s="4"/>
      <c r="V540" s="4">
        <v>45.304400000000001</v>
      </c>
      <c r="W540" s="4"/>
      <c r="X540" s="4"/>
      <c r="Y540" s="4"/>
      <c r="Z540" s="4"/>
      <c r="AA540" s="4"/>
      <c r="AB540" s="4" t="s">
        <v>1032</v>
      </c>
      <c r="AC540" s="4"/>
      <c r="AD540" s="4">
        <v>22.922000000000001</v>
      </c>
      <c r="AE540" s="4">
        <v>120.544</v>
      </c>
      <c r="AF540" s="4">
        <v>14.6</v>
      </c>
      <c r="AG540" s="4">
        <v>189</v>
      </c>
      <c r="AH540" s="27" t="b">
        <v>1</v>
      </c>
      <c r="AI540" s="4">
        <v>1.764</v>
      </c>
      <c r="AJ540" s="27" t="b">
        <v>0</v>
      </c>
      <c r="AK540" s="4"/>
      <c r="AL540" s="27" t="b">
        <v>0</v>
      </c>
      <c r="AM540" s="4">
        <v>150.06997699999999</v>
      </c>
      <c r="AN540" s="4">
        <v>164.47866400000001</v>
      </c>
      <c r="AO540" s="4">
        <v>34.573242999999998</v>
      </c>
      <c r="AP540" s="4">
        <v>29.583195</v>
      </c>
      <c r="AQ540" s="4">
        <v>21.905684999999998</v>
      </c>
      <c r="AR540" s="4">
        <v>3.95458</v>
      </c>
      <c r="AS540" s="4">
        <v>8.3229830000000007</v>
      </c>
      <c r="AT540" s="4">
        <v>7.6687859999999999</v>
      </c>
      <c r="AU540" s="4">
        <v>0.99465000000000003</v>
      </c>
      <c r="AV540" s="4">
        <v>3.6049999999999999E-2</v>
      </c>
      <c r="AW540" s="4">
        <v>7.2672E-2</v>
      </c>
      <c r="AX540" s="4">
        <v>-1.9782000000000001E-2</v>
      </c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1" t="s">
        <v>3599</v>
      </c>
      <c r="BJ540" s="1" t="s">
        <v>4213</v>
      </c>
      <c r="BK540" s="1">
        <v>1</v>
      </c>
      <c r="BL540" s="1"/>
      <c r="BM540" s="1" t="s">
        <v>672</v>
      </c>
      <c r="BN540" s="1" t="s">
        <v>2966</v>
      </c>
      <c r="BO540" s="1" t="s">
        <v>2967</v>
      </c>
      <c r="BP540" s="1">
        <v>6.4</v>
      </c>
      <c r="BQ540" s="1" t="s">
        <v>1003</v>
      </c>
      <c r="BR540" s="1">
        <v>22.922000000000001</v>
      </c>
      <c r="BS540" s="1">
        <v>120.544</v>
      </c>
      <c r="BT540" s="1">
        <v>14.6</v>
      </c>
      <c r="BU540" s="1" t="s">
        <v>1032</v>
      </c>
      <c r="BV540" s="1" t="s">
        <v>2922</v>
      </c>
      <c r="BW540" s="1">
        <v>295</v>
      </c>
      <c r="BX540" s="1">
        <v>22</v>
      </c>
      <c r="BY540" s="1">
        <v>20</v>
      </c>
      <c r="BZ540" s="1"/>
      <c r="CA540" s="1"/>
      <c r="CB540" s="1"/>
      <c r="CC540" s="1" t="s">
        <v>2808</v>
      </c>
      <c r="CD540" s="1" t="s">
        <v>731</v>
      </c>
      <c r="CE540" s="1"/>
      <c r="CF540" s="1"/>
      <c r="CG540" s="1"/>
      <c r="CH540" s="1"/>
      <c r="CI540" s="1"/>
      <c r="CJ540" s="1" t="s">
        <v>2812</v>
      </c>
      <c r="CK540" t="s">
        <v>1263</v>
      </c>
      <c r="CL540">
        <v>297</v>
      </c>
      <c r="CM540" t="s">
        <v>2968</v>
      </c>
    </row>
    <row r="541" spans="1:91" ht="19" customHeight="1">
      <c r="A541" s="1" t="s">
        <v>4214</v>
      </c>
      <c r="B541" s="1" t="s">
        <v>3597</v>
      </c>
      <c r="C541" s="1">
        <v>298</v>
      </c>
      <c r="D541" s="1" t="s">
        <v>1202</v>
      </c>
      <c r="E541" s="1">
        <v>2016</v>
      </c>
      <c r="F541" s="1" t="s">
        <v>1162</v>
      </c>
      <c r="G541" s="1" t="s">
        <v>1838</v>
      </c>
      <c r="H541" s="4">
        <v>23.171330000000001</v>
      </c>
      <c r="I541" s="4">
        <v>120.3272</v>
      </c>
      <c r="J541" s="1" t="s">
        <v>1404</v>
      </c>
      <c r="K541" s="1" t="s">
        <v>70</v>
      </c>
      <c r="L541" s="1" t="s">
        <v>1839</v>
      </c>
      <c r="M541" s="1" t="s">
        <v>3598</v>
      </c>
      <c r="N541" s="1"/>
      <c r="O541" s="1" t="s">
        <v>3095</v>
      </c>
      <c r="P541" s="1"/>
      <c r="Q541" s="4">
        <v>6.4</v>
      </c>
      <c r="R541" s="4"/>
      <c r="S541" s="4"/>
      <c r="T541" s="4"/>
      <c r="U541" s="4"/>
      <c r="V541" s="4">
        <v>24.43253</v>
      </c>
      <c r="W541" s="4"/>
      <c r="X541" s="4"/>
      <c r="Y541" s="4"/>
      <c r="Z541" s="4"/>
      <c r="AA541" s="4"/>
      <c r="AB541" s="4" t="s">
        <v>1032</v>
      </c>
      <c r="AC541" s="4"/>
      <c r="AD541" s="4">
        <v>22.922000000000001</v>
      </c>
      <c r="AE541" s="4">
        <v>120.544</v>
      </c>
      <c r="AF541" s="4">
        <v>14.6</v>
      </c>
      <c r="AG541" s="4">
        <v>271.12520000000001</v>
      </c>
      <c r="AH541" s="27" t="b">
        <v>1</v>
      </c>
      <c r="AI541" s="4">
        <v>2.1280000000000001</v>
      </c>
      <c r="AJ541" s="27" t="b">
        <v>0</v>
      </c>
      <c r="AK541" s="4"/>
      <c r="AL541" s="27" t="b">
        <v>1</v>
      </c>
      <c r="AM541" s="4">
        <v>233.27799999999999</v>
      </c>
      <c r="AN541" s="4">
        <v>248.93899999999999</v>
      </c>
      <c r="AO541" s="4">
        <v>66.976100000000002</v>
      </c>
      <c r="AP541" s="4">
        <v>27.895299999999999</v>
      </c>
      <c r="AQ541" s="4">
        <v>50.818300000000001</v>
      </c>
      <c r="AR541" s="4">
        <v>7.4531400000000003</v>
      </c>
      <c r="AS541" s="4">
        <v>9.1689399999999992</v>
      </c>
      <c r="AT541" s="4">
        <v>14.620100000000001</v>
      </c>
      <c r="AU541" s="4">
        <v>3.38367</v>
      </c>
      <c r="AV541" s="4">
        <v>1.32551</v>
      </c>
      <c r="AW541" s="4">
        <v>-0.53958799999999996</v>
      </c>
      <c r="AX541" s="4">
        <v>2.1369099999999999</v>
      </c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1" t="s">
        <v>3599</v>
      </c>
      <c r="BJ541" s="1" t="s">
        <v>4215</v>
      </c>
      <c r="BK541" s="1">
        <v>1</v>
      </c>
      <c r="BL541" s="1"/>
      <c r="BM541" s="1" t="s">
        <v>672</v>
      </c>
      <c r="BN541" s="1" t="s">
        <v>2966</v>
      </c>
      <c r="BO541" s="1" t="s">
        <v>2967</v>
      </c>
      <c r="BP541" s="1">
        <v>6.4</v>
      </c>
      <c r="BQ541" s="1" t="s">
        <v>1003</v>
      </c>
      <c r="BR541" s="1">
        <v>22.922000000000001</v>
      </c>
      <c r="BS541" s="1">
        <v>120.544</v>
      </c>
      <c r="BT541" s="1">
        <v>14.6</v>
      </c>
      <c r="BU541" s="1" t="s">
        <v>1032</v>
      </c>
      <c r="BV541" s="1" t="s">
        <v>2922</v>
      </c>
      <c r="BW541" s="1">
        <v>295</v>
      </c>
      <c r="BX541" s="1">
        <v>22</v>
      </c>
      <c r="BY541" s="1">
        <v>20</v>
      </c>
      <c r="BZ541" s="1"/>
      <c r="CA541" s="1"/>
      <c r="CB541" s="1"/>
      <c r="CC541" s="1" t="s">
        <v>2808</v>
      </c>
      <c r="CD541" s="1" t="s">
        <v>731</v>
      </c>
      <c r="CE541" s="1"/>
      <c r="CF541" s="1"/>
      <c r="CG541" s="1"/>
      <c r="CH541" s="1"/>
      <c r="CI541" s="1"/>
      <c r="CJ541" s="1" t="s">
        <v>2812</v>
      </c>
      <c r="CK541" t="s">
        <v>1263</v>
      </c>
      <c r="CL541">
        <v>298</v>
      </c>
      <c r="CM541" t="s">
        <v>2968</v>
      </c>
    </row>
    <row r="542" spans="1:91" ht="19" customHeight="1">
      <c r="A542" s="1" t="s">
        <v>4216</v>
      </c>
      <c r="B542" s="1" t="s">
        <v>3597</v>
      </c>
      <c r="C542" s="1">
        <v>299</v>
      </c>
      <c r="D542" s="1" t="s">
        <v>1202</v>
      </c>
      <c r="E542" s="1">
        <v>2016</v>
      </c>
      <c r="F542" s="1" t="s">
        <v>1208</v>
      </c>
      <c r="G542" s="1" t="s">
        <v>1843</v>
      </c>
      <c r="H542" s="4">
        <v>23.1235</v>
      </c>
      <c r="I542" s="4">
        <v>120.2458</v>
      </c>
      <c r="J542" s="1" t="s">
        <v>1404</v>
      </c>
      <c r="K542" s="1" t="s">
        <v>70</v>
      </c>
      <c r="L542" s="1" t="s">
        <v>1844</v>
      </c>
      <c r="M542" s="1" t="s">
        <v>3598</v>
      </c>
      <c r="N542" s="1"/>
      <c r="O542" s="1" t="s">
        <v>3095</v>
      </c>
      <c r="P542" s="1"/>
      <c r="Q542" s="4">
        <v>6.4</v>
      </c>
      <c r="R542" s="4"/>
      <c r="S542" s="4"/>
      <c r="T542" s="4"/>
      <c r="U542" s="4"/>
      <c r="V542" s="4">
        <v>25.69933</v>
      </c>
      <c r="W542" s="4"/>
      <c r="X542" s="4"/>
      <c r="Y542" s="4"/>
      <c r="Z542" s="4"/>
      <c r="AA542" s="4"/>
      <c r="AB542" s="4" t="s">
        <v>1032</v>
      </c>
      <c r="AC542" s="4"/>
      <c r="AD542" s="4">
        <v>22.922000000000001</v>
      </c>
      <c r="AE542" s="4">
        <v>120.544</v>
      </c>
      <c r="AF542" s="4">
        <v>14.6</v>
      </c>
      <c r="AG542" s="4">
        <v>223.9238</v>
      </c>
      <c r="AH542" s="27" t="b">
        <v>1</v>
      </c>
      <c r="AI542" s="4">
        <v>1.778</v>
      </c>
      <c r="AJ542" s="27" t="b">
        <v>0</v>
      </c>
      <c r="AK542" s="4"/>
      <c r="AL542" s="27" t="b">
        <v>1</v>
      </c>
      <c r="AM542" s="4">
        <v>236.625</v>
      </c>
      <c r="AN542" s="4">
        <v>168.566</v>
      </c>
      <c r="AO542" s="4">
        <v>77.645899999999997</v>
      </c>
      <c r="AP542" s="4">
        <v>52.014899999999997</v>
      </c>
      <c r="AQ542" s="4">
        <v>33.752600000000001</v>
      </c>
      <c r="AR542" s="4">
        <v>6.69679</v>
      </c>
      <c r="AS542" s="4">
        <v>15.2979</v>
      </c>
      <c r="AT542" s="4">
        <v>13.5749</v>
      </c>
      <c r="AU542" s="4">
        <v>6.3145600000000002</v>
      </c>
      <c r="AV542" s="4">
        <v>-1.17045</v>
      </c>
      <c r="AW542" s="4">
        <v>1.67317</v>
      </c>
      <c r="AX542" s="4">
        <v>-3.7749600000000001</v>
      </c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1" t="s">
        <v>3599</v>
      </c>
      <c r="BJ542" s="1" t="s">
        <v>4217</v>
      </c>
      <c r="BK542" s="1">
        <v>1</v>
      </c>
      <c r="BL542" s="1"/>
      <c r="BM542" s="1" t="s">
        <v>672</v>
      </c>
      <c r="BN542" s="1" t="s">
        <v>2966</v>
      </c>
      <c r="BO542" s="1" t="s">
        <v>2967</v>
      </c>
      <c r="BP542" s="1">
        <v>6.4</v>
      </c>
      <c r="BQ542" s="1" t="s">
        <v>1003</v>
      </c>
      <c r="BR542" s="1">
        <v>22.922000000000001</v>
      </c>
      <c r="BS542" s="1">
        <v>120.544</v>
      </c>
      <c r="BT542" s="1">
        <v>14.6</v>
      </c>
      <c r="BU542" s="1" t="s">
        <v>1032</v>
      </c>
      <c r="BV542" s="1" t="s">
        <v>2922</v>
      </c>
      <c r="BW542" s="1">
        <v>295</v>
      </c>
      <c r="BX542" s="1">
        <v>22</v>
      </c>
      <c r="BY542" s="1">
        <v>20</v>
      </c>
      <c r="BZ542" s="1"/>
      <c r="CA542" s="1"/>
      <c r="CB542" s="1"/>
      <c r="CC542" s="1" t="s">
        <v>2808</v>
      </c>
      <c r="CD542" s="1" t="s">
        <v>731</v>
      </c>
      <c r="CE542" s="1"/>
      <c r="CF542" s="1"/>
      <c r="CG542" s="1"/>
      <c r="CH542" s="1"/>
      <c r="CI542" s="1"/>
      <c r="CJ542" s="1" t="s">
        <v>2812</v>
      </c>
      <c r="CK542" t="s">
        <v>1263</v>
      </c>
      <c r="CL542">
        <v>299</v>
      </c>
      <c r="CM542" t="s">
        <v>2968</v>
      </c>
    </row>
    <row r="543" spans="1:91" ht="19" customHeight="1">
      <c r="A543" s="1" t="s">
        <v>4218</v>
      </c>
      <c r="B543" s="1" t="s">
        <v>3597</v>
      </c>
      <c r="C543" s="1">
        <v>300</v>
      </c>
      <c r="D543" s="1" t="s">
        <v>1202</v>
      </c>
      <c r="E543" s="1">
        <v>2016</v>
      </c>
      <c r="F543" s="1" t="s">
        <v>1209</v>
      </c>
      <c r="G543" s="1" t="s">
        <v>1845</v>
      </c>
      <c r="H543" s="4">
        <v>23.121500000000001</v>
      </c>
      <c r="I543" s="4">
        <v>120.459</v>
      </c>
      <c r="J543" s="1" t="s">
        <v>1404</v>
      </c>
      <c r="K543" s="1" t="s">
        <v>70</v>
      </c>
      <c r="L543" s="1" t="s">
        <v>1846</v>
      </c>
      <c r="M543" s="1" t="s">
        <v>3598</v>
      </c>
      <c r="N543" s="1"/>
      <c r="O543" s="1" t="s">
        <v>3095</v>
      </c>
      <c r="P543" s="1"/>
      <c r="Q543" s="4">
        <v>6.4</v>
      </c>
      <c r="R543" s="4"/>
      <c r="S543" s="4"/>
      <c r="T543" s="4"/>
      <c r="U543" s="4"/>
      <c r="V543" s="4">
        <v>21.519100000000002</v>
      </c>
      <c r="W543" s="4"/>
      <c r="X543" s="4"/>
      <c r="Y543" s="4"/>
      <c r="Z543" s="4"/>
      <c r="AA543" s="4"/>
      <c r="AB543" s="4" t="s">
        <v>1032</v>
      </c>
      <c r="AC543" s="4"/>
      <c r="AD543" s="4">
        <v>22.922000000000001</v>
      </c>
      <c r="AE543" s="4">
        <v>120.544</v>
      </c>
      <c r="AF543" s="4">
        <v>14.6</v>
      </c>
      <c r="AG543" s="4">
        <v>597.84770000000003</v>
      </c>
      <c r="AH543" s="27" t="b">
        <v>1</v>
      </c>
      <c r="AI543" s="4">
        <v>0.89600000000000002</v>
      </c>
      <c r="AJ543" s="27" t="b">
        <v>0</v>
      </c>
      <c r="AK543" s="4"/>
      <c r="AL543" s="27" t="b">
        <v>1</v>
      </c>
      <c r="AM543" s="4">
        <v>422.66899999999998</v>
      </c>
      <c r="AN543" s="4">
        <v>441.755</v>
      </c>
      <c r="AO543" s="4">
        <v>131.566</v>
      </c>
      <c r="AP543" s="4">
        <v>38.736699999999999</v>
      </c>
      <c r="AQ543" s="4">
        <v>20.1737</v>
      </c>
      <c r="AR543" s="4">
        <v>10.569800000000001</v>
      </c>
      <c r="AS543" s="4">
        <v>9.0382800000000003</v>
      </c>
      <c r="AT543" s="4">
        <v>6.3095400000000001</v>
      </c>
      <c r="AU543" s="4">
        <v>4.4434300000000002</v>
      </c>
      <c r="AV543" s="4">
        <v>4.3668999999999999E-2</v>
      </c>
      <c r="AW543" s="4">
        <v>0.344862</v>
      </c>
      <c r="AX543" s="4">
        <v>0.89061699999999999</v>
      </c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1" t="s">
        <v>3599</v>
      </c>
      <c r="BJ543" s="1" t="s">
        <v>4219</v>
      </c>
      <c r="BK543" s="1">
        <v>1</v>
      </c>
      <c r="BL543" s="1"/>
      <c r="BM543" s="1" t="s">
        <v>672</v>
      </c>
      <c r="BN543" s="1" t="s">
        <v>2966</v>
      </c>
      <c r="BO543" s="1" t="s">
        <v>2967</v>
      </c>
      <c r="BP543" s="1">
        <v>6.4</v>
      </c>
      <c r="BQ543" s="1" t="s">
        <v>1003</v>
      </c>
      <c r="BR543" s="1">
        <v>22.922000000000001</v>
      </c>
      <c r="BS543" s="1">
        <v>120.544</v>
      </c>
      <c r="BT543" s="1">
        <v>14.6</v>
      </c>
      <c r="BU543" s="1" t="s">
        <v>1032</v>
      </c>
      <c r="BV543" s="1" t="s">
        <v>2922</v>
      </c>
      <c r="BW543" s="1">
        <v>295</v>
      </c>
      <c r="BX543" s="1">
        <v>22</v>
      </c>
      <c r="BY543" s="1">
        <v>20</v>
      </c>
      <c r="BZ543" s="1"/>
      <c r="CA543" s="1"/>
      <c r="CB543" s="1"/>
      <c r="CC543" s="1" t="s">
        <v>2808</v>
      </c>
      <c r="CD543" s="1" t="s">
        <v>731</v>
      </c>
      <c r="CE543" s="1"/>
      <c r="CF543" s="1"/>
      <c r="CG543" s="1"/>
      <c r="CH543" s="1"/>
      <c r="CI543" s="1"/>
      <c r="CJ543" s="1" t="s">
        <v>2812</v>
      </c>
      <c r="CK543" t="s">
        <v>1263</v>
      </c>
      <c r="CL543">
        <v>300</v>
      </c>
      <c r="CM543" t="s">
        <v>2968</v>
      </c>
    </row>
    <row r="544" spans="1:91" ht="19" customHeight="1">
      <c r="A544" s="1" t="s">
        <v>4220</v>
      </c>
      <c r="B544" s="1" t="s">
        <v>3597</v>
      </c>
      <c r="C544" s="1">
        <v>301</v>
      </c>
      <c r="D544" s="1" t="s">
        <v>1202</v>
      </c>
      <c r="E544" s="1">
        <v>2016</v>
      </c>
      <c r="F544" s="1" t="s">
        <v>1164</v>
      </c>
      <c r="G544" s="1" t="s">
        <v>1847</v>
      </c>
      <c r="H544" s="4">
        <v>23.025829999999999</v>
      </c>
      <c r="I544" s="4">
        <v>120.34950000000001</v>
      </c>
      <c r="J544" s="1" t="s">
        <v>1404</v>
      </c>
      <c r="K544" s="1" t="s">
        <v>70</v>
      </c>
      <c r="L544" s="1" t="s">
        <v>1848</v>
      </c>
      <c r="M544" s="1" t="s">
        <v>3598</v>
      </c>
      <c r="N544" s="1"/>
      <c r="O544" s="1" t="s">
        <v>3095</v>
      </c>
      <c r="P544" s="1"/>
      <c r="Q544" s="4">
        <v>6.4</v>
      </c>
      <c r="R544" s="4"/>
      <c r="S544" s="4"/>
      <c r="T544" s="4"/>
      <c r="U544" s="4"/>
      <c r="V544" s="4">
        <v>16.82912</v>
      </c>
      <c r="W544" s="4"/>
      <c r="X544" s="4"/>
      <c r="Y544" s="4"/>
      <c r="Z544" s="4"/>
      <c r="AA544" s="4"/>
      <c r="AB544" s="4" t="s">
        <v>1032</v>
      </c>
      <c r="AC544" s="4"/>
      <c r="AD544" s="4">
        <v>22.922000000000001</v>
      </c>
      <c r="AE544" s="4">
        <v>120.544</v>
      </c>
      <c r="AF544" s="4">
        <v>14.6</v>
      </c>
      <c r="AG544" s="4">
        <v>287.65940000000001</v>
      </c>
      <c r="AH544" s="27" t="b">
        <v>1</v>
      </c>
      <c r="AI544" s="4">
        <v>1.4350000000000001</v>
      </c>
      <c r="AJ544" s="27" t="b">
        <v>0</v>
      </c>
      <c r="AK544" s="4"/>
      <c r="AL544" s="27" t="b">
        <v>1</v>
      </c>
      <c r="AM544" s="4">
        <v>416.78699999999998</v>
      </c>
      <c r="AN544" s="4">
        <v>238.137</v>
      </c>
      <c r="AO544" s="4">
        <v>161.506</v>
      </c>
      <c r="AP544" s="4">
        <v>69.727800000000002</v>
      </c>
      <c r="AQ544" s="4">
        <v>45.014400000000002</v>
      </c>
      <c r="AR544" s="4">
        <v>14.9999</v>
      </c>
      <c r="AS544" s="4">
        <v>17.8111</v>
      </c>
      <c r="AT544" s="4">
        <v>16.355</v>
      </c>
      <c r="AU544" s="4">
        <v>12.914</v>
      </c>
      <c r="AV544" s="4">
        <v>-4.4727300000000003</v>
      </c>
      <c r="AW544" s="4">
        <v>0.97865400000000002</v>
      </c>
      <c r="AX544" s="4">
        <v>6.3159999999999998</v>
      </c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1" t="s">
        <v>3599</v>
      </c>
      <c r="BJ544" s="1" t="s">
        <v>4221</v>
      </c>
      <c r="BK544" s="1">
        <v>1</v>
      </c>
      <c r="BL544" s="1"/>
      <c r="BM544" s="1" t="s">
        <v>672</v>
      </c>
      <c r="BN544" s="1" t="s">
        <v>2966</v>
      </c>
      <c r="BO544" s="1" t="s">
        <v>2967</v>
      </c>
      <c r="BP544" s="1">
        <v>6.4</v>
      </c>
      <c r="BQ544" s="1" t="s">
        <v>1003</v>
      </c>
      <c r="BR544" s="1">
        <v>22.922000000000001</v>
      </c>
      <c r="BS544" s="1">
        <v>120.544</v>
      </c>
      <c r="BT544" s="1">
        <v>14.6</v>
      </c>
      <c r="BU544" s="1" t="s">
        <v>1032</v>
      </c>
      <c r="BV544" s="1" t="s">
        <v>2922</v>
      </c>
      <c r="BW544" s="1">
        <v>295</v>
      </c>
      <c r="BX544" s="1">
        <v>22</v>
      </c>
      <c r="BY544" s="1">
        <v>20</v>
      </c>
      <c r="BZ544" s="1"/>
      <c r="CA544" s="1"/>
      <c r="CB544" s="1"/>
      <c r="CC544" s="1" t="s">
        <v>2808</v>
      </c>
      <c r="CD544" s="1" t="s">
        <v>731</v>
      </c>
      <c r="CE544" s="1"/>
      <c r="CF544" s="1"/>
      <c r="CG544" s="1"/>
      <c r="CH544" s="1"/>
      <c r="CI544" s="1"/>
      <c r="CJ544" s="1" t="s">
        <v>2812</v>
      </c>
      <c r="CK544" t="s">
        <v>1263</v>
      </c>
      <c r="CL544">
        <v>301</v>
      </c>
      <c r="CM544" t="s">
        <v>2968</v>
      </c>
    </row>
    <row r="545" spans="1:91" ht="19" customHeight="1">
      <c r="A545" s="1" t="s">
        <v>4222</v>
      </c>
      <c r="B545" s="1" t="s">
        <v>3597</v>
      </c>
      <c r="C545" s="1">
        <v>302</v>
      </c>
      <c r="D545" s="1" t="s">
        <v>1202</v>
      </c>
      <c r="E545" s="1">
        <v>2016</v>
      </c>
      <c r="F545" s="1" t="s">
        <v>1210</v>
      </c>
      <c r="G545" s="1" t="s">
        <v>1850</v>
      </c>
      <c r="H545" s="4">
        <v>22.904299999999999</v>
      </c>
      <c r="I545" s="4">
        <v>120.35169999999999</v>
      </c>
      <c r="J545" s="1" t="s">
        <v>1404</v>
      </c>
      <c r="K545" s="1" t="s">
        <v>70</v>
      </c>
      <c r="L545" s="1" t="s">
        <v>1851</v>
      </c>
      <c r="M545" s="1" t="s">
        <v>3598</v>
      </c>
      <c r="N545" s="1"/>
      <c r="O545" s="1" t="s">
        <v>3095</v>
      </c>
      <c r="P545" s="1"/>
      <c r="Q545" s="4">
        <v>6.4</v>
      </c>
      <c r="R545" s="4"/>
      <c r="S545" s="4"/>
      <c r="T545" s="4"/>
      <c r="U545" s="4"/>
      <c r="V545" s="4">
        <v>14.825100000000001</v>
      </c>
      <c r="W545" s="4"/>
      <c r="X545" s="4"/>
      <c r="Y545" s="4"/>
      <c r="Z545" s="4"/>
      <c r="AA545" s="4"/>
      <c r="AB545" s="4" t="s">
        <v>1032</v>
      </c>
      <c r="AC545" s="4"/>
      <c r="AD545" s="4">
        <v>22.922000000000001</v>
      </c>
      <c r="AE545" s="4">
        <v>120.544</v>
      </c>
      <c r="AF545" s="4">
        <v>14.6</v>
      </c>
      <c r="AG545" s="4">
        <v>222.69</v>
      </c>
      <c r="AH545" s="27" t="b">
        <v>1</v>
      </c>
      <c r="AI545" s="4">
        <v>1.645</v>
      </c>
      <c r="AJ545" s="27" t="b">
        <v>0</v>
      </c>
      <c r="AK545" s="4"/>
      <c r="AL545" s="27" t="b">
        <v>0</v>
      </c>
      <c r="AM545" s="4">
        <v>155.740757</v>
      </c>
      <c r="AN545" s="4">
        <v>177.70814999999999</v>
      </c>
      <c r="AO545" s="4">
        <v>128.681173</v>
      </c>
      <c r="AP545" s="4">
        <v>27.393174999999999</v>
      </c>
      <c r="AQ545" s="4">
        <v>32.779915000000003</v>
      </c>
      <c r="AR545" s="4">
        <v>7.1084050000000003</v>
      </c>
      <c r="AS545" s="4">
        <v>6.5651999999999999</v>
      </c>
      <c r="AT545" s="4">
        <v>8.534796</v>
      </c>
      <c r="AU545" s="4">
        <v>3.836004</v>
      </c>
      <c r="AV545" s="4">
        <v>2.8730000000000001E-3</v>
      </c>
      <c r="AW545" s="4">
        <v>1.732E-3</v>
      </c>
      <c r="AX545" s="4">
        <v>-1.0003E-2</v>
      </c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1" t="s">
        <v>3599</v>
      </c>
      <c r="BJ545" s="1" t="s">
        <v>4223</v>
      </c>
      <c r="BK545" s="1">
        <v>1</v>
      </c>
      <c r="BL545" s="1"/>
      <c r="BM545" s="1" t="s">
        <v>672</v>
      </c>
      <c r="BN545" s="1" t="s">
        <v>2966</v>
      </c>
      <c r="BO545" s="1" t="s">
        <v>2967</v>
      </c>
      <c r="BP545" s="1">
        <v>6.4</v>
      </c>
      <c r="BQ545" s="1" t="s">
        <v>1003</v>
      </c>
      <c r="BR545" s="1">
        <v>22.922000000000001</v>
      </c>
      <c r="BS545" s="1">
        <v>120.544</v>
      </c>
      <c r="BT545" s="1">
        <v>14.6</v>
      </c>
      <c r="BU545" s="1" t="s">
        <v>1032</v>
      </c>
      <c r="BV545" s="1" t="s">
        <v>2922</v>
      </c>
      <c r="BW545" s="1">
        <v>295</v>
      </c>
      <c r="BX545" s="1">
        <v>22</v>
      </c>
      <c r="BY545" s="1">
        <v>20</v>
      </c>
      <c r="BZ545" s="1"/>
      <c r="CA545" s="1"/>
      <c r="CB545" s="1"/>
      <c r="CC545" s="1" t="s">
        <v>2808</v>
      </c>
      <c r="CD545" s="1" t="s">
        <v>731</v>
      </c>
      <c r="CE545" s="1"/>
      <c r="CF545" s="1"/>
      <c r="CG545" s="1"/>
      <c r="CH545" s="1"/>
      <c r="CI545" s="1"/>
      <c r="CJ545" s="1" t="s">
        <v>2812</v>
      </c>
      <c r="CK545" t="s">
        <v>1263</v>
      </c>
      <c r="CL545">
        <v>302</v>
      </c>
      <c r="CM545" t="s">
        <v>2968</v>
      </c>
    </row>
    <row r="546" spans="1:91" ht="19" customHeight="1">
      <c r="A546" s="1" t="s">
        <v>4224</v>
      </c>
      <c r="B546" s="1" t="s">
        <v>3597</v>
      </c>
      <c r="C546" s="1">
        <v>303</v>
      </c>
      <c r="D546" s="1" t="s">
        <v>1202</v>
      </c>
      <c r="E546" s="1">
        <v>2016</v>
      </c>
      <c r="F546" s="1" t="s">
        <v>1211</v>
      </c>
      <c r="G546" s="1" t="s">
        <v>1852</v>
      </c>
      <c r="H546" s="4">
        <v>22.997330000000002</v>
      </c>
      <c r="I546" s="4">
        <v>120.1923</v>
      </c>
      <c r="J546" s="1" t="s">
        <v>1404</v>
      </c>
      <c r="K546" s="1" t="s">
        <v>70</v>
      </c>
      <c r="L546" s="1" t="s">
        <v>1853</v>
      </c>
      <c r="M546" s="1" t="s">
        <v>3598</v>
      </c>
      <c r="N546" s="1"/>
      <c r="O546" s="1" t="s">
        <v>3095</v>
      </c>
      <c r="P546" s="1"/>
      <c r="Q546" s="4">
        <v>6.4</v>
      </c>
      <c r="R546" s="4"/>
      <c r="S546" s="4"/>
      <c r="T546" s="4"/>
      <c r="U546" s="4"/>
      <c r="V546" s="4">
        <v>23.507909999999999</v>
      </c>
      <c r="W546" s="4"/>
      <c r="X546" s="4"/>
      <c r="Y546" s="4"/>
      <c r="Z546" s="4"/>
      <c r="AA546" s="4"/>
      <c r="AB546" s="4" t="s">
        <v>1032</v>
      </c>
      <c r="AC546" s="4"/>
      <c r="AD546" s="4">
        <v>22.922000000000001</v>
      </c>
      <c r="AE546" s="4">
        <v>120.544</v>
      </c>
      <c r="AF546" s="4">
        <v>14.6</v>
      </c>
      <c r="AG546" s="4">
        <v>229.04259999999999</v>
      </c>
      <c r="AH546" s="27" t="b">
        <v>1</v>
      </c>
      <c r="AI546" s="4">
        <v>2.6110000000000002</v>
      </c>
      <c r="AJ546" s="27" t="b">
        <v>0</v>
      </c>
      <c r="AK546" s="4"/>
      <c r="AL546" s="27" t="b">
        <v>1</v>
      </c>
      <c r="AM546" s="4">
        <v>207.142</v>
      </c>
      <c r="AN546" s="4">
        <v>146.44800000000001</v>
      </c>
      <c r="AO546" s="4">
        <v>73.643100000000004</v>
      </c>
      <c r="AP546" s="4">
        <v>43.0672</v>
      </c>
      <c r="AQ546" s="4">
        <v>20.408200000000001</v>
      </c>
      <c r="AR546" s="4">
        <v>13.9442</v>
      </c>
      <c r="AS546" s="4">
        <v>14.1327</v>
      </c>
      <c r="AT546" s="4">
        <v>9.1495499999999996</v>
      </c>
      <c r="AU546" s="4">
        <v>7.3155200000000002</v>
      </c>
      <c r="AV546" s="4">
        <v>-2.9054899999999999</v>
      </c>
      <c r="AW546" s="4">
        <v>2.4221699999999999</v>
      </c>
      <c r="AX546" s="4">
        <v>1.7358899999999999</v>
      </c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1" t="s">
        <v>3599</v>
      </c>
      <c r="BJ546" s="1" t="s">
        <v>4225</v>
      </c>
      <c r="BK546" s="1">
        <v>1</v>
      </c>
      <c r="BL546" s="1"/>
      <c r="BM546" s="1" t="s">
        <v>672</v>
      </c>
      <c r="BN546" s="1" t="s">
        <v>2966</v>
      </c>
      <c r="BO546" s="1" t="s">
        <v>2967</v>
      </c>
      <c r="BP546" s="1">
        <v>6.4</v>
      </c>
      <c r="BQ546" s="1" t="s">
        <v>1003</v>
      </c>
      <c r="BR546" s="1">
        <v>22.922000000000001</v>
      </c>
      <c r="BS546" s="1">
        <v>120.544</v>
      </c>
      <c r="BT546" s="1">
        <v>14.6</v>
      </c>
      <c r="BU546" s="1" t="s">
        <v>1032</v>
      </c>
      <c r="BV546" s="1" t="s">
        <v>2922</v>
      </c>
      <c r="BW546" s="1">
        <v>295</v>
      </c>
      <c r="BX546" s="1">
        <v>22</v>
      </c>
      <c r="BY546" s="1">
        <v>20</v>
      </c>
      <c r="BZ546" s="1"/>
      <c r="CA546" s="1"/>
      <c r="CB546" s="1"/>
      <c r="CC546" s="1" t="s">
        <v>2808</v>
      </c>
      <c r="CD546" s="1" t="s">
        <v>731</v>
      </c>
      <c r="CE546" s="1"/>
      <c r="CF546" s="1"/>
      <c r="CG546" s="1"/>
      <c r="CH546" s="1"/>
      <c r="CI546" s="1"/>
      <c r="CJ546" s="1" t="s">
        <v>2812</v>
      </c>
      <c r="CK546" t="s">
        <v>1263</v>
      </c>
      <c r="CL546">
        <v>303</v>
      </c>
      <c r="CM546" t="s">
        <v>2968</v>
      </c>
    </row>
    <row r="547" spans="1:91" ht="19" customHeight="1">
      <c r="A547" s="1" t="s">
        <v>4226</v>
      </c>
      <c r="B547" s="1" t="s">
        <v>3597</v>
      </c>
      <c r="C547" s="1">
        <v>304</v>
      </c>
      <c r="D547" s="1" t="s">
        <v>1202</v>
      </c>
      <c r="E547" s="1">
        <v>2016</v>
      </c>
      <c r="F547" s="1" t="s">
        <v>1212</v>
      </c>
      <c r="G547" s="1" t="s">
        <v>1854</v>
      </c>
      <c r="H547" s="4">
        <v>22.986170000000001</v>
      </c>
      <c r="I547" s="4">
        <v>120.20950000000001</v>
      </c>
      <c r="J547" s="1" t="s">
        <v>1404</v>
      </c>
      <c r="K547" s="1" t="s">
        <v>70</v>
      </c>
      <c r="L547" s="1" t="s">
        <v>1855</v>
      </c>
      <c r="M547" s="1" t="s">
        <v>3598</v>
      </c>
      <c r="N547" s="1"/>
      <c r="O547" s="1" t="s">
        <v>3095</v>
      </c>
      <c r="P547" s="1"/>
      <c r="Q547" s="4">
        <v>6.4</v>
      </c>
      <c r="R547" s="4"/>
      <c r="S547" s="4"/>
      <c r="T547" s="4"/>
      <c r="U547" s="4"/>
      <c r="V547" s="4">
        <v>21.731729999999999</v>
      </c>
      <c r="W547" s="4"/>
      <c r="X547" s="4"/>
      <c r="Y547" s="4"/>
      <c r="Z547" s="4"/>
      <c r="AA547" s="4"/>
      <c r="AB547" s="4" t="s">
        <v>1032</v>
      </c>
      <c r="AC547" s="4"/>
      <c r="AD547" s="4">
        <v>22.922000000000001</v>
      </c>
      <c r="AE547" s="4">
        <v>120.544</v>
      </c>
      <c r="AF547" s="4">
        <v>14.6</v>
      </c>
      <c r="AG547" s="4">
        <v>196.04929999999999</v>
      </c>
      <c r="AH547" s="27" t="b">
        <v>1</v>
      </c>
      <c r="AI547" s="4">
        <v>1.498</v>
      </c>
      <c r="AJ547" s="27" t="b">
        <v>0</v>
      </c>
      <c r="AK547" s="4"/>
      <c r="AL547" s="27" t="b">
        <v>1</v>
      </c>
      <c r="AM547" s="4">
        <v>165.03700000000001</v>
      </c>
      <c r="AN547" s="4">
        <v>134.834</v>
      </c>
      <c r="AO547" s="4">
        <v>52.942300000000003</v>
      </c>
      <c r="AP547" s="4">
        <v>36.988599999999998</v>
      </c>
      <c r="AQ547" s="4">
        <v>24.400700000000001</v>
      </c>
      <c r="AR547" s="4">
        <v>8.8480699999999999</v>
      </c>
      <c r="AS547" s="4">
        <v>10.950799999999999</v>
      </c>
      <c r="AT547" s="4">
        <v>11.1381</v>
      </c>
      <c r="AU547" s="4">
        <v>4.9104299999999999</v>
      </c>
      <c r="AV547" s="4">
        <v>-3.50393</v>
      </c>
      <c r="AW547" s="4">
        <v>0.140296</v>
      </c>
      <c r="AX547" s="4">
        <v>-1.4366300000000001</v>
      </c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1" t="s">
        <v>3599</v>
      </c>
      <c r="BJ547" s="1" t="s">
        <v>4227</v>
      </c>
      <c r="BK547" s="1">
        <v>1</v>
      </c>
      <c r="BL547" s="1"/>
      <c r="BM547" s="1" t="s">
        <v>672</v>
      </c>
      <c r="BN547" s="1" t="s">
        <v>2966</v>
      </c>
      <c r="BO547" s="1" t="s">
        <v>2967</v>
      </c>
      <c r="BP547" s="1">
        <v>6.4</v>
      </c>
      <c r="BQ547" s="1" t="s">
        <v>1003</v>
      </c>
      <c r="BR547" s="1">
        <v>22.922000000000001</v>
      </c>
      <c r="BS547" s="1">
        <v>120.544</v>
      </c>
      <c r="BT547" s="1">
        <v>14.6</v>
      </c>
      <c r="BU547" s="1" t="s">
        <v>1032</v>
      </c>
      <c r="BV547" s="1" t="s">
        <v>2922</v>
      </c>
      <c r="BW547" s="1">
        <v>295</v>
      </c>
      <c r="BX547" s="1">
        <v>22</v>
      </c>
      <c r="BY547" s="1">
        <v>20</v>
      </c>
      <c r="BZ547" s="1"/>
      <c r="CA547" s="1"/>
      <c r="CB547" s="1"/>
      <c r="CC547" s="1" t="s">
        <v>2808</v>
      </c>
      <c r="CD547" s="1" t="s">
        <v>731</v>
      </c>
      <c r="CE547" s="1"/>
      <c r="CF547" s="1"/>
      <c r="CG547" s="1"/>
      <c r="CH547" s="1"/>
      <c r="CI547" s="1"/>
      <c r="CJ547" s="1" t="s">
        <v>2812</v>
      </c>
      <c r="CK547" t="s">
        <v>1263</v>
      </c>
      <c r="CL547">
        <v>304</v>
      </c>
      <c r="CM547" t="s">
        <v>2968</v>
      </c>
    </row>
    <row r="548" spans="1:91" ht="19" customHeight="1">
      <c r="A548" s="1" t="s">
        <v>4228</v>
      </c>
      <c r="B548" s="1" t="s">
        <v>3597</v>
      </c>
      <c r="C548" s="1">
        <v>305</v>
      </c>
      <c r="D548" s="1" t="s">
        <v>1202</v>
      </c>
      <c r="E548" s="1">
        <v>2016</v>
      </c>
      <c r="F548" s="1" t="s">
        <v>1213</v>
      </c>
      <c r="G548" s="1" t="s">
        <v>1856</v>
      </c>
      <c r="H548" s="4">
        <v>22.97317</v>
      </c>
      <c r="I548" s="4">
        <v>120.1897</v>
      </c>
      <c r="J548" s="1" t="s">
        <v>1404</v>
      </c>
      <c r="K548" s="1" t="s">
        <v>70</v>
      </c>
      <c r="L548" s="1" t="s">
        <v>1857</v>
      </c>
      <c r="M548" s="1" t="s">
        <v>3598</v>
      </c>
      <c r="N548" s="1"/>
      <c r="O548" s="1" t="s">
        <v>3095</v>
      </c>
      <c r="P548" s="1"/>
      <c r="Q548" s="4">
        <v>6.4</v>
      </c>
      <c r="R548" s="4"/>
      <c r="S548" s="4"/>
      <c r="T548" s="4"/>
      <c r="U548" s="4"/>
      <c r="V548" s="4">
        <v>22.678290000000001</v>
      </c>
      <c r="W548" s="4"/>
      <c r="X548" s="4"/>
      <c r="Y548" s="4"/>
      <c r="Z548" s="4"/>
      <c r="AA548" s="4"/>
      <c r="AB548" s="4" t="s">
        <v>1032</v>
      </c>
      <c r="AC548" s="4"/>
      <c r="AD548" s="4">
        <v>22.922000000000001</v>
      </c>
      <c r="AE548" s="4">
        <v>120.544</v>
      </c>
      <c r="AF548" s="4">
        <v>14.6</v>
      </c>
      <c r="AG548" s="4">
        <v>219.98169999999999</v>
      </c>
      <c r="AH548" s="27" t="b">
        <v>1</v>
      </c>
      <c r="AI548" s="4">
        <v>2.0230000000000001</v>
      </c>
      <c r="AJ548" s="27" t="b">
        <v>0</v>
      </c>
      <c r="AK548" s="4"/>
      <c r="AL548" s="27" t="b">
        <v>1</v>
      </c>
      <c r="AM548" s="4">
        <v>229.84299999999999</v>
      </c>
      <c r="AN548" s="4">
        <v>113.084</v>
      </c>
      <c r="AO548" s="4">
        <v>78.075000000000003</v>
      </c>
      <c r="AP548" s="4">
        <v>51.285299999999999</v>
      </c>
      <c r="AQ548" s="4">
        <v>13.853199999999999</v>
      </c>
      <c r="AR548" s="4">
        <v>11.004</v>
      </c>
      <c r="AS548" s="4">
        <v>16.854600000000001</v>
      </c>
      <c r="AT548" s="4">
        <v>9.1868700000000008</v>
      </c>
      <c r="AU548" s="4">
        <v>6.4807499999999996</v>
      </c>
      <c r="AV548" s="4">
        <v>2.7162299999999999</v>
      </c>
      <c r="AW548" s="4">
        <v>-2.3687</v>
      </c>
      <c r="AX548" s="4">
        <v>1.57731</v>
      </c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1" t="s">
        <v>3599</v>
      </c>
      <c r="BJ548" s="1" t="s">
        <v>4229</v>
      </c>
      <c r="BK548" s="1">
        <v>1</v>
      </c>
      <c r="BL548" s="1"/>
      <c r="BM548" s="1" t="s">
        <v>672</v>
      </c>
      <c r="BN548" s="1" t="s">
        <v>2966</v>
      </c>
      <c r="BO548" s="1" t="s">
        <v>2967</v>
      </c>
      <c r="BP548" s="1">
        <v>6.4</v>
      </c>
      <c r="BQ548" s="1" t="s">
        <v>1003</v>
      </c>
      <c r="BR548" s="1">
        <v>22.922000000000001</v>
      </c>
      <c r="BS548" s="1">
        <v>120.544</v>
      </c>
      <c r="BT548" s="1">
        <v>14.6</v>
      </c>
      <c r="BU548" s="1" t="s">
        <v>1032</v>
      </c>
      <c r="BV548" s="1" t="s">
        <v>2922</v>
      </c>
      <c r="BW548" s="1">
        <v>295</v>
      </c>
      <c r="BX548" s="1">
        <v>22</v>
      </c>
      <c r="BY548" s="1">
        <v>20</v>
      </c>
      <c r="BZ548" s="1"/>
      <c r="CA548" s="1"/>
      <c r="CB548" s="1"/>
      <c r="CC548" s="1" t="s">
        <v>2808</v>
      </c>
      <c r="CD548" s="1" t="s">
        <v>731</v>
      </c>
      <c r="CE548" s="1"/>
      <c r="CF548" s="1"/>
      <c r="CG548" s="1"/>
      <c r="CH548" s="1"/>
      <c r="CI548" s="1"/>
      <c r="CJ548" s="1" t="s">
        <v>2812</v>
      </c>
      <c r="CK548" t="s">
        <v>1263</v>
      </c>
      <c r="CL548">
        <v>305</v>
      </c>
      <c r="CM548" t="s">
        <v>2968</v>
      </c>
    </row>
    <row r="549" spans="1:91" ht="19" customHeight="1">
      <c r="A549" s="1" t="s">
        <v>4230</v>
      </c>
      <c r="B549" s="1" t="s">
        <v>3597</v>
      </c>
      <c r="C549" s="1">
        <v>306</v>
      </c>
      <c r="D549" s="1" t="s">
        <v>1202</v>
      </c>
      <c r="E549" s="1">
        <v>2016</v>
      </c>
      <c r="F549" s="1" t="s">
        <v>1214</v>
      </c>
      <c r="G549" s="1" t="s">
        <v>1858</v>
      </c>
      <c r="H549" s="4">
        <v>22.963830000000002</v>
      </c>
      <c r="I549" s="4">
        <v>120.2363</v>
      </c>
      <c r="J549" s="1" t="s">
        <v>1404</v>
      </c>
      <c r="K549" s="1" t="s">
        <v>70</v>
      </c>
      <c r="L549" s="1" t="s">
        <v>1859</v>
      </c>
      <c r="M549" s="1" t="s">
        <v>3598</v>
      </c>
      <c r="N549" s="1"/>
      <c r="O549" s="1" t="s">
        <v>3095</v>
      </c>
      <c r="P549" s="1"/>
      <c r="Q549" s="4">
        <v>6.4</v>
      </c>
      <c r="R549" s="4"/>
      <c r="S549" s="4"/>
      <c r="T549" s="4"/>
      <c r="U549" s="4"/>
      <c r="V549" s="4">
        <v>18.817440000000001</v>
      </c>
      <c r="W549" s="4"/>
      <c r="X549" s="4"/>
      <c r="Y549" s="4"/>
      <c r="Z549" s="4"/>
      <c r="AA549" s="4"/>
      <c r="AB549" s="4" t="s">
        <v>1032</v>
      </c>
      <c r="AC549" s="4"/>
      <c r="AD549" s="4">
        <v>22.922000000000001</v>
      </c>
      <c r="AE549" s="4">
        <v>120.544</v>
      </c>
      <c r="AF549" s="4">
        <v>14.6</v>
      </c>
      <c r="AG549" s="4">
        <v>228.66730000000001</v>
      </c>
      <c r="AH549" s="27" t="b">
        <v>1</v>
      </c>
      <c r="AI549" s="4">
        <v>1.645</v>
      </c>
      <c r="AJ549" s="27" t="b">
        <v>0</v>
      </c>
      <c r="AK549" s="4"/>
      <c r="AL549" s="27" t="b">
        <v>1</v>
      </c>
      <c r="AM549" s="4">
        <v>250.54300000000001</v>
      </c>
      <c r="AN549" s="4">
        <v>152.53100000000001</v>
      </c>
      <c r="AO549" s="4">
        <v>163.80699999999999</v>
      </c>
      <c r="AP549" s="4">
        <v>58.617899999999999</v>
      </c>
      <c r="AQ549" s="4">
        <v>25.9221</v>
      </c>
      <c r="AR549" s="4">
        <v>9.8741800000000008</v>
      </c>
      <c r="AS549" s="4">
        <v>15.763</v>
      </c>
      <c r="AT549" s="4">
        <v>7.45418</v>
      </c>
      <c r="AU549" s="4">
        <v>6.7004000000000001</v>
      </c>
      <c r="AV549" s="4">
        <v>-1.6116999999999999</v>
      </c>
      <c r="AW549" s="4">
        <v>-1.0740700000000001</v>
      </c>
      <c r="AX549" s="4">
        <v>-2.1822300000000001</v>
      </c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1" t="s">
        <v>3599</v>
      </c>
      <c r="BJ549" s="1" t="s">
        <v>4231</v>
      </c>
      <c r="BK549" s="1">
        <v>1</v>
      </c>
      <c r="BL549" s="1"/>
      <c r="BM549" s="1" t="s">
        <v>672</v>
      </c>
      <c r="BN549" s="1" t="s">
        <v>2966</v>
      </c>
      <c r="BO549" s="1" t="s">
        <v>2967</v>
      </c>
      <c r="BP549" s="1">
        <v>6.4</v>
      </c>
      <c r="BQ549" s="1" t="s">
        <v>1003</v>
      </c>
      <c r="BR549" s="1">
        <v>22.922000000000001</v>
      </c>
      <c r="BS549" s="1">
        <v>120.544</v>
      </c>
      <c r="BT549" s="1">
        <v>14.6</v>
      </c>
      <c r="BU549" s="1" t="s">
        <v>1032</v>
      </c>
      <c r="BV549" s="1" t="s">
        <v>2922</v>
      </c>
      <c r="BW549" s="1">
        <v>295</v>
      </c>
      <c r="BX549" s="1">
        <v>22</v>
      </c>
      <c r="BY549" s="1">
        <v>20</v>
      </c>
      <c r="BZ549" s="1"/>
      <c r="CA549" s="1"/>
      <c r="CB549" s="1"/>
      <c r="CC549" s="1" t="s">
        <v>2808</v>
      </c>
      <c r="CD549" s="1" t="s">
        <v>731</v>
      </c>
      <c r="CE549" s="1"/>
      <c r="CF549" s="1"/>
      <c r="CG549" s="1"/>
      <c r="CH549" s="1"/>
      <c r="CI549" s="1"/>
      <c r="CJ549" s="1" t="s">
        <v>2812</v>
      </c>
      <c r="CK549" t="s">
        <v>1263</v>
      </c>
      <c r="CL549">
        <v>306</v>
      </c>
      <c r="CM549" t="s">
        <v>2968</v>
      </c>
    </row>
    <row r="550" spans="1:91" ht="19" customHeight="1">
      <c r="A550" s="1" t="s">
        <v>4232</v>
      </c>
      <c r="B550" s="1" t="s">
        <v>3597</v>
      </c>
      <c r="C550" s="1">
        <v>307</v>
      </c>
      <c r="D550" s="1" t="s">
        <v>1202</v>
      </c>
      <c r="E550" s="1">
        <v>2016</v>
      </c>
      <c r="F550" s="1" t="s">
        <v>1215</v>
      </c>
      <c r="G550" s="1" t="s">
        <v>1860</v>
      </c>
      <c r="H550" s="4">
        <v>23.062999999999999</v>
      </c>
      <c r="I550" s="4">
        <v>120.1728</v>
      </c>
      <c r="J550" s="1" t="s">
        <v>1404</v>
      </c>
      <c r="K550" s="1" t="s">
        <v>70</v>
      </c>
      <c r="L550" s="1" t="s">
        <v>1861</v>
      </c>
      <c r="M550" s="1" t="s">
        <v>3598</v>
      </c>
      <c r="N550" s="1"/>
      <c r="O550" s="1" t="s">
        <v>3095</v>
      </c>
      <c r="P550" s="1"/>
      <c r="Q550" s="4">
        <v>6.4</v>
      </c>
      <c r="R550" s="4"/>
      <c r="S550" s="4"/>
      <c r="T550" s="4"/>
      <c r="U550" s="4"/>
      <c r="V550" s="4">
        <v>27.834620000000001</v>
      </c>
      <c r="W550" s="4"/>
      <c r="X550" s="4"/>
      <c r="Y550" s="4"/>
      <c r="Z550" s="4"/>
      <c r="AA550" s="4"/>
      <c r="AB550" s="4" t="s">
        <v>1032</v>
      </c>
      <c r="AC550" s="4"/>
      <c r="AD550" s="4">
        <v>22.922000000000001</v>
      </c>
      <c r="AE550" s="4">
        <v>120.544</v>
      </c>
      <c r="AF550" s="4">
        <v>14.6</v>
      </c>
      <c r="AG550" s="4">
        <v>200.5214</v>
      </c>
      <c r="AH550" s="27" t="b">
        <v>1</v>
      </c>
      <c r="AI550" s="4">
        <v>2.3380000000000001</v>
      </c>
      <c r="AJ550" s="27" t="b">
        <v>0</v>
      </c>
      <c r="AK550" s="4"/>
      <c r="AL550" s="27" t="b">
        <v>1</v>
      </c>
      <c r="AM550" s="4">
        <v>187.06399999999999</v>
      </c>
      <c r="AN550" s="4">
        <v>122.581</v>
      </c>
      <c r="AO550" s="4">
        <v>62.952599999999997</v>
      </c>
      <c r="AP550" s="4">
        <v>48.9011</v>
      </c>
      <c r="AQ550" s="4">
        <v>18.713899999999999</v>
      </c>
      <c r="AR550" s="4">
        <v>8.7844800000000003</v>
      </c>
      <c r="AS550" s="4">
        <v>13.3965</v>
      </c>
      <c r="AT550" s="4">
        <v>10.6409</v>
      </c>
      <c r="AU550" s="4">
        <v>7.75258</v>
      </c>
      <c r="AV550" s="4">
        <v>-0.99305900000000003</v>
      </c>
      <c r="AW550" s="4">
        <v>-0.71608700000000003</v>
      </c>
      <c r="AX550" s="4">
        <v>-0.26549200000000001</v>
      </c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1" t="s">
        <v>3599</v>
      </c>
      <c r="BJ550" s="1" t="s">
        <v>4233</v>
      </c>
      <c r="BK550" s="1">
        <v>1</v>
      </c>
      <c r="BL550" s="1"/>
      <c r="BM550" s="1" t="s">
        <v>672</v>
      </c>
      <c r="BN550" s="1" t="s">
        <v>2966</v>
      </c>
      <c r="BO550" s="1" t="s">
        <v>2967</v>
      </c>
      <c r="BP550" s="1">
        <v>6.4</v>
      </c>
      <c r="BQ550" s="1" t="s">
        <v>1003</v>
      </c>
      <c r="BR550" s="1">
        <v>22.922000000000001</v>
      </c>
      <c r="BS550" s="1">
        <v>120.544</v>
      </c>
      <c r="BT550" s="1">
        <v>14.6</v>
      </c>
      <c r="BU550" s="1" t="s">
        <v>1032</v>
      </c>
      <c r="BV550" s="1" t="s">
        <v>2922</v>
      </c>
      <c r="BW550" s="1">
        <v>295</v>
      </c>
      <c r="BX550" s="1">
        <v>22</v>
      </c>
      <c r="BY550" s="1">
        <v>20</v>
      </c>
      <c r="BZ550" s="1"/>
      <c r="CA550" s="1"/>
      <c r="CB550" s="1"/>
      <c r="CC550" s="1" t="s">
        <v>2808</v>
      </c>
      <c r="CD550" s="1" t="s">
        <v>731</v>
      </c>
      <c r="CE550" s="1"/>
      <c r="CF550" s="1"/>
      <c r="CG550" s="1"/>
      <c r="CH550" s="1"/>
      <c r="CI550" s="1"/>
      <c r="CJ550" s="1" t="s">
        <v>2812</v>
      </c>
      <c r="CK550" t="s">
        <v>1263</v>
      </c>
      <c r="CL550">
        <v>307</v>
      </c>
      <c r="CM550" t="s">
        <v>2968</v>
      </c>
    </row>
    <row r="551" spans="1:91" ht="19" customHeight="1">
      <c r="A551" s="1" t="s">
        <v>4234</v>
      </c>
      <c r="B551" s="1" t="s">
        <v>3597</v>
      </c>
      <c r="C551" s="1">
        <v>308</v>
      </c>
      <c r="D551" s="1" t="s">
        <v>1202</v>
      </c>
      <c r="E551" s="1">
        <v>2016</v>
      </c>
      <c r="F551" s="1" t="s">
        <v>915</v>
      </c>
      <c r="G551" s="1" t="s">
        <v>1867</v>
      </c>
      <c r="H551" s="4">
        <v>23.597169999999998</v>
      </c>
      <c r="I551" s="4">
        <v>120.6768</v>
      </c>
      <c r="J551" s="1" t="s">
        <v>1404</v>
      </c>
      <c r="K551" s="1" t="s">
        <v>70</v>
      </c>
      <c r="L551" s="1" t="s">
        <v>1869</v>
      </c>
      <c r="M551" s="1" t="s">
        <v>3598</v>
      </c>
      <c r="N551" s="1"/>
      <c r="O551" s="1" t="s">
        <v>3095</v>
      </c>
      <c r="P551" s="1"/>
      <c r="Q551" s="4">
        <v>6.4</v>
      </c>
      <c r="R551" s="4"/>
      <c r="S551" s="4"/>
      <c r="T551" s="4"/>
      <c r="U551" s="4"/>
      <c r="V551" s="4">
        <v>65.91619</v>
      </c>
      <c r="W551" s="4"/>
      <c r="X551" s="4"/>
      <c r="Y551" s="4"/>
      <c r="Z551" s="4"/>
      <c r="AA551" s="4"/>
      <c r="AB551" s="4" t="s">
        <v>1032</v>
      </c>
      <c r="AC551" s="4"/>
      <c r="AD551" s="4">
        <v>22.922000000000001</v>
      </c>
      <c r="AE551" s="4">
        <v>120.544</v>
      </c>
      <c r="AF551" s="4">
        <v>14.6</v>
      </c>
      <c r="AG551" s="4">
        <v>499.16809999999998</v>
      </c>
      <c r="AH551" s="27" t="b">
        <v>1</v>
      </c>
      <c r="AI551" s="4">
        <v>0.84699999999999998</v>
      </c>
      <c r="AJ551" s="27" t="b">
        <v>0</v>
      </c>
      <c r="AK551" s="4"/>
      <c r="AL551" s="27" t="b">
        <v>0</v>
      </c>
      <c r="AM551" s="4">
        <v>334.00200000000001</v>
      </c>
      <c r="AN551" s="4">
        <v>233.989</v>
      </c>
      <c r="AO551" s="4">
        <v>90.201999999999998</v>
      </c>
      <c r="AP551" s="4">
        <v>39.838799999999999</v>
      </c>
      <c r="AQ551" s="4">
        <v>26.278199999999998</v>
      </c>
      <c r="AR551" s="4">
        <v>7.0620900000000004</v>
      </c>
      <c r="AS551" s="4">
        <v>4.4630900000000002</v>
      </c>
      <c r="AT551" s="4">
        <v>4.3866100000000001</v>
      </c>
      <c r="AU551" s="4">
        <v>1.0432900000000001</v>
      </c>
      <c r="AV551" s="4">
        <v>5.2880000000000002E-3</v>
      </c>
      <c r="AW551" s="4">
        <v>0.143737</v>
      </c>
      <c r="AX551" s="4">
        <v>0.16988</v>
      </c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1" t="s">
        <v>3599</v>
      </c>
      <c r="BJ551" s="1" t="s">
        <v>4235</v>
      </c>
      <c r="BK551" s="1">
        <v>1</v>
      </c>
      <c r="BL551" s="1"/>
      <c r="BM551" s="1" t="s">
        <v>672</v>
      </c>
      <c r="BN551" s="1" t="s">
        <v>2966</v>
      </c>
      <c r="BO551" s="1" t="s">
        <v>2967</v>
      </c>
      <c r="BP551" s="1">
        <v>6.4</v>
      </c>
      <c r="BQ551" s="1" t="s">
        <v>1003</v>
      </c>
      <c r="BR551" s="1">
        <v>22.922000000000001</v>
      </c>
      <c r="BS551" s="1">
        <v>120.544</v>
      </c>
      <c r="BT551" s="1">
        <v>14.6</v>
      </c>
      <c r="BU551" s="1" t="s">
        <v>1032</v>
      </c>
      <c r="BV551" s="1" t="s">
        <v>2922</v>
      </c>
      <c r="BW551" s="1">
        <v>295</v>
      </c>
      <c r="BX551" s="1">
        <v>22</v>
      </c>
      <c r="BY551" s="1">
        <v>20</v>
      </c>
      <c r="BZ551" s="1"/>
      <c r="CA551" s="1"/>
      <c r="CB551" s="1"/>
      <c r="CC551" s="1" t="s">
        <v>2808</v>
      </c>
      <c r="CD551" s="1" t="s">
        <v>731</v>
      </c>
      <c r="CE551" s="1"/>
      <c r="CF551" s="1"/>
      <c r="CG551" s="1"/>
      <c r="CH551" s="1"/>
      <c r="CI551" s="1"/>
      <c r="CJ551" s="1" t="s">
        <v>2812</v>
      </c>
      <c r="CK551" t="s">
        <v>1263</v>
      </c>
      <c r="CL551">
        <v>308</v>
      </c>
      <c r="CM551" t="s">
        <v>2968</v>
      </c>
    </row>
    <row r="552" spans="1:91" ht="19" customHeight="1">
      <c r="A552" s="1" t="s">
        <v>4236</v>
      </c>
      <c r="B552" s="1" t="s">
        <v>3597</v>
      </c>
      <c r="C552" s="1">
        <v>309</v>
      </c>
      <c r="D552" s="1" t="s">
        <v>1202</v>
      </c>
      <c r="E552" s="1">
        <v>2016</v>
      </c>
      <c r="F552" s="1" t="s">
        <v>1216</v>
      </c>
      <c r="G552" s="1" t="s">
        <v>1873</v>
      </c>
      <c r="H552" s="4">
        <v>22.99333</v>
      </c>
      <c r="I552" s="4">
        <v>120.2047</v>
      </c>
      <c r="J552" s="1" t="s">
        <v>1404</v>
      </c>
      <c r="K552" s="1" t="s">
        <v>70</v>
      </c>
      <c r="L552" s="1" t="s">
        <v>1874</v>
      </c>
      <c r="M552" s="1" t="s">
        <v>3598</v>
      </c>
      <c r="N552" s="1"/>
      <c r="O552" s="1" t="s">
        <v>3095</v>
      </c>
      <c r="P552" s="1"/>
      <c r="Q552" s="4">
        <v>6.4</v>
      </c>
      <c r="R552" s="4"/>
      <c r="S552" s="4"/>
      <c r="T552" s="4"/>
      <c r="U552" s="4"/>
      <c r="V552" s="4">
        <v>22.399249999999999</v>
      </c>
      <c r="W552" s="4"/>
      <c r="X552" s="4"/>
      <c r="Y552" s="4"/>
      <c r="Z552" s="4"/>
      <c r="AA552" s="4"/>
      <c r="AB552" s="4" t="s">
        <v>1032</v>
      </c>
      <c r="AC552" s="4"/>
      <c r="AD552" s="4">
        <v>22.922000000000001</v>
      </c>
      <c r="AE552" s="4">
        <v>120.544</v>
      </c>
      <c r="AF552" s="4">
        <v>14.6</v>
      </c>
      <c r="AG552" s="4">
        <v>272.6463</v>
      </c>
      <c r="AH552" s="27" t="b">
        <v>1</v>
      </c>
      <c r="AI552" s="4">
        <v>1.1339999999999999</v>
      </c>
      <c r="AJ552" s="27" t="b">
        <v>0</v>
      </c>
      <c r="AK552" s="4"/>
      <c r="AL552" s="27" t="b">
        <v>1</v>
      </c>
      <c r="AM552" s="4">
        <v>230.078</v>
      </c>
      <c r="AN552" s="4">
        <v>152.578</v>
      </c>
      <c r="AO552" s="4">
        <v>88.868700000000004</v>
      </c>
      <c r="AP552" s="4">
        <v>39.3947</v>
      </c>
      <c r="AQ552" s="4">
        <v>15.813700000000001</v>
      </c>
      <c r="AR552" s="4">
        <v>9.1235499999999998</v>
      </c>
      <c r="AS552" s="4">
        <v>9.1852800000000006</v>
      </c>
      <c r="AT552" s="4">
        <v>6.8154599999999999</v>
      </c>
      <c r="AU552" s="4">
        <v>6.3449600000000004</v>
      </c>
      <c r="AV552" s="4">
        <v>-3.3173599999999999</v>
      </c>
      <c r="AW552" s="4">
        <v>-2.79365</v>
      </c>
      <c r="AX552" s="4">
        <v>1.13693</v>
      </c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1" t="s">
        <v>3599</v>
      </c>
      <c r="BJ552" s="1" t="s">
        <v>4237</v>
      </c>
      <c r="BK552" s="1">
        <v>1</v>
      </c>
      <c r="BL552" s="1"/>
      <c r="BM552" s="1" t="s">
        <v>672</v>
      </c>
      <c r="BN552" s="1" t="s">
        <v>2966</v>
      </c>
      <c r="BO552" s="1" t="s">
        <v>2967</v>
      </c>
      <c r="BP552" s="1">
        <v>6.4</v>
      </c>
      <c r="BQ552" s="1" t="s">
        <v>1003</v>
      </c>
      <c r="BR552" s="1">
        <v>22.922000000000001</v>
      </c>
      <c r="BS552" s="1">
        <v>120.544</v>
      </c>
      <c r="BT552" s="1">
        <v>14.6</v>
      </c>
      <c r="BU552" s="1" t="s">
        <v>1032</v>
      </c>
      <c r="BV552" s="1" t="s">
        <v>2922</v>
      </c>
      <c r="BW552" s="1">
        <v>295</v>
      </c>
      <c r="BX552" s="1">
        <v>22</v>
      </c>
      <c r="BY552" s="1">
        <v>20</v>
      </c>
      <c r="BZ552" s="1"/>
      <c r="CA552" s="1"/>
      <c r="CB552" s="1"/>
      <c r="CC552" s="1" t="s">
        <v>2808</v>
      </c>
      <c r="CD552" s="1" t="s">
        <v>731</v>
      </c>
      <c r="CE552" s="1"/>
      <c r="CF552" s="1"/>
      <c r="CG552" s="1"/>
      <c r="CH552" s="1"/>
      <c r="CI552" s="1"/>
      <c r="CJ552" s="1" t="s">
        <v>2812</v>
      </c>
      <c r="CK552" t="s">
        <v>1263</v>
      </c>
      <c r="CL552">
        <v>309</v>
      </c>
      <c r="CM552" t="s">
        <v>2968</v>
      </c>
    </row>
    <row r="553" spans="1:91" ht="19" customHeight="1">
      <c r="A553" s="1" t="s">
        <v>4238</v>
      </c>
      <c r="B553" s="1" t="s">
        <v>3597</v>
      </c>
      <c r="C553" s="1">
        <v>310</v>
      </c>
      <c r="D553" s="1" t="s">
        <v>1202</v>
      </c>
      <c r="E553" s="1">
        <v>2016</v>
      </c>
      <c r="F553" s="1" t="s">
        <v>1165</v>
      </c>
      <c r="G553" s="1" t="s">
        <v>1875</v>
      </c>
      <c r="H553" s="4">
        <v>23.075330000000001</v>
      </c>
      <c r="I553" s="4">
        <v>120.364</v>
      </c>
      <c r="J553" s="1" t="s">
        <v>1404</v>
      </c>
      <c r="K553" s="1" t="s">
        <v>70</v>
      </c>
      <c r="L553" s="1" t="s">
        <v>1876</v>
      </c>
      <c r="M553" s="1" t="s">
        <v>3598</v>
      </c>
      <c r="N553" s="1"/>
      <c r="O553" s="1" t="s">
        <v>3095</v>
      </c>
      <c r="P553" s="1"/>
      <c r="Q553" s="4">
        <v>6.4</v>
      </c>
      <c r="R553" s="4"/>
      <c r="S553" s="4"/>
      <c r="T553" s="4"/>
      <c r="U553" s="4"/>
      <c r="V553" s="4">
        <v>19.013269999999999</v>
      </c>
      <c r="W553" s="4"/>
      <c r="X553" s="4"/>
      <c r="Y553" s="4"/>
      <c r="Z553" s="4"/>
      <c r="AA553" s="4"/>
      <c r="AB553" s="4" t="s">
        <v>1032</v>
      </c>
      <c r="AC553" s="4"/>
      <c r="AD553" s="4">
        <v>22.922000000000001</v>
      </c>
      <c r="AE553" s="4">
        <v>120.544</v>
      </c>
      <c r="AF553" s="4">
        <v>14.6</v>
      </c>
      <c r="AG553" s="4">
        <v>396.19650000000001</v>
      </c>
      <c r="AH553" s="27" t="b">
        <v>1</v>
      </c>
      <c r="AI553" s="4">
        <v>2.5760000000000001</v>
      </c>
      <c r="AJ553" s="27" t="b">
        <v>0</v>
      </c>
      <c r="AK553" s="4"/>
      <c r="AL553" s="27" t="b">
        <v>1</v>
      </c>
      <c r="AM553" s="4">
        <v>392.642</v>
      </c>
      <c r="AN553" s="4">
        <v>278.98700000000002</v>
      </c>
      <c r="AO553" s="4">
        <v>101.69499999999999</v>
      </c>
      <c r="AP553" s="4">
        <v>56.220700000000001</v>
      </c>
      <c r="AQ553" s="4">
        <v>57.386899999999997</v>
      </c>
      <c r="AR553" s="4">
        <v>10.739800000000001</v>
      </c>
      <c r="AS553" s="4">
        <v>19.186499999999999</v>
      </c>
      <c r="AT553" s="4">
        <v>26.6538</v>
      </c>
      <c r="AU553" s="4">
        <v>10.8111</v>
      </c>
      <c r="AV553" s="4">
        <v>-6.9788800000000002</v>
      </c>
      <c r="AW553" s="4">
        <v>2.5367500000000001</v>
      </c>
      <c r="AX553" s="4">
        <v>4.1382099999999999</v>
      </c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1" t="s">
        <v>3599</v>
      </c>
      <c r="BJ553" s="1" t="s">
        <v>4239</v>
      </c>
      <c r="BK553" s="1">
        <v>1</v>
      </c>
      <c r="BL553" s="1"/>
      <c r="BM553" s="1" t="s">
        <v>672</v>
      </c>
      <c r="BN553" s="1" t="s">
        <v>2966</v>
      </c>
      <c r="BO553" s="1" t="s">
        <v>2967</v>
      </c>
      <c r="BP553" s="1">
        <v>6.4</v>
      </c>
      <c r="BQ553" s="1" t="s">
        <v>1003</v>
      </c>
      <c r="BR553" s="1">
        <v>22.922000000000001</v>
      </c>
      <c r="BS553" s="1">
        <v>120.544</v>
      </c>
      <c r="BT553" s="1">
        <v>14.6</v>
      </c>
      <c r="BU553" s="1" t="s">
        <v>1032</v>
      </c>
      <c r="BV553" s="1" t="s">
        <v>2922</v>
      </c>
      <c r="BW553" s="1">
        <v>295</v>
      </c>
      <c r="BX553" s="1">
        <v>22</v>
      </c>
      <c r="BY553" s="1">
        <v>20</v>
      </c>
      <c r="BZ553" s="1"/>
      <c r="CA553" s="1"/>
      <c r="CB553" s="1"/>
      <c r="CC553" s="1" t="s">
        <v>2808</v>
      </c>
      <c r="CD553" s="1" t="s">
        <v>731</v>
      </c>
      <c r="CE553" s="1"/>
      <c r="CF553" s="1"/>
      <c r="CG553" s="1"/>
      <c r="CH553" s="1"/>
      <c r="CI553" s="1"/>
      <c r="CJ553" s="1" t="s">
        <v>2812</v>
      </c>
      <c r="CK553" t="s">
        <v>1263</v>
      </c>
      <c r="CL553">
        <v>310</v>
      </c>
      <c r="CM553" t="s">
        <v>2968</v>
      </c>
    </row>
    <row r="554" spans="1:91" ht="19" customHeight="1">
      <c r="A554" s="1" t="s">
        <v>4240</v>
      </c>
      <c r="B554" s="1" t="s">
        <v>3597</v>
      </c>
      <c r="C554" s="1">
        <v>311</v>
      </c>
      <c r="D554" s="1" t="s">
        <v>1202</v>
      </c>
      <c r="E554" s="1">
        <v>2016</v>
      </c>
      <c r="F554" s="1" t="s">
        <v>1217</v>
      </c>
      <c r="G554" s="1" t="s">
        <v>1881</v>
      </c>
      <c r="H554" s="4">
        <v>23.009</v>
      </c>
      <c r="I554" s="4">
        <v>120.2115</v>
      </c>
      <c r="J554" s="1" t="s">
        <v>1404</v>
      </c>
      <c r="K554" s="1" t="s">
        <v>70</v>
      </c>
      <c r="L554" s="1" t="s">
        <v>1882</v>
      </c>
      <c r="M554" s="1" t="s">
        <v>3598</v>
      </c>
      <c r="N554" s="1"/>
      <c r="O554" s="1" t="s">
        <v>3095</v>
      </c>
      <c r="P554" s="1"/>
      <c r="Q554" s="4">
        <v>6.4</v>
      </c>
      <c r="R554" s="4"/>
      <c r="S554" s="4"/>
      <c r="T554" s="4"/>
      <c r="U554" s="4"/>
      <c r="V554" s="4">
        <v>22.59815</v>
      </c>
      <c r="W554" s="4"/>
      <c r="X554" s="4"/>
      <c r="Y554" s="4"/>
      <c r="Z554" s="4"/>
      <c r="AA554" s="4"/>
      <c r="AB554" s="4" t="s">
        <v>1032</v>
      </c>
      <c r="AC554" s="4"/>
      <c r="AD554" s="4">
        <v>22.922000000000001</v>
      </c>
      <c r="AE554" s="4">
        <v>120.544</v>
      </c>
      <c r="AF554" s="4">
        <v>14.6</v>
      </c>
      <c r="AG554" s="4">
        <v>341.38330000000002</v>
      </c>
      <c r="AH554" s="27" t="b">
        <v>1</v>
      </c>
      <c r="AI554" s="4">
        <v>1.512</v>
      </c>
      <c r="AJ554" s="27" t="b">
        <v>0</v>
      </c>
      <c r="AK554" s="4"/>
      <c r="AL554" s="27" t="b">
        <v>1</v>
      </c>
      <c r="AM554" s="4">
        <v>127.01900000000001</v>
      </c>
      <c r="AN554" s="4">
        <v>123.709</v>
      </c>
      <c r="AO554" s="4">
        <v>47.9405</v>
      </c>
      <c r="AP554" s="4">
        <v>36.4221</v>
      </c>
      <c r="AQ554" s="4">
        <v>20.991700000000002</v>
      </c>
      <c r="AR554" s="4">
        <v>10.125500000000001</v>
      </c>
      <c r="AS554" s="4">
        <v>11.612299999999999</v>
      </c>
      <c r="AT554" s="4">
        <v>9.9810999999999996</v>
      </c>
      <c r="AU554" s="4">
        <v>4.8280000000000003</v>
      </c>
      <c r="AV554" s="4">
        <v>-1.1182799999999999</v>
      </c>
      <c r="AW554" s="4">
        <v>0.377745</v>
      </c>
      <c r="AX554" s="4">
        <v>-0.969642</v>
      </c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1" t="s">
        <v>3599</v>
      </c>
      <c r="BJ554" s="1" t="s">
        <v>4241</v>
      </c>
      <c r="BK554" s="1">
        <v>1</v>
      </c>
      <c r="BL554" s="1"/>
      <c r="BM554" s="1" t="s">
        <v>672</v>
      </c>
      <c r="BN554" s="1" t="s">
        <v>2966</v>
      </c>
      <c r="BO554" s="1" t="s">
        <v>2967</v>
      </c>
      <c r="BP554" s="1">
        <v>6.4</v>
      </c>
      <c r="BQ554" s="1" t="s">
        <v>1003</v>
      </c>
      <c r="BR554" s="1">
        <v>22.922000000000001</v>
      </c>
      <c r="BS554" s="1">
        <v>120.544</v>
      </c>
      <c r="BT554" s="1">
        <v>14.6</v>
      </c>
      <c r="BU554" s="1" t="s">
        <v>1032</v>
      </c>
      <c r="BV554" s="1" t="s">
        <v>2922</v>
      </c>
      <c r="BW554" s="1">
        <v>295</v>
      </c>
      <c r="BX554" s="1">
        <v>22</v>
      </c>
      <c r="BY554" s="1">
        <v>20</v>
      </c>
      <c r="BZ554" s="1"/>
      <c r="CA554" s="1"/>
      <c r="CB554" s="1"/>
      <c r="CC554" s="1" t="s">
        <v>2808</v>
      </c>
      <c r="CD554" s="1" t="s">
        <v>731</v>
      </c>
      <c r="CE554" s="1"/>
      <c r="CF554" s="1"/>
      <c r="CG554" s="1"/>
      <c r="CH554" s="1"/>
      <c r="CI554" s="1"/>
      <c r="CJ554" s="1" t="s">
        <v>2812</v>
      </c>
      <c r="CK554" t="s">
        <v>1263</v>
      </c>
      <c r="CL554">
        <v>311</v>
      </c>
      <c r="CM554" t="s">
        <v>2968</v>
      </c>
    </row>
    <row r="555" spans="1:91" ht="19" customHeight="1">
      <c r="A555" s="1" t="s">
        <v>4242</v>
      </c>
      <c r="B555" s="1" t="s">
        <v>3597</v>
      </c>
      <c r="C555" s="1">
        <v>312</v>
      </c>
      <c r="D555" s="1" t="s">
        <v>1202</v>
      </c>
      <c r="E555" s="1">
        <v>2016</v>
      </c>
      <c r="F555" s="1" t="s">
        <v>1218</v>
      </c>
      <c r="G555" s="1" t="s">
        <v>1883</v>
      </c>
      <c r="H555" s="4">
        <v>23.00067</v>
      </c>
      <c r="I555" s="4">
        <v>120.1662</v>
      </c>
      <c r="J555" s="1" t="s">
        <v>1404</v>
      </c>
      <c r="K555" s="1" t="s">
        <v>70</v>
      </c>
      <c r="L555" s="1" t="s">
        <v>1884</v>
      </c>
      <c r="M555" s="1" t="s">
        <v>3598</v>
      </c>
      <c r="N555" s="1"/>
      <c r="O555" s="1" t="s">
        <v>3095</v>
      </c>
      <c r="P555" s="1"/>
      <c r="Q555" s="4">
        <v>6.4</v>
      </c>
      <c r="R555" s="4"/>
      <c r="S555" s="4"/>
      <c r="T555" s="4"/>
      <c r="U555" s="4"/>
      <c r="V555" s="4">
        <v>25.701509999999999</v>
      </c>
      <c r="W555" s="4"/>
      <c r="X555" s="4"/>
      <c r="Y555" s="4"/>
      <c r="Z555" s="4"/>
      <c r="AA555" s="4"/>
      <c r="AB555" s="4" t="s">
        <v>1032</v>
      </c>
      <c r="AC555" s="4"/>
      <c r="AD555" s="4">
        <v>22.922000000000001</v>
      </c>
      <c r="AE555" s="4">
        <v>120.544</v>
      </c>
      <c r="AF555" s="4">
        <v>14.6</v>
      </c>
      <c r="AG555" s="4">
        <v>229.2081</v>
      </c>
      <c r="AH555" s="27" t="b">
        <v>1</v>
      </c>
      <c r="AI555" s="4">
        <v>3.1989999999999998</v>
      </c>
      <c r="AJ555" s="27" t="b">
        <v>0</v>
      </c>
      <c r="AK555" s="4"/>
      <c r="AL555" s="27" t="b">
        <v>1</v>
      </c>
      <c r="AM555" s="4">
        <v>191.809</v>
      </c>
      <c r="AN555" s="4">
        <v>128.09100000000001</v>
      </c>
      <c r="AO555" s="4">
        <v>66.321799999999996</v>
      </c>
      <c r="AP555" s="4">
        <v>52.340299999999999</v>
      </c>
      <c r="AQ555" s="4">
        <v>21.150700000000001</v>
      </c>
      <c r="AR555" s="4">
        <v>12.986700000000001</v>
      </c>
      <c r="AS555" s="4">
        <v>18.387599999999999</v>
      </c>
      <c r="AT555" s="4">
        <v>8.8845100000000006</v>
      </c>
      <c r="AU555" s="4">
        <v>7.0791300000000001</v>
      </c>
      <c r="AV555" s="4">
        <v>-2.0493199999999998</v>
      </c>
      <c r="AW555" s="4">
        <v>0.74358000000000002</v>
      </c>
      <c r="AX555" s="4">
        <v>1.53426</v>
      </c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1" t="s">
        <v>3599</v>
      </c>
      <c r="BJ555" s="1" t="s">
        <v>4243</v>
      </c>
      <c r="BK555" s="1">
        <v>1</v>
      </c>
      <c r="BL555" s="1"/>
      <c r="BM555" s="1" t="s">
        <v>672</v>
      </c>
      <c r="BN555" s="1" t="s">
        <v>2966</v>
      </c>
      <c r="BO555" s="1" t="s">
        <v>2967</v>
      </c>
      <c r="BP555" s="1">
        <v>6.4</v>
      </c>
      <c r="BQ555" s="1" t="s">
        <v>1003</v>
      </c>
      <c r="BR555" s="1">
        <v>22.922000000000001</v>
      </c>
      <c r="BS555" s="1">
        <v>120.544</v>
      </c>
      <c r="BT555" s="1">
        <v>14.6</v>
      </c>
      <c r="BU555" s="1" t="s">
        <v>1032</v>
      </c>
      <c r="BV555" s="1" t="s">
        <v>2922</v>
      </c>
      <c r="BW555" s="1">
        <v>295</v>
      </c>
      <c r="BX555" s="1">
        <v>22</v>
      </c>
      <c r="BY555" s="1">
        <v>20</v>
      </c>
      <c r="BZ555" s="1"/>
      <c r="CA555" s="1"/>
      <c r="CB555" s="1"/>
      <c r="CC555" s="1" t="s">
        <v>2808</v>
      </c>
      <c r="CD555" s="1" t="s">
        <v>731</v>
      </c>
      <c r="CE555" s="1"/>
      <c r="CF555" s="1"/>
      <c r="CG555" s="1"/>
      <c r="CH555" s="1"/>
      <c r="CI555" s="1"/>
      <c r="CJ555" s="1" t="s">
        <v>2812</v>
      </c>
      <c r="CK555" t="s">
        <v>1263</v>
      </c>
      <c r="CL555">
        <v>312</v>
      </c>
      <c r="CM555" t="s">
        <v>2968</v>
      </c>
    </row>
    <row r="556" spans="1:91" ht="19" customHeight="1">
      <c r="A556" s="1" t="s">
        <v>4244</v>
      </c>
      <c r="B556" s="1" t="s">
        <v>3597</v>
      </c>
      <c r="C556" s="1">
        <v>313</v>
      </c>
      <c r="D556" s="1" t="s">
        <v>1202</v>
      </c>
      <c r="E556" s="1">
        <v>2016</v>
      </c>
      <c r="F556" s="1" t="s">
        <v>1219</v>
      </c>
      <c r="G556" s="1" t="s">
        <v>1890</v>
      </c>
      <c r="H556" s="4">
        <v>23.554670000000002</v>
      </c>
      <c r="I556" s="4">
        <v>120.34529999999999</v>
      </c>
      <c r="J556" s="1" t="s">
        <v>1404</v>
      </c>
      <c r="K556" s="1" t="s">
        <v>70</v>
      </c>
      <c r="L556" s="1" t="s">
        <v>1891</v>
      </c>
      <c r="M556" s="1" t="s">
        <v>3598</v>
      </c>
      <c r="N556" s="1"/>
      <c r="O556" s="1" t="s">
        <v>3095</v>
      </c>
      <c r="P556" s="1"/>
      <c r="Q556" s="4">
        <v>6.4</v>
      </c>
      <c r="R556" s="4"/>
      <c r="S556" s="4"/>
      <c r="T556" s="4"/>
      <c r="U556" s="4"/>
      <c r="V556" s="4">
        <v>57.583329999999997</v>
      </c>
      <c r="W556" s="4"/>
      <c r="X556" s="4"/>
      <c r="Y556" s="4"/>
      <c r="Z556" s="4"/>
      <c r="AA556" s="4"/>
      <c r="AB556" s="4" t="s">
        <v>1032</v>
      </c>
      <c r="AC556" s="4"/>
      <c r="AD556" s="4">
        <v>22.922000000000001</v>
      </c>
      <c r="AE556" s="4">
        <v>120.544</v>
      </c>
      <c r="AF556" s="4">
        <v>14.6</v>
      </c>
      <c r="AG556" s="4">
        <v>204.3597</v>
      </c>
      <c r="AH556" s="27" t="b">
        <v>1</v>
      </c>
      <c r="AI556" s="4">
        <v>1.19</v>
      </c>
      <c r="AJ556" s="27" t="b">
        <v>0</v>
      </c>
      <c r="AK556" s="4"/>
      <c r="AL556" s="27" t="b">
        <v>0</v>
      </c>
      <c r="AM556" s="4">
        <v>175.541</v>
      </c>
      <c r="AN556" s="4">
        <v>190.28399999999999</v>
      </c>
      <c r="AO556" s="4">
        <v>25.411999999999999</v>
      </c>
      <c r="AP556" s="4">
        <v>24.094899999999999</v>
      </c>
      <c r="AQ556" s="4">
        <v>24.185199999999998</v>
      </c>
      <c r="AR556" s="4">
        <v>1.87297</v>
      </c>
      <c r="AS556" s="4">
        <v>4.1017099999999997</v>
      </c>
      <c r="AT556" s="4">
        <v>5.2387899999999998</v>
      </c>
      <c r="AU556" s="4">
        <v>0.68247899999999995</v>
      </c>
      <c r="AV556" s="4">
        <v>-4.4481E-2</v>
      </c>
      <c r="AW556" s="4">
        <v>-0.339333</v>
      </c>
      <c r="AX556" s="4">
        <v>0.47735899999999998</v>
      </c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1" t="s">
        <v>3599</v>
      </c>
      <c r="BJ556" s="1" t="s">
        <v>4245</v>
      </c>
      <c r="BK556" s="1">
        <v>1</v>
      </c>
      <c r="BL556" s="1"/>
      <c r="BM556" s="1" t="s">
        <v>672</v>
      </c>
      <c r="BN556" s="1" t="s">
        <v>2966</v>
      </c>
      <c r="BO556" s="1" t="s">
        <v>2967</v>
      </c>
      <c r="BP556" s="1">
        <v>6.4</v>
      </c>
      <c r="BQ556" s="1" t="s">
        <v>1003</v>
      </c>
      <c r="BR556" s="1">
        <v>22.922000000000001</v>
      </c>
      <c r="BS556" s="1">
        <v>120.544</v>
      </c>
      <c r="BT556" s="1">
        <v>14.6</v>
      </c>
      <c r="BU556" s="1" t="s">
        <v>1032</v>
      </c>
      <c r="BV556" s="1" t="s">
        <v>2922</v>
      </c>
      <c r="BW556" s="1">
        <v>295</v>
      </c>
      <c r="BX556" s="1">
        <v>22</v>
      </c>
      <c r="BY556" s="1">
        <v>20</v>
      </c>
      <c r="BZ556" s="1"/>
      <c r="CA556" s="1"/>
      <c r="CB556" s="1"/>
      <c r="CC556" s="1" t="s">
        <v>2808</v>
      </c>
      <c r="CD556" s="1" t="s">
        <v>731</v>
      </c>
      <c r="CE556" s="1"/>
      <c r="CF556" s="1"/>
      <c r="CG556" s="1"/>
      <c r="CH556" s="1"/>
      <c r="CI556" s="1"/>
      <c r="CJ556" s="1" t="s">
        <v>2812</v>
      </c>
      <c r="CK556" t="s">
        <v>1263</v>
      </c>
      <c r="CL556">
        <v>313</v>
      </c>
      <c r="CM556" t="s">
        <v>2968</v>
      </c>
    </row>
    <row r="557" spans="1:91" ht="19" customHeight="1">
      <c r="A557" s="1" t="s">
        <v>4246</v>
      </c>
      <c r="B557" s="1" t="s">
        <v>3597</v>
      </c>
      <c r="C557" s="1">
        <v>314</v>
      </c>
      <c r="D557" s="1" t="s">
        <v>1202</v>
      </c>
      <c r="E557" s="1">
        <v>2016</v>
      </c>
      <c r="F557" s="1" t="s">
        <v>1166</v>
      </c>
      <c r="G557" s="1" t="s">
        <v>1895</v>
      </c>
      <c r="H557" s="4">
        <v>23.29767</v>
      </c>
      <c r="I557" s="4">
        <v>120.2992</v>
      </c>
      <c r="J557" s="1" t="s">
        <v>1404</v>
      </c>
      <c r="K557" s="1" t="s">
        <v>70</v>
      </c>
      <c r="L557" s="1" t="s">
        <v>4247</v>
      </c>
      <c r="M557" s="1" t="s">
        <v>3598</v>
      </c>
      <c r="N557" s="1"/>
      <c r="O557" s="1" t="s">
        <v>3095</v>
      </c>
      <c r="P557" s="1"/>
      <c r="Q557" s="4">
        <v>6.4</v>
      </c>
      <c r="R557" s="4"/>
      <c r="S557" s="4"/>
      <c r="T557" s="4"/>
      <c r="U557" s="4"/>
      <c r="V557" s="4">
        <v>33.885559999999998</v>
      </c>
      <c r="W557" s="4"/>
      <c r="X557" s="4"/>
      <c r="Y557" s="4"/>
      <c r="Z557" s="4"/>
      <c r="AA557" s="4"/>
      <c r="AB557" s="4" t="s">
        <v>1032</v>
      </c>
      <c r="AC557" s="4"/>
      <c r="AD557" s="4">
        <v>22.922000000000001</v>
      </c>
      <c r="AE557" s="4">
        <v>120.544</v>
      </c>
      <c r="AF557" s="4">
        <v>14.6</v>
      </c>
      <c r="AG557" s="4">
        <v>181.0514</v>
      </c>
      <c r="AH557" s="27" t="b">
        <v>1</v>
      </c>
      <c r="AI557" s="4">
        <v>2.1280000000000001</v>
      </c>
      <c r="AJ557" s="27" t="b">
        <v>0</v>
      </c>
      <c r="AK557" s="4"/>
      <c r="AL557" s="27" t="b">
        <v>1</v>
      </c>
      <c r="AM557" s="4">
        <v>240.126</v>
      </c>
      <c r="AN557" s="4">
        <v>162.87899999999999</v>
      </c>
      <c r="AO557" s="4">
        <v>52.127099999999999</v>
      </c>
      <c r="AP557" s="4">
        <v>24.2883</v>
      </c>
      <c r="AQ557" s="4">
        <v>32.594900000000003</v>
      </c>
      <c r="AR557" s="4">
        <v>3.6096599999999999</v>
      </c>
      <c r="AS557" s="4">
        <v>4.0380099999999999</v>
      </c>
      <c r="AT557" s="4">
        <v>7.0182700000000002</v>
      </c>
      <c r="AU557" s="4">
        <v>1.55182</v>
      </c>
      <c r="AV557" s="4">
        <v>-0.30337399999999998</v>
      </c>
      <c r="AW557" s="4">
        <v>0.50302000000000002</v>
      </c>
      <c r="AX557" s="4">
        <v>0.22789200000000001</v>
      </c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1" t="s">
        <v>3599</v>
      </c>
      <c r="BJ557" s="1" t="s">
        <v>4248</v>
      </c>
      <c r="BK557" s="1">
        <v>1</v>
      </c>
      <c r="BL557" s="1"/>
      <c r="BM557" s="1" t="s">
        <v>672</v>
      </c>
      <c r="BN557" s="1" t="s">
        <v>2966</v>
      </c>
      <c r="BO557" s="1" t="s">
        <v>2967</v>
      </c>
      <c r="BP557" s="1">
        <v>6.4</v>
      </c>
      <c r="BQ557" s="1" t="s">
        <v>1003</v>
      </c>
      <c r="BR557" s="1">
        <v>22.922000000000001</v>
      </c>
      <c r="BS557" s="1">
        <v>120.544</v>
      </c>
      <c r="BT557" s="1">
        <v>14.6</v>
      </c>
      <c r="BU557" s="1" t="s">
        <v>1032</v>
      </c>
      <c r="BV557" s="1" t="s">
        <v>2922</v>
      </c>
      <c r="BW557" s="1">
        <v>295</v>
      </c>
      <c r="BX557" s="1">
        <v>22</v>
      </c>
      <c r="BY557" s="1">
        <v>20</v>
      </c>
      <c r="BZ557" s="1"/>
      <c r="CA557" s="1"/>
      <c r="CB557" s="1"/>
      <c r="CC557" s="1" t="s">
        <v>2808</v>
      </c>
      <c r="CD557" s="1" t="s">
        <v>731</v>
      </c>
      <c r="CE557" s="1"/>
      <c r="CF557" s="1"/>
      <c r="CG557" s="1"/>
      <c r="CH557" s="1"/>
      <c r="CI557" s="1"/>
      <c r="CJ557" s="1" t="s">
        <v>2812</v>
      </c>
      <c r="CK557" t="s">
        <v>1263</v>
      </c>
      <c r="CL557">
        <v>314</v>
      </c>
      <c r="CM557" t="s">
        <v>2968</v>
      </c>
    </row>
    <row r="558" spans="1:91" ht="19" customHeight="1">
      <c r="A558" s="1" t="s">
        <v>4249</v>
      </c>
      <c r="B558" s="1" t="s">
        <v>3597</v>
      </c>
      <c r="C558" s="1">
        <v>315</v>
      </c>
      <c r="D558" s="1" t="s">
        <v>1202</v>
      </c>
      <c r="E558" s="1">
        <v>2016</v>
      </c>
      <c r="F558" s="1" t="s">
        <v>1168</v>
      </c>
      <c r="G558" s="1" t="s">
        <v>1899</v>
      </c>
      <c r="H558" s="4">
        <v>23.146999999999998</v>
      </c>
      <c r="I558" s="4">
        <v>120.08580000000001</v>
      </c>
      <c r="J558" s="1" t="s">
        <v>1404</v>
      </c>
      <c r="K558" s="1" t="s">
        <v>70</v>
      </c>
      <c r="L558" s="1" t="s">
        <v>1900</v>
      </c>
      <c r="M558" s="1" t="s">
        <v>3598</v>
      </c>
      <c r="N558" s="1"/>
      <c r="O558" s="1" t="s">
        <v>3095</v>
      </c>
      <c r="P558" s="1"/>
      <c r="Q558" s="4">
        <v>6.4</v>
      </c>
      <c r="R558" s="4"/>
      <c r="S558" s="4"/>
      <c r="T558" s="4"/>
      <c r="U558" s="4"/>
      <c r="V558" s="4">
        <v>38.260629999999999</v>
      </c>
      <c r="W558" s="4"/>
      <c r="X558" s="4"/>
      <c r="Y558" s="4"/>
      <c r="Z558" s="4"/>
      <c r="AA558" s="4"/>
      <c r="AB558" s="4" t="s">
        <v>1032</v>
      </c>
      <c r="AC558" s="4"/>
      <c r="AD558" s="4">
        <v>22.922000000000001</v>
      </c>
      <c r="AE558" s="4">
        <v>120.544</v>
      </c>
      <c r="AF558" s="4">
        <v>14.6</v>
      </c>
      <c r="AG558" s="4">
        <v>206.31729999999999</v>
      </c>
      <c r="AH558" s="27" t="b">
        <v>1</v>
      </c>
      <c r="AI558" s="4">
        <v>2.3380000000000001</v>
      </c>
      <c r="AJ558" s="27" t="b">
        <v>0</v>
      </c>
      <c r="AK558" s="4"/>
      <c r="AL558" s="27" t="b">
        <v>1</v>
      </c>
      <c r="AM558" s="4">
        <v>157.22300000000001</v>
      </c>
      <c r="AN558" s="4">
        <v>101.61799999999999</v>
      </c>
      <c r="AO558" s="4">
        <v>30.395800000000001</v>
      </c>
      <c r="AP558" s="4">
        <v>34.558599999999998</v>
      </c>
      <c r="AQ558" s="4">
        <v>12.895200000000001</v>
      </c>
      <c r="AR558" s="4">
        <v>4.9541399999999998</v>
      </c>
      <c r="AS558" s="4">
        <v>8.3235399999999995</v>
      </c>
      <c r="AT558" s="4">
        <v>10.0778</v>
      </c>
      <c r="AU558" s="4">
        <v>6.41648</v>
      </c>
      <c r="AV558" s="4">
        <v>-2.3849100000000001</v>
      </c>
      <c r="AW558" s="4">
        <v>0.49169099999999999</v>
      </c>
      <c r="AX558" s="4">
        <v>5.1718500000000001</v>
      </c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1" t="s">
        <v>3599</v>
      </c>
      <c r="BJ558" s="1" t="s">
        <v>4250</v>
      </c>
      <c r="BK558" s="1">
        <v>1</v>
      </c>
      <c r="BL558" s="1"/>
      <c r="BM558" s="1" t="s">
        <v>672</v>
      </c>
      <c r="BN558" s="1" t="s">
        <v>2966</v>
      </c>
      <c r="BO558" s="1" t="s">
        <v>2967</v>
      </c>
      <c r="BP558" s="1">
        <v>6.4</v>
      </c>
      <c r="BQ558" s="1" t="s">
        <v>1003</v>
      </c>
      <c r="BR558" s="1">
        <v>22.922000000000001</v>
      </c>
      <c r="BS558" s="1">
        <v>120.544</v>
      </c>
      <c r="BT558" s="1">
        <v>14.6</v>
      </c>
      <c r="BU558" s="1" t="s">
        <v>1032</v>
      </c>
      <c r="BV558" s="1" t="s">
        <v>2922</v>
      </c>
      <c r="BW558" s="1">
        <v>295</v>
      </c>
      <c r="BX558" s="1">
        <v>22</v>
      </c>
      <c r="BY558" s="1">
        <v>20</v>
      </c>
      <c r="BZ558" s="1"/>
      <c r="CA558" s="1"/>
      <c r="CB558" s="1"/>
      <c r="CC558" s="1" t="s">
        <v>2808</v>
      </c>
      <c r="CD558" s="1" t="s">
        <v>731</v>
      </c>
      <c r="CE558" s="1"/>
      <c r="CF558" s="1"/>
      <c r="CG558" s="1"/>
      <c r="CH558" s="1"/>
      <c r="CI558" s="1"/>
      <c r="CJ558" s="1" t="s">
        <v>2812</v>
      </c>
      <c r="CK558" t="s">
        <v>1263</v>
      </c>
      <c r="CL558">
        <v>315</v>
      </c>
      <c r="CM558" t="s">
        <v>2968</v>
      </c>
    </row>
    <row r="559" spans="1:91" ht="19" customHeight="1">
      <c r="A559" s="1" t="s">
        <v>4251</v>
      </c>
      <c r="B559" s="1" t="s">
        <v>3597</v>
      </c>
      <c r="C559" s="1">
        <v>316</v>
      </c>
      <c r="D559" s="1" t="s">
        <v>1202</v>
      </c>
      <c r="E559" s="1">
        <v>2016</v>
      </c>
      <c r="F559" s="1" t="s">
        <v>1220</v>
      </c>
      <c r="G559" s="1" t="s">
        <v>1902</v>
      </c>
      <c r="H559" s="4">
        <v>23.076830000000001</v>
      </c>
      <c r="I559" s="4">
        <v>120.1168</v>
      </c>
      <c r="J559" s="1" t="s">
        <v>1404</v>
      </c>
      <c r="K559" s="1" t="s">
        <v>70</v>
      </c>
      <c r="L559" s="1" t="s">
        <v>1903</v>
      </c>
      <c r="M559" s="1" t="s">
        <v>3598</v>
      </c>
      <c r="N559" s="1"/>
      <c r="O559" s="1" t="s">
        <v>3095</v>
      </c>
      <c r="P559" s="1"/>
      <c r="Q559" s="4">
        <v>6.4</v>
      </c>
      <c r="R559" s="4"/>
      <c r="S559" s="4"/>
      <c r="T559" s="4"/>
      <c r="U559" s="4"/>
      <c r="V559" s="4">
        <v>32.853389999999997</v>
      </c>
      <c r="W559" s="4"/>
      <c r="X559" s="4"/>
      <c r="Y559" s="4"/>
      <c r="Z559" s="4"/>
      <c r="AA559" s="4"/>
      <c r="AB559" s="4" t="s">
        <v>1032</v>
      </c>
      <c r="AC559" s="4"/>
      <c r="AD559" s="4">
        <v>22.922000000000001</v>
      </c>
      <c r="AE559" s="4">
        <v>120.544</v>
      </c>
      <c r="AF559" s="4">
        <v>14.6</v>
      </c>
      <c r="AG559" s="4">
        <v>194.3365</v>
      </c>
      <c r="AH559" s="27" t="b">
        <v>1</v>
      </c>
      <c r="AI559" s="4">
        <v>2.3450000000000002</v>
      </c>
      <c r="AJ559" s="27" t="b">
        <v>0</v>
      </c>
      <c r="AK559" s="4"/>
      <c r="AL559" s="27" t="b">
        <v>1</v>
      </c>
      <c r="AM559" s="4">
        <v>165.93100000000001</v>
      </c>
      <c r="AN559" s="4">
        <v>115.754</v>
      </c>
      <c r="AO559" s="4">
        <v>54.933799999999998</v>
      </c>
      <c r="AP559" s="4">
        <v>45.5916</v>
      </c>
      <c r="AQ559" s="4">
        <v>17.0398</v>
      </c>
      <c r="AR559" s="4">
        <v>5.76173</v>
      </c>
      <c r="AS559" s="4">
        <v>11.920199999999999</v>
      </c>
      <c r="AT559" s="4">
        <v>14.7995</v>
      </c>
      <c r="AU559" s="4">
        <v>5.4649000000000001</v>
      </c>
      <c r="AV559" s="4">
        <v>-0.91187200000000002</v>
      </c>
      <c r="AW559" s="4">
        <v>0.87145300000000003</v>
      </c>
      <c r="AX559" s="4">
        <v>0.52498599999999995</v>
      </c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1" t="s">
        <v>3599</v>
      </c>
      <c r="BJ559" s="1" t="s">
        <v>4252</v>
      </c>
      <c r="BK559" s="1">
        <v>1</v>
      </c>
      <c r="BL559" s="1"/>
      <c r="BM559" s="1" t="s">
        <v>672</v>
      </c>
      <c r="BN559" s="1" t="s">
        <v>2966</v>
      </c>
      <c r="BO559" s="1" t="s">
        <v>2967</v>
      </c>
      <c r="BP559" s="1">
        <v>6.4</v>
      </c>
      <c r="BQ559" s="1" t="s">
        <v>1003</v>
      </c>
      <c r="BR559" s="1">
        <v>22.922000000000001</v>
      </c>
      <c r="BS559" s="1">
        <v>120.544</v>
      </c>
      <c r="BT559" s="1">
        <v>14.6</v>
      </c>
      <c r="BU559" s="1" t="s">
        <v>1032</v>
      </c>
      <c r="BV559" s="1" t="s">
        <v>2922</v>
      </c>
      <c r="BW559" s="1">
        <v>295</v>
      </c>
      <c r="BX559" s="1">
        <v>22</v>
      </c>
      <c r="BY559" s="1">
        <v>20</v>
      </c>
      <c r="BZ559" s="1"/>
      <c r="CA559" s="1"/>
      <c r="CB559" s="1"/>
      <c r="CC559" s="1" t="s">
        <v>2808</v>
      </c>
      <c r="CD559" s="1" t="s">
        <v>731</v>
      </c>
      <c r="CE559" s="1"/>
      <c r="CF559" s="1"/>
      <c r="CG559" s="1"/>
      <c r="CH559" s="1"/>
      <c r="CI559" s="1"/>
      <c r="CJ559" s="1" t="s">
        <v>2812</v>
      </c>
      <c r="CK559" t="s">
        <v>1263</v>
      </c>
      <c r="CL559">
        <v>316</v>
      </c>
      <c r="CM559" t="s">
        <v>2968</v>
      </c>
    </row>
    <row r="560" spans="1:91" ht="19" customHeight="1">
      <c r="A560" s="1" t="s">
        <v>4253</v>
      </c>
      <c r="B560" s="1" t="s">
        <v>3597</v>
      </c>
      <c r="C560" s="1">
        <v>317</v>
      </c>
      <c r="D560" s="1" t="s">
        <v>1202</v>
      </c>
      <c r="E560" s="1">
        <v>2016</v>
      </c>
      <c r="F560" s="1" t="s">
        <v>1221</v>
      </c>
      <c r="G560" s="1" t="s">
        <v>1908</v>
      </c>
      <c r="H560" s="4">
        <v>22.992170000000002</v>
      </c>
      <c r="I560" s="4">
        <v>120.16679999999999</v>
      </c>
      <c r="J560" s="1" t="s">
        <v>1404</v>
      </c>
      <c r="K560" s="1" t="s">
        <v>70</v>
      </c>
      <c r="L560" s="1" t="s">
        <v>1909</v>
      </c>
      <c r="M560" s="1" t="s">
        <v>3598</v>
      </c>
      <c r="N560" s="1"/>
      <c r="O560" s="1" t="s">
        <v>3095</v>
      </c>
      <c r="P560" s="1"/>
      <c r="Q560" s="4">
        <v>6.4</v>
      </c>
      <c r="R560" s="4"/>
      <c r="S560" s="4"/>
      <c r="T560" s="4"/>
      <c r="U560" s="4"/>
      <c r="V560" s="4">
        <v>25.300560000000001</v>
      </c>
      <c r="W560" s="4"/>
      <c r="X560" s="4"/>
      <c r="Y560" s="4"/>
      <c r="Z560" s="4"/>
      <c r="AA560" s="4"/>
      <c r="AB560" s="4" t="s">
        <v>1032</v>
      </c>
      <c r="AC560" s="4"/>
      <c r="AD560" s="4">
        <v>22.922000000000001</v>
      </c>
      <c r="AE560" s="4">
        <v>120.544</v>
      </c>
      <c r="AF560" s="4">
        <v>14.6</v>
      </c>
      <c r="AG560" s="4">
        <v>271.64400000000001</v>
      </c>
      <c r="AH560" s="27" t="b">
        <v>1</v>
      </c>
      <c r="AI560" s="4">
        <v>2.9329999999999998</v>
      </c>
      <c r="AJ560" s="27" t="b">
        <v>0</v>
      </c>
      <c r="AK560" s="4"/>
      <c r="AL560" s="27" t="b">
        <v>1</v>
      </c>
      <c r="AM560" s="4">
        <v>133.14699999999999</v>
      </c>
      <c r="AN560" s="4">
        <v>81.429199999999994</v>
      </c>
      <c r="AO560" s="4">
        <v>47.635199999999998</v>
      </c>
      <c r="AP560" s="4">
        <v>52.383400000000002</v>
      </c>
      <c r="AQ560" s="4">
        <v>17.825700000000001</v>
      </c>
      <c r="AR560" s="4">
        <v>13.411799999999999</v>
      </c>
      <c r="AS560" s="4">
        <v>19.829999999999998</v>
      </c>
      <c r="AT560" s="4">
        <v>9.9962300000000006</v>
      </c>
      <c r="AU560" s="4">
        <v>7.0963799999999999</v>
      </c>
      <c r="AV560" s="4">
        <v>-1.147</v>
      </c>
      <c r="AW560" s="4">
        <v>-0.75851500000000005</v>
      </c>
      <c r="AX560" s="4">
        <v>0.79632000000000003</v>
      </c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1" t="s">
        <v>3599</v>
      </c>
      <c r="BJ560" s="1" t="s">
        <v>4254</v>
      </c>
      <c r="BK560" s="1">
        <v>1</v>
      </c>
      <c r="BL560" s="1"/>
      <c r="BM560" s="1" t="s">
        <v>672</v>
      </c>
      <c r="BN560" s="1" t="s">
        <v>2966</v>
      </c>
      <c r="BO560" s="1" t="s">
        <v>2967</v>
      </c>
      <c r="BP560" s="1">
        <v>6.4</v>
      </c>
      <c r="BQ560" s="1" t="s">
        <v>1003</v>
      </c>
      <c r="BR560" s="1">
        <v>22.922000000000001</v>
      </c>
      <c r="BS560" s="1">
        <v>120.544</v>
      </c>
      <c r="BT560" s="1">
        <v>14.6</v>
      </c>
      <c r="BU560" s="1" t="s">
        <v>1032</v>
      </c>
      <c r="BV560" s="1" t="s">
        <v>2922</v>
      </c>
      <c r="BW560" s="1">
        <v>295</v>
      </c>
      <c r="BX560" s="1">
        <v>22</v>
      </c>
      <c r="BY560" s="1">
        <v>20</v>
      </c>
      <c r="BZ560" s="1"/>
      <c r="CA560" s="1"/>
      <c r="CB560" s="1"/>
      <c r="CC560" s="1" t="s">
        <v>2808</v>
      </c>
      <c r="CD560" s="1" t="s">
        <v>731</v>
      </c>
      <c r="CE560" s="1"/>
      <c r="CF560" s="1"/>
      <c r="CG560" s="1"/>
      <c r="CH560" s="1"/>
      <c r="CI560" s="1"/>
      <c r="CJ560" s="1" t="s">
        <v>2812</v>
      </c>
      <c r="CK560" t="s">
        <v>1263</v>
      </c>
      <c r="CL560">
        <v>317</v>
      </c>
      <c r="CM560" t="s">
        <v>2968</v>
      </c>
    </row>
    <row r="561" spans="1:91" ht="19" customHeight="1">
      <c r="A561" s="1" t="s">
        <v>4255</v>
      </c>
      <c r="B561" s="1" t="s">
        <v>3597</v>
      </c>
      <c r="C561" s="1">
        <v>318</v>
      </c>
      <c r="D561" s="1" t="s">
        <v>1202</v>
      </c>
      <c r="E561" s="1">
        <v>2016</v>
      </c>
      <c r="F561" s="1" t="s">
        <v>1173</v>
      </c>
      <c r="G561" s="1" t="s">
        <v>1914</v>
      </c>
      <c r="H561" s="4">
        <v>23.119669999999999</v>
      </c>
      <c r="I561" s="4">
        <v>120.3613</v>
      </c>
      <c r="J561" s="1" t="s">
        <v>1404</v>
      </c>
      <c r="K561" s="1" t="s">
        <v>70</v>
      </c>
      <c r="L561" s="1" t="s">
        <v>1915</v>
      </c>
      <c r="M561" s="1" t="s">
        <v>3598</v>
      </c>
      <c r="N561" s="1"/>
      <c r="O561" s="1" t="s">
        <v>3095</v>
      </c>
      <c r="P561" s="1"/>
      <c r="Q561" s="4">
        <v>6.4</v>
      </c>
      <c r="R561" s="4"/>
      <c r="S561" s="4"/>
      <c r="T561" s="4"/>
      <c r="U561" s="4"/>
      <c r="V561" s="4">
        <v>21.162410000000001</v>
      </c>
      <c r="W561" s="4"/>
      <c r="X561" s="4"/>
      <c r="Y561" s="4"/>
      <c r="Z561" s="4"/>
      <c r="AA561" s="4"/>
      <c r="AB561" s="4" t="s">
        <v>1032</v>
      </c>
      <c r="AC561" s="4"/>
      <c r="AD561" s="4">
        <v>22.922000000000001</v>
      </c>
      <c r="AE561" s="4">
        <v>120.544</v>
      </c>
      <c r="AF561" s="4">
        <v>14.6</v>
      </c>
      <c r="AG561" s="4">
        <v>457.68860000000001</v>
      </c>
      <c r="AH561" s="27" t="b">
        <v>1</v>
      </c>
      <c r="AI561" s="4">
        <v>1.8480000000000001</v>
      </c>
      <c r="AJ561" s="27" t="b">
        <v>0</v>
      </c>
      <c r="AK561" s="4"/>
      <c r="AL561" s="27" t="b">
        <v>1</v>
      </c>
      <c r="AM561" s="4">
        <v>262.96499999999997</v>
      </c>
      <c r="AN561" s="4">
        <v>260.26400000000001</v>
      </c>
      <c r="AO561" s="4">
        <v>166.36199999999999</v>
      </c>
      <c r="AP561" s="4">
        <v>41.3095</v>
      </c>
      <c r="AQ561" s="4">
        <v>58.843499999999999</v>
      </c>
      <c r="AR561" s="4">
        <v>13.6776</v>
      </c>
      <c r="AS561" s="4">
        <v>16.695399999999999</v>
      </c>
      <c r="AT561" s="4">
        <v>19.028300000000002</v>
      </c>
      <c r="AU561" s="4">
        <v>5.1742800000000004</v>
      </c>
      <c r="AV561" s="4">
        <v>-1.9692099999999999</v>
      </c>
      <c r="AW561" s="4">
        <v>2.3756499999999998</v>
      </c>
      <c r="AX561" s="4">
        <v>1.7991600000000001</v>
      </c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1" t="s">
        <v>3599</v>
      </c>
      <c r="BJ561" s="1" t="s">
        <v>4256</v>
      </c>
      <c r="BK561" s="1">
        <v>1</v>
      </c>
      <c r="BL561" s="1"/>
      <c r="BM561" s="1" t="s">
        <v>672</v>
      </c>
      <c r="BN561" s="1" t="s">
        <v>2966</v>
      </c>
      <c r="BO561" s="1" t="s">
        <v>2967</v>
      </c>
      <c r="BP561" s="1">
        <v>6.4</v>
      </c>
      <c r="BQ561" s="1" t="s">
        <v>1003</v>
      </c>
      <c r="BR561" s="1">
        <v>22.922000000000001</v>
      </c>
      <c r="BS561" s="1">
        <v>120.544</v>
      </c>
      <c r="BT561" s="1">
        <v>14.6</v>
      </c>
      <c r="BU561" s="1" t="s">
        <v>1032</v>
      </c>
      <c r="BV561" s="1" t="s">
        <v>2922</v>
      </c>
      <c r="BW561" s="1">
        <v>295</v>
      </c>
      <c r="BX561" s="1">
        <v>22</v>
      </c>
      <c r="BY561" s="1">
        <v>20</v>
      </c>
      <c r="BZ561" s="1"/>
      <c r="CA561" s="1"/>
      <c r="CB561" s="1"/>
      <c r="CC561" s="1" t="s">
        <v>2808</v>
      </c>
      <c r="CD561" s="1" t="s">
        <v>731</v>
      </c>
      <c r="CE561" s="1"/>
      <c r="CF561" s="1"/>
      <c r="CG561" s="1"/>
      <c r="CH561" s="1"/>
      <c r="CI561" s="1"/>
      <c r="CJ561" s="1" t="s">
        <v>2812</v>
      </c>
      <c r="CK561" t="s">
        <v>1263</v>
      </c>
      <c r="CL561">
        <v>318</v>
      </c>
      <c r="CM561" t="s">
        <v>2968</v>
      </c>
    </row>
    <row r="562" spans="1:91" ht="19" customHeight="1">
      <c r="A562" s="1" t="s">
        <v>4257</v>
      </c>
      <c r="B562" s="1" t="s">
        <v>3597</v>
      </c>
      <c r="C562" s="1">
        <v>319</v>
      </c>
      <c r="D562" s="1" t="s">
        <v>1202</v>
      </c>
      <c r="E562" s="1">
        <v>2016</v>
      </c>
      <c r="F562" s="1" t="s">
        <v>1222</v>
      </c>
      <c r="G562" s="1" t="s">
        <v>2016</v>
      </c>
      <c r="H562" s="4">
        <v>23.0213</v>
      </c>
      <c r="I562" s="4">
        <v>120.3479</v>
      </c>
      <c r="J562" s="1" t="s">
        <v>1404</v>
      </c>
      <c r="K562" s="1" t="s">
        <v>70</v>
      </c>
      <c r="L562" s="1" t="s">
        <v>2017</v>
      </c>
      <c r="M562" s="1" t="s">
        <v>3598</v>
      </c>
      <c r="N562" s="1"/>
      <c r="O562" s="1" t="s">
        <v>3095</v>
      </c>
      <c r="P562" s="1"/>
      <c r="Q562" s="4">
        <v>6.4</v>
      </c>
      <c r="R562" s="4"/>
      <c r="S562" s="4"/>
      <c r="T562" s="4"/>
      <c r="U562" s="4"/>
      <c r="V562" s="4">
        <v>20.106081</v>
      </c>
      <c r="W562" s="4"/>
      <c r="X562" s="4"/>
      <c r="Y562" s="4"/>
      <c r="Z562" s="4"/>
      <c r="AA562" s="4"/>
      <c r="AB562" s="4" t="s">
        <v>1032</v>
      </c>
      <c r="AC562" s="4"/>
      <c r="AD562" s="4">
        <v>22.922000000000001</v>
      </c>
      <c r="AE562" s="4">
        <v>120.544</v>
      </c>
      <c r="AF562" s="4">
        <v>14.6</v>
      </c>
      <c r="AG562" s="4"/>
      <c r="AH562" s="27" t="b">
        <v>1</v>
      </c>
      <c r="AI562" s="4">
        <v>1.75</v>
      </c>
      <c r="AJ562" s="27" t="b">
        <v>0</v>
      </c>
      <c r="AK562" s="4"/>
      <c r="AL562" s="27" t="b">
        <v>1</v>
      </c>
      <c r="AM562" s="4">
        <v>425.40100000000001</v>
      </c>
      <c r="AN562" s="4">
        <v>243.31700000000001</v>
      </c>
      <c r="AO562" s="4">
        <v>186.31800000000001</v>
      </c>
      <c r="AP562" s="4">
        <v>70.027699999999996</v>
      </c>
      <c r="AQ562" s="4">
        <v>29.657399999999999</v>
      </c>
      <c r="AR562" s="4">
        <v>12.683999999999999</v>
      </c>
      <c r="AS562" s="4">
        <v>24.052900000000001</v>
      </c>
      <c r="AT562" s="4">
        <v>8.8400400000000001</v>
      </c>
      <c r="AU562" s="4">
        <v>13.7346</v>
      </c>
      <c r="AV562" s="4">
        <v>-2.7199200000000001</v>
      </c>
      <c r="AW562" s="4">
        <v>-9.639E-3</v>
      </c>
      <c r="AX562" s="4">
        <v>2.3423099999999999</v>
      </c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1" t="s">
        <v>4258</v>
      </c>
      <c r="BJ562" s="1" t="s">
        <v>4259</v>
      </c>
      <c r="BK562" s="1">
        <v>1</v>
      </c>
      <c r="BL562" s="1"/>
      <c r="BM562" s="1" t="s">
        <v>672</v>
      </c>
      <c r="BN562" s="1" t="s">
        <v>2966</v>
      </c>
      <c r="BO562" s="1" t="s">
        <v>2967</v>
      </c>
      <c r="BP562" s="1">
        <v>6.4</v>
      </c>
      <c r="BQ562" s="1" t="s">
        <v>1003</v>
      </c>
      <c r="BR562" s="1">
        <v>22.922000000000001</v>
      </c>
      <c r="BS562" s="1">
        <v>120.544</v>
      </c>
      <c r="BT562" s="1">
        <v>14.6</v>
      </c>
      <c r="BU562" s="1" t="s">
        <v>1032</v>
      </c>
      <c r="BV562" s="1" t="s">
        <v>2922</v>
      </c>
      <c r="BW562" s="1">
        <v>295</v>
      </c>
      <c r="BX562" s="1">
        <v>22</v>
      </c>
      <c r="BY562" s="1">
        <v>20</v>
      </c>
      <c r="BZ562" s="1"/>
      <c r="CA562" s="1"/>
      <c r="CB562" s="1"/>
      <c r="CC562" s="1" t="s">
        <v>2808</v>
      </c>
      <c r="CD562" s="1" t="s">
        <v>731</v>
      </c>
      <c r="CE562" s="1"/>
      <c r="CF562" s="1"/>
      <c r="CG562" s="1"/>
      <c r="CH562" s="1"/>
      <c r="CI562" s="1"/>
      <c r="CJ562" s="1" t="s">
        <v>2812</v>
      </c>
      <c r="CK562" t="s">
        <v>1263</v>
      </c>
      <c r="CL562">
        <v>319</v>
      </c>
      <c r="CM562" t="s">
        <v>2968</v>
      </c>
    </row>
    <row r="563" spans="1:91" ht="19" customHeight="1">
      <c r="A563" s="1" t="s">
        <v>4260</v>
      </c>
      <c r="B563" s="1" t="s">
        <v>3597</v>
      </c>
      <c r="C563" s="1">
        <v>320</v>
      </c>
      <c r="D563" s="1" t="s">
        <v>1202</v>
      </c>
      <c r="E563" s="1">
        <v>2016</v>
      </c>
      <c r="F563" s="1" t="s">
        <v>1223</v>
      </c>
      <c r="G563" s="1" t="s">
        <v>2076</v>
      </c>
      <c r="H563" s="4">
        <v>23.136146</v>
      </c>
      <c r="I563" s="4">
        <v>120.28819300000001</v>
      </c>
      <c r="J563" s="1" t="s">
        <v>1404</v>
      </c>
      <c r="K563" s="1" t="s">
        <v>70</v>
      </c>
      <c r="L563" s="1" t="s">
        <v>2077</v>
      </c>
      <c r="M563" s="1" t="s">
        <v>3598</v>
      </c>
      <c r="N563" s="1"/>
      <c r="O563" s="1" t="s">
        <v>3095</v>
      </c>
      <c r="P563" s="1"/>
      <c r="Q563" s="4">
        <v>6.4</v>
      </c>
      <c r="R563" s="4"/>
      <c r="S563" s="4"/>
      <c r="T563" s="4"/>
      <c r="U563" s="4"/>
      <c r="V563" s="4">
        <v>28.577749000000001</v>
      </c>
      <c r="W563" s="4"/>
      <c r="X563" s="4"/>
      <c r="Y563" s="4"/>
      <c r="Z563" s="4"/>
      <c r="AA563" s="4"/>
      <c r="AB563" s="4" t="s">
        <v>1032</v>
      </c>
      <c r="AC563" s="4"/>
      <c r="AD563" s="4">
        <v>22.922000000000001</v>
      </c>
      <c r="AE563" s="4">
        <v>120.544</v>
      </c>
      <c r="AF563" s="4">
        <v>14.6</v>
      </c>
      <c r="AG563" s="4">
        <v>217.11770000000001</v>
      </c>
      <c r="AH563" s="27" t="b">
        <v>1</v>
      </c>
      <c r="AI563" s="4">
        <v>2.016</v>
      </c>
      <c r="AJ563" s="27" t="b">
        <v>0</v>
      </c>
      <c r="AK563" s="4"/>
      <c r="AL563" s="27" t="b">
        <v>1</v>
      </c>
      <c r="AM563" s="4">
        <v>222.35599999999999</v>
      </c>
      <c r="AN563" s="4">
        <v>221.64</v>
      </c>
      <c r="AO563" s="4">
        <v>52.043100000000003</v>
      </c>
      <c r="AP563" s="4">
        <v>29.522500000000001</v>
      </c>
      <c r="AQ563" s="4">
        <v>55.849800000000002</v>
      </c>
      <c r="AR563" s="4">
        <v>9.0351300000000005</v>
      </c>
      <c r="AS563" s="4">
        <v>8.2867300000000004</v>
      </c>
      <c r="AT563" s="4">
        <v>16.002800000000001</v>
      </c>
      <c r="AU563" s="4">
        <v>6.1974900000000002</v>
      </c>
      <c r="AV563" s="4">
        <v>-4.6222399999999997</v>
      </c>
      <c r="AW563" s="4">
        <v>-1.5434300000000001</v>
      </c>
      <c r="AX563" s="4">
        <v>-0.19475799999999999</v>
      </c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1" t="s">
        <v>3599</v>
      </c>
      <c r="BJ563" s="1" t="s">
        <v>4261</v>
      </c>
      <c r="BK563" s="1">
        <v>1</v>
      </c>
      <c r="BL563" s="1"/>
      <c r="BM563" s="1" t="s">
        <v>672</v>
      </c>
      <c r="BN563" s="1" t="s">
        <v>2966</v>
      </c>
      <c r="BO563" s="1" t="s">
        <v>2967</v>
      </c>
      <c r="BP563" s="1">
        <v>6.4</v>
      </c>
      <c r="BQ563" s="1" t="s">
        <v>1003</v>
      </c>
      <c r="BR563" s="1">
        <v>22.922000000000001</v>
      </c>
      <c r="BS563" s="1">
        <v>120.544</v>
      </c>
      <c r="BT563" s="1">
        <v>14.6</v>
      </c>
      <c r="BU563" s="1" t="s">
        <v>1032</v>
      </c>
      <c r="BV563" s="1" t="s">
        <v>2922</v>
      </c>
      <c r="BW563" s="1">
        <v>295</v>
      </c>
      <c r="BX563" s="1">
        <v>22</v>
      </c>
      <c r="BY563" s="1">
        <v>20</v>
      </c>
      <c r="BZ563" s="1"/>
      <c r="CA563" s="1"/>
      <c r="CB563" s="1"/>
      <c r="CC563" s="1" t="s">
        <v>2808</v>
      </c>
      <c r="CD563" s="1" t="s">
        <v>731</v>
      </c>
      <c r="CE563" s="1"/>
      <c r="CF563" s="1"/>
      <c r="CG563" s="1"/>
      <c r="CH563" s="1"/>
      <c r="CI563" s="1"/>
      <c r="CJ563" s="1" t="s">
        <v>2812</v>
      </c>
      <c r="CK563" t="s">
        <v>1263</v>
      </c>
      <c r="CL563">
        <v>320</v>
      </c>
      <c r="CM563" t="s">
        <v>2968</v>
      </c>
    </row>
    <row r="564" spans="1:91" ht="19" customHeight="1">
      <c r="A564" s="1" t="s">
        <v>4262</v>
      </c>
      <c r="B564" s="1" t="s">
        <v>3597</v>
      </c>
      <c r="C564" s="1">
        <v>321</v>
      </c>
      <c r="D564" s="1" t="s">
        <v>1202</v>
      </c>
      <c r="E564" s="1">
        <v>2016</v>
      </c>
      <c r="F564" s="1" t="s">
        <v>1224</v>
      </c>
      <c r="G564" s="1" t="s">
        <v>2280</v>
      </c>
      <c r="H564" s="4">
        <v>23.137080000000001</v>
      </c>
      <c r="I564" s="4">
        <v>120.30697000000001</v>
      </c>
      <c r="J564" s="1" t="s">
        <v>1404</v>
      </c>
      <c r="K564" s="1" t="s">
        <v>70</v>
      </c>
      <c r="L564" s="1" t="s">
        <v>2281</v>
      </c>
      <c r="M564" s="1" t="s">
        <v>3598</v>
      </c>
      <c r="N564" s="1"/>
      <c r="O564" s="1" t="s">
        <v>3095</v>
      </c>
      <c r="P564" s="1"/>
      <c r="Q564" s="4">
        <v>6.4</v>
      </c>
      <c r="R564" s="4"/>
      <c r="S564" s="4"/>
      <c r="T564" s="4"/>
      <c r="U564" s="4"/>
      <c r="V564" s="4">
        <v>27.437298999999999</v>
      </c>
      <c r="W564" s="4"/>
      <c r="X564" s="4"/>
      <c r="Y564" s="4"/>
      <c r="Z564" s="4"/>
      <c r="AA564" s="4"/>
      <c r="AB564" s="4" t="s">
        <v>1032</v>
      </c>
      <c r="AC564" s="4"/>
      <c r="AD564" s="4">
        <v>22.922000000000001</v>
      </c>
      <c r="AE564" s="4">
        <v>120.544</v>
      </c>
      <c r="AF564" s="4">
        <v>14.6</v>
      </c>
      <c r="AG564" s="4"/>
      <c r="AH564" s="27" t="b">
        <v>1</v>
      </c>
      <c r="AI564" s="4">
        <v>2.2890000000000001</v>
      </c>
      <c r="AJ564" s="27" t="b">
        <v>0</v>
      </c>
      <c r="AK564" s="4"/>
      <c r="AL564" s="27" t="b">
        <v>1</v>
      </c>
      <c r="AM564" s="4">
        <v>170.66200000000001</v>
      </c>
      <c r="AN564" s="4">
        <v>234.73</v>
      </c>
      <c r="AO564" s="4">
        <v>56.843400000000003</v>
      </c>
      <c r="AP564" s="4">
        <v>31.6036</v>
      </c>
      <c r="AQ564" s="4">
        <v>66.198999999999998</v>
      </c>
      <c r="AR564" s="4">
        <v>10.1417</v>
      </c>
      <c r="AS564" s="4">
        <v>7.7173699999999998</v>
      </c>
      <c r="AT564" s="4">
        <v>20.129300000000001</v>
      </c>
      <c r="AU564" s="4">
        <v>4.7302200000000001</v>
      </c>
      <c r="AV564" s="4">
        <v>-3.9203399999999999</v>
      </c>
      <c r="AW564" s="4">
        <v>1.5647599999999999</v>
      </c>
      <c r="AX564" s="4">
        <v>2.0579299999999998</v>
      </c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1" t="s">
        <v>4258</v>
      </c>
      <c r="BJ564" s="1" t="s">
        <v>4263</v>
      </c>
      <c r="BK564" s="1">
        <v>1</v>
      </c>
      <c r="BL564" s="1"/>
      <c r="BM564" s="1" t="s">
        <v>672</v>
      </c>
      <c r="BN564" s="1" t="s">
        <v>2966</v>
      </c>
      <c r="BO564" s="1" t="s">
        <v>2967</v>
      </c>
      <c r="BP564" s="1">
        <v>6.4</v>
      </c>
      <c r="BQ564" s="1" t="s">
        <v>1003</v>
      </c>
      <c r="BR564" s="1">
        <v>22.922000000000001</v>
      </c>
      <c r="BS564" s="1">
        <v>120.544</v>
      </c>
      <c r="BT564" s="1">
        <v>14.6</v>
      </c>
      <c r="BU564" s="1" t="s">
        <v>1032</v>
      </c>
      <c r="BV564" s="1" t="s">
        <v>2922</v>
      </c>
      <c r="BW564" s="1">
        <v>295</v>
      </c>
      <c r="BX564" s="1">
        <v>22</v>
      </c>
      <c r="BY564" s="1">
        <v>20</v>
      </c>
      <c r="BZ564" s="1"/>
      <c r="CA564" s="1"/>
      <c r="CB564" s="1"/>
      <c r="CC564" s="1" t="s">
        <v>2808</v>
      </c>
      <c r="CD564" s="1" t="s">
        <v>731</v>
      </c>
      <c r="CE564" s="1"/>
      <c r="CF564" s="1"/>
      <c r="CG564" s="1"/>
      <c r="CH564" s="1"/>
      <c r="CI564" s="1"/>
      <c r="CJ564" s="1" t="s">
        <v>2812</v>
      </c>
      <c r="CK564" t="s">
        <v>1263</v>
      </c>
      <c r="CL564">
        <v>321</v>
      </c>
      <c r="CM564" t="s">
        <v>2968</v>
      </c>
    </row>
    <row r="565" spans="1:91" ht="19" customHeight="1">
      <c r="A565" s="1" t="s">
        <v>4264</v>
      </c>
      <c r="B565" s="1" t="s">
        <v>3597</v>
      </c>
      <c r="C565" s="1">
        <v>322</v>
      </c>
      <c r="D565" s="1" t="s">
        <v>1225</v>
      </c>
      <c r="E565" s="1">
        <v>2018</v>
      </c>
      <c r="F565" s="1" t="s">
        <v>1226</v>
      </c>
      <c r="G565" s="1" t="s">
        <v>1923</v>
      </c>
      <c r="H565" s="4">
        <v>23.986499999999999</v>
      </c>
      <c r="I565" s="4">
        <v>121.626167</v>
      </c>
      <c r="J565" s="1" t="s">
        <v>1404</v>
      </c>
      <c r="K565" s="1" t="s">
        <v>70</v>
      </c>
      <c r="L565" s="1" t="s">
        <v>1925</v>
      </c>
      <c r="M565" s="1" t="s">
        <v>3598</v>
      </c>
      <c r="N565" s="1"/>
      <c r="O565" s="1" t="s">
        <v>3095</v>
      </c>
      <c r="P565" s="1"/>
      <c r="Q565" s="4">
        <v>6.42</v>
      </c>
      <c r="R565" s="4"/>
      <c r="S565" s="4"/>
      <c r="T565" s="4"/>
      <c r="U565" s="4"/>
      <c r="V565" s="4">
        <v>1.7</v>
      </c>
      <c r="W565" s="4"/>
      <c r="X565" s="4"/>
      <c r="Y565" s="4"/>
      <c r="Z565" s="4"/>
      <c r="AA565" s="4"/>
      <c r="AB565" s="4" t="s">
        <v>1032</v>
      </c>
      <c r="AC565" s="4"/>
      <c r="AD565" s="4">
        <v>24.116199999999999</v>
      </c>
      <c r="AE565" s="4">
        <v>121.7225</v>
      </c>
      <c r="AF565" s="4">
        <v>4.8899999999999997</v>
      </c>
      <c r="AG565" s="4">
        <v>378.85310700000002</v>
      </c>
      <c r="AH565" s="27" t="b">
        <v>1</v>
      </c>
      <c r="AI565" s="4">
        <v>4.4729999999999999</v>
      </c>
      <c r="AJ565" s="27" t="b">
        <v>0</v>
      </c>
      <c r="AK565" s="4"/>
      <c r="AL565" s="27" t="b">
        <v>1</v>
      </c>
      <c r="AM565" s="4">
        <v>288.25299999999999</v>
      </c>
      <c r="AN565" s="4">
        <v>243.411</v>
      </c>
      <c r="AO565" s="4">
        <v>234.73699999999999</v>
      </c>
      <c r="AP565" s="4">
        <v>94.970299999999995</v>
      </c>
      <c r="AQ565" s="4">
        <v>72.797200000000004</v>
      </c>
      <c r="AR565" s="4">
        <v>24.930099999999999</v>
      </c>
      <c r="AS565" s="4">
        <v>98.976600000000005</v>
      </c>
      <c r="AT565" s="4">
        <v>60.376800000000003</v>
      </c>
      <c r="AU565" s="4">
        <v>44.8063</v>
      </c>
      <c r="AV565" s="4">
        <v>52.0398</v>
      </c>
      <c r="AW565" s="4">
        <v>23.604900000000001</v>
      </c>
      <c r="AX565" s="4">
        <v>23.421399999999998</v>
      </c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1" t="s">
        <v>3599</v>
      </c>
      <c r="BJ565" s="1" t="s">
        <v>4265</v>
      </c>
      <c r="BK565" s="1">
        <v>1</v>
      </c>
      <c r="BL565" s="1"/>
      <c r="BM565" s="1" t="s">
        <v>676</v>
      </c>
      <c r="BN565" s="1" t="s">
        <v>2970</v>
      </c>
      <c r="BO565" s="1" t="s">
        <v>2971</v>
      </c>
      <c r="BP565" s="1">
        <v>6.42</v>
      </c>
      <c r="BQ565" s="1" t="s">
        <v>1003</v>
      </c>
      <c r="BR565" s="1">
        <v>24.116199999999999</v>
      </c>
      <c r="BS565" s="1">
        <v>121.7225</v>
      </c>
      <c r="BT565" s="1">
        <v>4.8899999999999997</v>
      </c>
      <c r="BU565" s="1" t="s">
        <v>1032</v>
      </c>
      <c r="BV565" s="1" t="s">
        <v>2922</v>
      </c>
      <c r="BW565" s="1">
        <v>216</v>
      </c>
      <c r="BX565" s="1">
        <v>56</v>
      </c>
      <c r="BY565" s="1">
        <v>26</v>
      </c>
      <c r="BZ565" s="1"/>
      <c r="CA565" s="1"/>
      <c r="CB565" s="1"/>
      <c r="CC565" s="1" t="s">
        <v>2808</v>
      </c>
      <c r="CD565" s="1" t="s">
        <v>731</v>
      </c>
      <c r="CE565" s="1"/>
      <c r="CF565" s="1"/>
      <c r="CG565" s="1"/>
      <c r="CH565" s="1"/>
      <c r="CI565" s="1"/>
      <c r="CJ565" s="1" t="s">
        <v>2812</v>
      </c>
      <c r="CK565" t="s">
        <v>1263</v>
      </c>
      <c r="CL565">
        <v>322</v>
      </c>
      <c r="CM565" t="s">
        <v>2972</v>
      </c>
    </row>
    <row r="566" spans="1:91" ht="19" customHeight="1">
      <c r="A566" s="1" t="s">
        <v>4266</v>
      </c>
      <c r="B566" s="1" t="s">
        <v>3597</v>
      </c>
      <c r="C566" s="1">
        <v>323</v>
      </c>
      <c r="D566" s="1" t="s">
        <v>1225</v>
      </c>
      <c r="E566" s="1">
        <v>2018</v>
      </c>
      <c r="F566" s="1" t="s">
        <v>1227</v>
      </c>
      <c r="G566" s="1" t="s">
        <v>1926</v>
      </c>
      <c r="H566" s="4">
        <v>23.987333</v>
      </c>
      <c r="I566" s="4">
        <v>121.60299999999999</v>
      </c>
      <c r="J566" s="1" t="s">
        <v>1404</v>
      </c>
      <c r="K566" s="1" t="s">
        <v>70</v>
      </c>
      <c r="L566" s="1" t="s">
        <v>1927</v>
      </c>
      <c r="M566" s="1" t="s">
        <v>3598</v>
      </c>
      <c r="N566" s="1"/>
      <c r="O566" s="1" t="s">
        <v>3095</v>
      </c>
      <c r="P566" s="1"/>
      <c r="Q566" s="4">
        <v>6.42</v>
      </c>
      <c r="R566" s="4"/>
      <c r="S566" s="4"/>
      <c r="T566" s="4"/>
      <c r="U566" s="4"/>
      <c r="V566" s="4">
        <v>0.7</v>
      </c>
      <c r="W566" s="4"/>
      <c r="X566" s="4"/>
      <c r="Y566" s="4"/>
      <c r="Z566" s="4"/>
      <c r="AA566" s="4"/>
      <c r="AB566" s="4" t="s">
        <v>1032</v>
      </c>
      <c r="AC566" s="4"/>
      <c r="AD566" s="4">
        <v>24.116199999999999</v>
      </c>
      <c r="AE566" s="4">
        <v>121.7225</v>
      </c>
      <c r="AF566" s="4">
        <v>4.8899999999999997</v>
      </c>
      <c r="AG566" s="4">
        <v>297.02970299999998</v>
      </c>
      <c r="AH566" s="27" t="b">
        <v>1</v>
      </c>
      <c r="AI566" s="4">
        <v>3.2690000000000001</v>
      </c>
      <c r="AJ566" s="27" t="b">
        <v>1</v>
      </c>
      <c r="AK566" s="4">
        <v>2.758</v>
      </c>
      <c r="AL566" s="27" t="b">
        <v>1</v>
      </c>
      <c r="AM566" s="4">
        <v>227.672</v>
      </c>
      <c r="AN566" s="4">
        <v>335.70100000000002</v>
      </c>
      <c r="AO566" s="4">
        <v>314.41000000000003</v>
      </c>
      <c r="AP566" s="4">
        <v>95.235200000000006</v>
      </c>
      <c r="AQ566" s="4">
        <v>80.353800000000007</v>
      </c>
      <c r="AR566" s="4">
        <v>32.441400000000002</v>
      </c>
      <c r="AS566" s="4">
        <v>46.859900000000003</v>
      </c>
      <c r="AT566" s="4">
        <v>79.861699999999999</v>
      </c>
      <c r="AU566" s="4">
        <v>25.210599999999999</v>
      </c>
      <c r="AV566" s="4">
        <v>9.86191</v>
      </c>
      <c r="AW566" s="4">
        <v>-39.164299999999997</v>
      </c>
      <c r="AX566" s="4">
        <v>-3.20357</v>
      </c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1"/>
      <c r="BJ566" s="1" t="s">
        <v>4267</v>
      </c>
      <c r="BK566" s="1">
        <v>1</v>
      </c>
      <c r="BL566" s="1"/>
      <c r="BM566" s="1" t="s">
        <v>676</v>
      </c>
      <c r="BN566" s="1" t="s">
        <v>2970</v>
      </c>
      <c r="BO566" s="1" t="s">
        <v>2971</v>
      </c>
      <c r="BP566" s="1">
        <v>6.42</v>
      </c>
      <c r="BQ566" s="1" t="s">
        <v>1003</v>
      </c>
      <c r="BR566" s="1">
        <v>24.116199999999999</v>
      </c>
      <c r="BS566" s="1">
        <v>121.7225</v>
      </c>
      <c r="BT566" s="1">
        <v>4.8899999999999997</v>
      </c>
      <c r="BU566" s="1" t="s">
        <v>1032</v>
      </c>
      <c r="BV566" s="1" t="s">
        <v>2922</v>
      </c>
      <c r="BW566" s="1">
        <v>216</v>
      </c>
      <c r="BX566" s="1">
        <v>56</v>
      </c>
      <c r="BY566" s="1">
        <v>26</v>
      </c>
      <c r="BZ566" s="1"/>
      <c r="CA566" s="1"/>
      <c r="CB566" s="1"/>
      <c r="CC566" s="1" t="s">
        <v>2808</v>
      </c>
      <c r="CD566" s="1" t="s">
        <v>731</v>
      </c>
      <c r="CE566" s="1"/>
      <c r="CF566" s="1"/>
      <c r="CG566" s="1"/>
      <c r="CH566" s="1"/>
      <c r="CI566" s="1"/>
      <c r="CJ566" s="1" t="s">
        <v>2812</v>
      </c>
      <c r="CK566" t="s">
        <v>1263</v>
      </c>
      <c r="CL566">
        <v>323</v>
      </c>
      <c r="CM566" t="s">
        <v>2972</v>
      </c>
    </row>
    <row r="567" spans="1:91" ht="19" customHeight="1">
      <c r="A567" s="1" t="s">
        <v>4268</v>
      </c>
      <c r="B567" s="1" t="s">
        <v>3597</v>
      </c>
      <c r="C567" s="1">
        <v>324</v>
      </c>
      <c r="D567" s="1" t="s">
        <v>1225</v>
      </c>
      <c r="E567" s="1">
        <v>2018</v>
      </c>
      <c r="F567" s="1" t="s">
        <v>1228</v>
      </c>
      <c r="G567" s="1" t="s">
        <v>1928</v>
      </c>
      <c r="H567" s="4">
        <v>23.990333</v>
      </c>
      <c r="I567" s="4">
        <v>121.622333</v>
      </c>
      <c r="J567" s="1" t="s">
        <v>1404</v>
      </c>
      <c r="K567" s="1" t="s">
        <v>70</v>
      </c>
      <c r="L567" s="1" t="s">
        <v>1929</v>
      </c>
      <c r="M567" s="1" t="s">
        <v>3598</v>
      </c>
      <c r="N567" s="1"/>
      <c r="O567" s="1" t="s">
        <v>3095</v>
      </c>
      <c r="P567" s="1"/>
      <c r="Q567" s="4">
        <v>6.42</v>
      </c>
      <c r="R567" s="4"/>
      <c r="S567" s="4"/>
      <c r="T567" s="4"/>
      <c r="U567" s="4"/>
      <c r="V567" s="4">
        <v>1.3</v>
      </c>
      <c r="W567" s="4"/>
      <c r="X567" s="4"/>
      <c r="Y567" s="4"/>
      <c r="Z567" s="4"/>
      <c r="AA567" s="4"/>
      <c r="AB567" s="4" t="s">
        <v>1032</v>
      </c>
      <c r="AC567" s="4"/>
      <c r="AD567" s="4">
        <v>24.116199999999999</v>
      </c>
      <c r="AE567" s="4">
        <v>121.7225</v>
      </c>
      <c r="AF567" s="4">
        <v>4.8899999999999997</v>
      </c>
      <c r="AG567" s="4">
        <v>461.07150799999999</v>
      </c>
      <c r="AH567" s="27" t="b">
        <v>1</v>
      </c>
      <c r="AI567" s="4">
        <v>4.7809999999999997</v>
      </c>
      <c r="AJ567" s="27" t="b">
        <v>0</v>
      </c>
      <c r="AK567" s="4"/>
      <c r="AL567" s="27" t="b">
        <v>1</v>
      </c>
      <c r="AM567" s="4">
        <v>249.14699999999999</v>
      </c>
      <c r="AN567" s="4">
        <v>258.22399999999999</v>
      </c>
      <c r="AO567" s="4">
        <v>303.89400000000001</v>
      </c>
      <c r="AP567" s="4">
        <v>106.273</v>
      </c>
      <c r="AQ567" s="4">
        <v>78.721800000000002</v>
      </c>
      <c r="AR567" s="4">
        <v>21.7042</v>
      </c>
      <c r="AS567" s="4">
        <v>113.949</v>
      </c>
      <c r="AT567" s="4">
        <v>49.9557</v>
      </c>
      <c r="AU567" s="4">
        <v>40.390300000000003</v>
      </c>
      <c r="AV567" s="4">
        <v>44.769100000000002</v>
      </c>
      <c r="AW567" s="4">
        <v>35.5989</v>
      </c>
      <c r="AX567" s="4">
        <v>19.1403</v>
      </c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1" t="s">
        <v>3599</v>
      </c>
      <c r="BJ567" s="1" t="s">
        <v>4269</v>
      </c>
      <c r="BK567" s="1">
        <v>1</v>
      </c>
      <c r="BL567" s="1"/>
      <c r="BM567" s="1" t="s">
        <v>676</v>
      </c>
      <c r="BN567" s="1" t="s">
        <v>2970</v>
      </c>
      <c r="BO567" s="1" t="s">
        <v>2971</v>
      </c>
      <c r="BP567" s="1">
        <v>6.42</v>
      </c>
      <c r="BQ567" s="1" t="s">
        <v>1003</v>
      </c>
      <c r="BR567" s="1">
        <v>24.116199999999999</v>
      </c>
      <c r="BS567" s="1">
        <v>121.7225</v>
      </c>
      <c r="BT567" s="1">
        <v>4.8899999999999997</v>
      </c>
      <c r="BU567" s="1" t="s">
        <v>1032</v>
      </c>
      <c r="BV567" s="1" t="s">
        <v>2922</v>
      </c>
      <c r="BW567" s="1">
        <v>216</v>
      </c>
      <c r="BX567" s="1">
        <v>56</v>
      </c>
      <c r="BY567" s="1">
        <v>26</v>
      </c>
      <c r="BZ567" s="1"/>
      <c r="CA567" s="1"/>
      <c r="CB567" s="1"/>
      <c r="CC567" s="1" t="s">
        <v>2808</v>
      </c>
      <c r="CD567" s="1" t="s">
        <v>731</v>
      </c>
      <c r="CE567" s="1"/>
      <c r="CF567" s="1"/>
      <c r="CG567" s="1"/>
      <c r="CH567" s="1"/>
      <c r="CI567" s="1"/>
      <c r="CJ567" s="1" t="s">
        <v>2812</v>
      </c>
      <c r="CK567" t="s">
        <v>1263</v>
      </c>
      <c r="CL567">
        <v>324</v>
      </c>
      <c r="CM567" t="s">
        <v>2972</v>
      </c>
    </row>
    <row r="568" spans="1:91" ht="19" customHeight="1">
      <c r="A568" s="1" t="s">
        <v>4270</v>
      </c>
      <c r="B568" s="1" t="s">
        <v>3597</v>
      </c>
      <c r="C568" s="1">
        <v>325</v>
      </c>
      <c r="D568" s="1" t="s">
        <v>1225</v>
      </c>
      <c r="E568" s="1">
        <v>2018</v>
      </c>
      <c r="F568" s="1" t="s">
        <v>1229</v>
      </c>
      <c r="G568" s="1" t="s">
        <v>1930</v>
      </c>
      <c r="H568" s="4">
        <v>23.978332999999999</v>
      </c>
      <c r="I568" s="4">
        <v>121.602667</v>
      </c>
      <c r="J568" s="1" t="s">
        <v>1404</v>
      </c>
      <c r="K568" s="1" t="s">
        <v>70</v>
      </c>
      <c r="L568" s="1" t="s">
        <v>1931</v>
      </c>
      <c r="M568" s="1" t="s">
        <v>3598</v>
      </c>
      <c r="N568" s="1"/>
      <c r="O568" s="1" t="s">
        <v>3095</v>
      </c>
      <c r="P568" s="1"/>
      <c r="Q568" s="4">
        <v>6.42</v>
      </c>
      <c r="R568" s="4"/>
      <c r="S568" s="4"/>
      <c r="T568" s="4"/>
      <c r="U568" s="4"/>
      <c r="V568" s="4">
        <v>0.7</v>
      </c>
      <c r="W568" s="4"/>
      <c r="X568" s="4"/>
      <c r="Y568" s="4"/>
      <c r="Z568" s="4"/>
      <c r="AA568" s="4"/>
      <c r="AB568" s="4" t="s">
        <v>1032</v>
      </c>
      <c r="AC568" s="4"/>
      <c r="AD568" s="4">
        <v>24.116199999999999</v>
      </c>
      <c r="AE568" s="4">
        <v>121.7225</v>
      </c>
      <c r="AF568" s="4">
        <v>4.8899999999999997</v>
      </c>
      <c r="AG568" s="4">
        <v>249.67750000000001</v>
      </c>
      <c r="AH568" s="27" t="b">
        <v>1</v>
      </c>
      <c r="AI568" s="4">
        <v>3.2480000000000002</v>
      </c>
      <c r="AJ568" s="27" t="b">
        <v>0</v>
      </c>
      <c r="AK568" s="4"/>
      <c r="AL568" s="27" t="b">
        <v>1</v>
      </c>
      <c r="AM568" s="4">
        <v>313.75799999999998</v>
      </c>
      <c r="AN568" s="4">
        <v>195.989</v>
      </c>
      <c r="AO568" s="4">
        <v>261.52100000000002</v>
      </c>
      <c r="AP568" s="4">
        <v>120.488</v>
      </c>
      <c r="AQ568" s="4">
        <v>77.181899999999999</v>
      </c>
      <c r="AR568" s="4">
        <v>28.2575</v>
      </c>
      <c r="AS568" s="4">
        <v>64.5548</v>
      </c>
      <c r="AT568" s="4">
        <v>46.735199999999999</v>
      </c>
      <c r="AU568" s="4">
        <v>21.720199999999998</v>
      </c>
      <c r="AV568" s="4">
        <v>-0.25421899999999997</v>
      </c>
      <c r="AW568" s="4">
        <v>-40.526200000000003</v>
      </c>
      <c r="AX568" s="4">
        <v>-7.59429</v>
      </c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1" t="s">
        <v>3599</v>
      </c>
      <c r="BJ568" s="1" t="s">
        <v>4271</v>
      </c>
      <c r="BK568" s="1">
        <v>1</v>
      </c>
      <c r="BL568" s="1"/>
      <c r="BM568" s="1" t="s">
        <v>676</v>
      </c>
      <c r="BN568" s="1" t="s">
        <v>2970</v>
      </c>
      <c r="BO568" s="1" t="s">
        <v>2971</v>
      </c>
      <c r="BP568" s="1">
        <v>6.42</v>
      </c>
      <c r="BQ568" s="1" t="s">
        <v>1003</v>
      </c>
      <c r="BR568" s="1">
        <v>24.116199999999999</v>
      </c>
      <c r="BS568" s="1">
        <v>121.7225</v>
      </c>
      <c r="BT568" s="1">
        <v>4.8899999999999997</v>
      </c>
      <c r="BU568" s="1" t="s">
        <v>1032</v>
      </c>
      <c r="BV568" s="1" t="s">
        <v>2922</v>
      </c>
      <c r="BW568" s="1">
        <v>216</v>
      </c>
      <c r="BX568" s="1">
        <v>56</v>
      </c>
      <c r="BY568" s="1">
        <v>26</v>
      </c>
      <c r="BZ568" s="1"/>
      <c r="CA568" s="1"/>
      <c r="CB568" s="1"/>
      <c r="CC568" s="1" t="s">
        <v>2808</v>
      </c>
      <c r="CD568" s="1" t="s">
        <v>731</v>
      </c>
      <c r="CE568" s="1"/>
      <c r="CF568" s="1"/>
      <c r="CG568" s="1"/>
      <c r="CH568" s="1"/>
      <c r="CI568" s="1"/>
      <c r="CJ568" s="1" t="s">
        <v>2812</v>
      </c>
      <c r="CK568" t="s">
        <v>1263</v>
      </c>
      <c r="CL568">
        <v>325</v>
      </c>
      <c r="CM568" t="s">
        <v>2972</v>
      </c>
    </row>
    <row r="569" spans="1:91" ht="19" customHeight="1">
      <c r="A569" s="1" t="s">
        <v>4272</v>
      </c>
      <c r="B569" s="1" t="s">
        <v>3597</v>
      </c>
      <c r="C569" s="1">
        <v>326</v>
      </c>
      <c r="D569" s="1" t="s">
        <v>1225</v>
      </c>
      <c r="E569" s="1">
        <v>2018</v>
      </c>
      <c r="F569" s="1" t="s">
        <v>1099</v>
      </c>
      <c r="G569" s="1" t="s">
        <v>1932</v>
      </c>
      <c r="H569" s="4">
        <v>23.995332999999999</v>
      </c>
      <c r="I569" s="4">
        <v>121.59483299999999</v>
      </c>
      <c r="J569" s="1" t="s">
        <v>1404</v>
      </c>
      <c r="K569" s="1" t="s">
        <v>70</v>
      </c>
      <c r="L569" s="1" t="s">
        <v>1933</v>
      </c>
      <c r="M569" s="1" t="s">
        <v>3598</v>
      </c>
      <c r="N569" s="1"/>
      <c r="O569" s="1" t="s">
        <v>3095</v>
      </c>
      <c r="P569" s="1"/>
      <c r="Q569" s="4">
        <v>6.42</v>
      </c>
      <c r="R569" s="4"/>
      <c r="S569" s="4"/>
      <c r="T569" s="4"/>
      <c r="U569" s="4"/>
      <c r="V569" s="4">
        <v>1.6</v>
      </c>
      <c r="W569" s="4"/>
      <c r="X569" s="4"/>
      <c r="Y569" s="4"/>
      <c r="Z569" s="4"/>
      <c r="AA569" s="4"/>
      <c r="AB569" s="4" t="s">
        <v>1032</v>
      </c>
      <c r="AC569" s="4"/>
      <c r="AD569" s="4">
        <v>24.116199999999999</v>
      </c>
      <c r="AE569" s="4">
        <v>121.7225</v>
      </c>
      <c r="AF569" s="4">
        <v>4.8899999999999997</v>
      </c>
      <c r="AG569" s="4">
        <v>360.83714199999997</v>
      </c>
      <c r="AH569" s="27" t="b">
        <v>1</v>
      </c>
      <c r="AI569" s="4">
        <v>3.8290000000000002</v>
      </c>
      <c r="AJ569" s="27" t="b">
        <v>0</v>
      </c>
      <c r="AK569" s="4"/>
      <c r="AL569" s="27" t="b">
        <v>1</v>
      </c>
      <c r="AM569" s="4">
        <v>247.733</v>
      </c>
      <c r="AN569" s="4">
        <v>198.988</v>
      </c>
      <c r="AO569" s="4">
        <v>302.267</v>
      </c>
      <c r="AP569" s="4">
        <v>53.377000000000002</v>
      </c>
      <c r="AQ569" s="4">
        <v>86.932199999999995</v>
      </c>
      <c r="AR569" s="4">
        <v>18.9316</v>
      </c>
      <c r="AS569" s="4">
        <v>20.4758</v>
      </c>
      <c r="AT569" s="4">
        <v>63.994900000000001</v>
      </c>
      <c r="AU569" s="4">
        <v>23.306899999999999</v>
      </c>
      <c r="AV569" s="4">
        <v>-1.20662</v>
      </c>
      <c r="AW569" s="4">
        <v>-27.040299999999998</v>
      </c>
      <c r="AX569" s="4">
        <v>2.1874199999999999</v>
      </c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1" t="s">
        <v>3599</v>
      </c>
      <c r="BJ569" s="1" t="s">
        <v>4273</v>
      </c>
      <c r="BK569" s="1">
        <v>1</v>
      </c>
      <c r="BL569" s="1"/>
      <c r="BM569" s="1" t="s">
        <v>676</v>
      </c>
      <c r="BN569" s="1" t="s">
        <v>2970</v>
      </c>
      <c r="BO569" s="1" t="s">
        <v>2971</v>
      </c>
      <c r="BP569" s="1">
        <v>6.42</v>
      </c>
      <c r="BQ569" s="1" t="s">
        <v>1003</v>
      </c>
      <c r="BR569" s="1">
        <v>24.116199999999999</v>
      </c>
      <c r="BS569" s="1">
        <v>121.7225</v>
      </c>
      <c r="BT569" s="1">
        <v>4.8899999999999997</v>
      </c>
      <c r="BU569" s="1" t="s">
        <v>1032</v>
      </c>
      <c r="BV569" s="1" t="s">
        <v>2922</v>
      </c>
      <c r="BW569" s="1">
        <v>216</v>
      </c>
      <c r="BX569" s="1">
        <v>56</v>
      </c>
      <c r="BY569" s="1">
        <v>26</v>
      </c>
      <c r="BZ569" s="1"/>
      <c r="CA569" s="1"/>
      <c r="CB569" s="1"/>
      <c r="CC569" s="1" t="s">
        <v>2808</v>
      </c>
      <c r="CD569" s="1" t="s">
        <v>731</v>
      </c>
      <c r="CE569" s="1"/>
      <c r="CF569" s="1"/>
      <c r="CG569" s="1"/>
      <c r="CH569" s="1"/>
      <c r="CI569" s="1"/>
      <c r="CJ569" s="1" t="s">
        <v>2812</v>
      </c>
      <c r="CK569" t="s">
        <v>1263</v>
      </c>
      <c r="CL569">
        <v>326</v>
      </c>
      <c r="CM569" t="s">
        <v>2972</v>
      </c>
    </row>
    <row r="570" spans="1:91" ht="19" customHeight="1">
      <c r="A570" s="1" t="s">
        <v>4274</v>
      </c>
      <c r="B570" s="1" t="s">
        <v>3597</v>
      </c>
      <c r="C570" s="1">
        <v>327</v>
      </c>
      <c r="D570" s="1" t="s">
        <v>1225</v>
      </c>
      <c r="E570" s="1">
        <v>2018</v>
      </c>
      <c r="F570" s="1" t="s">
        <v>1230</v>
      </c>
      <c r="G570" s="1" t="s">
        <v>1936</v>
      </c>
      <c r="H570" s="4">
        <v>23.992000000000001</v>
      </c>
      <c r="I570" s="4">
        <v>121.631333</v>
      </c>
      <c r="J570" s="1" t="s">
        <v>1404</v>
      </c>
      <c r="K570" s="1" t="s">
        <v>70</v>
      </c>
      <c r="L570" s="1" t="s">
        <v>1937</v>
      </c>
      <c r="M570" s="1" t="s">
        <v>3598</v>
      </c>
      <c r="N570" s="1"/>
      <c r="O570" s="1" t="s">
        <v>3095</v>
      </c>
      <c r="P570" s="1"/>
      <c r="Q570" s="4">
        <v>6.42</v>
      </c>
      <c r="R570" s="4"/>
      <c r="S570" s="4"/>
      <c r="T570" s="4"/>
      <c r="U570" s="4"/>
      <c r="V570" s="4">
        <v>2.1</v>
      </c>
      <c r="W570" s="4"/>
      <c r="X570" s="4"/>
      <c r="Y570" s="4"/>
      <c r="Z570" s="4"/>
      <c r="AA570" s="4"/>
      <c r="AB570" s="4" t="s">
        <v>1032</v>
      </c>
      <c r="AC570" s="4"/>
      <c r="AD570" s="4">
        <v>24.116199999999999</v>
      </c>
      <c r="AE570" s="4">
        <v>121.7225</v>
      </c>
      <c r="AF570" s="4">
        <v>4.8899999999999997</v>
      </c>
      <c r="AG570" s="4">
        <v>409.78050000000002</v>
      </c>
      <c r="AH570" s="27" t="b">
        <v>1</v>
      </c>
      <c r="AI570" s="4">
        <v>4.8650000000000002</v>
      </c>
      <c r="AJ570" s="27" t="b">
        <v>0</v>
      </c>
      <c r="AK570" s="4"/>
      <c r="AL570" s="27" t="b">
        <v>1</v>
      </c>
      <c r="AM570" s="4">
        <v>276.39800000000002</v>
      </c>
      <c r="AN570" s="4">
        <v>278.70999999999998</v>
      </c>
      <c r="AO570" s="4">
        <v>309.95699999999999</v>
      </c>
      <c r="AP570" s="4">
        <v>81.844999999999999</v>
      </c>
      <c r="AQ570" s="4">
        <v>64.051699999999997</v>
      </c>
      <c r="AR570" s="4">
        <v>27.0212</v>
      </c>
      <c r="AS570" s="4">
        <v>96.68</v>
      </c>
      <c r="AT570" s="4">
        <v>52.423699999999997</v>
      </c>
      <c r="AU570" s="4">
        <v>39.1417</v>
      </c>
      <c r="AV570" s="4">
        <v>43.924199999999999</v>
      </c>
      <c r="AW570" s="4">
        <v>25.153199999999998</v>
      </c>
      <c r="AX570" s="4">
        <v>21.610700000000001</v>
      </c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1" t="s">
        <v>3599</v>
      </c>
      <c r="BJ570" s="1" t="s">
        <v>4275</v>
      </c>
      <c r="BK570" s="1">
        <v>1</v>
      </c>
      <c r="BL570" s="1"/>
      <c r="BM570" s="1" t="s">
        <v>676</v>
      </c>
      <c r="BN570" s="1" t="s">
        <v>2970</v>
      </c>
      <c r="BO570" s="1" t="s">
        <v>2971</v>
      </c>
      <c r="BP570" s="1">
        <v>6.42</v>
      </c>
      <c r="BQ570" s="1" t="s">
        <v>1003</v>
      </c>
      <c r="BR570" s="1">
        <v>24.116199999999999</v>
      </c>
      <c r="BS570" s="1">
        <v>121.7225</v>
      </c>
      <c r="BT570" s="1">
        <v>4.8899999999999997</v>
      </c>
      <c r="BU570" s="1" t="s">
        <v>1032</v>
      </c>
      <c r="BV570" s="1" t="s">
        <v>2922</v>
      </c>
      <c r="BW570" s="1">
        <v>216</v>
      </c>
      <c r="BX570" s="1">
        <v>56</v>
      </c>
      <c r="BY570" s="1">
        <v>26</v>
      </c>
      <c r="BZ570" s="1"/>
      <c r="CA570" s="1"/>
      <c r="CB570" s="1"/>
      <c r="CC570" s="1" t="s">
        <v>2808</v>
      </c>
      <c r="CD570" s="1" t="s">
        <v>731</v>
      </c>
      <c r="CE570" s="1"/>
      <c r="CF570" s="1"/>
      <c r="CG570" s="1"/>
      <c r="CH570" s="1"/>
      <c r="CI570" s="1"/>
      <c r="CJ570" s="1" t="s">
        <v>2812</v>
      </c>
      <c r="CK570" t="s">
        <v>1263</v>
      </c>
      <c r="CL570">
        <v>327</v>
      </c>
      <c r="CM570" t="s">
        <v>2972</v>
      </c>
    </row>
    <row r="571" spans="1:91" ht="19" customHeight="1">
      <c r="A571" s="1" t="s">
        <v>4276</v>
      </c>
      <c r="B571" s="1" t="s">
        <v>3597</v>
      </c>
      <c r="C571" s="1">
        <v>328</v>
      </c>
      <c r="D571" s="1" t="s">
        <v>1225</v>
      </c>
      <c r="E571" s="1">
        <v>2018</v>
      </c>
      <c r="F571" s="1" t="s">
        <v>1231</v>
      </c>
      <c r="G571" s="1" t="s">
        <v>1938</v>
      </c>
      <c r="H571" s="4">
        <v>23.9755</v>
      </c>
      <c r="I571" s="4">
        <v>121.5985</v>
      </c>
      <c r="J571" s="1" t="s">
        <v>1404</v>
      </c>
      <c r="K571" s="1" t="s">
        <v>70</v>
      </c>
      <c r="L571" s="1" t="s">
        <v>1939</v>
      </c>
      <c r="M571" s="1" t="s">
        <v>3598</v>
      </c>
      <c r="N571" s="1"/>
      <c r="O571" s="1" t="s">
        <v>3095</v>
      </c>
      <c r="P571" s="1"/>
      <c r="Q571" s="4">
        <v>6.42</v>
      </c>
      <c r="R571" s="4"/>
      <c r="S571" s="4"/>
      <c r="T571" s="4"/>
      <c r="U571" s="4"/>
      <c r="V571" s="4">
        <v>1.2</v>
      </c>
      <c r="W571" s="4"/>
      <c r="X571" s="4"/>
      <c r="Y571" s="4"/>
      <c r="Z571" s="4"/>
      <c r="AA571" s="4"/>
      <c r="AB571" s="4" t="s">
        <v>1032</v>
      </c>
      <c r="AC571" s="4"/>
      <c r="AD571" s="4">
        <v>24.116199999999999</v>
      </c>
      <c r="AE571" s="4">
        <v>121.7225</v>
      </c>
      <c r="AF571" s="4">
        <v>4.8899999999999997</v>
      </c>
      <c r="AG571" s="4">
        <v>336.75702999999999</v>
      </c>
      <c r="AH571" s="27" t="b">
        <v>1</v>
      </c>
      <c r="AI571" s="4">
        <v>2.7440000000000002</v>
      </c>
      <c r="AJ571" s="27" t="b">
        <v>0</v>
      </c>
      <c r="AK571" s="4"/>
      <c r="AL571" s="27" t="b">
        <v>1</v>
      </c>
      <c r="AM571" s="4">
        <v>315.84899999999999</v>
      </c>
      <c r="AN571" s="4">
        <v>219.58</v>
      </c>
      <c r="AO571" s="4">
        <v>296.01499999999999</v>
      </c>
      <c r="AP571" s="4">
        <v>102.01900000000001</v>
      </c>
      <c r="AQ571" s="4">
        <v>52.704799999999999</v>
      </c>
      <c r="AR571" s="4">
        <v>27.2361</v>
      </c>
      <c r="AS571" s="4">
        <v>50.133899999999997</v>
      </c>
      <c r="AT571" s="4">
        <v>30.870899999999999</v>
      </c>
      <c r="AU571" s="4">
        <v>22.51</v>
      </c>
      <c r="AV571" s="4">
        <v>3.3024800000000001</v>
      </c>
      <c r="AW571" s="4">
        <v>-22.177199999999999</v>
      </c>
      <c r="AX571" s="4">
        <v>-4.32233</v>
      </c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1" t="s">
        <v>3599</v>
      </c>
      <c r="BJ571" s="1" t="s">
        <v>4277</v>
      </c>
      <c r="BK571" s="1">
        <v>1</v>
      </c>
      <c r="BL571" s="1"/>
      <c r="BM571" s="1" t="s">
        <v>676</v>
      </c>
      <c r="BN571" s="1" t="s">
        <v>2970</v>
      </c>
      <c r="BO571" s="1" t="s">
        <v>2971</v>
      </c>
      <c r="BP571" s="1">
        <v>6.42</v>
      </c>
      <c r="BQ571" s="1" t="s">
        <v>1003</v>
      </c>
      <c r="BR571" s="1">
        <v>24.116199999999999</v>
      </c>
      <c r="BS571" s="1">
        <v>121.7225</v>
      </c>
      <c r="BT571" s="1">
        <v>4.8899999999999997</v>
      </c>
      <c r="BU571" s="1" t="s">
        <v>1032</v>
      </c>
      <c r="BV571" s="1" t="s">
        <v>2922</v>
      </c>
      <c r="BW571" s="1">
        <v>216</v>
      </c>
      <c r="BX571" s="1">
        <v>56</v>
      </c>
      <c r="BY571" s="1">
        <v>26</v>
      </c>
      <c r="BZ571" s="1"/>
      <c r="CA571" s="1"/>
      <c r="CB571" s="1"/>
      <c r="CC571" s="1" t="s">
        <v>2808</v>
      </c>
      <c r="CD571" s="1" t="s">
        <v>731</v>
      </c>
      <c r="CE571" s="1"/>
      <c r="CF571" s="1"/>
      <c r="CG571" s="1"/>
      <c r="CH571" s="1"/>
      <c r="CI571" s="1"/>
      <c r="CJ571" s="1" t="s">
        <v>2812</v>
      </c>
      <c r="CK571" t="s">
        <v>1263</v>
      </c>
      <c r="CL571">
        <v>328</v>
      </c>
      <c r="CM571" t="s">
        <v>2972</v>
      </c>
    </row>
    <row r="572" spans="1:91" ht="19" customHeight="1">
      <c r="A572" s="1" t="s">
        <v>4278</v>
      </c>
      <c r="B572" s="1" t="s">
        <v>3597</v>
      </c>
      <c r="C572" s="1">
        <v>329</v>
      </c>
      <c r="D572" s="1" t="s">
        <v>1225</v>
      </c>
      <c r="E572" s="1">
        <v>2018</v>
      </c>
      <c r="F572" s="1" t="s">
        <v>1232</v>
      </c>
      <c r="G572" s="1" t="s">
        <v>1940</v>
      </c>
      <c r="H572" s="4">
        <v>23.971167000000001</v>
      </c>
      <c r="I572" s="4">
        <v>121.605667</v>
      </c>
      <c r="J572" s="1" t="s">
        <v>1404</v>
      </c>
      <c r="K572" s="1" t="s">
        <v>70</v>
      </c>
      <c r="L572" s="1" t="s">
        <v>1941</v>
      </c>
      <c r="M572" s="1" t="s">
        <v>3598</v>
      </c>
      <c r="N572" s="1"/>
      <c r="O572" s="1" t="s">
        <v>3095</v>
      </c>
      <c r="P572" s="1"/>
      <c r="Q572" s="4">
        <v>6.42</v>
      </c>
      <c r="R572" s="4"/>
      <c r="S572" s="4"/>
      <c r="T572" s="4"/>
      <c r="U572" s="4"/>
      <c r="V572" s="4">
        <v>0.5</v>
      </c>
      <c r="W572" s="4"/>
      <c r="X572" s="4"/>
      <c r="Y572" s="4"/>
      <c r="Z572" s="4"/>
      <c r="AA572" s="4"/>
      <c r="AB572" s="4" t="s">
        <v>1032</v>
      </c>
      <c r="AC572" s="4"/>
      <c r="AD572" s="4">
        <v>24.116199999999999</v>
      </c>
      <c r="AE572" s="4">
        <v>121.7225</v>
      </c>
      <c r="AF572" s="4">
        <v>4.8899999999999997</v>
      </c>
      <c r="AG572" s="4">
        <v>279.95520699999997</v>
      </c>
      <c r="AH572" s="27" t="b">
        <v>1</v>
      </c>
      <c r="AI572" s="4">
        <v>3.6539999999999999</v>
      </c>
      <c r="AJ572" s="27" t="b">
        <v>0</v>
      </c>
      <c r="AK572" s="4"/>
      <c r="AL572" s="27" t="b">
        <v>1</v>
      </c>
      <c r="AM572" s="4">
        <v>317.423</v>
      </c>
      <c r="AN572" s="4">
        <v>216.33500000000001</v>
      </c>
      <c r="AO572" s="4">
        <v>348.267</v>
      </c>
      <c r="AP572" s="4">
        <v>146.48500000000001</v>
      </c>
      <c r="AQ572" s="4">
        <v>55.508899999999997</v>
      </c>
      <c r="AR572" s="4">
        <v>25.799099999999999</v>
      </c>
      <c r="AS572" s="4">
        <v>79.977800000000002</v>
      </c>
      <c r="AT572" s="4">
        <v>56.755499999999998</v>
      </c>
      <c r="AU572" s="4">
        <v>17.814299999999999</v>
      </c>
      <c r="AV572" s="4">
        <v>-14.9657</v>
      </c>
      <c r="AW572" s="4">
        <v>-45.142899999999997</v>
      </c>
      <c r="AX572" s="4">
        <v>-6.4563199999999998</v>
      </c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1" t="s">
        <v>3599</v>
      </c>
      <c r="BJ572" s="1" t="s">
        <v>4279</v>
      </c>
      <c r="BK572" s="1">
        <v>1</v>
      </c>
      <c r="BL572" s="1"/>
      <c r="BM572" s="1" t="s">
        <v>676</v>
      </c>
      <c r="BN572" s="1" t="s">
        <v>2970</v>
      </c>
      <c r="BO572" s="1" t="s">
        <v>2971</v>
      </c>
      <c r="BP572" s="1">
        <v>6.42</v>
      </c>
      <c r="BQ572" s="1" t="s">
        <v>1003</v>
      </c>
      <c r="BR572" s="1">
        <v>24.116199999999999</v>
      </c>
      <c r="BS572" s="1">
        <v>121.7225</v>
      </c>
      <c r="BT572" s="1">
        <v>4.8899999999999997</v>
      </c>
      <c r="BU572" s="1" t="s">
        <v>1032</v>
      </c>
      <c r="BV572" s="1" t="s">
        <v>2922</v>
      </c>
      <c r="BW572" s="1">
        <v>216</v>
      </c>
      <c r="BX572" s="1">
        <v>56</v>
      </c>
      <c r="BY572" s="1">
        <v>26</v>
      </c>
      <c r="BZ572" s="1"/>
      <c r="CA572" s="1"/>
      <c r="CB572" s="1"/>
      <c r="CC572" s="1" t="s">
        <v>2808</v>
      </c>
      <c r="CD572" s="1" t="s">
        <v>731</v>
      </c>
      <c r="CE572" s="1"/>
      <c r="CF572" s="1"/>
      <c r="CG572" s="1"/>
      <c r="CH572" s="1"/>
      <c r="CI572" s="1"/>
      <c r="CJ572" s="1" t="s">
        <v>2812</v>
      </c>
      <c r="CK572" t="s">
        <v>1263</v>
      </c>
      <c r="CL572">
        <v>329</v>
      </c>
      <c r="CM572" t="s">
        <v>2972</v>
      </c>
    </row>
    <row r="573" spans="1:91" ht="19" customHeight="1">
      <c r="A573" s="1" t="s">
        <v>4280</v>
      </c>
      <c r="B573" s="1" t="s">
        <v>3597</v>
      </c>
      <c r="C573" s="1">
        <v>330</v>
      </c>
      <c r="D573" s="1" t="s">
        <v>1225</v>
      </c>
      <c r="E573" s="1">
        <v>2018</v>
      </c>
      <c r="F573" s="1" t="s">
        <v>1138</v>
      </c>
      <c r="G573" s="1" t="s">
        <v>1942</v>
      </c>
      <c r="H573" s="4">
        <v>23.972833000000001</v>
      </c>
      <c r="I573" s="4">
        <v>121.562667</v>
      </c>
      <c r="J573" s="1" t="s">
        <v>1404</v>
      </c>
      <c r="K573" s="1" t="s">
        <v>70</v>
      </c>
      <c r="L573" s="1" t="s">
        <v>1944</v>
      </c>
      <c r="M573" s="1" t="s">
        <v>3598</v>
      </c>
      <c r="N573" s="1"/>
      <c r="O573" s="1" t="s">
        <v>3095</v>
      </c>
      <c r="P573" s="1"/>
      <c r="Q573" s="4">
        <v>6.42</v>
      </c>
      <c r="R573" s="4"/>
      <c r="S573" s="4"/>
      <c r="T573" s="4"/>
      <c r="U573" s="4"/>
      <c r="V573" s="4">
        <v>22.146996999999999</v>
      </c>
      <c r="W573" s="4"/>
      <c r="X573" s="4"/>
      <c r="Y573" s="4"/>
      <c r="Z573" s="4"/>
      <c r="AA573" s="4"/>
      <c r="AB573" s="4" t="s">
        <v>1032</v>
      </c>
      <c r="AC573" s="4"/>
      <c r="AD573" s="4">
        <v>24.116199999999999</v>
      </c>
      <c r="AE573" s="4">
        <v>121.7225</v>
      </c>
      <c r="AF573" s="4">
        <v>4.8899999999999997</v>
      </c>
      <c r="AG573" s="4">
        <v>445.59969999999998</v>
      </c>
      <c r="AH573" s="27" t="b">
        <v>1</v>
      </c>
      <c r="AI573" s="4">
        <v>2.9049999999999998</v>
      </c>
      <c r="AJ573" s="27" t="b">
        <v>0</v>
      </c>
      <c r="AK573" s="4"/>
      <c r="AL573" s="27" t="b">
        <v>1</v>
      </c>
      <c r="AM573" s="4">
        <v>173.38800000000001</v>
      </c>
      <c r="AN573" s="4">
        <v>183.941</v>
      </c>
      <c r="AO573" s="4">
        <v>218.65600000000001</v>
      </c>
      <c r="AP573" s="4">
        <v>33.971800000000002</v>
      </c>
      <c r="AQ573" s="4">
        <v>18.257200000000001</v>
      </c>
      <c r="AR573" s="4">
        <v>20.986899999999999</v>
      </c>
      <c r="AS573" s="4">
        <v>26.1233</v>
      </c>
      <c r="AT573" s="4">
        <v>24.080500000000001</v>
      </c>
      <c r="AU573" s="4">
        <v>19.988700000000001</v>
      </c>
      <c r="AV573" s="4">
        <v>-15.2935</v>
      </c>
      <c r="AW573" s="4">
        <v>-16.462</v>
      </c>
      <c r="AX573" s="4">
        <v>7.7355600000000004</v>
      </c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1" t="s">
        <v>3599</v>
      </c>
      <c r="BJ573" s="1" t="s">
        <v>4281</v>
      </c>
      <c r="BK573" s="1">
        <v>1</v>
      </c>
      <c r="BL573" s="1"/>
      <c r="BM573" s="1" t="s">
        <v>676</v>
      </c>
      <c r="BN573" s="1" t="s">
        <v>2970</v>
      </c>
      <c r="BO573" s="1" t="s">
        <v>2971</v>
      </c>
      <c r="BP573" s="1">
        <v>6.42</v>
      </c>
      <c r="BQ573" s="1" t="s">
        <v>1003</v>
      </c>
      <c r="BR573" s="1">
        <v>24.116199999999999</v>
      </c>
      <c r="BS573" s="1">
        <v>121.7225</v>
      </c>
      <c r="BT573" s="1">
        <v>4.8899999999999997</v>
      </c>
      <c r="BU573" s="1" t="s">
        <v>1032</v>
      </c>
      <c r="BV573" s="1" t="s">
        <v>2922</v>
      </c>
      <c r="BW573" s="1">
        <v>216</v>
      </c>
      <c r="BX573" s="1">
        <v>56</v>
      </c>
      <c r="BY573" s="1">
        <v>26</v>
      </c>
      <c r="BZ573" s="1"/>
      <c r="CA573" s="1"/>
      <c r="CB573" s="1"/>
      <c r="CC573" s="1" t="s">
        <v>2808</v>
      </c>
      <c r="CD573" s="1" t="s">
        <v>731</v>
      </c>
      <c r="CE573" s="1"/>
      <c r="CF573" s="1"/>
      <c r="CG573" s="1"/>
      <c r="CH573" s="1"/>
      <c r="CI573" s="1"/>
      <c r="CJ573" s="1" t="s">
        <v>2812</v>
      </c>
      <c r="CK573" t="s">
        <v>1263</v>
      </c>
      <c r="CL573">
        <v>330</v>
      </c>
      <c r="CM573" t="s">
        <v>2972</v>
      </c>
    </row>
    <row r="574" spans="1:91" ht="19" customHeight="1">
      <c r="A574" s="1" t="s">
        <v>4282</v>
      </c>
      <c r="B574" s="1" t="s">
        <v>3597</v>
      </c>
      <c r="C574" s="1">
        <v>331</v>
      </c>
      <c r="D574" s="1" t="s">
        <v>1225</v>
      </c>
      <c r="E574" s="1">
        <v>2018</v>
      </c>
      <c r="F574" s="1" t="s">
        <v>1139</v>
      </c>
      <c r="G574" s="1" t="s">
        <v>1945</v>
      </c>
      <c r="H574" s="4">
        <v>23.963166999999999</v>
      </c>
      <c r="I574" s="4">
        <v>121.5685</v>
      </c>
      <c r="J574" s="1" t="s">
        <v>1404</v>
      </c>
      <c r="K574" s="1" t="s">
        <v>70</v>
      </c>
      <c r="L574" s="1" t="s">
        <v>1946</v>
      </c>
      <c r="M574" s="1" t="s">
        <v>3598</v>
      </c>
      <c r="N574" s="1"/>
      <c r="O574" s="1" t="s">
        <v>3095</v>
      </c>
      <c r="P574" s="1"/>
      <c r="Q574" s="4">
        <v>6.42</v>
      </c>
      <c r="R574" s="4"/>
      <c r="S574" s="4"/>
      <c r="T574" s="4"/>
      <c r="U574" s="4"/>
      <c r="V574" s="4">
        <v>22.448481999999998</v>
      </c>
      <c r="W574" s="4"/>
      <c r="X574" s="4"/>
      <c r="Y574" s="4"/>
      <c r="Z574" s="4"/>
      <c r="AA574" s="4"/>
      <c r="AB574" s="4" t="s">
        <v>1032</v>
      </c>
      <c r="AC574" s="4"/>
      <c r="AD574" s="4">
        <v>24.116199999999999</v>
      </c>
      <c r="AE574" s="4">
        <v>121.7225</v>
      </c>
      <c r="AF574" s="4">
        <v>4.8899999999999997</v>
      </c>
      <c r="AG574" s="4">
        <v>579.59814500000005</v>
      </c>
      <c r="AH574" s="27" t="b">
        <v>1</v>
      </c>
      <c r="AI574" s="4">
        <v>2.758</v>
      </c>
      <c r="AJ574" s="27" t="b">
        <v>0</v>
      </c>
      <c r="AK574" s="4"/>
      <c r="AL574" s="27" t="b">
        <v>1</v>
      </c>
      <c r="AM574" s="4">
        <v>194.161</v>
      </c>
      <c r="AN574" s="4">
        <v>159.25399999999999</v>
      </c>
      <c r="AO574" s="4">
        <v>238.58099999999999</v>
      </c>
      <c r="AP574" s="4">
        <v>37.359299999999998</v>
      </c>
      <c r="AQ574" s="4">
        <v>24.199100000000001</v>
      </c>
      <c r="AR574" s="4">
        <v>19.7347</v>
      </c>
      <c r="AS574" s="4">
        <v>31.0444</v>
      </c>
      <c r="AT574" s="4">
        <v>16.346399999999999</v>
      </c>
      <c r="AU574" s="4">
        <v>23.727399999999999</v>
      </c>
      <c r="AV574" s="4">
        <v>-12.829599999999999</v>
      </c>
      <c r="AW574" s="4">
        <v>-8.6684699999999992</v>
      </c>
      <c r="AX574" s="4">
        <v>9.89771</v>
      </c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1" t="s">
        <v>3599</v>
      </c>
      <c r="BJ574" s="1" t="s">
        <v>4283</v>
      </c>
      <c r="BK574" s="1">
        <v>1</v>
      </c>
      <c r="BL574" s="1"/>
      <c r="BM574" s="1" t="s">
        <v>676</v>
      </c>
      <c r="BN574" s="1" t="s">
        <v>2970</v>
      </c>
      <c r="BO574" s="1" t="s">
        <v>2971</v>
      </c>
      <c r="BP574" s="1">
        <v>6.42</v>
      </c>
      <c r="BQ574" s="1" t="s">
        <v>1003</v>
      </c>
      <c r="BR574" s="1">
        <v>24.116199999999999</v>
      </c>
      <c r="BS574" s="1">
        <v>121.7225</v>
      </c>
      <c r="BT574" s="1">
        <v>4.8899999999999997</v>
      </c>
      <c r="BU574" s="1" t="s">
        <v>1032</v>
      </c>
      <c r="BV574" s="1" t="s">
        <v>2922</v>
      </c>
      <c r="BW574" s="1">
        <v>216</v>
      </c>
      <c r="BX574" s="1">
        <v>56</v>
      </c>
      <c r="BY574" s="1">
        <v>26</v>
      </c>
      <c r="BZ574" s="1"/>
      <c r="CA574" s="1"/>
      <c r="CB574" s="1"/>
      <c r="CC574" s="1" t="s">
        <v>2808</v>
      </c>
      <c r="CD574" s="1" t="s">
        <v>731</v>
      </c>
      <c r="CE574" s="1"/>
      <c r="CF574" s="1"/>
      <c r="CG574" s="1"/>
      <c r="CH574" s="1"/>
      <c r="CI574" s="1"/>
      <c r="CJ574" s="1" t="s">
        <v>2812</v>
      </c>
      <c r="CK574" t="s">
        <v>1263</v>
      </c>
      <c r="CL574">
        <v>331</v>
      </c>
      <c r="CM574" t="s">
        <v>2972</v>
      </c>
    </row>
    <row r="575" spans="1:91" ht="19" customHeight="1">
      <c r="A575" s="1" t="s">
        <v>4284</v>
      </c>
      <c r="B575" s="1" t="s">
        <v>3597</v>
      </c>
      <c r="C575" s="1">
        <v>332</v>
      </c>
      <c r="D575" s="1" t="s">
        <v>1225</v>
      </c>
      <c r="E575" s="1">
        <v>2018</v>
      </c>
      <c r="F575" s="1" t="s">
        <v>1233</v>
      </c>
      <c r="G575" s="1" t="s">
        <v>1948</v>
      </c>
      <c r="H575" s="4">
        <v>23.9482</v>
      </c>
      <c r="I575" s="4">
        <v>121.547</v>
      </c>
      <c r="J575" s="1" t="s">
        <v>1404</v>
      </c>
      <c r="K575" s="1" t="s">
        <v>70</v>
      </c>
      <c r="L575" s="1" t="s">
        <v>1949</v>
      </c>
      <c r="M575" s="1" t="s">
        <v>3598</v>
      </c>
      <c r="N575" s="1"/>
      <c r="O575" s="1" t="s">
        <v>3095</v>
      </c>
      <c r="P575" s="1"/>
      <c r="Q575" s="4">
        <v>6.42</v>
      </c>
      <c r="R575" s="4"/>
      <c r="S575" s="4"/>
      <c r="T575" s="4"/>
      <c r="U575" s="4"/>
      <c r="V575" s="4">
        <v>25.163599999999999</v>
      </c>
      <c r="W575" s="4"/>
      <c r="X575" s="4"/>
      <c r="Y575" s="4"/>
      <c r="Z575" s="4"/>
      <c r="AA575" s="4"/>
      <c r="AB575" s="4" t="s">
        <v>1032</v>
      </c>
      <c r="AC575" s="4"/>
      <c r="AD575" s="4">
        <v>24.116199999999999</v>
      </c>
      <c r="AE575" s="4">
        <v>121.7225</v>
      </c>
      <c r="AF575" s="4">
        <v>4.8899999999999997</v>
      </c>
      <c r="AG575" s="4">
        <v>584.67999999999995</v>
      </c>
      <c r="AH575" s="27" t="b">
        <v>1</v>
      </c>
      <c r="AI575" s="4">
        <v>3.423</v>
      </c>
      <c r="AJ575" s="27" t="b">
        <v>0</v>
      </c>
      <c r="AK575" s="4"/>
      <c r="AL575" s="27" t="b">
        <v>0</v>
      </c>
      <c r="AM575" s="4">
        <v>292.47914400000002</v>
      </c>
      <c r="AN575" s="4">
        <v>209.73179400000001</v>
      </c>
      <c r="AO575" s="4">
        <v>227.15355299999999</v>
      </c>
      <c r="AP575" s="4">
        <v>23.121490000000001</v>
      </c>
      <c r="AQ575" s="4">
        <v>18.711860000000001</v>
      </c>
      <c r="AR575" s="4">
        <v>18.47137</v>
      </c>
      <c r="AS575" s="4">
        <v>10.729430000000001</v>
      </c>
      <c r="AT575" s="4">
        <v>8.0585660000000008</v>
      </c>
      <c r="AU575" s="4">
        <v>9.4350950000000005</v>
      </c>
      <c r="AV575" s="4">
        <v>0.10329000000000001</v>
      </c>
      <c r="AW575" s="4">
        <v>-1.9585000000000002E-2</v>
      </c>
      <c r="AX575" s="4">
        <v>4.3290000000000002E-2</v>
      </c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1" t="s">
        <v>3599</v>
      </c>
      <c r="BJ575" s="1" t="s">
        <v>4285</v>
      </c>
      <c r="BK575" s="1">
        <v>1</v>
      </c>
      <c r="BL575" s="1"/>
      <c r="BM575" s="1" t="s">
        <v>676</v>
      </c>
      <c r="BN575" s="1" t="s">
        <v>2970</v>
      </c>
      <c r="BO575" s="1" t="s">
        <v>2971</v>
      </c>
      <c r="BP575" s="1">
        <v>6.42</v>
      </c>
      <c r="BQ575" s="1" t="s">
        <v>1003</v>
      </c>
      <c r="BR575" s="1">
        <v>24.116199999999999</v>
      </c>
      <c r="BS575" s="1">
        <v>121.7225</v>
      </c>
      <c r="BT575" s="1">
        <v>4.8899999999999997</v>
      </c>
      <c r="BU575" s="1" t="s">
        <v>1032</v>
      </c>
      <c r="BV575" s="1" t="s">
        <v>2922</v>
      </c>
      <c r="BW575" s="1">
        <v>216</v>
      </c>
      <c r="BX575" s="1">
        <v>56</v>
      </c>
      <c r="BY575" s="1">
        <v>26</v>
      </c>
      <c r="BZ575" s="1"/>
      <c r="CA575" s="1"/>
      <c r="CB575" s="1"/>
      <c r="CC575" s="1" t="s">
        <v>2808</v>
      </c>
      <c r="CD575" s="1" t="s">
        <v>731</v>
      </c>
      <c r="CE575" s="1"/>
      <c r="CF575" s="1"/>
      <c r="CG575" s="1"/>
      <c r="CH575" s="1"/>
      <c r="CI575" s="1"/>
      <c r="CJ575" s="1" t="s">
        <v>2812</v>
      </c>
      <c r="CK575" t="s">
        <v>1263</v>
      </c>
      <c r="CL575">
        <v>332</v>
      </c>
      <c r="CM575" t="s">
        <v>2972</v>
      </c>
    </row>
    <row r="576" spans="1:91" ht="19" customHeight="1">
      <c r="A576" s="1" t="s">
        <v>4286</v>
      </c>
      <c r="B576" s="1" t="s">
        <v>3597</v>
      </c>
      <c r="C576" s="1">
        <v>333</v>
      </c>
      <c r="D576" s="1" t="s">
        <v>1225</v>
      </c>
      <c r="E576" s="1">
        <v>2018</v>
      </c>
      <c r="F576" s="1" t="s">
        <v>1234</v>
      </c>
      <c r="G576" s="1" t="s">
        <v>1950</v>
      </c>
      <c r="H576" s="4">
        <v>23.975000000000001</v>
      </c>
      <c r="I576" s="4">
        <v>121.6135</v>
      </c>
      <c r="J576" s="1" t="s">
        <v>1404</v>
      </c>
      <c r="K576" s="1" t="s">
        <v>70</v>
      </c>
      <c r="L576" s="1" t="s">
        <v>1951</v>
      </c>
      <c r="M576" s="1" t="s">
        <v>3598</v>
      </c>
      <c r="N576" s="1"/>
      <c r="O576" s="1" t="s">
        <v>3095</v>
      </c>
      <c r="P576" s="1"/>
      <c r="Q576" s="4">
        <v>6.42</v>
      </c>
      <c r="R576" s="4"/>
      <c r="S576" s="4"/>
      <c r="T576" s="4"/>
      <c r="U576" s="4"/>
      <c r="V576" s="4">
        <v>0.3</v>
      </c>
      <c r="W576" s="4"/>
      <c r="X576" s="4"/>
      <c r="Y576" s="4"/>
      <c r="Z576" s="4"/>
      <c r="AA576" s="4"/>
      <c r="AB576" s="4" t="s">
        <v>1032</v>
      </c>
      <c r="AC576" s="4"/>
      <c r="AD576" s="4">
        <v>24.116199999999999</v>
      </c>
      <c r="AE576" s="4">
        <v>121.7225</v>
      </c>
      <c r="AF576" s="4">
        <v>4.8899999999999997</v>
      </c>
      <c r="AG576" s="4">
        <v>503.52467300000001</v>
      </c>
      <c r="AH576" s="27" t="b">
        <v>1</v>
      </c>
      <c r="AI576" s="4">
        <v>3.3180000000000001</v>
      </c>
      <c r="AJ576" s="27" t="b">
        <v>0</v>
      </c>
      <c r="AK576" s="4"/>
      <c r="AL576" s="27" t="b">
        <v>1</v>
      </c>
      <c r="AM576" s="4">
        <v>402.99599999999998</v>
      </c>
      <c r="AN576" s="4">
        <v>368.55799999999999</v>
      </c>
      <c r="AO576" s="4">
        <v>211.011</v>
      </c>
      <c r="AP576" s="4">
        <v>138.38800000000001</v>
      </c>
      <c r="AQ576" s="4">
        <v>95.748000000000005</v>
      </c>
      <c r="AR576" s="4">
        <v>26.808299999999999</v>
      </c>
      <c r="AS576" s="4">
        <v>94.581299999999999</v>
      </c>
      <c r="AT576" s="4">
        <v>88.597700000000003</v>
      </c>
      <c r="AU576" s="4">
        <v>22.1677</v>
      </c>
      <c r="AV576" s="4">
        <v>9.1727600000000002</v>
      </c>
      <c r="AW576" s="4">
        <v>44.1297</v>
      </c>
      <c r="AX576" s="4">
        <v>3.68275</v>
      </c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1" t="s">
        <v>3599</v>
      </c>
      <c r="BJ576" s="1" t="s">
        <v>4287</v>
      </c>
      <c r="BK576" s="1">
        <v>1</v>
      </c>
      <c r="BL576" s="1"/>
      <c r="BM576" s="1" t="s">
        <v>676</v>
      </c>
      <c r="BN576" s="1" t="s">
        <v>2970</v>
      </c>
      <c r="BO576" s="1" t="s">
        <v>2971</v>
      </c>
      <c r="BP576" s="1">
        <v>6.42</v>
      </c>
      <c r="BQ576" s="1" t="s">
        <v>1003</v>
      </c>
      <c r="BR576" s="1">
        <v>24.116199999999999</v>
      </c>
      <c r="BS576" s="1">
        <v>121.7225</v>
      </c>
      <c r="BT576" s="1">
        <v>4.8899999999999997</v>
      </c>
      <c r="BU576" s="1" t="s">
        <v>1032</v>
      </c>
      <c r="BV576" s="1" t="s">
        <v>2922</v>
      </c>
      <c r="BW576" s="1">
        <v>216</v>
      </c>
      <c r="BX576" s="1">
        <v>56</v>
      </c>
      <c r="BY576" s="1">
        <v>26</v>
      </c>
      <c r="BZ576" s="1"/>
      <c r="CA576" s="1"/>
      <c r="CB576" s="1"/>
      <c r="CC576" s="1" t="s">
        <v>2808</v>
      </c>
      <c r="CD576" s="1" t="s">
        <v>731</v>
      </c>
      <c r="CE576" s="1"/>
      <c r="CF576" s="1"/>
      <c r="CG576" s="1"/>
      <c r="CH576" s="1"/>
      <c r="CI576" s="1"/>
      <c r="CJ576" s="1" t="s">
        <v>2812</v>
      </c>
      <c r="CK576" t="s">
        <v>1263</v>
      </c>
      <c r="CL576">
        <v>333</v>
      </c>
      <c r="CM576" t="s">
        <v>2972</v>
      </c>
    </row>
    <row r="577" spans="1:91" ht="19" customHeight="1">
      <c r="A577" s="1" t="s">
        <v>4288</v>
      </c>
      <c r="B577" s="1" t="s">
        <v>3597</v>
      </c>
      <c r="C577" s="1">
        <v>334</v>
      </c>
      <c r="D577" s="1" t="s">
        <v>1225</v>
      </c>
      <c r="E577" s="1">
        <v>2018</v>
      </c>
      <c r="F577" s="1" t="s">
        <v>1141</v>
      </c>
      <c r="G577" s="1" t="s">
        <v>1954</v>
      </c>
      <c r="H577" s="4">
        <v>24.014333000000001</v>
      </c>
      <c r="I577" s="4">
        <v>121.6095</v>
      </c>
      <c r="J577" s="1" t="s">
        <v>1404</v>
      </c>
      <c r="K577" s="1" t="s">
        <v>70</v>
      </c>
      <c r="L577" s="1" t="s">
        <v>1956</v>
      </c>
      <c r="M577" s="1" t="s">
        <v>3598</v>
      </c>
      <c r="N577" s="1"/>
      <c r="O577" s="1" t="s">
        <v>3095</v>
      </c>
      <c r="P577" s="1"/>
      <c r="Q577" s="4">
        <v>6.42</v>
      </c>
      <c r="R577" s="4"/>
      <c r="S577" s="4"/>
      <c r="T577" s="4"/>
      <c r="U577" s="4"/>
      <c r="V577" s="4">
        <v>0.9</v>
      </c>
      <c r="W577" s="4"/>
      <c r="X577" s="4"/>
      <c r="Y577" s="4"/>
      <c r="Z577" s="4"/>
      <c r="AA577" s="4"/>
      <c r="AB577" s="4" t="s">
        <v>1032</v>
      </c>
      <c r="AC577" s="4"/>
      <c r="AD577" s="4">
        <v>24.116199999999999</v>
      </c>
      <c r="AE577" s="4">
        <v>121.7225</v>
      </c>
      <c r="AF577" s="4">
        <v>4.8899999999999997</v>
      </c>
      <c r="AG577" s="4">
        <v>404.91289999999998</v>
      </c>
      <c r="AH577" s="27" t="b">
        <v>1</v>
      </c>
      <c r="AI577" s="4">
        <v>4.1719999999999997</v>
      </c>
      <c r="AJ577" s="27" t="b">
        <v>0</v>
      </c>
      <c r="AK577" s="4"/>
      <c r="AL577" s="27" t="b">
        <v>1</v>
      </c>
      <c r="AM577" s="4">
        <v>273.46199999999999</v>
      </c>
      <c r="AN577" s="4">
        <v>251.911</v>
      </c>
      <c r="AO577" s="4">
        <v>370.90800000000002</v>
      </c>
      <c r="AP577" s="4">
        <v>31.5093</v>
      </c>
      <c r="AQ577" s="4">
        <v>51.724299999999999</v>
      </c>
      <c r="AR577" s="4">
        <v>14.5677</v>
      </c>
      <c r="AS577" s="4">
        <v>20.192399999999999</v>
      </c>
      <c r="AT577" s="4">
        <v>49.578499999999998</v>
      </c>
      <c r="AU577" s="4">
        <v>19.084299999999999</v>
      </c>
      <c r="AV577" s="4">
        <v>-6.9406800000000004</v>
      </c>
      <c r="AW577" s="4">
        <v>-34.103000000000002</v>
      </c>
      <c r="AX577" s="4">
        <v>4.9730800000000004</v>
      </c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1" t="s">
        <v>3599</v>
      </c>
      <c r="BJ577" s="1" t="s">
        <v>4289</v>
      </c>
      <c r="BK577" s="1">
        <v>1</v>
      </c>
      <c r="BL577" s="1"/>
      <c r="BM577" s="1" t="s">
        <v>676</v>
      </c>
      <c r="BN577" s="1" t="s">
        <v>2970</v>
      </c>
      <c r="BO577" s="1" t="s">
        <v>2971</v>
      </c>
      <c r="BP577" s="1">
        <v>6.42</v>
      </c>
      <c r="BQ577" s="1" t="s">
        <v>1003</v>
      </c>
      <c r="BR577" s="1">
        <v>24.116199999999999</v>
      </c>
      <c r="BS577" s="1">
        <v>121.7225</v>
      </c>
      <c r="BT577" s="1">
        <v>4.8899999999999997</v>
      </c>
      <c r="BU577" s="1" t="s">
        <v>1032</v>
      </c>
      <c r="BV577" s="1" t="s">
        <v>2922</v>
      </c>
      <c r="BW577" s="1">
        <v>216</v>
      </c>
      <c r="BX577" s="1">
        <v>56</v>
      </c>
      <c r="BY577" s="1">
        <v>26</v>
      </c>
      <c r="BZ577" s="1"/>
      <c r="CA577" s="1"/>
      <c r="CB577" s="1"/>
      <c r="CC577" s="1" t="s">
        <v>2808</v>
      </c>
      <c r="CD577" s="1" t="s">
        <v>731</v>
      </c>
      <c r="CE577" s="1"/>
      <c r="CF577" s="1"/>
      <c r="CG577" s="1"/>
      <c r="CH577" s="1"/>
      <c r="CI577" s="1"/>
      <c r="CJ577" s="1" t="s">
        <v>2812</v>
      </c>
      <c r="CK577" t="s">
        <v>1263</v>
      </c>
      <c r="CL577">
        <v>334</v>
      </c>
      <c r="CM577" t="s">
        <v>2972</v>
      </c>
    </row>
    <row r="578" spans="1:91" ht="19" customHeight="1">
      <c r="A578" s="1" t="s">
        <v>4290</v>
      </c>
      <c r="B578" s="1" t="s">
        <v>3597</v>
      </c>
      <c r="C578" s="1">
        <v>335</v>
      </c>
      <c r="D578" s="1" t="s">
        <v>1225</v>
      </c>
      <c r="E578" s="1">
        <v>2018</v>
      </c>
      <c r="F578" s="1" t="s">
        <v>1143</v>
      </c>
      <c r="G578" s="1" t="s">
        <v>1971</v>
      </c>
      <c r="H578" s="4">
        <v>23.987832999999998</v>
      </c>
      <c r="I578" s="4">
        <v>121.590833</v>
      </c>
      <c r="J578" s="1" t="s">
        <v>1404</v>
      </c>
      <c r="K578" s="1" t="s">
        <v>70</v>
      </c>
      <c r="L578" s="1" t="s">
        <v>1973</v>
      </c>
      <c r="M578" s="1" t="s">
        <v>3598</v>
      </c>
      <c r="N578" s="1"/>
      <c r="O578" s="1" t="s">
        <v>3095</v>
      </c>
      <c r="P578" s="1"/>
      <c r="Q578" s="4">
        <v>6.42</v>
      </c>
      <c r="R578" s="4"/>
      <c r="S578" s="4"/>
      <c r="T578" s="4"/>
      <c r="U578" s="4"/>
      <c r="V578" s="4">
        <v>1.9</v>
      </c>
      <c r="W578" s="4"/>
      <c r="X578" s="4"/>
      <c r="Y578" s="4"/>
      <c r="Z578" s="4"/>
      <c r="AA578" s="4"/>
      <c r="AB578" s="4" t="s">
        <v>1032</v>
      </c>
      <c r="AC578" s="4"/>
      <c r="AD578" s="4">
        <v>24.116199999999999</v>
      </c>
      <c r="AE578" s="4">
        <v>121.7225</v>
      </c>
      <c r="AF578" s="4">
        <v>4.8899999999999997</v>
      </c>
      <c r="AG578" s="4">
        <v>343.43935800000003</v>
      </c>
      <c r="AH578" s="27" t="b">
        <v>1</v>
      </c>
      <c r="AI578" s="4">
        <v>2.1560000000000001</v>
      </c>
      <c r="AJ578" s="27" t="b">
        <v>0</v>
      </c>
      <c r="AK578" s="4"/>
      <c r="AL578" s="27" t="b">
        <v>1</v>
      </c>
      <c r="AM578" s="4">
        <v>278.57900000000001</v>
      </c>
      <c r="AN578" s="4">
        <v>197.25200000000001</v>
      </c>
      <c r="AO578" s="4">
        <v>298.59199999999998</v>
      </c>
      <c r="AP578" s="4">
        <v>56.423499999999997</v>
      </c>
      <c r="AQ578" s="4">
        <v>75.417400000000001</v>
      </c>
      <c r="AR578" s="4">
        <v>25.0136</v>
      </c>
      <c r="AS578" s="4">
        <v>25.815100000000001</v>
      </c>
      <c r="AT578" s="4">
        <v>51.330500000000001</v>
      </c>
      <c r="AU578" s="4">
        <v>26.079799999999999</v>
      </c>
      <c r="AV578" s="4">
        <v>-11.242000000000001</v>
      </c>
      <c r="AW578" s="4">
        <v>-32.173000000000002</v>
      </c>
      <c r="AX578" s="4">
        <v>0.70687500000000003</v>
      </c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1" t="s">
        <v>3599</v>
      </c>
      <c r="BJ578" s="1" t="s">
        <v>4291</v>
      </c>
      <c r="BK578" s="1">
        <v>1</v>
      </c>
      <c r="BL578" s="1"/>
      <c r="BM578" s="1" t="s">
        <v>676</v>
      </c>
      <c r="BN578" s="1" t="s">
        <v>2970</v>
      </c>
      <c r="BO578" s="1" t="s">
        <v>2971</v>
      </c>
      <c r="BP578" s="1">
        <v>6.42</v>
      </c>
      <c r="BQ578" s="1" t="s">
        <v>1003</v>
      </c>
      <c r="BR578" s="1">
        <v>24.116199999999999</v>
      </c>
      <c r="BS578" s="1">
        <v>121.7225</v>
      </c>
      <c r="BT578" s="1">
        <v>4.8899999999999997</v>
      </c>
      <c r="BU578" s="1" t="s">
        <v>1032</v>
      </c>
      <c r="BV578" s="1" t="s">
        <v>2922</v>
      </c>
      <c r="BW578" s="1">
        <v>216</v>
      </c>
      <c r="BX578" s="1">
        <v>56</v>
      </c>
      <c r="BY578" s="1">
        <v>26</v>
      </c>
      <c r="BZ578" s="1"/>
      <c r="CA578" s="1"/>
      <c r="CB578" s="1"/>
      <c r="CC578" s="1" t="s">
        <v>2808</v>
      </c>
      <c r="CD578" s="1" t="s">
        <v>731</v>
      </c>
      <c r="CE578" s="1"/>
      <c r="CF578" s="1"/>
      <c r="CG578" s="1"/>
      <c r="CH578" s="1"/>
      <c r="CI578" s="1"/>
      <c r="CJ578" s="1" t="s">
        <v>2812</v>
      </c>
      <c r="CK578" t="s">
        <v>1263</v>
      </c>
      <c r="CL578">
        <v>335</v>
      </c>
      <c r="CM578" t="s">
        <v>2972</v>
      </c>
    </row>
    <row r="579" spans="1:91" ht="19" customHeight="1">
      <c r="A579" s="1" t="s">
        <v>4292</v>
      </c>
      <c r="B579" s="1" t="s">
        <v>3597</v>
      </c>
      <c r="C579" s="1">
        <v>336</v>
      </c>
      <c r="D579" s="1" t="s">
        <v>1225</v>
      </c>
      <c r="E579" s="1">
        <v>2018</v>
      </c>
      <c r="F579" s="1" t="s">
        <v>1235</v>
      </c>
      <c r="G579" s="1" t="s">
        <v>1980</v>
      </c>
      <c r="H579" s="4">
        <v>23.903500000000001</v>
      </c>
      <c r="I579" s="4">
        <v>121.60169999999999</v>
      </c>
      <c r="J579" s="1" t="s">
        <v>1404</v>
      </c>
      <c r="K579" s="1" t="s">
        <v>70</v>
      </c>
      <c r="L579" s="1" t="s">
        <v>1981</v>
      </c>
      <c r="M579" s="1" t="s">
        <v>3598</v>
      </c>
      <c r="N579" s="1"/>
      <c r="O579" s="1" t="s">
        <v>3095</v>
      </c>
      <c r="P579" s="1"/>
      <c r="Q579" s="4">
        <v>6.42</v>
      </c>
      <c r="R579" s="4"/>
      <c r="S579" s="4"/>
      <c r="T579" s="4"/>
      <c r="U579" s="4"/>
      <c r="V579" s="4">
        <v>25.629000000000001</v>
      </c>
      <c r="W579" s="4"/>
      <c r="X579" s="4"/>
      <c r="Y579" s="4"/>
      <c r="Z579" s="4"/>
      <c r="AA579" s="4"/>
      <c r="AB579" s="4" t="s">
        <v>1032</v>
      </c>
      <c r="AC579" s="4"/>
      <c r="AD579" s="4">
        <v>24.116199999999999</v>
      </c>
      <c r="AE579" s="4">
        <v>121.7225</v>
      </c>
      <c r="AF579" s="4">
        <v>4.8899999999999997</v>
      </c>
      <c r="AG579" s="4">
        <v>555.88</v>
      </c>
      <c r="AH579" s="27" t="b">
        <v>1</v>
      </c>
      <c r="AI579" s="4">
        <v>1.246</v>
      </c>
      <c r="AJ579" s="27" t="b">
        <v>1</v>
      </c>
      <c r="AK579" s="4">
        <v>2.2330000000000001</v>
      </c>
      <c r="AL579" s="27" t="b">
        <v>0</v>
      </c>
      <c r="AM579" s="4">
        <v>484.67005699999999</v>
      </c>
      <c r="AN579" s="4">
        <v>444.51512400000001</v>
      </c>
      <c r="AO579" s="4">
        <v>280.92636700000003</v>
      </c>
      <c r="AP579" s="4">
        <v>51.361445000000003</v>
      </c>
      <c r="AQ579" s="4">
        <v>55.264515000000003</v>
      </c>
      <c r="AR579" s="4">
        <v>33.387245</v>
      </c>
      <c r="AS579" s="4">
        <v>18.756532</v>
      </c>
      <c r="AT579" s="4">
        <v>23.789147</v>
      </c>
      <c r="AU579" s="4">
        <v>10.861591000000001</v>
      </c>
      <c r="AV579" s="4">
        <v>-2.4312E-2</v>
      </c>
      <c r="AW579" s="4">
        <v>-2.1499999999999999E-4</v>
      </c>
      <c r="AX579" s="4">
        <v>-1.3835E-2</v>
      </c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1"/>
      <c r="BJ579" s="1" t="s">
        <v>4293</v>
      </c>
      <c r="BK579" s="1">
        <v>1</v>
      </c>
      <c r="BL579" s="1"/>
      <c r="BM579" s="1" t="s">
        <v>676</v>
      </c>
      <c r="BN579" s="1" t="s">
        <v>2970</v>
      </c>
      <c r="BO579" s="1" t="s">
        <v>2971</v>
      </c>
      <c r="BP579" s="1">
        <v>6.42</v>
      </c>
      <c r="BQ579" s="1" t="s">
        <v>1003</v>
      </c>
      <c r="BR579" s="1">
        <v>24.116199999999999</v>
      </c>
      <c r="BS579" s="1">
        <v>121.7225</v>
      </c>
      <c r="BT579" s="1">
        <v>4.8899999999999997</v>
      </c>
      <c r="BU579" s="1" t="s">
        <v>1032</v>
      </c>
      <c r="BV579" s="1" t="s">
        <v>2922</v>
      </c>
      <c r="BW579" s="1">
        <v>216</v>
      </c>
      <c r="BX579" s="1">
        <v>56</v>
      </c>
      <c r="BY579" s="1">
        <v>26</v>
      </c>
      <c r="BZ579" s="1"/>
      <c r="CA579" s="1"/>
      <c r="CB579" s="1"/>
      <c r="CC579" s="1" t="s">
        <v>2808</v>
      </c>
      <c r="CD579" s="1" t="s">
        <v>731</v>
      </c>
      <c r="CE579" s="1"/>
      <c r="CF579" s="1"/>
      <c r="CG579" s="1"/>
      <c r="CH579" s="1"/>
      <c r="CI579" s="1"/>
      <c r="CJ579" s="1" t="s">
        <v>2812</v>
      </c>
      <c r="CK579" t="s">
        <v>1263</v>
      </c>
      <c r="CL579">
        <v>336</v>
      </c>
      <c r="CM579" t="s">
        <v>2972</v>
      </c>
    </row>
    <row r="580" spans="1:91" ht="19" customHeight="1">
      <c r="A580" s="1" t="s">
        <v>4294</v>
      </c>
      <c r="B580" s="1" t="s">
        <v>3597</v>
      </c>
      <c r="C580" s="1">
        <v>337</v>
      </c>
      <c r="D580" s="1" t="s">
        <v>1225</v>
      </c>
      <c r="E580" s="1">
        <v>2018</v>
      </c>
      <c r="F580" s="1" t="s">
        <v>1236</v>
      </c>
      <c r="G580" s="1" t="s">
        <v>1984</v>
      </c>
      <c r="H580" s="4">
        <v>23.979666999999999</v>
      </c>
      <c r="I580" s="4">
        <v>121.619833</v>
      </c>
      <c r="J580" s="1" t="s">
        <v>1404</v>
      </c>
      <c r="K580" s="1" t="s">
        <v>70</v>
      </c>
      <c r="L580" s="1" t="s">
        <v>1985</v>
      </c>
      <c r="M580" s="1" t="s">
        <v>3598</v>
      </c>
      <c r="N580" s="1"/>
      <c r="O580" s="1" t="s">
        <v>3095</v>
      </c>
      <c r="P580" s="1"/>
      <c r="Q580" s="4">
        <v>6.42</v>
      </c>
      <c r="R580" s="4"/>
      <c r="S580" s="4"/>
      <c r="T580" s="4"/>
      <c r="U580" s="4"/>
      <c r="V580" s="4">
        <v>1</v>
      </c>
      <c r="W580" s="4"/>
      <c r="X580" s="4"/>
      <c r="Y580" s="4"/>
      <c r="Z580" s="4"/>
      <c r="AA580" s="4"/>
      <c r="AB580" s="4" t="s">
        <v>1032</v>
      </c>
      <c r="AC580" s="4"/>
      <c r="AD580" s="4">
        <v>24.116199999999999</v>
      </c>
      <c r="AE580" s="4">
        <v>121.7225</v>
      </c>
      <c r="AF580" s="4">
        <v>4.8899999999999997</v>
      </c>
      <c r="AG580" s="4">
        <v>605.69351900000004</v>
      </c>
      <c r="AH580" s="27" t="b">
        <v>1</v>
      </c>
      <c r="AI580" s="4">
        <v>3.9060000000000001</v>
      </c>
      <c r="AJ580" s="27" t="b">
        <v>0</v>
      </c>
      <c r="AK580" s="4"/>
      <c r="AL580" s="27" t="b">
        <v>1</v>
      </c>
      <c r="AM580" s="4">
        <v>208.79300000000001</v>
      </c>
      <c r="AN580" s="4">
        <v>199.209</v>
      </c>
      <c r="AO580" s="4">
        <v>200.12799999999999</v>
      </c>
      <c r="AP580" s="4">
        <v>95.671599999999998</v>
      </c>
      <c r="AQ580" s="4">
        <v>76.527699999999996</v>
      </c>
      <c r="AR580" s="4">
        <v>22.318899999999999</v>
      </c>
      <c r="AS580" s="4">
        <v>62.9726</v>
      </c>
      <c r="AT580" s="4">
        <v>72.096100000000007</v>
      </c>
      <c r="AU580" s="4">
        <v>54.918599999999998</v>
      </c>
      <c r="AV580" s="4">
        <v>18.340499999999999</v>
      </c>
      <c r="AW580" s="4">
        <v>26.9496</v>
      </c>
      <c r="AX580" s="4">
        <v>36.399500000000003</v>
      </c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1" t="s">
        <v>3599</v>
      </c>
      <c r="BJ580" s="1" t="s">
        <v>4295</v>
      </c>
      <c r="BK580" s="1">
        <v>1</v>
      </c>
      <c r="BL580" s="1"/>
      <c r="BM580" s="1" t="s">
        <v>676</v>
      </c>
      <c r="BN580" s="1" t="s">
        <v>2970</v>
      </c>
      <c r="BO580" s="1" t="s">
        <v>2971</v>
      </c>
      <c r="BP580" s="1">
        <v>6.42</v>
      </c>
      <c r="BQ580" s="1" t="s">
        <v>1003</v>
      </c>
      <c r="BR580" s="1">
        <v>24.116199999999999</v>
      </c>
      <c r="BS580" s="1">
        <v>121.7225</v>
      </c>
      <c r="BT580" s="1">
        <v>4.8899999999999997</v>
      </c>
      <c r="BU580" s="1" t="s">
        <v>1032</v>
      </c>
      <c r="BV580" s="1" t="s">
        <v>2922</v>
      </c>
      <c r="BW580" s="1">
        <v>216</v>
      </c>
      <c r="BX580" s="1">
        <v>56</v>
      </c>
      <c r="BY580" s="1">
        <v>26</v>
      </c>
      <c r="BZ580" s="1"/>
      <c r="CA580" s="1"/>
      <c r="CB580" s="1"/>
      <c r="CC580" s="1" t="s">
        <v>2808</v>
      </c>
      <c r="CD580" s="1" t="s">
        <v>731</v>
      </c>
      <c r="CE580" s="1"/>
      <c r="CF580" s="1"/>
      <c r="CG580" s="1"/>
      <c r="CH580" s="1"/>
      <c r="CI580" s="1"/>
      <c r="CJ580" s="1" t="s">
        <v>2812</v>
      </c>
      <c r="CK580" t="s">
        <v>1263</v>
      </c>
      <c r="CL580">
        <v>337</v>
      </c>
      <c r="CM580" t="s">
        <v>2972</v>
      </c>
    </row>
    <row r="581" spans="1:91" ht="19" customHeight="1">
      <c r="A581" s="1" t="s">
        <v>4296</v>
      </c>
      <c r="B581" s="1" t="s">
        <v>3597</v>
      </c>
      <c r="C581" s="1">
        <v>338</v>
      </c>
      <c r="D581" s="1" t="s">
        <v>1225</v>
      </c>
      <c r="E581" s="1">
        <v>2018</v>
      </c>
      <c r="F581" s="1" t="s">
        <v>1237</v>
      </c>
      <c r="G581" s="1" t="s">
        <v>1986</v>
      </c>
      <c r="H581" s="4">
        <v>23.993500000000001</v>
      </c>
      <c r="I581" s="4">
        <v>121.593</v>
      </c>
      <c r="J581" s="1" t="s">
        <v>1404</v>
      </c>
      <c r="K581" s="1" t="s">
        <v>70</v>
      </c>
      <c r="L581" s="1" t="s">
        <v>1987</v>
      </c>
      <c r="M581" s="1" t="s">
        <v>3598</v>
      </c>
      <c r="N581" s="1"/>
      <c r="O581" s="1" t="s">
        <v>3095</v>
      </c>
      <c r="P581" s="1"/>
      <c r="Q581" s="4">
        <v>6.42</v>
      </c>
      <c r="R581" s="4"/>
      <c r="S581" s="4"/>
      <c r="T581" s="4"/>
      <c r="U581" s="4"/>
      <c r="V581" s="4">
        <v>1.7</v>
      </c>
      <c r="W581" s="4"/>
      <c r="X581" s="4"/>
      <c r="Y581" s="4"/>
      <c r="Z581" s="4"/>
      <c r="AA581" s="4"/>
      <c r="AB581" s="4" t="s">
        <v>1032</v>
      </c>
      <c r="AC581" s="4"/>
      <c r="AD581" s="4">
        <v>24.116199999999999</v>
      </c>
      <c r="AE581" s="4">
        <v>121.7225</v>
      </c>
      <c r="AF581" s="4">
        <v>4.8899999999999997</v>
      </c>
      <c r="AG581" s="4">
        <v>288.92634700000002</v>
      </c>
      <c r="AH581" s="27" t="b">
        <v>1</v>
      </c>
      <c r="AI581" s="4">
        <v>2.3450000000000002</v>
      </c>
      <c r="AJ581" s="27" t="b">
        <v>0</v>
      </c>
      <c r="AK581" s="4"/>
      <c r="AL581" s="27" t="b">
        <v>1</v>
      </c>
      <c r="AM581" s="4">
        <v>215.11699999999999</v>
      </c>
      <c r="AN581" s="4">
        <v>253.12200000000001</v>
      </c>
      <c r="AO581" s="4">
        <v>241.02600000000001</v>
      </c>
      <c r="AP581" s="4">
        <v>41.090499999999999</v>
      </c>
      <c r="AQ581" s="4">
        <v>87.347700000000003</v>
      </c>
      <c r="AR581" s="4">
        <v>21.640799999999999</v>
      </c>
      <c r="AS581" s="4">
        <v>21.8384</v>
      </c>
      <c r="AT581" s="4">
        <v>62.047499999999999</v>
      </c>
      <c r="AU581" s="4">
        <v>25.387899999999998</v>
      </c>
      <c r="AV581" s="4">
        <v>-5.2683799999999996</v>
      </c>
      <c r="AW581" s="4">
        <v>-14.9384</v>
      </c>
      <c r="AX581" s="4">
        <v>3.7812999999999999</v>
      </c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1" t="s">
        <v>3599</v>
      </c>
      <c r="BJ581" s="1" t="s">
        <v>4297</v>
      </c>
      <c r="BK581" s="1">
        <v>1</v>
      </c>
      <c r="BL581" s="1"/>
      <c r="BM581" s="1" t="s">
        <v>676</v>
      </c>
      <c r="BN581" s="1" t="s">
        <v>2970</v>
      </c>
      <c r="BO581" s="1" t="s">
        <v>2971</v>
      </c>
      <c r="BP581" s="1">
        <v>6.42</v>
      </c>
      <c r="BQ581" s="1" t="s">
        <v>1003</v>
      </c>
      <c r="BR581" s="1">
        <v>24.116199999999999</v>
      </c>
      <c r="BS581" s="1">
        <v>121.7225</v>
      </c>
      <c r="BT581" s="1">
        <v>4.8899999999999997</v>
      </c>
      <c r="BU581" s="1" t="s">
        <v>1032</v>
      </c>
      <c r="BV581" s="1" t="s">
        <v>2922</v>
      </c>
      <c r="BW581" s="1">
        <v>216</v>
      </c>
      <c r="BX581" s="1">
        <v>56</v>
      </c>
      <c r="BY581" s="1">
        <v>26</v>
      </c>
      <c r="BZ581" s="1"/>
      <c r="CA581" s="1"/>
      <c r="CB581" s="1"/>
      <c r="CC581" s="1" t="s">
        <v>2808</v>
      </c>
      <c r="CD581" s="1" t="s">
        <v>731</v>
      </c>
      <c r="CE581" s="1"/>
      <c r="CF581" s="1"/>
      <c r="CG581" s="1"/>
      <c r="CH581" s="1"/>
      <c r="CI581" s="1"/>
      <c r="CJ581" s="1" t="s">
        <v>2812</v>
      </c>
      <c r="CK581" t="s">
        <v>1263</v>
      </c>
      <c r="CL581">
        <v>338</v>
      </c>
      <c r="CM581" t="s">
        <v>2972</v>
      </c>
    </row>
    <row r="582" spans="1:91" ht="19" customHeight="1">
      <c r="A582" s="1" t="s">
        <v>4298</v>
      </c>
      <c r="B582" s="1" t="s">
        <v>3597</v>
      </c>
      <c r="C582" s="1">
        <v>339</v>
      </c>
      <c r="D582" s="1" t="s">
        <v>1225</v>
      </c>
      <c r="E582" s="1">
        <v>2018</v>
      </c>
      <c r="F582" s="1" t="s">
        <v>1238</v>
      </c>
      <c r="G582" s="1" t="s">
        <v>2012</v>
      </c>
      <c r="H582" s="4">
        <v>23.992799999999999</v>
      </c>
      <c r="I582" s="4">
        <v>121.601</v>
      </c>
      <c r="J582" s="1" t="s">
        <v>1404</v>
      </c>
      <c r="K582" s="1" t="s">
        <v>70</v>
      </c>
      <c r="L582" s="1" t="s">
        <v>2013</v>
      </c>
      <c r="M582" s="1" t="s">
        <v>3598</v>
      </c>
      <c r="N582" s="1"/>
      <c r="O582" s="1" t="s">
        <v>3095</v>
      </c>
      <c r="P582" s="1"/>
      <c r="Q582" s="4">
        <v>6.42</v>
      </c>
      <c r="R582" s="4"/>
      <c r="S582" s="4"/>
      <c r="T582" s="4"/>
      <c r="U582" s="4"/>
      <c r="V582" s="4">
        <v>17.802420000000001</v>
      </c>
      <c r="W582" s="4"/>
      <c r="X582" s="4"/>
      <c r="Y582" s="4"/>
      <c r="Z582" s="4"/>
      <c r="AA582" s="4"/>
      <c r="AB582" s="4" t="s">
        <v>1032</v>
      </c>
      <c r="AC582" s="4"/>
      <c r="AD582" s="4">
        <v>24.116199999999999</v>
      </c>
      <c r="AE582" s="4">
        <v>121.7225</v>
      </c>
      <c r="AF582" s="4">
        <v>4.8899999999999997</v>
      </c>
      <c r="AG582" s="4">
        <v>334.46199799999999</v>
      </c>
      <c r="AH582" s="27" t="b">
        <v>1</v>
      </c>
      <c r="AI582" s="4">
        <v>3.339</v>
      </c>
      <c r="AJ582" s="27" t="b">
        <v>0</v>
      </c>
      <c r="AK582" s="4"/>
      <c r="AL582" s="27" t="b">
        <v>1</v>
      </c>
      <c r="AM582" s="4">
        <v>208.60210000000001</v>
      </c>
      <c r="AN582" s="4">
        <v>333.53390000000002</v>
      </c>
      <c r="AO582" s="4">
        <v>181.51070000000001</v>
      </c>
      <c r="AP582" s="4">
        <v>88.728820999999996</v>
      </c>
      <c r="AQ582" s="4">
        <v>90.391588999999996</v>
      </c>
      <c r="AR582" s="4">
        <v>18.125917999999999</v>
      </c>
      <c r="AS582" s="4">
        <v>77.089061000000001</v>
      </c>
      <c r="AT582" s="4">
        <v>35.907541000000002</v>
      </c>
      <c r="AU582" s="4">
        <v>26.110977999999999</v>
      </c>
      <c r="AV582" s="4">
        <v>-23.824895000000001</v>
      </c>
      <c r="AW582" s="4">
        <v>-15.100121</v>
      </c>
      <c r="AX582" s="4">
        <v>-1.4776480000000001</v>
      </c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1" t="s">
        <v>3599</v>
      </c>
      <c r="BJ582" s="1" t="s">
        <v>4299</v>
      </c>
      <c r="BK582" s="1">
        <v>1</v>
      </c>
      <c r="BL582" s="1"/>
      <c r="BM582" s="1" t="s">
        <v>676</v>
      </c>
      <c r="BN582" s="1" t="s">
        <v>2970</v>
      </c>
      <c r="BO582" s="1" t="s">
        <v>2971</v>
      </c>
      <c r="BP582" s="1">
        <v>6.42</v>
      </c>
      <c r="BQ582" s="1" t="s">
        <v>1003</v>
      </c>
      <c r="BR582" s="1">
        <v>24.116199999999999</v>
      </c>
      <c r="BS582" s="1">
        <v>121.7225</v>
      </c>
      <c r="BT582" s="1">
        <v>4.8899999999999997</v>
      </c>
      <c r="BU582" s="1" t="s">
        <v>1032</v>
      </c>
      <c r="BV582" s="1" t="s">
        <v>2922</v>
      </c>
      <c r="BW582" s="1">
        <v>216</v>
      </c>
      <c r="BX582" s="1">
        <v>56</v>
      </c>
      <c r="BY582" s="1">
        <v>26</v>
      </c>
      <c r="BZ582" s="1"/>
      <c r="CA582" s="1"/>
      <c r="CB582" s="1"/>
      <c r="CC582" s="1" t="s">
        <v>2808</v>
      </c>
      <c r="CD582" s="1" t="s">
        <v>731</v>
      </c>
      <c r="CE582" s="1"/>
      <c r="CF582" s="1"/>
      <c r="CG582" s="1"/>
      <c r="CH582" s="1"/>
      <c r="CI582" s="1"/>
      <c r="CJ582" s="1" t="s">
        <v>2812</v>
      </c>
      <c r="CK582" t="s">
        <v>1263</v>
      </c>
      <c r="CL582">
        <v>339</v>
      </c>
      <c r="CM582" t="s">
        <v>2972</v>
      </c>
    </row>
    <row r="583" spans="1:91" ht="19" customHeight="1">
      <c r="A583" s="1" t="s">
        <v>4300</v>
      </c>
      <c r="B583" s="1" t="s">
        <v>3597</v>
      </c>
      <c r="C583" s="1">
        <v>340</v>
      </c>
      <c r="D583" s="1" t="s">
        <v>1225</v>
      </c>
      <c r="E583" s="1">
        <v>2018</v>
      </c>
      <c r="F583" s="1" t="s">
        <v>1239</v>
      </c>
      <c r="G583" s="1" t="s">
        <v>2014</v>
      </c>
      <c r="H583" s="4">
        <v>23.963000000000001</v>
      </c>
      <c r="I583" s="4">
        <v>121.5689</v>
      </c>
      <c r="J583" s="1" t="s">
        <v>1404</v>
      </c>
      <c r="K583" s="1" t="s">
        <v>70</v>
      </c>
      <c r="L583" s="1" t="s">
        <v>2015</v>
      </c>
      <c r="M583" s="1" t="s">
        <v>3598</v>
      </c>
      <c r="N583" s="1"/>
      <c r="O583" s="1" t="s">
        <v>3095</v>
      </c>
      <c r="P583" s="1"/>
      <c r="Q583" s="4">
        <v>6.42</v>
      </c>
      <c r="R583" s="4"/>
      <c r="S583" s="4"/>
      <c r="T583" s="4"/>
      <c r="U583" s="4"/>
      <c r="V583" s="4">
        <v>22.432600000000001</v>
      </c>
      <c r="W583" s="4"/>
      <c r="X583" s="4"/>
      <c r="Y583" s="4"/>
      <c r="Z583" s="4"/>
      <c r="AA583" s="4"/>
      <c r="AB583" s="4" t="s">
        <v>1032</v>
      </c>
      <c r="AC583" s="4"/>
      <c r="AD583" s="4">
        <v>24.116199999999999</v>
      </c>
      <c r="AE583" s="4">
        <v>121.7225</v>
      </c>
      <c r="AF583" s="4">
        <v>4.8899999999999997</v>
      </c>
      <c r="AG583" s="4">
        <v>571.03041199999996</v>
      </c>
      <c r="AH583" s="27" t="b">
        <v>1</v>
      </c>
      <c r="AI583" s="4">
        <v>2.7440000000000002</v>
      </c>
      <c r="AJ583" s="27" t="b">
        <v>0</v>
      </c>
      <c r="AK583" s="4"/>
      <c r="AL583" s="27" t="b">
        <v>1</v>
      </c>
      <c r="AM583" s="4">
        <v>192.97329999999999</v>
      </c>
      <c r="AN583" s="4">
        <v>145.37440000000001</v>
      </c>
      <c r="AO583" s="4">
        <v>215.5061</v>
      </c>
      <c r="AP583" s="4">
        <v>32.777827000000002</v>
      </c>
      <c r="AQ583" s="4">
        <v>25.391501999999999</v>
      </c>
      <c r="AR583" s="4">
        <v>20.885358</v>
      </c>
      <c r="AS583" s="4">
        <v>31.008559000000002</v>
      </c>
      <c r="AT583" s="4">
        <v>26.223890000000001</v>
      </c>
      <c r="AU583" s="4">
        <v>21.282698</v>
      </c>
      <c r="AV583" s="4">
        <v>12.519071</v>
      </c>
      <c r="AW583" s="4">
        <v>-15.630917</v>
      </c>
      <c r="AX583" s="4">
        <v>6.9474330000000002</v>
      </c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1" t="s">
        <v>3599</v>
      </c>
      <c r="BJ583" s="1" t="s">
        <v>4301</v>
      </c>
      <c r="BK583" s="1">
        <v>1</v>
      </c>
      <c r="BL583" s="1"/>
      <c r="BM583" s="1" t="s">
        <v>676</v>
      </c>
      <c r="BN583" s="1" t="s">
        <v>2970</v>
      </c>
      <c r="BO583" s="1" t="s">
        <v>2971</v>
      </c>
      <c r="BP583" s="1">
        <v>6.42</v>
      </c>
      <c r="BQ583" s="1" t="s">
        <v>1003</v>
      </c>
      <c r="BR583" s="1">
        <v>24.116199999999999</v>
      </c>
      <c r="BS583" s="1">
        <v>121.7225</v>
      </c>
      <c r="BT583" s="1">
        <v>4.8899999999999997</v>
      </c>
      <c r="BU583" s="1" t="s">
        <v>1032</v>
      </c>
      <c r="BV583" s="1" t="s">
        <v>2922</v>
      </c>
      <c r="BW583" s="1">
        <v>216</v>
      </c>
      <c r="BX583" s="1">
        <v>56</v>
      </c>
      <c r="BY583" s="1">
        <v>26</v>
      </c>
      <c r="BZ583" s="1"/>
      <c r="CA583" s="1"/>
      <c r="CB583" s="1"/>
      <c r="CC583" s="1" t="s">
        <v>2808</v>
      </c>
      <c r="CD583" s="1" t="s">
        <v>731</v>
      </c>
      <c r="CE583" s="1"/>
      <c r="CF583" s="1"/>
      <c r="CG583" s="1"/>
      <c r="CH583" s="1"/>
      <c r="CI583" s="1"/>
      <c r="CJ583" s="1" t="s">
        <v>2812</v>
      </c>
      <c r="CK583" t="s">
        <v>1263</v>
      </c>
      <c r="CL583">
        <v>340</v>
      </c>
      <c r="CM583" t="s">
        <v>2972</v>
      </c>
    </row>
    <row r="584" spans="1:91" ht="19" customHeight="1">
      <c r="A584" s="1" t="s">
        <v>4302</v>
      </c>
      <c r="B584" s="1" t="s">
        <v>3597</v>
      </c>
      <c r="C584" s="1">
        <v>341</v>
      </c>
      <c r="D584" s="1" t="s">
        <v>1225</v>
      </c>
      <c r="E584" s="1">
        <v>2018</v>
      </c>
      <c r="F584" s="1" t="s">
        <v>1240</v>
      </c>
      <c r="G584" s="1" t="s">
        <v>2282</v>
      </c>
      <c r="H584" s="4">
        <v>24.000299999999999</v>
      </c>
      <c r="I584" s="4">
        <v>121.60380000000001</v>
      </c>
      <c r="J584" s="1" t="s">
        <v>1404</v>
      </c>
      <c r="K584" s="1" t="s">
        <v>70</v>
      </c>
      <c r="L584" s="1" t="s">
        <v>2283</v>
      </c>
      <c r="M584" s="1" t="s">
        <v>3598</v>
      </c>
      <c r="N584" s="1"/>
      <c r="O584" s="1" t="s">
        <v>3095</v>
      </c>
      <c r="P584" s="1"/>
      <c r="Q584" s="4">
        <v>6.42</v>
      </c>
      <c r="R584" s="4"/>
      <c r="S584" s="4"/>
      <c r="T584" s="4"/>
      <c r="U584" s="4"/>
      <c r="V584" s="4">
        <v>0.9</v>
      </c>
      <c r="W584" s="4"/>
      <c r="X584" s="4"/>
      <c r="Y584" s="4"/>
      <c r="Z584" s="4"/>
      <c r="AA584" s="4"/>
      <c r="AB584" s="4" t="s">
        <v>1032</v>
      </c>
      <c r="AC584" s="4"/>
      <c r="AD584" s="4">
        <v>24.116199999999999</v>
      </c>
      <c r="AE584" s="4">
        <v>121.7225</v>
      </c>
      <c r="AF584" s="4">
        <v>4.8899999999999997</v>
      </c>
      <c r="AG584" s="4"/>
      <c r="AH584" s="27" t="b">
        <v>1</v>
      </c>
      <c r="AI584" s="4">
        <v>3.2759999999999998</v>
      </c>
      <c r="AJ584" s="27" t="b">
        <v>0</v>
      </c>
      <c r="AK584" s="4"/>
      <c r="AL584" s="27" t="b">
        <v>1</v>
      </c>
      <c r="AM584" s="4">
        <v>204.18899999999999</v>
      </c>
      <c r="AN584" s="4">
        <v>186.173</v>
      </c>
      <c r="AO584" s="4">
        <v>205.489</v>
      </c>
      <c r="AP584" s="4">
        <v>66.681700000000006</v>
      </c>
      <c r="AQ584" s="4">
        <v>80.431700000000006</v>
      </c>
      <c r="AR584" s="4">
        <v>17.600259999999999</v>
      </c>
      <c r="AS584" s="4">
        <v>27.2378</v>
      </c>
      <c r="AT584" s="4">
        <v>77.667000000000002</v>
      </c>
      <c r="AU584" s="4">
        <v>23.132400000000001</v>
      </c>
      <c r="AV584" s="4">
        <v>3.1071000000000001E-2</v>
      </c>
      <c r="AW584" s="4">
        <v>-30.247</v>
      </c>
      <c r="AX584" s="4">
        <v>-0.72483200000000003</v>
      </c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1" t="s">
        <v>4258</v>
      </c>
      <c r="BJ584" s="1" t="s">
        <v>4303</v>
      </c>
      <c r="BK584" s="1">
        <v>1</v>
      </c>
      <c r="BL584" s="1"/>
      <c r="BM584" s="1" t="s">
        <v>676</v>
      </c>
      <c r="BN584" s="1" t="s">
        <v>2970</v>
      </c>
      <c r="BO584" s="1" t="s">
        <v>2971</v>
      </c>
      <c r="BP584" s="1">
        <v>6.42</v>
      </c>
      <c r="BQ584" s="1" t="s">
        <v>1003</v>
      </c>
      <c r="BR584" s="1">
        <v>24.116199999999999</v>
      </c>
      <c r="BS584" s="1">
        <v>121.7225</v>
      </c>
      <c r="BT584" s="1">
        <v>4.8899999999999997</v>
      </c>
      <c r="BU584" s="1" t="s">
        <v>1032</v>
      </c>
      <c r="BV584" s="1" t="s">
        <v>2922</v>
      </c>
      <c r="BW584" s="1">
        <v>216</v>
      </c>
      <c r="BX584" s="1">
        <v>56</v>
      </c>
      <c r="BY584" s="1">
        <v>26</v>
      </c>
      <c r="BZ584" s="1"/>
      <c r="CA584" s="1"/>
      <c r="CB584" s="1"/>
      <c r="CC584" s="1" t="s">
        <v>2808</v>
      </c>
      <c r="CD584" s="1" t="s">
        <v>731</v>
      </c>
      <c r="CE584" s="1"/>
      <c r="CF584" s="1"/>
      <c r="CG584" s="1"/>
      <c r="CH584" s="1"/>
      <c r="CI584" s="1"/>
      <c r="CJ584" s="1" t="s">
        <v>2812</v>
      </c>
      <c r="CK584" t="s">
        <v>1263</v>
      </c>
      <c r="CL584">
        <v>341</v>
      </c>
      <c r="CM584" t="s">
        <v>2972</v>
      </c>
    </row>
    <row r="585" spans="1:91" ht="19" customHeight="1">
      <c r="A585" s="1" t="s">
        <v>4304</v>
      </c>
      <c r="B585" s="1" t="s">
        <v>1245</v>
      </c>
      <c r="C585" s="1">
        <v>2</v>
      </c>
      <c r="D585" s="1" t="s">
        <v>1433</v>
      </c>
      <c r="E585" s="1">
        <v>2016</v>
      </c>
      <c r="F585" s="1">
        <v>93002</v>
      </c>
      <c r="G585" s="1" t="s">
        <v>1431</v>
      </c>
      <c r="H585" s="4">
        <v>32.968000000000004</v>
      </c>
      <c r="I585" s="4">
        <v>131.04599999999999</v>
      </c>
      <c r="J585" s="1" t="s">
        <v>1396</v>
      </c>
      <c r="K585" s="1" t="s">
        <v>79</v>
      </c>
      <c r="L585" s="1" t="s">
        <v>1434</v>
      </c>
      <c r="M585" s="1" t="s">
        <v>3545</v>
      </c>
      <c r="N585" s="1"/>
      <c r="O585" s="1" t="s">
        <v>3095</v>
      </c>
      <c r="P585" s="1"/>
      <c r="Q585" s="4">
        <v>7.04</v>
      </c>
      <c r="R585" s="4">
        <v>11.16</v>
      </c>
      <c r="S585" s="4"/>
      <c r="T585" s="4">
        <v>62.24</v>
      </c>
      <c r="U585" s="4"/>
      <c r="V585" s="4">
        <v>8.3000000000000007</v>
      </c>
      <c r="W585" s="4">
        <v>37.700000000000003</v>
      </c>
      <c r="X585" s="4">
        <v>348.43</v>
      </c>
      <c r="Y585" s="4">
        <v>36.569999999999993</v>
      </c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1"/>
      <c r="BJ585" s="1" t="s">
        <v>4305</v>
      </c>
      <c r="BK585" s="1">
        <v>1</v>
      </c>
      <c r="BL585" s="1"/>
      <c r="BM585" s="1" t="s">
        <v>226</v>
      </c>
      <c r="BN585" s="1" t="s">
        <v>2959</v>
      </c>
      <c r="BO585" s="1" t="s">
        <v>2960</v>
      </c>
      <c r="BP585" s="1">
        <v>7.04</v>
      </c>
      <c r="BQ585" s="1" t="s">
        <v>1003</v>
      </c>
      <c r="BR585" s="1">
        <v>32.7545</v>
      </c>
      <c r="BS585" s="1">
        <v>130.76300000000001</v>
      </c>
      <c r="BT585" s="1">
        <v>12.45</v>
      </c>
      <c r="BU585" s="1" t="s">
        <v>730</v>
      </c>
      <c r="BV585" s="1" t="s">
        <v>2961</v>
      </c>
      <c r="BW585" s="1">
        <v>205</v>
      </c>
      <c r="BX585" s="1">
        <v>72</v>
      </c>
      <c r="BY585" s="1">
        <v>-142</v>
      </c>
      <c r="BZ585" s="1">
        <v>235</v>
      </c>
      <c r="CA585" s="1">
        <v>65</v>
      </c>
      <c r="CB585" s="1">
        <v>-142</v>
      </c>
      <c r="CC585" s="1" t="s">
        <v>2973</v>
      </c>
      <c r="CD585" s="1" t="s">
        <v>862</v>
      </c>
      <c r="CE585" s="1">
        <v>1</v>
      </c>
      <c r="CF585" s="1">
        <v>7.04</v>
      </c>
      <c r="CG585" s="1">
        <v>3.4371</v>
      </c>
      <c r="CH585" s="1">
        <v>2349</v>
      </c>
      <c r="CI585" s="1" t="s">
        <v>1196</v>
      </c>
      <c r="CJ585" s="1" t="s">
        <v>1357</v>
      </c>
      <c r="CK585" t="s">
        <v>1264</v>
      </c>
      <c r="CL585">
        <v>2</v>
      </c>
      <c r="CM585" t="s">
        <v>2977</v>
      </c>
    </row>
    <row r="586" spans="1:91" ht="19" customHeight="1">
      <c r="A586" s="1" t="s">
        <v>4306</v>
      </c>
      <c r="B586" s="1" t="s">
        <v>1245</v>
      </c>
      <c r="C586" s="1">
        <v>3</v>
      </c>
      <c r="D586" s="1" t="s">
        <v>1433</v>
      </c>
      <c r="E586" s="1">
        <v>2016</v>
      </c>
      <c r="F586" s="1">
        <v>93009</v>
      </c>
      <c r="G586" s="1" t="s">
        <v>1435</v>
      </c>
      <c r="H586" s="4">
        <v>32.822000000000003</v>
      </c>
      <c r="I586" s="4">
        <v>131.084</v>
      </c>
      <c r="J586" s="1" t="s">
        <v>1396</v>
      </c>
      <c r="K586" s="1" t="s">
        <v>79</v>
      </c>
      <c r="L586" s="1" t="s">
        <v>1437</v>
      </c>
      <c r="M586" s="1" t="s">
        <v>3545</v>
      </c>
      <c r="N586" s="1"/>
      <c r="O586" s="1" t="s">
        <v>3095</v>
      </c>
      <c r="P586" s="1"/>
      <c r="Q586" s="4">
        <v>7.04</v>
      </c>
      <c r="R586" s="4">
        <v>4.28</v>
      </c>
      <c r="S586" s="4"/>
      <c r="T586" s="4">
        <v>70.430000000000007</v>
      </c>
      <c r="U586" s="4"/>
      <c r="V586" s="4">
        <v>10.3</v>
      </c>
      <c r="W586" s="4">
        <v>33.4</v>
      </c>
      <c r="X586" s="4">
        <v>17.760000000000002</v>
      </c>
      <c r="Y586" s="4">
        <v>7.2399999999999984</v>
      </c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1"/>
      <c r="BJ586" s="1" t="s">
        <v>4307</v>
      </c>
      <c r="BK586" s="1">
        <v>1</v>
      </c>
      <c r="BL586" s="1"/>
      <c r="BM586" s="1" t="s">
        <v>226</v>
      </c>
      <c r="BN586" s="1" t="s">
        <v>2959</v>
      </c>
      <c r="BO586" s="1" t="s">
        <v>2960</v>
      </c>
      <c r="BP586" s="1">
        <v>7.04</v>
      </c>
      <c r="BQ586" s="1" t="s">
        <v>1003</v>
      </c>
      <c r="BR586" s="1">
        <v>32.7545</v>
      </c>
      <c r="BS586" s="1">
        <v>130.76300000000001</v>
      </c>
      <c r="BT586" s="1">
        <v>12.45</v>
      </c>
      <c r="BU586" s="1" t="s">
        <v>730</v>
      </c>
      <c r="BV586" s="1" t="s">
        <v>2961</v>
      </c>
      <c r="BW586" s="1">
        <v>205</v>
      </c>
      <c r="BX586" s="1">
        <v>72</v>
      </c>
      <c r="BY586" s="1">
        <v>-142</v>
      </c>
      <c r="BZ586" s="1">
        <v>235</v>
      </c>
      <c r="CA586" s="1">
        <v>65</v>
      </c>
      <c r="CB586" s="1">
        <v>-142</v>
      </c>
      <c r="CC586" s="1" t="s">
        <v>2973</v>
      </c>
      <c r="CD586" s="1" t="s">
        <v>862</v>
      </c>
      <c r="CE586" s="1">
        <v>1</v>
      </c>
      <c r="CF586" s="1">
        <v>7.04</v>
      </c>
      <c r="CG586" s="1">
        <v>3.4371</v>
      </c>
      <c r="CH586" s="1">
        <v>2349</v>
      </c>
      <c r="CI586" s="1" t="s">
        <v>1196</v>
      </c>
      <c r="CJ586" s="1" t="s">
        <v>1357</v>
      </c>
      <c r="CK586" t="s">
        <v>1264</v>
      </c>
      <c r="CL586">
        <v>3</v>
      </c>
      <c r="CM586" t="s">
        <v>2977</v>
      </c>
    </row>
    <row r="587" spans="1:91" ht="19" customHeight="1">
      <c r="A587" s="1" t="s">
        <v>4308</v>
      </c>
      <c r="B587" s="1" t="s">
        <v>1245</v>
      </c>
      <c r="C587" s="1">
        <v>4</v>
      </c>
      <c r="D587" s="1" t="s">
        <v>1433</v>
      </c>
      <c r="E587" s="1">
        <v>2016</v>
      </c>
      <c r="F587" s="1">
        <v>93010</v>
      </c>
      <c r="G587" s="1" t="s">
        <v>1438</v>
      </c>
      <c r="H587" s="4">
        <v>32.819000000000003</v>
      </c>
      <c r="I587" s="4">
        <v>131.03399999999999</v>
      </c>
      <c r="J587" s="1" t="s">
        <v>1396</v>
      </c>
      <c r="K587" s="1" t="s">
        <v>79</v>
      </c>
      <c r="L587" s="1" t="s">
        <v>1440</v>
      </c>
      <c r="M587" s="1" t="s">
        <v>3545</v>
      </c>
      <c r="N587" s="1"/>
      <c r="O587" s="1" t="s">
        <v>3095</v>
      </c>
      <c r="P587" s="1"/>
      <c r="Q587" s="4">
        <v>7.04</v>
      </c>
      <c r="R587" s="4">
        <v>4.28</v>
      </c>
      <c r="S587" s="4"/>
      <c r="T587" s="4">
        <v>44.94</v>
      </c>
      <c r="U587" s="4"/>
      <c r="V587" s="4">
        <v>8.1</v>
      </c>
      <c r="W587" s="4">
        <v>29.2</v>
      </c>
      <c r="X587" s="4">
        <v>21.8</v>
      </c>
      <c r="Y587" s="4">
        <v>3.1999999999999988</v>
      </c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1"/>
      <c r="BJ587" s="1" t="s">
        <v>4309</v>
      </c>
      <c r="BK587" s="1">
        <v>1</v>
      </c>
      <c r="BL587" s="1"/>
      <c r="BM587" s="1" t="s">
        <v>226</v>
      </c>
      <c r="BN587" s="1" t="s">
        <v>2959</v>
      </c>
      <c r="BO587" s="1" t="s">
        <v>2960</v>
      </c>
      <c r="BP587" s="1">
        <v>7.04</v>
      </c>
      <c r="BQ587" s="1" t="s">
        <v>1003</v>
      </c>
      <c r="BR587" s="1">
        <v>32.7545</v>
      </c>
      <c r="BS587" s="1">
        <v>130.76300000000001</v>
      </c>
      <c r="BT587" s="1">
        <v>12.45</v>
      </c>
      <c r="BU587" s="1" t="s">
        <v>730</v>
      </c>
      <c r="BV587" s="1" t="s">
        <v>2961</v>
      </c>
      <c r="BW587" s="1">
        <v>205</v>
      </c>
      <c r="BX587" s="1">
        <v>72</v>
      </c>
      <c r="BY587" s="1">
        <v>-142</v>
      </c>
      <c r="BZ587" s="1">
        <v>235</v>
      </c>
      <c r="CA587" s="1">
        <v>65</v>
      </c>
      <c r="CB587" s="1">
        <v>-142</v>
      </c>
      <c r="CC587" s="1" t="s">
        <v>2973</v>
      </c>
      <c r="CD587" s="1" t="s">
        <v>862</v>
      </c>
      <c r="CE587" s="1">
        <v>1</v>
      </c>
      <c r="CF587" s="1">
        <v>7.04</v>
      </c>
      <c r="CG587" s="1">
        <v>3.4371</v>
      </c>
      <c r="CH587" s="1">
        <v>2349</v>
      </c>
      <c r="CI587" s="1" t="s">
        <v>1196</v>
      </c>
      <c r="CJ587" s="1" t="s">
        <v>1357</v>
      </c>
      <c r="CK587" t="s">
        <v>1264</v>
      </c>
      <c r="CL587">
        <v>4</v>
      </c>
      <c r="CM587" t="s">
        <v>2977</v>
      </c>
    </row>
    <row r="588" spans="1:91" ht="19" customHeight="1">
      <c r="A588" s="1" t="s">
        <v>4310</v>
      </c>
      <c r="B588" s="1" t="s">
        <v>1245</v>
      </c>
      <c r="C588" s="1">
        <v>5</v>
      </c>
      <c r="D588" s="1" t="s">
        <v>1433</v>
      </c>
      <c r="E588" s="1">
        <v>2016</v>
      </c>
      <c r="F588" s="1">
        <v>93011</v>
      </c>
      <c r="G588" s="1" t="s">
        <v>1441</v>
      </c>
      <c r="H588" s="4">
        <v>32.856000000000002</v>
      </c>
      <c r="I588" s="4">
        <v>131.00299999999999</v>
      </c>
      <c r="J588" s="1" t="s">
        <v>1396</v>
      </c>
      <c r="K588" s="1" t="s">
        <v>79</v>
      </c>
      <c r="L588" s="1" t="s">
        <v>1443</v>
      </c>
      <c r="M588" s="1" t="s">
        <v>3545</v>
      </c>
      <c r="N588" s="1"/>
      <c r="O588" s="1" t="s">
        <v>3095</v>
      </c>
      <c r="P588" s="1"/>
      <c r="Q588" s="4">
        <v>7.04</v>
      </c>
      <c r="R588" s="4">
        <v>3.08</v>
      </c>
      <c r="S588" s="4"/>
      <c r="T588" s="4">
        <v>93.36</v>
      </c>
      <c r="U588" s="4"/>
      <c r="V588" s="4">
        <v>3.4</v>
      </c>
      <c r="W588" s="4">
        <v>28.1</v>
      </c>
      <c r="X588" s="4">
        <v>356.27</v>
      </c>
      <c r="Y588" s="4">
        <v>28.730000000000022</v>
      </c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1"/>
      <c r="BJ588" s="1" t="s">
        <v>4311</v>
      </c>
      <c r="BK588" s="1">
        <v>1</v>
      </c>
      <c r="BL588" s="1"/>
      <c r="BM588" s="1" t="s">
        <v>226</v>
      </c>
      <c r="BN588" s="1" t="s">
        <v>2959</v>
      </c>
      <c r="BO588" s="1" t="s">
        <v>2960</v>
      </c>
      <c r="BP588" s="1">
        <v>7.04</v>
      </c>
      <c r="BQ588" s="1" t="s">
        <v>1003</v>
      </c>
      <c r="BR588" s="1">
        <v>32.7545</v>
      </c>
      <c r="BS588" s="1">
        <v>130.76300000000001</v>
      </c>
      <c r="BT588" s="1">
        <v>12.45</v>
      </c>
      <c r="BU588" s="1" t="s">
        <v>730</v>
      </c>
      <c r="BV588" s="1" t="s">
        <v>2961</v>
      </c>
      <c r="BW588" s="1">
        <v>205</v>
      </c>
      <c r="BX588" s="1">
        <v>72</v>
      </c>
      <c r="BY588" s="1">
        <v>-142</v>
      </c>
      <c r="BZ588" s="1">
        <v>235</v>
      </c>
      <c r="CA588" s="1">
        <v>65</v>
      </c>
      <c r="CB588" s="1">
        <v>-142</v>
      </c>
      <c r="CC588" s="1" t="s">
        <v>2973</v>
      </c>
      <c r="CD588" s="1" t="s">
        <v>862</v>
      </c>
      <c r="CE588" s="1">
        <v>1</v>
      </c>
      <c r="CF588" s="1">
        <v>7.04</v>
      </c>
      <c r="CG588" s="1">
        <v>3.4371</v>
      </c>
      <c r="CH588" s="1">
        <v>2349</v>
      </c>
      <c r="CI588" s="1" t="s">
        <v>1196</v>
      </c>
      <c r="CJ588" s="1" t="s">
        <v>1357</v>
      </c>
      <c r="CK588" t="s">
        <v>1264</v>
      </c>
      <c r="CL588">
        <v>5</v>
      </c>
      <c r="CM588" t="s">
        <v>2977</v>
      </c>
    </row>
    <row r="589" spans="1:91" ht="19" customHeight="1">
      <c r="A589" s="1" t="s">
        <v>4312</v>
      </c>
      <c r="B589" s="1" t="s">
        <v>1245</v>
      </c>
      <c r="C589" s="1">
        <v>6</v>
      </c>
      <c r="D589" s="1" t="s">
        <v>1433</v>
      </c>
      <c r="E589" s="1">
        <v>2016</v>
      </c>
      <c r="F589" s="1">
        <v>93020</v>
      </c>
      <c r="G589" s="1" t="s">
        <v>1444</v>
      </c>
      <c r="H589" s="4">
        <v>32.643000000000001</v>
      </c>
      <c r="I589" s="4">
        <v>130.67099999999999</v>
      </c>
      <c r="J589" s="1" t="s">
        <v>1396</v>
      </c>
      <c r="K589" s="1" t="s">
        <v>79</v>
      </c>
      <c r="L589" s="1" t="s">
        <v>1447</v>
      </c>
      <c r="M589" s="1" t="s">
        <v>3545</v>
      </c>
      <c r="N589" s="1"/>
      <c r="O589" s="1" t="s">
        <v>3095</v>
      </c>
      <c r="P589" s="1"/>
      <c r="Q589" s="4">
        <v>7.04</v>
      </c>
      <c r="R589" s="4">
        <v>1.1599999999999999</v>
      </c>
      <c r="S589" s="4"/>
      <c r="T589" s="4">
        <v>69.27</v>
      </c>
      <c r="U589" s="4"/>
      <c r="V589" s="4">
        <v>12.5</v>
      </c>
      <c r="W589" s="4">
        <v>19.600000000000001</v>
      </c>
      <c r="X589" s="4">
        <v>334.43</v>
      </c>
      <c r="Y589" s="4">
        <v>50.569999999999993</v>
      </c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1"/>
      <c r="BJ589" s="1" t="s">
        <v>4313</v>
      </c>
      <c r="BK589" s="1">
        <v>1</v>
      </c>
      <c r="BL589" s="1"/>
      <c r="BM589" s="1" t="s">
        <v>226</v>
      </c>
      <c r="BN589" s="1" t="s">
        <v>2959</v>
      </c>
      <c r="BO589" s="1" t="s">
        <v>2960</v>
      </c>
      <c r="BP589" s="1">
        <v>7.04</v>
      </c>
      <c r="BQ589" s="1" t="s">
        <v>1003</v>
      </c>
      <c r="BR589" s="1">
        <v>32.7545</v>
      </c>
      <c r="BS589" s="1">
        <v>130.76300000000001</v>
      </c>
      <c r="BT589" s="1">
        <v>12.45</v>
      </c>
      <c r="BU589" s="1" t="s">
        <v>730</v>
      </c>
      <c r="BV589" s="1" t="s">
        <v>2961</v>
      </c>
      <c r="BW589" s="1">
        <v>205</v>
      </c>
      <c r="BX589" s="1">
        <v>72</v>
      </c>
      <c r="BY589" s="1">
        <v>-142</v>
      </c>
      <c r="BZ589" s="1">
        <v>235</v>
      </c>
      <c r="CA589" s="1">
        <v>65</v>
      </c>
      <c r="CB589" s="1">
        <v>-142</v>
      </c>
      <c r="CC589" s="1" t="s">
        <v>2973</v>
      </c>
      <c r="CD589" s="1" t="s">
        <v>862</v>
      </c>
      <c r="CE589" s="1">
        <v>1</v>
      </c>
      <c r="CF589" s="1">
        <v>7.04</v>
      </c>
      <c r="CG589" s="1">
        <v>3.4371</v>
      </c>
      <c r="CH589" s="1">
        <v>2349</v>
      </c>
      <c r="CI589" s="1" t="s">
        <v>1196</v>
      </c>
      <c r="CJ589" s="1" t="s">
        <v>1357</v>
      </c>
      <c r="CK589" t="s">
        <v>1264</v>
      </c>
      <c r="CL589">
        <v>6</v>
      </c>
      <c r="CM589" t="s">
        <v>2977</v>
      </c>
    </row>
    <row r="590" spans="1:91" ht="19" customHeight="1">
      <c r="A590" s="1" t="s">
        <v>4314</v>
      </c>
      <c r="B590" s="1" t="s">
        <v>1245</v>
      </c>
      <c r="C590" s="1">
        <v>7</v>
      </c>
      <c r="D590" s="1" t="s">
        <v>1433</v>
      </c>
      <c r="E590" s="1">
        <v>2016</v>
      </c>
      <c r="F590" s="1">
        <v>93025</v>
      </c>
      <c r="G590" s="1" t="s">
        <v>1455</v>
      </c>
      <c r="H590" s="4">
        <v>32.636000000000003</v>
      </c>
      <c r="I590" s="4">
        <v>130.75200000000001</v>
      </c>
      <c r="J590" s="1" t="s">
        <v>1396</v>
      </c>
      <c r="K590" s="1" t="s">
        <v>79</v>
      </c>
      <c r="L590" s="1" t="s">
        <v>1457</v>
      </c>
      <c r="M590" s="1" t="s">
        <v>3545</v>
      </c>
      <c r="N590" s="1"/>
      <c r="O590" s="1" t="s">
        <v>3095</v>
      </c>
      <c r="P590" s="1"/>
      <c r="Q590" s="4">
        <v>7.04</v>
      </c>
      <c r="R590" s="4">
        <v>2.0299999999999998</v>
      </c>
      <c r="S590" s="4"/>
      <c r="T590" s="4">
        <v>87.6</v>
      </c>
      <c r="U590" s="4"/>
      <c r="V590" s="4">
        <v>8.6</v>
      </c>
      <c r="W590" s="4">
        <v>18.100000000000001</v>
      </c>
      <c r="X590" s="4">
        <v>5.19</v>
      </c>
      <c r="Y590" s="4">
        <v>19.809999999999999</v>
      </c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1"/>
      <c r="BJ590" s="1" t="s">
        <v>4315</v>
      </c>
      <c r="BK590" s="1">
        <v>1</v>
      </c>
      <c r="BL590" s="1"/>
      <c r="BM590" s="1" t="s">
        <v>226</v>
      </c>
      <c r="BN590" s="1" t="s">
        <v>2959</v>
      </c>
      <c r="BO590" s="1" t="s">
        <v>2960</v>
      </c>
      <c r="BP590" s="1">
        <v>7.04</v>
      </c>
      <c r="BQ590" s="1" t="s">
        <v>1003</v>
      </c>
      <c r="BR590" s="1">
        <v>32.7545</v>
      </c>
      <c r="BS590" s="1">
        <v>130.76300000000001</v>
      </c>
      <c r="BT590" s="1">
        <v>12.45</v>
      </c>
      <c r="BU590" s="1" t="s">
        <v>730</v>
      </c>
      <c r="BV590" s="1" t="s">
        <v>2961</v>
      </c>
      <c r="BW590" s="1">
        <v>205</v>
      </c>
      <c r="BX590" s="1">
        <v>72</v>
      </c>
      <c r="BY590" s="1">
        <v>-142</v>
      </c>
      <c r="BZ590" s="1">
        <v>235</v>
      </c>
      <c r="CA590" s="1">
        <v>65</v>
      </c>
      <c r="CB590" s="1">
        <v>-142</v>
      </c>
      <c r="CC590" s="1" t="s">
        <v>2973</v>
      </c>
      <c r="CD590" s="1" t="s">
        <v>862</v>
      </c>
      <c r="CE590" s="1">
        <v>1</v>
      </c>
      <c r="CF590" s="1">
        <v>7.04</v>
      </c>
      <c r="CG590" s="1">
        <v>3.4371</v>
      </c>
      <c r="CH590" s="1">
        <v>2349</v>
      </c>
      <c r="CI590" s="1" t="s">
        <v>1196</v>
      </c>
      <c r="CJ590" s="1" t="s">
        <v>1357</v>
      </c>
      <c r="CK590" t="s">
        <v>1264</v>
      </c>
      <c r="CL590">
        <v>7</v>
      </c>
      <c r="CM590" t="s">
        <v>2977</v>
      </c>
    </row>
    <row r="591" spans="1:91" ht="19" customHeight="1">
      <c r="A591" s="1" t="s">
        <v>4316</v>
      </c>
      <c r="B591" s="1" t="s">
        <v>1245</v>
      </c>
      <c r="C591" s="1">
        <v>8</v>
      </c>
      <c r="D591" s="1" t="s">
        <v>1433</v>
      </c>
      <c r="E591" s="1">
        <v>2016</v>
      </c>
      <c r="F591" s="1">
        <v>93029</v>
      </c>
      <c r="G591" s="1" t="s">
        <v>1458</v>
      </c>
      <c r="H591" s="4">
        <v>32.874000000000002</v>
      </c>
      <c r="I591" s="4">
        <v>130.55799999999999</v>
      </c>
      <c r="J591" s="1" t="s">
        <v>1396</v>
      </c>
      <c r="K591" s="1" t="s">
        <v>79</v>
      </c>
      <c r="L591" s="1" t="s">
        <v>1460</v>
      </c>
      <c r="M591" s="1" t="s">
        <v>3545</v>
      </c>
      <c r="N591" s="1"/>
      <c r="O591" s="1" t="s">
        <v>3095</v>
      </c>
      <c r="P591" s="1"/>
      <c r="Q591" s="4">
        <v>7.04</v>
      </c>
      <c r="R591" s="4">
        <v>1.88</v>
      </c>
      <c r="S591" s="4"/>
      <c r="T591" s="4">
        <v>53.31</v>
      </c>
      <c r="U591" s="4"/>
      <c r="V591" s="4">
        <v>25</v>
      </c>
      <c r="W591" s="4">
        <v>26.5</v>
      </c>
      <c r="X591" s="4">
        <v>353.49</v>
      </c>
      <c r="Y591" s="4">
        <v>31.509999999999991</v>
      </c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1"/>
      <c r="BJ591" s="1" t="s">
        <v>4317</v>
      </c>
      <c r="BK591" s="1">
        <v>1</v>
      </c>
      <c r="BL591" s="1"/>
      <c r="BM591" s="1" t="s">
        <v>226</v>
      </c>
      <c r="BN591" s="1" t="s">
        <v>2959</v>
      </c>
      <c r="BO591" s="1" t="s">
        <v>2960</v>
      </c>
      <c r="BP591" s="1">
        <v>7.04</v>
      </c>
      <c r="BQ591" s="1" t="s">
        <v>1003</v>
      </c>
      <c r="BR591" s="1">
        <v>32.7545</v>
      </c>
      <c r="BS591" s="1">
        <v>130.76300000000001</v>
      </c>
      <c r="BT591" s="1">
        <v>12.45</v>
      </c>
      <c r="BU591" s="1" t="s">
        <v>730</v>
      </c>
      <c r="BV591" s="1" t="s">
        <v>2961</v>
      </c>
      <c r="BW591" s="1">
        <v>205</v>
      </c>
      <c r="BX591" s="1">
        <v>72</v>
      </c>
      <c r="BY591" s="1">
        <v>-142</v>
      </c>
      <c r="BZ591" s="1">
        <v>235</v>
      </c>
      <c r="CA591" s="1">
        <v>65</v>
      </c>
      <c r="CB591" s="1">
        <v>-142</v>
      </c>
      <c r="CC591" s="1" t="s">
        <v>2973</v>
      </c>
      <c r="CD591" s="1" t="s">
        <v>862</v>
      </c>
      <c r="CE591" s="1">
        <v>1</v>
      </c>
      <c r="CF591" s="1">
        <v>7.04</v>
      </c>
      <c r="CG591" s="1">
        <v>3.4371</v>
      </c>
      <c r="CH591" s="1">
        <v>2349</v>
      </c>
      <c r="CI591" s="1" t="s">
        <v>1196</v>
      </c>
      <c r="CJ591" s="1" t="s">
        <v>1357</v>
      </c>
      <c r="CK591" t="s">
        <v>1264</v>
      </c>
      <c r="CL591">
        <v>8</v>
      </c>
      <c r="CM591" t="s">
        <v>2977</v>
      </c>
    </row>
    <row r="592" spans="1:91" ht="19" customHeight="1">
      <c r="A592" s="1" t="s">
        <v>4318</v>
      </c>
      <c r="B592" s="1" t="s">
        <v>1245</v>
      </c>
      <c r="C592" s="1">
        <v>9</v>
      </c>
      <c r="D592" s="1" t="s">
        <v>1433</v>
      </c>
      <c r="E592" s="1">
        <v>2016</v>
      </c>
      <c r="F592" s="1">
        <v>93030</v>
      </c>
      <c r="G592" s="1" t="s">
        <v>1461</v>
      </c>
      <c r="H592" s="4">
        <v>32.860999999999997</v>
      </c>
      <c r="I592" s="4">
        <v>130.595</v>
      </c>
      <c r="J592" s="1" t="s">
        <v>1396</v>
      </c>
      <c r="K592" s="1" t="s">
        <v>79</v>
      </c>
      <c r="L592" s="1" t="s">
        <v>1463</v>
      </c>
      <c r="M592" s="1" t="s">
        <v>3545</v>
      </c>
      <c r="N592" s="1"/>
      <c r="O592" s="1" t="s">
        <v>3095</v>
      </c>
      <c r="P592" s="1"/>
      <c r="Q592" s="4">
        <v>7.04</v>
      </c>
      <c r="R592" s="4">
        <v>2</v>
      </c>
      <c r="S592" s="4"/>
      <c r="T592" s="4">
        <v>68.8</v>
      </c>
      <c r="U592" s="4"/>
      <c r="V592" s="4">
        <v>21.5</v>
      </c>
      <c r="W592" s="4">
        <v>23.3</v>
      </c>
      <c r="X592" s="4">
        <v>349.16</v>
      </c>
      <c r="Y592" s="4">
        <v>35.839999999999968</v>
      </c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1"/>
      <c r="BJ592" s="1" t="s">
        <v>4319</v>
      </c>
      <c r="BK592" s="1">
        <v>1</v>
      </c>
      <c r="BL592" s="1"/>
      <c r="BM592" s="1" t="s">
        <v>226</v>
      </c>
      <c r="BN592" s="1" t="s">
        <v>2959</v>
      </c>
      <c r="BO592" s="1" t="s">
        <v>2960</v>
      </c>
      <c r="BP592" s="1">
        <v>7.04</v>
      </c>
      <c r="BQ592" s="1" t="s">
        <v>1003</v>
      </c>
      <c r="BR592" s="1">
        <v>32.7545</v>
      </c>
      <c r="BS592" s="1">
        <v>130.76300000000001</v>
      </c>
      <c r="BT592" s="1">
        <v>12.45</v>
      </c>
      <c r="BU592" s="1" t="s">
        <v>730</v>
      </c>
      <c r="BV592" s="1" t="s">
        <v>2961</v>
      </c>
      <c r="BW592" s="1">
        <v>205</v>
      </c>
      <c r="BX592" s="1">
        <v>72</v>
      </c>
      <c r="BY592" s="1">
        <v>-142</v>
      </c>
      <c r="BZ592" s="1">
        <v>235</v>
      </c>
      <c r="CA592" s="1">
        <v>65</v>
      </c>
      <c r="CB592" s="1">
        <v>-142</v>
      </c>
      <c r="CC592" s="1" t="s">
        <v>2973</v>
      </c>
      <c r="CD592" s="1" t="s">
        <v>862</v>
      </c>
      <c r="CE592" s="1">
        <v>1</v>
      </c>
      <c r="CF592" s="1">
        <v>7.04</v>
      </c>
      <c r="CG592" s="1">
        <v>3.4371</v>
      </c>
      <c r="CH592" s="1">
        <v>2349</v>
      </c>
      <c r="CI592" s="1" t="s">
        <v>1196</v>
      </c>
      <c r="CJ592" s="1" t="s">
        <v>1357</v>
      </c>
      <c r="CK592" t="s">
        <v>1264</v>
      </c>
      <c r="CL592">
        <v>9</v>
      </c>
      <c r="CM592" t="s">
        <v>2977</v>
      </c>
    </row>
    <row r="593" spans="1:91" ht="19" customHeight="1">
      <c r="A593" s="1" t="s">
        <v>4320</v>
      </c>
      <c r="B593" s="1" t="s">
        <v>1245</v>
      </c>
      <c r="C593" s="1">
        <v>10</v>
      </c>
      <c r="D593" s="1" t="s">
        <v>1433</v>
      </c>
      <c r="E593" s="1">
        <v>2016</v>
      </c>
      <c r="F593" s="1">
        <v>93041</v>
      </c>
      <c r="G593" s="1" t="s">
        <v>1464</v>
      </c>
      <c r="H593" s="4">
        <v>32.966000000000001</v>
      </c>
      <c r="I593" s="4">
        <v>130.767</v>
      </c>
      <c r="J593" s="1" t="s">
        <v>1396</v>
      </c>
      <c r="K593" s="1" t="s">
        <v>79</v>
      </c>
      <c r="L593" s="1" t="s">
        <v>1466</v>
      </c>
      <c r="M593" s="1" t="s">
        <v>3545</v>
      </c>
      <c r="N593" s="1"/>
      <c r="O593" s="1" t="s">
        <v>3095</v>
      </c>
      <c r="P593" s="1"/>
      <c r="Q593" s="4">
        <v>7.04</v>
      </c>
      <c r="R593" s="4">
        <v>3.23</v>
      </c>
      <c r="S593" s="4"/>
      <c r="T593" s="4">
        <v>46.52</v>
      </c>
      <c r="U593" s="4"/>
      <c r="V593" s="4">
        <v>18.7</v>
      </c>
      <c r="W593" s="4">
        <v>26.6</v>
      </c>
      <c r="X593" s="4">
        <v>64.349999999999994</v>
      </c>
      <c r="Y593" s="4">
        <v>39.349999999999987</v>
      </c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1"/>
      <c r="BJ593" s="1" t="s">
        <v>4321</v>
      </c>
      <c r="BK593" s="1">
        <v>1</v>
      </c>
      <c r="BL593" s="1"/>
      <c r="BM593" s="1" t="s">
        <v>226</v>
      </c>
      <c r="BN593" s="1" t="s">
        <v>2959</v>
      </c>
      <c r="BO593" s="1" t="s">
        <v>2960</v>
      </c>
      <c r="BP593" s="1">
        <v>7.04</v>
      </c>
      <c r="BQ593" s="1" t="s">
        <v>1003</v>
      </c>
      <c r="BR593" s="1">
        <v>32.7545</v>
      </c>
      <c r="BS593" s="1">
        <v>130.76300000000001</v>
      </c>
      <c r="BT593" s="1">
        <v>12.45</v>
      </c>
      <c r="BU593" s="1" t="s">
        <v>730</v>
      </c>
      <c r="BV593" s="1" t="s">
        <v>2961</v>
      </c>
      <c r="BW593" s="1">
        <v>205</v>
      </c>
      <c r="BX593" s="1">
        <v>72</v>
      </c>
      <c r="BY593" s="1">
        <v>-142</v>
      </c>
      <c r="BZ593" s="1">
        <v>235</v>
      </c>
      <c r="CA593" s="1">
        <v>65</v>
      </c>
      <c r="CB593" s="1">
        <v>-142</v>
      </c>
      <c r="CC593" s="1" t="s">
        <v>2973</v>
      </c>
      <c r="CD593" s="1" t="s">
        <v>862</v>
      </c>
      <c r="CE593" s="1">
        <v>1</v>
      </c>
      <c r="CF593" s="1">
        <v>7.04</v>
      </c>
      <c r="CG593" s="1">
        <v>3.4371</v>
      </c>
      <c r="CH593" s="1">
        <v>2349</v>
      </c>
      <c r="CI593" s="1" t="s">
        <v>1196</v>
      </c>
      <c r="CJ593" s="1" t="s">
        <v>1357</v>
      </c>
      <c r="CK593" t="s">
        <v>1264</v>
      </c>
      <c r="CL593">
        <v>10</v>
      </c>
      <c r="CM593" t="s">
        <v>2977</v>
      </c>
    </row>
    <row r="594" spans="1:91" ht="19" customHeight="1">
      <c r="A594" s="1" t="s">
        <v>4322</v>
      </c>
      <c r="B594" s="1" t="s">
        <v>1245</v>
      </c>
      <c r="C594" s="1">
        <v>11</v>
      </c>
      <c r="D594" s="1" t="s">
        <v>1433</v>
      </c>
      <c r="E594" s="1">
        <v>2016</v>
      </c>
      <c r="F594" s="1">
        <v>93042</v>
      </c>
      <c r="G594" s="1" t="s">
        <v>1467</v>
      </c>
      <c r="H594" s="4">
        <v>32.942999999999998</v>
      </c>
      <c r="I594" s="4">
        <v>130.858</v>
      </c>
      <c r="J594" s="1" t="s">
        <v>1396</v>
      </c>
      <c r="K594" s="1" t="s">
        <v>79</v>
      </c>
      <c r="L594" s="1" t="s">
        <v>1469</v>
      </c>
      <c r="M594" s="1" t="s">
        <v>3545</v>
      </c>
      <c r="N594" s="1"/>
      <c r="O594" s="1" t="s">
        <v>3095</v>
      </c>
      <c r="P594" s="1"/>
      <c r="Q594" s="4">
        <v>7.04</v>
      </c>
      <c r="R594" s="4">
        <v>1.79</v>
      </c>
      <c r="S594" s="4"/>
      <c r="T594" s="4">
        <v>126.79</v>
      </c>
      <c r="U594" s="4"/>
      <c r="V594" s="4">
        <v>12.5</v>
      </c>
      <c r="W594" s="4">
        <v>25.9</v>
      </c>
      <c r="X594" s="4">
        <v>10.94</v>
      </c>
      <c r="Y594" s="4">
        <v>14.06</v>
      </c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1"/>
      <c r="BJ594" s="1" t="s">
        <v>4323</v>
      </c>
      <c r="BK594" s="1">
        <v>1</v>
      </c>
      <c r="BL594" s="1"/>
      <c r="BM594" s="1" t="s">
        <v>226</v>
      </c>
      <c r="BN594" s="1" t="s">
        <v>2959</v>
      </c>
      <c r="BO594" s="1" t="s">
        <v>2960</v>
      </c>
      <c r="BP594" s="1">
        <v>7.04</v>
      </c>
      <c r="BQ594" s="1" t="s">
        <v>1003</v>
      </c>
      <c r="BR594" s="1">
        <v>32.7545</v>
      </c>
      <c r="BS594" s="1">
        <v>130.76300000000001</v>
      </c>
      <c r="BT594" s="1">
        <v>12.45</v>
      </c>
      <c r="BU594" s="1" t="s">
        <v>730</v>
      </c>
      <c r="BV594" s="1" t="s">
        <v>2961</v>
      </c>
      <c r="BW594" s="1">
        <v>205</v>
      </c>
      <c r="BX594" s="1">
        <v>72</v>
      </c>
      <c r="BY594" s="1">
        <v>-142</v>
      </c>
      <c r="BZ594" s="1">
        <v>235</v>
      </c>
      <c r="CA594" s="1">
        <v>65</v>
      </c>
      <c r="CB594" s="1">
        <v>-142</v>
      </c>
      <c r="CC594" s="1" t="s">
        <v>2973</v>
      </c>
      <c r="CD594" s="1" t="s">
        <v>862</v>
      </c>
      <c r="CE594" s="1">
        <v>1</v>
      </c>
      <c r="CF594" s="1">
        <v>7.04</v>
      </c>
      <c r="CG594" s="1">
        <v>3.4371</v>
      </c>
      <c r="CH594" s="1">
        <v>2349</v>
      </c>
      <c r="CI594" s="1" t="s">
        <v>1196</v>
      </c>
      <c r="CJ594" s="1" t="s">
        <v>1357</v>
      </c>
      <c r="CK594" t="s">
        <v>1264</v>
      </c>
      <c r="CL594">
        <v>11</v>
      </c>
      <c r="CM594" t="s">
        <v>2977</v>
      </c>
    </row>
    <row r="595" spans="1:91" ht="19" customHeight="1">
      <c r="A595" s="1" t="s">
        <v>4324</v>
      </c>
      <c r="B595" s="1" t="s">
        <v>1245</v>
      </c>
      <c r="C595" s="1">
        <v>12</v>
      </c>
      <c r="D595" s="1" t="s">
        <v>1433</v>
      </c>
      <c r="E595" s="1">
        <v>2016</v>
      </c>
      <c r="F595" s="1">
        <v>93044</v>
      </c>
      <c r="G595" s="1" t="s">
        <v>1470</v>
      </c>
      <c r="H595" s="4">
        <v>32.859000000000002</v>
      </c>
      <c r="I595" s="4">
        <v>130.83099999999999</v>
      </c>
      <c r="J595" s="1" t="s">
        <v>1396</v>
      </c>
      <c r="K595" s="1" t="s">
        <v>79</v>
      </c>
      <c r="L595" s="1" t="s">
        <v>1472</v>
      </c>
      <c r="M595" s="1" t="s">
        <v>3545</v>
      </c>
      <c r="N595" s="1"/>
      <c r="O595" s="1" t="s">
        <v>3095</v>
      </c>
      <c r="P595" s="1"/>
      <c r="Q595" s="4">
        <v>7.04</v>
      </c>
      <c r="R595" s="4">
        <v>2.65</v>
      </c>
      <c r="S595" s="4"/>
      <c r="T595" s="4">
        <v>59.56</v>
      </c>
      <c r="U595" s="4"/>
      <c r="V595" s="4">
        <v>6.8</v>
      </c>
      <c r="W595" s="4">
        <v>18.2</v>
      </c>
      <c r="X595" s="4">
        <v>54.03</v>
      </c>
      <c r="Y595" s="4">
        <v>29.03</v>
      </c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1"/>
      <c r="BJ595" s="1" t="s">
        <v>4325</v>
      </c>
      <c r="BK595" s="1">
        <v>1</v>
      </c>
      <c r="BL595" s="1"/>
      <c r="BM595" s="1" t="s">
        <v>226</v>
      </c>
      <c r="BN595" s="1" t="s">
        <v>2959</v>
      </c>
      <c r="BO595" s="1" t="s">
        <v>2960</v>
      </c>
      <c r="BP595" s="1">
        <v>7.04</v>
      </c>
      <c r="BQ595" s="1" t="s">
        <v>1003</v>
      </c>
      <c r="BR595" s="1">
        <v>32.7545</v>
      </c>
      <c r="BS595" s="1">
        <v>130.76300000000001</v>
      </c>
      <c r="BT595" s="1">
        <v>12.45</v>
      </c>
      <c r="BU595" s="1" t="s">
        <v>730</v>
      </c>
      <c r="BV595" s="1" t="s">
        <v>2961</v>
      </c>
      <c r="BW595" s="1">
        <v>205</v>
      </c>
      <c r="BX595" s="1">
        <v>72</v>
      </c>
      <c r="BY595" s="1">
        <v>-142</v>
      </c>
      <c r="BZ595" s="1">
        <v>235</v>
      </c>
      <c r="CA595" s="1">
        <v>65</v>
      </c>
      <c r="CB595" s="1">
        <v>-142</v>
      </c>
      <c r="CC595" s="1" t="s">
        <v>2973</v>
      </c>
      <c r="CD595" s="1" t="s">
        <v>862</v>
      </c>
      <c r="CE595" s="1">
        <v>1</v>
      </c>
      <c r="CF595" s="1">
        <v>7.04</v>
      </c>
      <c r="CG595" s="1">
        <v>3.4371</v>
      </c>
      <c r="CH595" s="1">
        <v>2349</v>
      </c>
      <c r="CI595" s="1" t="s">
        <v>1196</v>
      </c>
      <c r="CJ595" s="1" t="s">
        <v>1357</v>
      </c>
      <c r="CK595" t="s">
        <v>1264</v>
      </c>
      <c r="CL595">
        <v>12</v>
      </c>
      <c r="CM595" t="s">
        <v>2977</v>
      </c>
    </row>
    <row r="596" spans="1:91" ht="19" customHeight="1">
      <c r="A596" s="1" t="s">
        <v>4326</v>
      </c>
      <c r="B596" s="1" t="s">
        <v>1245</v>
      </c>
      <c r="C596" s="1">
        <v>13</v>
      </c>
      <c r="D596" s="1" t="s">
        <v>1433</v>
      </c>
      <c r="E596" s="1">
        <v>2016</v>
      </c>
      <c r="F596" s="1">
        <v>93048</v>
      </c>
      <c r="G596" s="1" t="s">
        <v>1473</v>
      </c>
      <c r="H596" s="4">
        <v>32.831000000000003</v>
      </c>
      <c r="I596" s="4">
        <v>130.905</v>
      </c>
      <c r="J596" s="1" t="s">
        <v>1396</v>
      </c>
      <c r="K596" s="1" t="s">
        <v>79</v>
      </c>
      <c r="L596" s="1" t="s">
        <v>1475</v>
      </c>
      <c r="M596" s="1" t="s">
        <v>3545</v>
      </c>
      <c r="N596" s="1"/>
      <c r="O596" s="1" t="s">
        <v>3095</v>
      </c>
      <c r="P596" s="1"/>
      <c r="Q596" s="4">
        <v>7.04</v>
      </c>
      <c r="R596" s="4">
        <v>3.57</v>
      </c>
      <c r="S596" s="4"/>
      <c r="T596" s="4">
        <v>150.13999999999999</v>
      </c>
      <c r="U596" s="4"/>
      <c r="V596" s="4">
        <v>2.1</v>
      </c>
      <c r="W596" s="4">
        <v>20.100000000000001</v>
      </c>
      <c r="X596" s="4">
        <v>82.09</v>
      </c>
      <c r="Y596" s="4">
        <v>57.09</v>
      </c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1"/>
      <c r="BJ596" s="1" t="s">
        <v>4327</v>
      </c>
      <c r="BK596" s="1">
        <v>1</v>
      </c>
      <c r="BL596" s="1"/>
      <c r="BM596" s="1" t="s">
        <v>226</v>
      </c>
      <c r="BN596" s="1" t="s">
        <v>2959</v>
      </c>
      <c r="BO596" s="1" t="s">
        <v>2960</v>
      </c>
      <c r="BP596" s="1">
        <v>7.04</v>
      </c>
      <c r="BQ596" s="1" t="s">
        <v>1003</v>
      </c>
      <c r="BR596" s="1">
        <v>32.7545</v>
      </c>
      <c r="BS596" s="1">
        <v>130.76300000000001</v>
      </c>
      <c r="BT596" s="1">
        <v>12.45</v>
      </c>
      <c r="BU596" s="1" t="s">
        <v>730</v>
      </c>
      <c r="BV596" s="1" t="s">
        <v>2961</v>
      </c>
      <c r="BW596" s="1">
        <v>205</v>
      </c>
      <c r="BX596" s="1">
        <v>72</v>
      </c>
      <c r="BY596" s="1">
        <v>-142</v>
      </c>
      <c r="BZ596" s="1">
        <v>235</v>
      </c>
      <c r="CA596" s="1">
        <v>65</v>
      </c>
      <c r="CB596" s="1">
        <v>-142</v>
      </c>
      <c r="CC596" s="1" t="s">
        <v>2973</v>
      </c>
      <c r="CD596" s="1" t="s">
        <v>862</v>
      </c>
      <c r="CE596" s="1">
        <v>1</v>
      </c>
      <c r="CF596" s="1">
        <v>7.04</v>
      </c>
      <c r="CG596" s="1">
        <v>3.4371</v>
      </c>
      <c r="CH596" s="1">
        <v>2349</v>
      </c>
      <c r="CI596" s="1" t="s">
        <v>1196</v>
      </c>
      <c r="CJ596" s="1" t="s">
        <v>1357</v>
      </c>
      <c r="CK596" t="s">
        <v>1264</v>
      </c>
      <c r="CL596">
        <v>13</v>
      </c>
      <c r="CM596" t="s">
        <v>2977</v>
      </c>
    </row>
    <row r="597" spans="1:91" ht="19" customHeight="1">
      <c r="A597" s="1" t="s">
        <v>4328</v>
      </c>
      <c r="B597" s="1" t="s">
        <v>1245</v>
      </c>
      <c r="C597" s="1">
        <v>14</v>
      </c>
      <c r="D597" s="1" t="s">
        <v>1433</v>
      </c>
      <c r="E597" s="1">
        <v>2016</v>
      </c>
      <c r="F597" s="1">
        <v>93051</v>
      </c>
      <c r="G597" s="1" t="s">
        <v>1479</v>
      </c>
      <c r="H597" s="4">
        <v>32.787999999999997</v>
      </c>
      <c r="I597" s="4">
        <v>130.81899999999999</v>
      </c>
      <c r="J597" s="1" t="s">
        <v>1396</v>
      </c>
      <c r="K597" s="1" t="s">
        <v>79</v>
      </c>
      <c r="L597" s="1" t="s">
        <v>1481</v>
      </c>
      <c r="M597" s="1" t="s">
        <v>3545</v>
      </c>
      <c r="N597" s="1"/>
      <c r="O597" s="1" t="s">
        <v>3095</v>
      </c>
      <c r="P597" s="1"/>
      <c r="Q597" s="4">
        <v>7.04</v>
      </c>
      <c r="R597" s="4">
        <v>1.48</v>
      </c>
      <c r="S597" s="4"/>
      <c r="T597" s="4">
        <v>171.99</v>
      </c>
      <c r="U597" s="4"/>
      <c r="V597" s="4">
        <v>2.2000000000000002</v>
      </c>
      <c r="W597" s="4">
        <v>14</v>
      </c>
      <c r="X597" s="4">
        <v>66.599999999999994</v>
      </c>
      <c r="Y597" s="4">
        <v>41.599999999999987</v>
      </c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1"/>
      <c r="BJ597" s="1" t="s">
        <v>4329</v>
      </c>
      <c r="BK597" s="1">
        <v>1</v>
      </c>
      <c r="BL597" s="1"/>
      <c r="BM597" s="1" t="s">
        <v>226</v>
      </c>
      <c r="BN597" s="1" t="s">
        <v>2959</v>
      </c>
      <c r="BO597" s="1" t="s">
        <v>2960</v>
      </c>
      <c r="BP597" s="1">
        <v>7.04</v>
      </c>
      <c r="BQ597" s="1" t="s">
        <v>1003</v>
      </c>
      <c r="BR597" s="1">
        <v>32.7545</v>
      </c>
      <c r="BS597" s="1">
        <v>130.76300000000001</v>
      </c>
      <c r="BT597" s="1">
        <v>12.45</v>
      </c>
      <c r="BU597" s="1" t="s">
        <v>730</v>
      </c>
      <c r="BV597" s="1" t="s">
        <v>2961</v>
      </c>
      <c r="BW597" s="1">
        <v>205</v>
      </c>
      <c r="BX597" s="1">
        <v>72</v>
      </c>
      <c r="BY597" s="1">
        <v>-142</v>
      </c>
      <c r="BZ597" s="1">
        <v>235</v>
      </c>
      <c r="CA597" s="1">
        <v>65</v>
      </c>
      <c r="CB597" s="1">
        <v>-142</v>
      </c>
      <c r="CC597" s="1" t="s">
        <v>2973</v>
      </c>
      <c r="CD597" s="1" t="s">
        <v>862</v>
      </c>
      <c r="CE597" s="1">
        <v>1</v>
      </c>
      <c r="CF597" s="1">
        <v>7.04</v>
      </c>
      <c r="CG597" s="1">
        <v>3.4371</v>
      </c>
      <c r="CH597" s="1">
        <v>2349</v>
      </c>
      <c r="CI597" s="1" t="s">
        <v>1196</v>
      </c>
      <c r="CJ597" s="1" t="s">
        <v>1357</v>
      </c>
      <c r="CK597" t="s">
        <v>1264</v>
      </c>
      <c r="CL597">
        <v>14</v>
      </c>
      <c r="CM597" t="s">
        <v>2977</v>
      </c>
    </row>
    <row r="598" spans="1:91" ht="19" customHeight="1">
      <c r="A598" s="1" t="s">
        <v>4330</v>
      </c>
      <c r="B598" s="1" t="s">
        <v>1245</v>
      </c>
      <c r="C598" s="1">
        <v>15</v>
      </c>
      <c r="D598" s="1" t="s">
        <v>1433</v>
      </c>
      <c r="E598" s="1">
        <v>2016</v>
      </c>
      <c r="F598" s="1">
        <v>93055</v>
      </c>
      <c r="G598" s="1" t="s">
        <v>1482</v>
      </c>
      <c r="H598" s="4">
        <v>32.530999999999999</v>
      </c>
      <c r="I598" s="4">
        <v>130.63499999999999</v>
      </c>
      <c r="J598" s="1" t="s">
        <v>1396</v>
      </c>
      <c r="K598" s="1" t="s">
        <v>79</v>
      </c>
      <c r="L598" s="1" t="s">
        <v>1484</v>
      </c>
      <c r="M598" s="1" t="s">
        <v>3545</v>
      </c>
      <c r="N598" s="1"/>
      <c r="O598" s="1" t="s">
        <v>3095</v>
      </c>
      <c r="P598" s="1"/>
      <c r="Q598" s="4">
        <v>7.04</v>
      </c>
      <c r="R598" s="4">
        <v>1.82</v>
      </c>
      <c r="S598" s="4"/>
      <c r="T598" s="4">
        <v>40.200000000000003</v>
      </c>
      <c r="U598" s="4"/>
      <c r="V598" s="4">
        <v>23.9</v>
      </c>
      <c r="W598" s="4">
        <v>30.3</v>
      </c>
      <c r="X598" s="4">
        <v>304.64999999999998</v>
      </c>
      <c r="Y598" s="4">
        <v>80.350000000000023</v>
      </c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1"/>
      <c r="BJ598" s="1" t="s">
        <v>4331</v>
      </c>
      <c r="BK598" s="1">
        <v>1</v>
      </c>
      <c r="BL598" s="1"/>
      <c r="BM598" s="1" t="s">
        <v>226</v>
      </c>
      <c r="BN598" s="1" t="s">
        <v>2959</v>
      </c>
      <c r="BO598" s="1" t="s">
        <v>2960</v>
      </c>
      <c r="BP598" s="1">
        <v>7.04</v>
      </c>
      <c r="BQ598" s="1" t="s">
        <v>1003</v>
      </c>
      <c r="BR598" s="1">
        <v>32.7545</v>
      </c>
      <c r="BS598" s="1">
        <v>130.76300000000001</v>
      </c>
      <c r="BT598" s="1">
        <v>12.45</v>
      </c>
      <c r="BU598" s="1" t="s">
        <v>730</v>
      </c>
      <c r="BV598" s="1" t="s">
        <v>2961</v>
      </c>
      <c r="BW598" s="1">
        <v>205</v>
      </c>
      <c r="BX598" s="1">
        <v>72</v>
      </c>
      <c r="BY598" s="1">
        <v>-142</v>
      </c>
      <c r="BZ598" s="1">
        <v>235</v>
      </c>
      <c r="CA598" s="1">
        <v>65</v>
      </c>
      <c r="CB598" s="1">
        <v>-142</v>
      </c>
      <c r="CC598" s="1" t="s">
        <v>2973</v>
      </c>
      <c r="CD598" s="1" t="s">
        <v>862</v>
      </c>
      <c r="CE598" s="1">
        <v>1</v>
      </c>
      <c r="CF598" s="1">
        <v>7.04</v>
      </c>
      <c r="CG598" s="1">
        <v>3.4371</v>
      </c>
      <c r="CH598" s="1">
        <v>2349</v>
      </c>
      <c r="CI598" s="1" t="s">
        <v>1196</v>
      </c>
      <c r="CJ598" s="1" t="s">
        <v>1357</v>
      </c>
      <c r="CK598" t="s">
        <v>1264</v>
      </c>
      <c r="CL598">
        <v>15</v>
      </c>
      <c r="CM598" t="s">
        <v>2977</v>
      </c>
    </row>
    <row r="599" spans="1:91" ht="19" customHeight="1">
      <c r="A599" s="1" t="s">
        <v>4332</v>
      </c>
      <c r="B599" s="1" t="s">
        <v>1245</v>
      </c>
      <c r="C599" s="1">
        <v>16</v>
      </c>
      <c r="D599" s="1" t="s">
        <v>1433</v>
      </c>
      <c r="E599" s="1">
        <v>2016</v>
      </c>
      <c r="F599" s="1">
        <v>93056</v>
      </c>
      <c r="G599" s="1" t="s">
        <v>1485</v>
      </c>
      <c r="H599" s="4">
        <v>32.558999999999997</v>
      </c>
      <c r="I599" s="4">
        <v>130.65100000000001</v>
      </c>
      <c r="J599" s="1" t="s">
        <v>1396</v>
      </c>
      <c r="K599" s="1" t="s">
        <v>79</v>
      </c>
      <c r="L599" s="1" t="s">
        <v>1487</v>
      </c>
      <c r="M599" s="1" t="s">
        <v>3545</v>
      </c>
      <c r="N599" s="1"/>
      <c r="O599" s="1" t="s">
        <v>3095</v>
      </c>
      <c r="P599" s="1"/>
      <c r="Q599" s="4">
        <v>7.04</v>
      </c>
      <c r="R599" s="4">
        <v>1.44</v>
      </c>
      <c r="S599" s="4"/>
      <c r="T599" s="4">
        <v>52.35</v>
      </c>
      <c r="U599" s="4"/>
      <c r="V599" s="4">
        <v>20.5</v>
      </c>
      <c r="W599" s="4">
        <v>27.2</v>
      </c>
      <c r="X599" s="4">
        <v>332.62</v>
      </c>
      <c r="Y599" s="4">
        <v>52.38</v>
      </c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1"/>
      <c r="BJ599" s="1" t="s">
        <v>4333</v>
      </c>
      <c r="BK599" s="1">
        <v>1</v>
      </c>
      <c r="BL599" s="1"/>
      <c r="BM599" s="1" t="s">
        <v>226</v>
      </c>
      <c r="BN599" s="1" t="s">
        <v>2959</v>
      </c>
      <c r="BO599" s="1" t="s">
        <v>2960</v>
      </c>
      <c r="BP599" s="1">
        <v>7.04</v>
      </c>
      <c r="BQ599" s="1" t="s">
        <v>1003</v>
      </c>
      <c r="BR599" s="1">
        <v>32.7545</v>
      </c>
      <c r="BS599" s="1">
        <v>130.76300000000001</v>
      </c>
      <c r="BT599" s="1">
        <v>12.45</v>
      </c>
      <c r="BU599" s="1" t="s">
        <v>730</v>
      </c>
      <c r="BV599" s="1" t="s">
        <v>2961</v>
      </c>
      <c r="BW599" s="1">
        <v>205</v>
      </c>
      <c r="BX599" s="1">
        <v>72</v>
      </c>
      <c r="BY599" s="1">
        <v>-142</v>
      </c>
      <c r="BZ599" s="1">
        <v>235</v>
      </c>
      <c r="CA599" s="1">
        <v>65</v>
      </c>
      <c r="CB599" s="1">
        <v>-142</v>
      </c>
      <c r="CC599" s="1" t="s">
        <v>2973</v>
      </c>
      <c r="CD599" s="1" t="s">
        <v>862</v>
      </c>
      <c r="CE599" s="1">
        <v>1</v>
      </c>
      <c r="CF599" s="1">
        <v>7.04</v>
      </c>
      <c r="CG599" s="1">
        <v>3.4371</v>
      </c>
      <c r="CH599" s="1">
        <v>2349</v>
      </c>
      <c r="CI599" s="1" t="s">
        <v>1196</v>
      </c>
      <c r="CJ599" s="1" t="s">
        <v>1357</v>
      </c>
      <c r="CK599" t="s">
        <v>1264</v>
      </c>
      <c r="CL599">
        <v>16</v>
      </c>
      <c r="CM599" t="s">
        <v>2977</v>
      </c>
    </row>
    <row r="600" spans="1:91" ht="19" customHeight="1">
      <c r="A600" s="1" t="s">
        <v>4334</v>
      </c>
      <c r="B600" s="1" t="s">
        <v>1245</v>
      </c>
      <c r="C600" s="1">
        <v>17</v>
      </c>
      <c r="D600" s="1" t="s">
        <v>1433</v>
      </c>
      <c r="E600" s="1">
        <v>2016</v>
      </c>
      <c r="F600" s="1">
        <v>93057</v>
      </c>
      <c r="G600" s="1" t="s">
        <v>1488</v>
      </c>
      <c r="H600" s="4">
        <v>32.579000000000001</v>
      </c>
      <c r="I600" s="4">
        <v>130.67599999999999</v>
      </c>
      <c r="J600" s="1" t="s">
        <v>1396</v>
      </c>
      <c r="K600" s="1" t="s">
        <v>79</v>
      </c>
      <c r="L600" s="1" t="s">
        <v>1490</v>
      </c>
      <c r="M600" s="1" t="s">
        <v>3545</v>
      </c>
      <c r="N600" s="1"/>
      <c r="O600" s="1" t="s">
        <v>3095</v>
      </c>
      <c r="P600" s="1"/>
      <c r="Q600" s="4">
        <v>7.04</v>
      </c>
      <c r="R600" s="4">
        <v>1.78</v>
      </c>
      <c r="S600" s="4"/>
      <c r="T600" s="4">
        <v>65.510000000000005</v>
      </c>
      <c r="U600" s="4"/>
      <c r="V600" s="4">
        <v>17.3</v>
      </c>
      <c r="W600" s="4">
        <v>24.5</v>
      </c>
      <c r="X600" s="4">
        <v>315.93</v>
      </c>
      <c r="Y600" s="4">
        <v>69.069999999999993</v>
      </c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1"/>
      <c r="BJ600" s="1" t="s">
        <v>4335</v>
      </c>
      <c r="BK600" s="1">
        <v>1</v>
      </c>
      <c r="BL600" s="1"/>
      <c r="BM600" s="1" t="s">
        <v>226</v>
      </c>
      <c r="BN600" s="1" t="s">
        <v>2959</v>
      </c>
      <c r="BO600" s="1" t="s">
        <v>2960</v>
      </c>
      <c r="BP600" s="1">
        <v>7.04</v>
      </c>
      <c r="BQ600" s="1" t="s">
        <v>1003</v>
      </c>
      <c r="BR600" s="1">
        <v>32.7545</v>
      </c>
      <c r="BS600" s="1">
        <v>130.76300000000001</v>
      </c>
      <c r="BT600" s="1">
        <v>12.45</v>
      </c>
      <c r="BU600" s="1" t="s">
        <v>730</v>
      </c>
      <c r="BV600" s="1" t="s">
        <v>2961</v>
      </c>
      <c r="BW600" s="1">
        <v>205</v>
      </c>
      <c r="BX600" s="1">
        <v>72</v>
      </c>
      <c r="BY600" s="1">
        <v>-142</v>
      </c>
      <c r="BZ600" s="1">
        <v>235</v>
      </c>
      <c r="CA600" s="1">
        <v>65</v>
      </c>
      <c r="CB600" s="1">
        <v>-142</v>
      </c>
      <c r="CC600" s="1" t="s">
        <v>2973</v>
      </c>
      <c r="CD600" s="1" t="s">
        <v>862</v>
      </c>
      <c r="CE600" s="1">
        <v>1</v>
      </c>
      <c r="CF600" s="1">
        <v>7.04</v>
      </c>
      <c r="CG600" s="1">
        <v>3.4371</v>
      </c>
      <c r="CH600" s="1">
        <v>2349</v>
      </c>
      <c r="CI600" s="1" t="s">
        <v>1196</v>
      </c>
      <c r="CJ600" s="1" t="s">
        <v>1357</v>
      </c>
      <c r="CK600" t="s">
        <v>1264</v>
      </c>
      <c r="CL600">
        <v>17</v>
      </c>
      <c r="CM600" t="s">
        <v>2977</v>
      </c>
    </row>
    <row r="601" spans="1:91" ht="19" customHeight="1">
      <c r="A601" s="1" t="s">
        <v>4336</v>
      </c>
      <c r="B601" s="1" t="s">
        <v>1245</v>
      </c>
      <c r="C601" s="1">
        <v>18</v>
      </c>
      <c r="D601" s="1" t="s">
        <v>1433</v>
      </c>
      <c r="E601" s="1">
        <v>2016</v>
      </c>
      <c r="F601" s="1">
        <v>93096</v>
      </c>
      <c r="G601" s="1" t="s">
        <v>1494</v>
      </c>
      <c r="H601" s="4">
        <v>32.875999999999998</v>
      </c>
      <c r="I601" s="4">
        <v>130.87100000000001</v>
      </c>
      <c r="J601" s="1" t="s">
        <v>1396</v>
      </c>
      <c r="K601" s="1" t="s">
        <v>79</v>
      </c>
      <c r="L601" s="1" t="s">
        <v>1496</v>
      </c>
      <c r="M601" s="1" t="s">
        <v>3545</v>
      </c>
      <c r="N601" s="1"/>
      <c r="O601" s="1" t="s">
        <v>3095</v>
      </c>
      <c r="P601" s="1"/>
      <c r="Q601" s="4">
        <v>7.04</v>
      </c>
      <c r="R601" s="4">
        <v>3.05</v>
      </c>
      <c r="S601" s="4"/>
      <c r="T601" s="4">
        <v>75.62</v>
      </c>
      <c r="U601" s="4"/>
      <c r="V601" s="4">
        <v>6.3</v>
      </c>
      <c r="W601" s="4">
        <v>21</v>
      </c>
      <c r="X601" s="4">
        <v>340.24</v>
      </c>
      <c r="Y601" s="4">
        <v>44.759999999999991</v>
      </c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1"/>
      <c r="BJ601" s="1" t="s">
        <v>4337</v>
      </c>
      <c r="BK601" s="1">
        <v>1</v>
      </c>
      <c r="BL601" s="1"/>
      <c r="BM601" s="1" t="s">
        <v>226</v>
      </c>
      <c r="BN601" s="1" t="s">
        <v>2959</v>
      </c>
      <c r="BO601" s="1" t="s">
        <v>2960</v>
      </c>
      <c r="BP601" s="1">
        <v>7.04</v>
      </c>
      <c r="BQ601" s="1" t="s">
        <v>1003</v>
      </c>
      <c r="BR601" s="1">
        <v>32.7545</v>
      </c>
      <c r="BS601" s="1">
        <v>130.76300000000001</v>
      </c>
      <c r="BT601" s="1">
        <v>12.45</v>
      </c>
      <c r="BU601" s="1" t="s">
        <v>730</v>
      </c>
      <c r="BV601" s="1" t="s">
        <v>2961</v>
      </c>
      <c r="BW601" s="1">
        <v>205</v>
      </c>
      <c r="BX601" s="1">
        <v>72</v>
      </c>
      <c r="BY601" s="1">
        <v>-142</v>
      </c>
      <c r="BZ601" s="1">
        <v>235</v>
      </c>
      <c r="CA601" s="1">
        <v>65</v>
      </c>
      <c r="CB601" s="1">
        <v>-142</v>
      </c>
      <c r="CC601" s="1" t="s">
        <v>2973</v>
      </c>
      <c r="CD601" s="1" t="s">
        <v>862</v>
      </c>
      <c r="CE601" s="1">
        <v>1</v>
      </c>
      <c r="CF601" s="1">
        <v>7.04</v>
      </c>
      <c r="CG601" s="1">
        <v>3.4371</v>
      </c>
      <c r="CH601" s="1">
        <v>2349</v>
      </c>
      <c r="CI601" s="1" t="s">
        <v>1196</v>
      </c>
      <c r="CJ601" s="1" t="s">
        <v>1357</v>
      </c>
      <c r="CK601" t="s">
        <v>1264</v>
      </c>
      <c r="CL601">
        <v>18</v>
      </c>
      <c r="CM601" t="s">
        <v>2977</v>
      </c>
    </row>
    <row r="602" spans="1:91" ht="19" customHeight="1">
      <c r="A602" s="1" t="s">
        <v>4338</v>
      </c>
      <c r="B602" s="1" t="s">
        <v>1245</v>
      </c>
      <c r="C602" s="1">
        <v>19</v>
      </c>
      <c r="D602" s="1" t="s">
        <v>1433</v>
      </c>
      <c r="E602" s="1">
        <v>2016</v>
      </c>
      <c r="F602" s="1" t="s">
        <v>1246</v>
      </c>
      <c r="G602" s="1" t="s">
        <v>1497</v>
      </c>
      <c r="H602" s="4">
        <v>32.648000000000003</v>
      </c>
      <c r="I602" s="4">
        <v>130.684</v>
      </c>
      <c r="J602" s="1" t="s">
        <v>1396</v>
      </c>
      <c r="K602" s="1" t="s">
        <v>79</v>
      </c>
      <c r="L602" s="1" t="s">
        <v>1498</v>
      </c>
      <c r="M602" s="1" t="s">
        <v>3545</v>
      </c>
      <c r="N602" s="1"/>
      <c r="O602" s="1" t="s">
        <v>3095</v>
      </c>
      <c r="P602" s="1"/>
      <c r="Q602" s="4">
        <v>7.04</v>
      </c>
      <c r="R602" s="4">
        <v>1.55</v>
      </c>
      <c r="S602" s="4"/>
      <c r="T602" s="4">
        <v>78.28</v>
      </c>
      <c r="U602" s="4"/>
      <c r="V602" s="4">
        <v>11.2</v>
      </c>
      <c r="W602" s="4">
        <v>18.7</v>
      </c>
      <c r="X602" s="4">
        <v>346.94</v>
      </c>
      <c r="Y602" s="4">
        <v>38.06</v>
      </c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1"/>
      <c r="BJ602" s="1" t="s">
        <v>4339</v>
      </c>
      <c r="BK602" s="1">
        <v>1</v>
      </c>
      <c r="BL602" s="1"/>
      <c r="BM602" s="1" t="s">
        <v>226</v>
      </c>
      <c r="BN602" s="1" t="s">
        <v>2959</v>
      </c>
      <c r="BO602" s="1" t="s">
        <v>2960</v>
      </c>
      <c r="BP602" s="1">
        <v>7.04</v>
      </c>
      <c r="BQ602" s="1" t="s">
        <v>1003</v>
      </c>
      <c r="BR602" s="1">
        <v>32.7545</v>
      </c>
      <c r="BS602" s="1">
        <v>130.76300000000001</v>
      </c>
      <c r="BT602" s="1">
        <v>12.45</v>
      </c>
      <c r="BU602" s="1" t="s">
        <v>730</v>
      </c>
      <c r="BV602" s="1" t="s">
        <v>2961</v>
      </c>
      <c r="BW602" s="1">
        <v>205</v>
      </c>
      <c r="BX602" s="1">
        <v>72</v>
      </c>
      <c r="BY602" s="1">
        <v>-142</v>
      </c>
      <c r="BZ602" s="1">
        <v>235</v>
      </c>
      <c r="CA602" s="1">
        <v>65</v>
      </c>
      <c r="CB602" s="1">
        <v>-142</v>
      </c>
      <c r="CC602" s="1" t="s">
        <v>2973</v>
      </c>
      <c r="CD602" s="1" t="s">
        <v>862</v>
      </c>
      <c r="CE602" s="1">
        <v>1</v>
      </c>
      <c r="CF602" s="1">
        <v>7.04</v>
      </c>
      <c r="CG602" s="1">
        <v>3.4371</v>
      </c>
      <c r="CH602" s="1">
        <v>2349</v>
      </c>
      <c r="CI602" s="1" t="s">
        <v>1196</v>
      </c>
      <c r="CJ602" s="1" t="s">
        <v>1357</v>
      </c>
      <c r="CK602" t="s">
        <v>1264</v>
      </c>
      <c r="CL602">
        <v>19</v>
      </c>
      <c r="CM602" t="s">
        <v>2977</v>
      </c>
    </row>
    <row r="603" spans="1:91" ht="19" customHeight="1">
      <c r="A603" s="1" t="s">
        <v>4340</v>
      </c>
      <c r="B603" s="1" t="s">
        <v>1245</v>
      </c>
      <c r="C603" s="1">
        <v>20</v>
      </c>
      <c r="D603" s="1" t="s">
        <v>1433</v>
      </c>
      <c r="E603" s="1">
        <v>2016</v>
      </c>
      <c r="F603" s="1" t="s">
        <v>1247</v>
      </c>
      <c r="G603" s="1" t="s">
        <v>1499</v>
      </c>
      <c r="H603" s="4">
        <v>32.880000000000003</v>
      </c>
      <c r="I603" s="4">
        <v>131.07400000000001</v>
      </c>
      <c r="J603" s="1" t="s">
        <v>1396</v>
      </c>
      <c r="K603" s="1" t="s">
        <v>79</v>
      </c>
      <c r="L603" s="1" t="s">
        <v>1500</v>
      </c>
      <c r="M603" s="1" t="s">
        <v>3545</v>
      </c>
      <c r="N603" s="1"/>
      <c r="O603" s="1" t="s">
        <v>3095</v>
      </c>
      <c r="P603" s="1"/>
      <c r="Q603" s="4">
        <v>7.04</v>
      </c>
      <c r="R603" s="4">
        <v>5.82</v>
      </c>
      <c r="S603" s="4"/>
      <c r="T603" s="4">
        <v>65.760000000000005</v>
      </c>
      <c r="U603" s="4"/>
      <c r="V603" s="4">
        <v>5.5</v>
      </c>
      <c r="W603" s="4">
        <v>34.6</v>
      </c>
      <c r="X603" s="4">
        <v>86.27</v>
      </c>
      <c r="Y603" s="4">
        <v>61.27</v>
      </c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1"/>
      <c r="BJ603" s="1" t="s">
        <v>4341</v>
      </c>
      <c r="BK603" s="1">
        <v>1</v>
      </c>
      <c r="BL603" s="1"/>
      <c r="BM603" s="1" t="s">
        <v>226</v>
      </c>
      <c r="BN603" s="1" t="s">
        <v>2959</v>
      </c>
      <c r="BO603" s="1" t="s">
        <v>2960</v>
      </c>
      <c r="BP603" s="1">
        <v>7.04</v>
      </c>
      <c r="BQ603" s="1" t="s">
        <v>1003</v>
      </c>
      <c r="BR603" s="1">
        <v>32.7545</v>
      </c>
      <c r="BS603" s="1">
        <v>130.76300000000001</v>
      </c>
      <c r="BT603" s="1">
        <v>12.45</v>
      </c>
      <c r="BU603" s="1" t="s">
        <v>730</v>
      </c>
      <c r="BV603" s="1" t="s">
        <v>2961</v>
      </c>
      <c r="BW603" s="1">
        <v>205</v>
      </c>
      <c r="BX603" s="1">
        <v>72</v>
      </c>
      <c r="BY603" s="1">
        <v>-142</v>
      </c>
      <c r="BZ603" s="1">
        <v>235</v>
      </c>
      <c r="CA603" s="1">
        <v>65</v>
      </c>
      <c r="CB603" s="1">
        <v>-142</v>
      </c>
      <c r="CC603" s="1" t="s">
        <v>2973</v>
      </c>
      <c r="CD603" s="1" t="s">
        <v>862</v>
      </c>
      <c r="CE603" s="1">
        <v>1</v>
      </c>
      <c r="CF603" s="1">
        <v>7.04</v>
      </c>
      <c r="CG603" s="1">
        <v>3.4371</v>
      </c>
      <c r="CH603" s="1">
        <v>2349</v>
      </c>
      <c r="CI603" s="1" t="s">
        <v>1196</v>
      </c>
      <c r="CJ603" s="1" t="s">
        <v>1357</v>
      </c>
      <c r="CK603" t="s">
        <v>1264</v>
      </c>
      <c r="CL603">
        <v>20</v>
      </c>
      <c r="CM603" t="s">
        <v>2977</v>
      </c>
    </row>
    <row r="604" spans="1:91" ht="19" customHeight="1">
      <c r="A604" s="1" t="s">
        <v>4342</v>
      </c>
      <c r="B604" s="1" t="s">
        <v>1245</v>
      </c>
      <c r="C604" s="1">
        <v>21</v>
      </c>
      <c r="D604" s="1" t="s">
        <v>1433</v>
      </c>
      <c r="E604" s="1">
        <v>2016</v>
      </c>
      <c r="F604" s="1" t="s">
        <v>1195</v>
      </c>
      <c r="G604" s="1" t="s">
        <v>1521</v>
      </c>
      <c r="H604" s="4">
        <v>32.932000000000002</v>
      </c>
      <c r="I604" s="4">
        <v>131.12139999999999</v>
      </c>
      <c r="J604" s="1" t="s">
        <v>1396</v>
      </c>
      <c r="K604" s="1" t="s">
        <v>70</v>
      </c>
      <c r="L604" s="1" t="s">
        <v>1522</v>
      </c>
      <c r="M604" s="1" t="s">
        <v>3545</v>
      </c>
      <c r="N604" s="1"/>
      <c r="O604" s="1" t="s">
        <v>3095</v>
      </c>
      <c r="P604" s="1"/>
      <c r="Q604" s="4">
        <v>7.04</v>
      </c>
      <c r="R604" s="4">
        <v>3.98</v>
      </c>
      <c r="S604" s="4"/>
      <c r="T604" s="4">
        <v>81.150000000000006</v>
      </c>
      <c r="U604" s="4"/>
      <c r="V604" s="4">
        <v>10.1</v>
      </c>
      <c r="W604" s="4">
        <v>40.9</v>
      </c>
      <c r="X604" s="4">
        <v>317.58999999999997</v>
      </c>
      <c r="Y604" s="4">
        <v>67.409999999999968</v>
      </c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1"/>
      <c r="BJ604" s="1" t="s">
        <v>4343</v>
      </c>
      <c r="BK604" s="1">
        <v>1</v>
      </c>
      <c r="BL604" s="1"/>
      <c r="BM604" s="1" t="s">
        <v>226</v>
      </c>
      <c r="BN604" s="1" t="s">
        <v>2959</v>
      </c>
      <c r="BO604" s="1" t="s">
        <v>2960</v>
      </c>
      <c r="BP604" s="1">
        <v>7.04</v>
      </c>
      <c r="BQ604" s="1" t="s">
        <v>1003</v>
      </c>
      <c r="BR604" s="1">
        <v>32.7545</v>
      </c>
      <c r="BS604" s="1">
        <v>130.76300000000001</v>
      </c>
      <c r="BT604" s="1">
        <v>12.45</v>
      </c>
      <c r="BU604" s="1" t="s">
        <v>730</v>
      </c>
      <c r="BV604" s="1" t="s">
        <v>2961</v>
      </c>
      <c r="BW604" s="1">
        <v>205</v>
      </c>
      <c r="BX604" s="1">
        <v>72</v>
      </c>
      <c r="BY604" s="1">
        <v>-142</v>
      </c>
      <c r="BZ604" s="1">
        <v>235</v>
      </c>
      <c r="CA604" s="1">
        <v>65</v>
      </c>
      <c r="CB604" s="1">
        <v>-142</v>
      </c>
      <c r="CC604" s="1" t="s">
        <v>2973</v>
      </c>
      <c r="CD604" s="1" t="s">
        <v>862</v>
      </c>
      <c r="CE604" s="1">
        <v>1</v>
      </c>
      <c r="CF604" s="1">
        <v>7.04</v>
      </c>
      <c r="CG604" s="1">
        <v>3.4371</v>
      </c>
      <c r="CH604" s="1">
        <v>2349</v>
      </c>
      <c r="CI604" s="1" t="s">
        <v>1196</v>
      </c>
      <c r="CJ604" s="1" t="s">
        <v>1357</v>
      </c>
      <c r="CK604" t="s">
        <v>1264</v>
      </c>
      <c r="CL604">
        <v>21</v>
      </c>
      <c r="CM604" t="s">
        <v>2977</v>
      </c>
    </row>
    <row r="605" spans="1:91" ht="19" customHeight="1">
      <c r="A605" s="1" t="s">
        <v>4344</v>
      </c>
      <c r="B605" s="1" t="s">
        <v>1245</v>
      </c>
      <c r="C605" s="1">
        <v>22</v>
      </c>
      <c r="D605" s="1" t="s">
        <v>1433</v>
      </c>
      <c r="E605" s="1">
        <v>2016</v>
      </c>
      <c r="F605" s="1" t="s">
        <v>1197</v>
      </c>
      <c r="G605" s="1" t="s">
        <v>1523</v>
      </c>
      <c r="H605" s="4">
        <v>32.876100000000001</v>
      </c>
      <c r="I605" s="4">
        <v>130.87739999999999</v>
      </c>
      <c r="J605" s="1" t="s">
        <v>1396</v>
      </c>
      <c r="K605" s="1" t="s">
        <v>70</v>
      </c>
      <c r="L605" s="1" t="s">
        <v>1524</v>
      </c>
      <c r="M605" s="1" t="s">
        <v>3545</v>
      </c>
      <c r="N605" s="1"/>
      <c r="O605" s="1" t="s">
        <v>3095</v>
      </c>
      <c r="P605" s="1"/>
      <c r="Q605" s="4">
        <v>7.04</v>
      </c>
      <c r="R605" s="4">
        <v>2.9</v>
      </c>
      <c r="S605" s="4"/>
      <c r="T605" s="4">
        <v>60.55</v>
      </c>
      <c r="U605" s="4"/>
      <c r="V605" s="4">
        <v>6</v>
      </c>
      <c r="W605" s="4">
        <v>21.2</v>
      </c>
      <c r="X605" s="4">
        <v>314.27</v>
      </c>
      <c r="Y605" s="4">
        <v>70.730000000000018</v>
      </c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1"/>
      <c r="BJ605" s="1" t="s">
        <v>4345</v>
      </c>
      <c r="BK605" s="1">
        <v>1</v>
      </c>
      <c r="BL605" s="1"/>
      <c r="BM605" s="1" t="s">
        <v>226</v>
      </c>
      <c r="BN605" s="1" t="s">
        <v>2959</v>
      </c>
      <c r="BO605" s="1" t="s">
        <v>2960</v>
      </c>
      <c r="BP605" s="1">
        <v>7.04</v>
      </c>
      <c r="BQ605" s="1" t="s">
        <v>1003</v>
      </c>
      <c r="BR605" s="1">
        <v>32.7545</v>
      </c>
      <c r="BS605" s="1">
        <v>130.76300000000001</v>
      </c>
      <c r="BT605" s="1">
        <v>12.45</v>
      </c>
      <c r="BU605" s="1" t="s">
        <v>730</v>
      </c>
      <c r="BV605" s="1" t="s">
        <v>2961</v>
      </c>
      <c r="BW605" s="1">
        <v>205</v>
      </c>
      <c r="BX605" s="1">
        <v>72</v>
      </c>
      <c r="BY605" s="1">
        <v>-142</v>
      </c>
      <c r="BZ605" s="1">
        <v>235</v>
      </c>
      <c r="CA605" s="1">
        <v>65</v>
      </c>
      <c r="CB605" s="1">
        <v>-142</v>
      </c>
      <c r="CC605" s="1" t="s">
        <v>2973</v>
      </c>
      <c r="CD605" s="1" t="s">
        <v>862</v>
      </c>
      <c r="CE605" s="1">
        <v>1</v>
      </c>
      <c r="CF605" s="1">
        <v>7.04</v>
      </c>
      <c r="CG605" s="1">
        <v>3.4371</v>
      </c>
      <c r="CH605" s="1">
        <v>2349</v>
      </c>
      <c r="CI605" s="1" t="s">
        <v>1196</v>
      </c>
      <c r="CJ605" s="1" t="s">
        <v>1357</v>
      </c>
      <c r="CK605" t="s">
        <v>1264</v>
      </c>
      <c r="CL605">
        <v>22</v>
      </c>
      <c r="CM605" t="s">
        <v>2977</v>
      </c>
    </row>
    <row r="606" spans="1:91" ht="19" customHeight="1">
      <c r="A606" s="1" t="s">
        <v>4346</v>
      </c>
      <c r="B606" s="1" t="s">
        <v>1245</v>
      </c>
      <c r="C606" s="1">
        <v>23</v>
      </c>
      <c r="D606" s="1" t="s">
        <v>1433</v>
      </c>
      <c r="E606" s="1">
        <v>2016</v>
      </c>
      <c r="F606" s="1" t="s">
        <v>1198</v>
      </c>
      <c r="G606" s="1" t="s">
        <v>1525</v>
      </c>
      <c r="H606" s="4">
        <v>32.793399999999998</v>
      </c>
      <c r="I606" s="4">
        <v>130.77719999999999</v>
      </c>
      <c r="J606" s="1" t="s">
        <v>1396</v>
      </c>
      <c r="K606" s="1" t="s">
        <v>70</v>
      </c>
      <c r="L606" s="1" t="s">
        <v>1526</v>
      </c>
      <c r="M606" s="1" t="s">
        <v>3545</v>
      </c>
      <c r="N606" s="1"/>
      <c r="O606" s="1" t="s">
        <v>3095</v>
      </c>
      <c r="P606" s="1"/>
      <c r="Q606" s="4">
        <v>7.04</v>
      </c>
      <c r="R606" s="4">
        <v>2.0299999999999998</v>
      </c>
      <c r="S606" s="4"/>
      <c r="T606" s="4">
        <v>80</v>
      </c>
      <c r="U606" s="4"/>
      <c r="V606" s="4">
        <v>4.2</v>
      </c>
      <c r="W606" s="4">
        <v>13.2</v>
      </c>
      <c r="X606" s="4">
        <v>56.96</v>
      </c>
      <c r="Y606" s="4">
        <v>31.96</v>
      </c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1"/>
      <c r="BJ606" s="1" t="s">
        <v>4347</v>
      </c>
      <c r="BK606" s="1">
        <v>1</v>
      </c>
      <c r="BL606" s="1"/>
      <c r="BM606" s="1" t="s">
        <v>226</v>
      </c>
      <c r="BN606" s="1" t="s">
        <v>2959</v>
      </c>
      <c r="BO606" s="1" t="s">
        <v>2960</v>
      </c>
      <c r="BP606" s="1">
        <v>7.04</v>
      </c>
      <c r="BQ606" s="1" t="s">
        <v>1003</v>
      </c>
      <c r="BR606" s="1">
        <v>32.7545</v>
      </c>
      <c r="BS606" s="1">
        <v>130.76300000000001</v>
      </c>
      <c r="BT606" s="1">
        <v>12.45</v>
      </c>
      <c r="BU606" s="1" t="s">
        <v>730</v>
      </c>
      <c r="BV606" s="1" t="s">
        <v>2961</v>
      </c>
      <c r="BW606" s="1">
        <v>205</v>
      </c>
      <c r="BX606" s="1">
        <v>72</v>
      </c>
      <c r="BY606" s="1">
        <v>-142</v>
      </c>
      <c r="BZ606" s="1">
        <v>235</v>
      </c>
      <c r="CA606" s="1">
        <v>65</v>
      </c>
      <c r="CB606" s="1">
        <v>-142</v>
      </c>
      <c r="CC606" s="1" t="s">
        <v>2973</v>
      </c>
      <c r="CD606" s="1" t="s">
        <v>862</v>
      </c>
      <c r="CE606" s="1">
        <v>1</v>
      </c>
      <c r="CF606" s="1">
        <v>7.04</v>
      </c>
      <c r="CG606" s="1">
        <v>3.4371</v>
      </c>
      <c r="CH606" s="1">
        <v>2349</v>
      </c>
      <c r="CI606" s="1" t="s">
        <v>1196</v>
      </c>
      <c r="CJ606" s="1" t="s">
        <v>1357</v>
      </c>
      <c r="CK606" t="s">
        <v>1264</v>
      </c>
      <c r="CL606">
        <v>23</v>
      </c>
      <c r="CM606" t="s">
        <v>2977</v>
      </c>
    </row>
    <row r="607" spans="1:91" ht="19" customHeight="1">
      <c r="A607" s="1" t="s">
        <v>4348</v>
      </c>
      <c r="B607" s="1" t="s">
        <v>1245</v>
      </c>
      <c r="C607" s="1">
        <v>24</v>
      </c>
      <c r="D607" s="1" t="s">
        <v>1433</v>
      </c>
      <c r="E607" s="1">
        <v>2016</v>
      </c>
      <c r="F607" s="1" t="s">
        <v>1199</v>
      </c>
      <c r="G607" s="1" t="s">
        <v>1527</v>
      </c>
      <c r="H607" s="4">
        <v>32.826700000000002</v>
      </c>
      <c r="I607" s="4">
        <v>131.12260000000001</v>
      </c>
      <c r="J607" s="1" t="s">
        <v>1396</v>
      </c>
      <c r="K607" s="1" t="s">
        <v>70</v>
      </c>
      <c r="L607" s="1" t="s">
        <v>1528</v>
      </c>
      <c r="M607" s="1" t="s">
        <v>3545</v>
      </c>
      <c r="N607" s="1"/>
      <c r="O607" s="1" t="s">
        <v>3095</v>
      </c>
      <c r="P607" s="1"/>
      <c r="Q607" s="4">
        <v>7.04</v>
      </c>
      <c r="R607" s="4">
        <v>5.45</v>
      </c>
      <c r="S607" s="4"/>
      <c r="T607" s="4">
        <v>34.46</v>
      </c>
      <c r="U607" s="4"/>
      <c r="V607" s="4">
        <v>12.4</v>
      </c>
      <c r="W607" s="4">
        <v>36.9</v>
      </c>
      <c r="X607" s="4">
        <v>18.71</v>
      </c>
      <c r="Y607" s="4">
        <v>6.2899999999999991</v>
      </c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1"/>
      <c r="BJ607" s="1" t="s">
        <v>4349</v>
      </c>
      <c r="BK607" s="1">
        <v>1</v>
      </c>
      <c r="BL607" s="1"/>
      <c r="BM607" s="1" t="s">
        <v>226</v>
      </c>
      <c r="BN607" s="1" t="s">
        <v>2959</v>
      </c>
      <c r="BO607" s="1" t="s">
        <v>2960</v>
      </c>
      <c r="BP607" s="1">
        <v>7.04</v>
      </c>
      <c r="BQ607" s="1" t="s">
        <v>1003</v>
      </c>
      <c r="BR607" s="1">
        <v>32.7545</v>
      </c>
      <c r="BS607" s="1">
        <v>130.76300000000001</v>
      </c>
      <c r="BT607" s="1">
        <v>12.45</v>
      </c>
      <c r="BU607" s="1" t="s">
        <v>730</v>
      </c>
      <c r="BV607" s="1" t="s">
        <v>2961</v>
      </c>
      <c r="BW607" s="1">
        <v>205</v>
      </c>
      <c r="BX607" s="1">
        <v>72</v>
      </c>
      <c r="BY607" s="1">
        <v>-142</v>
      </c>
      <c r="BZ607" s="1">
        <v>235</v>
      </c>
      <c r="CA607" s="1">
        <v>65</v>
      </c>
      <c r="CB607" s="1">
        <v>-142</v>
      </c>
      <c r="CC607" s="1" t="s">
        <v>2973</v>
      </c>
      <c r="CD607" s="1" t="s">
        <v>862</v>
      </c>
      <c r="CE607" s="1">
        <v>1</v>
      </c>
      <c r="CF607" s="1">
        <v>7.04</v>
      </c>
      <c r="CG607" s="1">
        <v>3.4371</v>
      </c>
      <c r="CH607" s="1">
        <v>2349</v>
      </c>
      <c r="CI607" s="1" t="s">
        <v>1196</v>
      </c>
      <c r="CJ607" s="1" t="s">
        <v>1357</v>
      </c>
      <c r="CK607" t="s">
        <v>1264</v>
      </c>
      <c r="CL607">
        <v>24</v>
      </c>
      <c r="CM607" t="s">
        <v>2977</v>
      </c>
    </row>
    <row r="608" spans="1:91" ht="19" customHeight="1">
      <c r="A608" s="1" t="s">
        <v>4350</v>
      </c>
      <c r="B608" s="1" t="s">
        <v>1245</v>
      </c>
      <c r="C608" s="1">
        <v>25</v>
      </c>
      <c r="D608" s="1" t="s">
        <v>1433</v>
      </c>
      <c r="E608" s="1">
        <v>2016</v>
      </c>
      <c r="F608" s="1" t="s">
        <v>1248</v>
      </c>
      <c r="G608" s="1" t="s">
        <v>1529</v>
      </c>
      <c r="H608" s="4">
        <v>32.997999999999998</v>
      </c>
      <c r="I608" s="4">
        <v>130.83000000000001</v>
      </c>
      <c r="J608" s="1" t="s">
        <v>1396</v>
      </c>
      <c r="K608" s="1" t="s">
        <v>79</v>
      </c>
      <c r="L608" s="1" t="s">
        <v>1530</v>
      </c>
      <c r="M608" s="1" t="s">
        <v>3545</v>
      </c>
      <c r="N608" s="1"/>
      <c r="O608" s="1" t="s">
        <v>3095</v>
      </c>
      <c r="P608" s="1"/>
      <c r="Q608" s="4">
        <v>7.04</v>
      </c>
      <c r="R608" s="4">
        <v>1.29</v>
      </c>
      <c r="S608" s="4"/>
      <c r="T608" s="4">
        <v>76.84</v>
      </c>
      <c r="U608" s="4"/>
      <c r="V608" s="4">
        <v>18.399999999999999</v>
      </c>
      <c r="W608" s="4">
        <v>30.4</v>
      </c>
      <c r="X608" s="4">
        <v>6.67</v>
      </c>
      <c r="Y608" s="4">
        <v>18.329999999999998</v>
      </c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1"/>
      <c r="BJ608" s="1" t="s">
        <v>4351</v>
      </c>
      <c r="BK608" s="1">
        <v>1</v>
      </c>
      <c r="BL608" s="1"/>
      <c r="BM608" s="1" t="s">
        <v>226</v>
      </c>
      <c r="BN608" s="1" t="s">
        <v>2959</v>
      </c>
      <c r="BO608" s="1" t="s">
        <v>2960</v>
      </c>
      <c r="BP608" s="1">
        <v>7.04</v>
      </c>
      <c r="BQ608" s="1" t="s">
        <v>1003</v>
      </c>
      <c r="BR608" s="1">
        <v>32.7545</v>
      </c>
      <c r="BS608" s="1">
        <v>130.76300000000001</v>
      </c>
      <c r="BT608" s="1">
        <v>12.45</v>
      </c>
      <c r="BU608" s="1" t="s">
        <v>730</v>
      </c>
      <c r="BV608" s="1" t="s">
        <v>2961</v>
      </c>
      <c r="BW608" s="1">
        <v>205</v>
      </c>
      <c r="BX608" s="1">
        <v>72</v>
      </c>
      <c r="BY608" s="1">
        <v>-142</v>
      </c>
      <c r="BZ608" s="1">
        <v>235</v>
      </c>
      <c r="CA608" s="1">
        <v>65</v>
      </c>
      <c r="CB608" s="1">
        <v>-142</v>
      </c>
      <c r="CC608" s="1" t="s">
        <v>2973</v>
      </c>
      <c r="CD608" s="1" t="s">
        <v>862</v>
      </c>
      <c r="CE608" s="1">
        <v>1</v>
      </c>
      <c r="CF608" s="1">
        <v>7.04</v>
      </c>
      <c r="CG608" s="1">
        <v>3.4371</v>
      </c>
      <c r="CH608" s="1">
        <v>2349</v>
      </c>
      <c r="CI608" s="1" t="s">
        <v>1196</v>
      </c>
      <c r="CJ608" s="1" t="s">
        <v>1357</v>
      </c>
      <c r="CK608" t="s">
        <v>1264</v>
      </c>
      <c r="CL608">
        <v>25</v>
      </c>
      <c r="CM608" t="s">
        <v>2977</v>
      </c>
    </row>
    <row r="609" spans="1:91" ht="19" customHeight="1">
      <c r="A609" s="1" t="s">
        <v>4352</v>
      </c>
      <c r="B609" s="1" t="s">
        <v>1245</v>
      </c>
      <c r="C609" s="1">
        <v>26</v>
      </c>
      <c r="D609" s="1" t="s">
        <v>1433</v>
      </c>
      <c r="E609" s="1">
        <v>2016</v>
      </c>
      <c r="F609" s="1" t="s">
        <v>1249</v>
      </c>
      <c r="G609" s="1" t="s">
        <v>1533</v>
      </c>
      <c r="H609" s="4">
        <v>32.951000000000001</v>
      </c>
      <c r="I609" s="4">
        <v>131.02000000000001</v>
      </c>
      <c r="J609" s="1" t="s">
        <v>1396</v>
      </c>
      <c r="K609" s="1" t="s">
        <v>79</v>
      </c>
      <c r="L609" s="1" t="s">
        <v>1534</v>
      </c>
      <c r="M609" s="1" t="s">
        <v>3545</v>
      </c>
      <c r="N609" s="1"/>
      <c r="O609" s="1" t="s">
        <v>3095</v>
      </c>
      <c r="P609" s="1"/>
      <c r="Q609" s="4">
        <v>7.04</v>
      </c>
      <c r="R609" s="4">
        <v>10.07</v>
      </c>
      <c r="S609" s="4"/>
      <c r="T609" s="4">
        <v>127.93</v>
      </c>
      <c r="U609" s="4"/>
      <c r="V609" s="4">
        <v>6.2</v>
      </c>
      <c r="W609" s="4">
        <v>34.799999999999997</v>
      </c>
      <c r="X609" s="4">
        <v>317.58999999999997</v>
      </c>
      <c r="Y609" s="4">
        <v>67.409999999999968</v>
      </c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1"/>
      <c r="BJ609" s="1" t="s">
        <v>4353</v>
      </c>
      <c r="BK609" s="1">
        <v>1</v>
      </c>
      <c r="BL609" s="1"/>
      <c r="BM609" s="1" t="s">
        <v>226</v>
      </c>
      <c r="BN609" s="1" t="s">
        <v>2959</v>
      </c>
      <c r="BO609" s="1" t="s">
        <v>2960</v>
      </c>
      <c r="BP609" s="1">
        <v>7.04</v>
      </c>
      <c r="BQ609" s="1" t="s">
        <v>1003</v>
      </c>
      <c r="BR609" s="1">
        <v>32.7545</v>
      </c>
      <c r="BS609" s="1">
        <v>130.76300000000001</v>
      </c>
      <c r="BT609" s="1">
        <v>12.45</v>
      </c>
      <c r="BU609" s="1" t="s">
        <v>730</v>
      </c>
      <c r="BV609" s="1" t="s">
        <v>2961</v>
      </c>
      <c r="BW609" s="1">
        <v>205</v>
      </c>
      <c r="BX609" s="1">
        <v>72</v>
      </c>
      <c r="BY609" s="1">
        <v>-142</v>
      </c>
      <c r="BZ609" s="1">
        <v>235</v>
      </c>
      <c r="CA609" s="1">
        <v>65</v>
      </c>
      <c r="CB609" s="1">
        <v>-142</v>
      </c>
      <c r="CC609" s="1" t="s">
        <v>2973</v>
      </c>
      <c r="CD609" s="1" t="s">
        <v>862</v>
      </c>
      <c r="CE609" s="1">
        <v>1</v>
      </c>
      <c r="CF609" s="1">
        <v>7.04</v>
      </c>
      <c r="CG609" s="1">
        <v>3.4371</v>
      </c>
      <c r="CH609" s="1">
        <v>2349</v>
      </c>
      <c r="CI609" s="1" t="s">
        <v>1196</v>
      </c>
      <c r="CJ609" s="1" t="s">
        <v>1357</v>
      </c>
      <c r="CK609" t="s">
        <v>1264</v>
      </c>
      <c r="CL609">
        <v>26</v>
      </c>
      <c r="CM609" t="s">
        <v>2977</v>
      </c>
    </row>
    <row r="610" spans="1:91" ht="19" customHeight="1">
      <c r="A610" s="1" t="s">
        <v>4354</v>
      </c>
      <c r="B610" s="1" t="s">
        <v>1245</v>
      </c>
      <c r="C610" s="1">
        <v>27</v>
      </c>
      <c r="D610" s="1" t="s">
        <v>1797</v>
      </c>
      <c r="E610" s="1">
        <v>2016</v>
      </c>
      <c r="F610" s="1" t="s">
        <v>1206</v>
      </c>
      <c r="G610" s="1" t="s">
        <v>1796</v>
      </c>
      <c r="H610" s="4">
        <v>23.102333000000002</v>
      </c>
      <c r="I610" s="4">
        <v>120.158333</v>
      </c>
      <c r="J610" s="1" t="s">
        <v>1396</v>
      </c>
      <c r="K610" s="1" t="s">
        <v>70</v>
      </c>
      <c r="L610" s="1" t="s">
        <v>1798</v>
      </c>
      <c r="M610" s="1" t="s">
        <v>3545</v>
      </c>
      <c r="N610" s="1"/>
      <c r="O610" s="1" t="s">
        <v>3095</v>
      </c>
      <c r="P610" s="1"/>
      <c r="Q610" s="4">
        <v>6.4</v>
      </c>
      <c r="R610" s="4">
        <v>2.39</v>
      </c>
      <c r="S610" s="4"/>
      <c r="T610" s="4">
        <v>50.95</v>
      </c>
      <c r="U610" s="4"/>
      <c r="V610" s="4">
        <v>28.4</v>
      </c>
      <c r="W610" s="4">
        <v>46.6</v>
      </c>
      <c r="X610" s="4">
        <v>274.2</v>
      </c>
      <c r="Y610" s="4">
        <v>20.800000000000011</v>
      </c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1"/>
      <c r="BJ610" s="1" t="s">
        <v>4355</v>
      </c>
      <c r="BK610" s="1">
        <v>1</v>
      </c>
      <c r="BL610" s="1"/>
      <c r="BM610" s="1" t="s">
        <v>672</v>
      </c>
      <c r="BN610" s="1" t="s">
        <v>2966</v>
      </c>
      <c r="BO610" s="1" t="s">
        <v>2967</v>
      </c>
      <c r="BP610" s="1">
        <v>6.4</v>
      </c>
      <c r="BQ610" s="1" t="s">
        <v>1003</v>
      </c>
      <c r="BR610" s="1">
        <v>22.92</v>
      </c>
      <c r="BS610" s="1">
        <v>120.54</v>
      </c>
      <c r="BT610" s="1">
        <v>14.6</v>
      </c>
      <c r="BU610" s="1" t="s">
        <v>2978</v>
      </c>
      <c r="BV610" s="1" t="s">
        <v>2922</v>
      </c>
      <c r="BW610" s="1">
        <v>295</v>
      </c>
      <c r="BX610" s="1">
        <v>22</v>
      </c>
      <c r="BY610" s="1">
        <v>20</v>
      </c>
      <c r="BZ610" s="1"/>
      <c r="CA610" s="1"/>
      <c r="CB610" s="1"/>
      <c r="CC610" s="1" t="s">
        <v>2973</v>
      </c>
      <c r="CD610" s="1" t="s">
        <v>731</v>
      </c>
      <c r="CE610" s="1"/>
      <c r="CF610" s="1"/>
      <c r="CG610" s="1"/>
      <c r="CH610" s="1"/>
      <c r="CI610" s="1"/>
      <c r="CJ610" s="1" t="s">
        <v>1357</v>
      </c>
      <c r="CK610" t="s">
        <v>1264</v>
      </c>
      <c r="CL610">
        <v>27</v>
      </c>
      <c r="CM610" t="s">
        <v>2980</v>
      </c>
    </row>
    <row r="611" spans="1:91" ht="19" customHeight="1">
      <c r="A611" s="1" t="s">
        <v>4356</v>
      </c>
      <c r="B611" s="1" t="s">
        <v>1245</v>
      </c>
      <c r="C611" s="1">
        <v>28</v>
      </c>
      <c r="D611" s="1" t="s">
        <v>1797</v>
      </c>
      <c r="E611" s="1">
        <v>2016</v>
      </c>
      <c r="F611" s="1" t="s">
        <v>1162</v>
      </c>
      <c r="G611" s="1" t="s">
        <v>1838</v>
      </c>
      <c r="H611" s="4">
        <v>23.171330000000001</v>
      </c>
      <c r="I611" s="4">
        <v>120.3272</v>
      </c>
      <c r="J611" s="1" t="s">
        <v>1396</v>
      </c>
      <c r="K611" s="1" t="s">
        <v>70</v>
      </c>
      <c r="L611" s="1" t="s">
        <v>1839</v>
      </c>
      <c r="M611" s="1" t="s">
        <v>3545</v>
      </c>
      <c r="N611" s="1"/>
      <c r="O611" s="1" t="s">
        <v>3095</v>
      </c>
      <c r="P611" s="1"/>
      <c r="Q611" s="4">
        <v>6.4</v>
      </c>
      <c r="R611" s="4">
        <v>2.13</v>
      </c>
      <c r="S611" s="4"/>
      <c r="T611" s="4">
        <v>53.18</v>
      </c>
      <c r="U611" s="4"/>
      <c r="V611" s="4">
        <v>23.6</v>
      </c>
      <c r="W611" s="4">
        <v>38.299999999999997</v>
      </c>
      <c r="X611" s="4">
        <v>345.14</v>
      </c>
      <c r="Y611" s="4">
        <v>50.139999999999993</v>
      </c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1"/>
      <c r="BJ611" s="1" t="s">
        <v>4357</v>
      </c>
      <c r="BK611" s="1">
        <v>1</v>
      </c>
      <c r="BL611" s="1"/>
      <c r="BM611" s="1" t="s">
        <v>672</v>
      </c>
      <c r="BN611" s="1" t="s">
        <v>2966</v>
      </c>
      <c r="BO611" s="1" t="s">
        <v>2967</v>
      </c>
      <c r="BP611" s="1">
        <v>6.4</v>
      </c>
      <c r="BQ611" s="1" t="s">
        <v>1003</v>
      </c>
      <c r="BR611" s="1">
        <v>22.92</v>
      </c>
      <c r="BS611" s="1">
        <v>120.54</v>
      </c>
      <c r="BT611" s="1">
        <v>14.6</v>
      </c>
      <c r="BU611" s="1" t="s">
        <v>2978</v>
      </c>
      <c r="BV611" s="1" t="s">
        <v>2922</v>
      </c>
      <c r="BW611" s="1">
        <v>295</v>
      </c>
      <c r="BX611" s="1">
        <v>22</v>
      </c>
      <c r="BY611" s="1">
        <v>20</v>
      </c>
      <c r="BZ611" s="1"/>
      <c r="CA611" s="1"/>
      <c r="CB611" s="1"/>
      <c r="CC611" s="1" t="s">
        <v>2973</v>
      </c>
      <c r="CD611" s="1" t="s">
        <v>731</v>
      </c>
      <c r="CE611" s="1"/>
      <c r="CF611" s="1"/>
      <c r="CG611" s="1"/>
      <c r="CH611" s="1"/>
      <c r="CI611" s="1"/>
      <c r="CJ611" s="1" t="s">
        <v>1357</v>
      </c>
      <c r="CK611" t="s">
        <v>1264</v>
      </c>
      <c r="CL611">
        <v>28</v>
      </c>
      <c r="CM611" t="s">
        <v>2980</v>
      </c>
    </row>
    <row r="612" spans="1:91" ht="19" customHeight="1">
      <c r="A612" s="1" t="s">
        <v>4358</v>
      </c>
      <c r="B612" s="1" t="s">
        <v>1245</v>
      </c>
      <c r="C612" s="1">
        <v>29</v>
      </c>
      <c r="D612" s="1" t="s">
        <v>1797</v>
      </c>
      <c r="E612" s="1">
        <v>2016</v>
      </c>
      <c r="F612" s="1" t="s">
        <v>1208</v>
      </c>
      <c r="G612" s="1" t="s">
        <v>1843</v>
      </c>
      <c r="H612" s="4">
        <v>23.1235</v>
      </c>
      <c r="I612" s="4">
        <v>120.2458</v>
      </c>
      <c r="J612" s="1" t="s">
        <v>1396</v>
      </c>
      <c r="K612" s="1" t="s">
        <v>70</v>
      </c>
      <c r="L612" s="1" t="s">
        <v>1844</v>
      </c>
      <c r="M612" s="1" t="s">
        <v>3545</v>
      </c>
      <c r="N612" s="1"/>
      <c r="O612" s="1" t="s">
        <v>3095</v>
      </c>
      <c r="P612" s="1"/>
      <c r="Q612" s="4">
        <v>6.4</v>
      </c>
      <c r="R612" s="4">
        <v>1.78</v>
      </c>
      <c r="S612" s="4"/>
      <c r="T612" s="4">
        <v>57.55</v>
      </c>
      <c r="U612" s="4"/>
      <c r="V612" s="4">
        <v>24</v>
      </c>
      <c r="W612" s="4">
        <v>40.6</v>
      </c>
      <c r="X612" s="4">
        <v>288.05</v>
      </c>
      <c r="Y612" s="4">
        <v>6.9499999999999886</v>
      </c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1"/>
      <c r="BJ612" s="1" t="s">
        <v>4359</v>
      </c>
      <c r="BK612" s="1">
        <v>1</v>
      </c>
      <c r="BL612" s="1"/>
      <c r="BM612" s="1" t="s">
        <v>672</v>
      </c>
      <c r="BN612" s="1" t="s">
        <v>2966</v>
      </c>
      <c r="BO612" s="1" t="s">
        <v>2967</v>
      </c>
      <c r="BP612" s="1">
        <v>6.4</v>
      </c>
      <c r="BQ612" s="1" t="s">
        <v>1003</v>
      </c>
      <c r="BR612" s="1">
        <v>22.92</v>
      </c>
      <c r="BS612" s="1">
        <v>120.54</v>
      </c>
      <c r="BT612" s="1">
        <v>14.6</v>
      </c>
      <c r="BU612" s="1" t="s">
        <v>2978</v>
      </c>
      <c r="BV612" s="1" t="s">
        <v>2922</v>
      </c>
      <c r="BW612" s="1">
        <v>295</v>
      </c>
      <c r="BX612" s="1">
        <v>22</v>
      </c>
      <c r="BY612" s="1">
        <v>20</v>
      </c>
      <c r="BZ612" s="1"/>
      <c r="CA612" s="1"/>
      <c r="CB612" s="1"/>
      <c r="CC612" s="1" t="s">
        <v>2973</v>
      </c>
      <c r="CD612" s="1" t="s">
        <v>731</v>
      </c>
      <c r="CE612" s="1"/>
      <c r="CF612" s="1"/>
      <c r="CG612" s="1"/>
      <c r="CH612" s="1"/>
      <c r="CI612" s="1"/>
      <c r="CJ612" s="1" t="s">
        <v>1357</v>
      </c>
      <c r="CK612" t="s">
        <v>1264</v>
      </c>
      <c r="CL612">
        <v>29</v>
      </c>
      <c r="CM612" t="s">
        <v>2980</v>
      </c>
    </row>
    <row r="613" spans="1:91" ht="19" customHeight="1">
      <c r="A613" s="1" t="s">
        <v>4360</v>
      </c>
      <c r="B613" s="1" t="s">
        <v>1245</v>
      </c>
      <c r="C613" s="1">
        <v>30</v>
      </c>
      <c r="D613" s="1" t="s">
        <v>1797</v>
      </c>
      <c r="E613" s="1">
        <v>2016</v>
      </c>
      <c r="F613" s="1" t="s">
        <v>1209</v>
      </c>
      <c r="G613" s="1" t="s">
        <v>1845</v>
      </c>
      <c r="H613" s="4">
        <v>23.121500000000001</v>
      </c>
      <c r="I613" s="4">
        <v>120.459</v>
      </c>
      <c r="J613" s="1" t="s">
        <v>1396</v>
      </c>
      <c r="K613" s="1" t="s">
        <v>70</v>
      </c>
      <c r="L613" s="1" t="s">
        <v>1846</v>
      </c>
      <c r="M613" s="1" t="s">
        <v>3545</v>
      </c>
      <c r="N613" s="1"/>
      <c r="O613" s="1" t="s">
        <v>3095</v>
      </c>
      <c r="P613" s="1"/>
      <c r="Q613" s="4">
        <v>6.4</v>
      </c>
      <c r="R613" s="4">
        <v>0.9</v>
      </c>
      <c r="S613" s="4"/>
      <c r="T613" s="4">
        <v>40.06</v>
      </c>
      <c r="U613" s="4"/>
      <c r="V613" s="4">
        <v>21.6</v>
      </c>
      <c r="W613" s="4">
        <v>28.2</v>
      </c>
      <c r="X613" s="4">
        <v>319.66000000000003</v>
      </c>
      <c r="Y613" s="4">
        <v>24.659999999999972</v>
      </c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1"/>
      <c r="BJ613" s="1" t="s">
        <v>4361</v>
      </c>
      <c r="BK613" s="1">
        <v>1</v>
      </c>
      <c r="BL613" s="1"/>
      <c r="BM613" s="1" t="s">
        <v>672</v>
      </c>
      <c r="BN613" s="1" t="s">
        <v>2966</v>
      </c>
      <c r="BO613" s="1" t="s">
        <v>2967</v>
      </c>
      <c r="BP613" s="1">
        <v>6.4</v>
      </c>
      <c r="BQ613" s="1" t="s">
        <v>1003</v>
      </c>
      <c r="BR613" s="1">
        <v>22.92</v>
      </c>
      <c r="BS613" s="1">
        <v>120.54</v>
      </c>
      <c r="BT613" s="1">
        <v>14.6</v>
      </c>
      <c r="BU613" s="1" t="s">
        <v>2978</v>
      </c>
      <c r="BV613" s="1" t="s">
        <v>2922</v>
      </c>
      <c r="BW613" s="1">
        <v>295</v>
      </c>
      <c r="BX613" s="1">
        <v>22</v>
      </c>
      <c r="BY613" s="1">
        <v>20</v>
      </c>
      <c r="BZ613" s="1"/>
      <c r="CA613" s="1"/>
      <c r="CB613" s="1"/>
      <c r="CC613" s="1" t="s">
        <v>2973</v>
      </c>
      <c r="CD613" s="1" t="s">
        <v>731</v>
      </c>
      <c r="CE613" s="1"/>
      <c r="CF613" s="1"/>
      <c r="CG613" s="1"/>
      <c r="CH613" s="1"/>
      <c r="CI613" s="1"/>
      <c r="CJ613" s="1" t="s">
        <v>1357</v>
      </c>
      <c r="CK613" t="s">
        <v>1264</v>
      </c>
      <c r="CL613">
        <v>30</v>
      </c>
      <c r="CM613" t="s">
        <v>2980</v>
      </c>
    </row>
    <row r="614" spans="1:91" ht="19" customHeight="1">
      <c r="A614" s="1" t="s">
        <v>4362</v>
      </c>
      <c r="B614" s="1" t="s">
        <v>1245</v>
      </c>
      <c r="C614" s="1">
        <v>31</v>
      </c>
      <c r="D614" s="1" t="s">
        <v>1797</v>
      </c>
      <c r="E614" s="1">
        <v>2016</v>
      </c>
      <c r="F614" s="1" t="s">
        <v>1164</v>
      </c>
      <c r="G614" s="1" t="s">
        <v>1847</v>
      </c>
      <c r="H614" s="4">
        <v>23.025829999999999</v>
      </c>
      <c r="I614" s="4">
        <v>120.34950000000001</v>
      </c>
      <c r="J614" s="1" t="s">
        <v>1396</v>
      </c>
      <c r="K614" s="1" t="s">
        <v>70</v>
      </c>
      <c r="L614" s="1" t="s">
        <v>1848</v>
      </c>
      <c r="M614" s="1" t="s">
        <v>3545</v>
      </c>
      <c r="N614" s="1"/>
      <c r="O614" s="1" t="s">
        <v>3095</v>
      </c>
      <c r="P614" s="1"/>
      <c r="Q614" s="4">
        <v>6.4</v>
      </c>
      <c r="R614" s="4">
        <v>1.43</v>
      </c>
      <c r="S614" s="4"/>
      <c r="T614" s="4">
        <v>71.180000000000007</v>
      </c>
      <c r="U614" s="4"/>
      <c r="V614" s="4">
        <v>16.600000000000001</v>
      </c>
      <c r="W614" s="4">
        <v>27.8</v>
      </c>
      <c r="X614" s="4">
        <v>290.60000000000002</v>
      </c>
      <c r="Y614" s="4">
        <v>4.3999999999999773</v>
      </c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1"/>
      <c r="BJ614" s="1" t="s">
        <v>4363</v>
      </c>
      <c r="BK614" s="1">
        <v>1</v>
      </c>
      <c r="BL614" s="1"/>
      <c r="BM614" s="1" t="s">
        <v>672</v>
      </c>
      <c r="BN614" s="1" t="s">
        <v>2966</v>
      </c>
      <c r="BO614" s="1" t="s">
        <v>2967</v>
      </c>
      <c r="BP614" s="1">
        <v>6.4</v>
      </c>
      <c r="BQ614" s="1" t="s">
        <v>1003</v>
      </c>
      <c r="BR614" s="1">
        <v>22.92</v>
      </c>
      <c r="BS614" s="1">
        <v>120.54</v>
      </c>
      <c r="BT614" s="1">
        <v>14.6</v>
      </c>
      <c r="BU614" s="1" t="s">
        <v>2978</v>
      </c>
      <c r="BV614" s="1" t="s">
        <v>2922</v>
      </c>
      <c r="BW614" s="1">
        <v>295</v>
      </c>
      <c r="BX614" s="1">
        <v>22</v>
      </c>
      <c r="BY614" s="1">
        <v>20</v>
      </c>
      <c r="BZ614" s="1"/>
      <c r="CA614" s="1"/>
      <c r="CB614" s="1"/>
      <c r="CC614" s="1" t="s">
        <v>2973</v>
      </c>
      <c r="CD614" s="1" t="s">
        <v>731</v>
      </c>
      <c r="CE614" s="1"/>
      <c r="CF614" s="1"/>
      <c r="CG614" s="1"/>
      <c r="CH614" s="1"/>
      <c r="CI614" s="1"/>
      <c r="CJ614" s="1" t="s">
        <v>1357</v>
      </c>
      <c r="CK614" t="s">
        <v>1264</v>
      </c>
      <c r="CL614">
        <v>31</v>
      </c>
      <c r="CM614" t="s">
        <v>2980</v>
      </c>
    </row>
    <row r="615" spans="1:91" ht="19" customHeight="1">
      <c r="A615" s="1" t="s">
        <v>4364</v>
      </c>
      <c r="B615" s="1" t="s">
        <v>1245</v>
      </c>
      <c r="C615" s="1">
        <v>32</v>
      </c>
      <c r="D615" s="1" t="s">
        <v>1797</v>
      </c>
      <c r="E615" s="1">
        <v>2016</v>
      </c>
      <c r="F615" s="1" t="s">
        <v>1211</v>
      </c>
      <c r="G615" s="1" t="s">
        <v>1852</v>
      </c>
      <c r="H615" s="4">
        <v>22.997330000000002</v>
      </c>
      <c r="I615" s="4">
        <v>120.1923</v>
      </c>
      <c r="J615" s="1" t="s">
        <v>1396</v>
      </c>
      <c r="K615" s="1" t="s">
        <v>70</v>
      </c>
      <c r="L615" s="1" t="s">
        <v>1853</v>
      </c>
      <c r="M615" s="1" t="s">
        <v>3545</v>
      </c>
      <c r="N615" s="1"/>
      <c r="O615" s="1" t="s">
        <v>3095</v>
      </c>
      <c r="P615" s="1"/>
      <c r="Q615" s="4">
        <v>6.4</v>
      </c>
      <c r="R615" s="4">
        <v>2.61</v>
      </c>
      <c r="S615" s="4"/>
      <c r="T615" s="4">
        <v>42.77</v>
      </c>
      <c r="U615" s="4"/>
      <c r="V615" s="4">
        <v>21.4</v>
      </c>
      <c r="W615" s="4">
        <v>40.1</v>
      </c>
      <c r="X615" s="4">
        <v>83</v>
      </c>
      <c r="Y615" s="4">
        <v>32</v>
      </c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1"/>
      <c r="BJ615" s="1" t="s">
        <v>4365</v>
      </c>
      <c r="BK615" s="1">
        <v>1</v>
      </c>
      <c r="BL615" s="1"/>
      <c r="BM615" s="1" t="s">
        <v>672</v>
      </c>
      <c r="BN615" s="1" t="s">
        <v>2966</v>
      </c>
      <c r="BO615" s="1" t="s">
        <v>2967</v>
      </c>
      <c r="BP615" s="1">
        <v>6.4</v>
      </c>
      <c r="BQ615" s="1" t="s">
        <v>1003</v>
      </c>
      <c r="BR615" s="1">
        <v>22.92</v>
      </c>
      <c r="BS615" s="1">
        <v>120.54</v>
      </c>
      <c r="BT615" s="1">
        <v>14.6</v>
      </c>
      <c r="BU615" s="1" t="s">
        <v>2978</v>
      </c>
      <c r="BV615" s="1" t="s">
        <v>2922</v>
      </c>
      <c r="BW615" s="1">
        <v>295</v>
      </c>
      <c r="BX615" s="1">
        <v>22</v>
      </c>
      <c r="BY615" s="1">
        <v>20</v>
      </c>
      <c r="BZ615" s="1"/>
      <c r="CA615" s="1"/>
      <c r="CB615" s="1"/>
      <c r="CC615" s="1" t="s">
        <v>2973</v>
      </c>
      <c r="CD615" s="1" t="s">
        <v>731</v>
      </c>
      <c r="CE615" s="1"/>
      <c r="CF615" s="1"/>
      <c r="CG615" s="1"/>
      <c r="CH615" s="1"/>
      <c r="CI615" s="1"/>
      <c r="CJ615" s="1" t="s">
        <v>1357</v>
      </c>
      <c r="CK615" t="s">
        <v>1264</v>
      </c>
      <c r="CL615">
        <v>32</v>
      </c>
      <c r="CM615" t="s">
        <v>2980</v>
      </c>
    </row>
    <row r="616" spans="1:91" ht="19" customHeight="1">
      <c r="A616" s="1" t="s">
        <v>4366</v>
      </c>
      <c r="B616" s="1" t="s">
        <v>1245</v>
      </c>
      <c r="C616" s="1">
        <v>33</v>
      </c>
      <c r="D616" s="1" t="s">
        <v>1797</v>
      </c>
      <c r="E616" s="1">
        <v>2016</v>
      </c>
      <c r="F616" s="1" t="s">
        <v>1213</v>
      </c>
      <c r="G616" s="1" t="s">
        <v>1856</v>
      </c>
      <c r="H616" s="4">
        <v>22.97317</v>
      </c>
      <c r="I616" s="4">
        <v>120.1897</v>
      </c>
      <c r="J616" s="1" t="s">
        <v>1396</v>
      </c>
      <c r="K616" s="1" t="s">
        <v>70</v>
      </c>
      <c r="L616" s="1" t="s">
        <v>1857</v>
      </c>
      <c r="M616" s="1" t="s">
        <v>3545</v>
      </c>
      <c r="N616" s="1"/>
      <c r="O616" s="1" t="s">
        <v>3095</v>
      </c>
      <c r="P616" s="1"/>
      <c r="Q616" s="4">
        <v>6.4</v>
      </c>
      <c r="R616" s="4">
        <v>2.0099999999999998</v>
      </c>
      <c r="S616" s="4"/>
      <c r="T616" s="4">
        <v>51.2</v>
      </c>
      <c r="U616" s="4"/>
      <c r="V616" s="4">
        <v>20.5</v>
      </c>
      <c r="W616" s="4">
        <v>39.9</v>
      </c>
      <c r="X616" s="4">
        <v>287.04000000000002</v>
      </c>
      <c r="Y616" s="4">
        <v>7.9599999999999804</v>
      </c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1"/>
      <c r="BJ616" s="1" t="s">
        <v>4367</v>
      </c>
      <c r="BK616" s="1">
        <v>1</v>
      </c>
      <c r="BL616" s="1"/>
      <c r="BM616" s="1" t="s">
        <v>672</v>
      </c>
      <c r="BN616" s="1" t="s">
        <v>2966</v>
      </c>
      <c r="BO616" s="1" t="s">
        <v>2967</v>
      </c>
      <c r="BP616" s="1">
        <v>6.4</v>
      </c>
      <c r="BQ616" s="1" t="s">
        <v>1003</v>
      </c>
      <c r="BR616" s="1">
        <v>22.92</v>
      </c>
      <c r="BS616" s="1">
        <v>120.54</v>
      </c>
      <c r="BT616" s="1">
        <v>14.6</v>
      </c>
      <c r="BU616" s="1" t="s">
        <v>2978</v>
      </c>
      <c r="BV616" s="1" t="s">
        <v>2922</v>
      </c>
      <c r="BW616" s="1">
        <v>295</v>
      </c>
      <c r="BX616" s="1">
        <v>22</v>
      </c>
      <c r="BY616" s="1">
        <v>20</v>
      </c>
      <c r="BZ616" s="1"/>
      <c r="CA616" s="1"/>
      <c r="CB616" s="1"/>
      <c r="CC616" s="1" t="s">
        <v>2973</v>
      </c>
      <c r="CD616" s="1" t="s">
        <v>731</v>
      </c>
      <c r="CE616" s="1"/>
      <c r="CF616" s="1"/>
      <c r="CG616" s="1"/>
      <c r="CH616" s="1"/>
      <c r="CI616" s="1"/>
      <c r="CJ616" s="1" t="s">
        <v>1357</v>
      </c>
      <c r="CK616" t="s">
        <v>1264</v>
      </c>
      <c r="CL616">
        <v>33</v>
      </c>
      <c r="CM616" t="s">
        <v>2980</v>
      </c>
    </row>
    <row r="617" spans="1:91" ht="19" customHeight="1">
      <c r="A617" s="1" t="s">
        <v>4368</v>
      </c>
      <c r="B617" s="1" t="s">
        <v>1245</v>
      </c>
      <c r="C617" s="1">
        <v>34</v>
      </c>
      <c r="D617" s="1" t="s">
        <v>1797</v>
      </c>
      <c r="E617" s="1">
        <v>2016</v>
      </c>
      <c r="F617" s="1" t="s">
        <v>1214</v>
      </c>
      <c r="G617" s="1" t="s">
        <v>1858</v>
      </c>
      <c r="H617" s="4">
        <v>22.963830000000002</v>
      </c>
      <c r="I617" s="4">
        <v>120.2363</v>
      </c>
      <c r="J617" s="1" t="s">
        <v>1396</v>
      </c>
      <c r="K617" s="1" t="s">
        <v>70</v>
      </c>
      <c r="L617" s="1" t="s">
        <v>1859</v>
      </c>
      <c r="M617" s="1" t="s">
        <v>3545</v>
      </c>
      <c r="N617" s="1"/>
      <c r="O617" s="1" t="s">
        <v>3095</v>
      </c>
      <c r="P617" s="1"/>
      <c r="Q617" s="4">
        <v>6.4</v>
      </c>
      <c r="R617" s="4">
        <v>1.65</v>
      </c>
      <c r="S617" s="4"/>
      <c r="T617" s="4">
        <v>58.63</v>
      </c>
      <c r="U617" s="4"/>
      <c r="V617" s="4">
        <v>17</v>
      </c>
      <c r="W617" s="4">
        <v>35.6</v>
      </c>
      <c r="X617" s="4">
        <v>270.24</v>
      </c>
      <c r="Y617" s="4">
        <v>24.759999999999991</v>
      </c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1"/>
      <c r="BJ617" s="1" t="s">
        <v>4369</v>
      </c>
      <c r="BK617" s="1">
        <v>1</v>
      </c>
      <c r="BL617" s="1"/>
      <c r="BM617" s="1" t="s">
        <v>672</v>
      </c>
      <c r="BN617" s="1" t="s">
        <v>2966</v>
      </c>
      <c r="BO617" s="1" t="s">
        <v>2967</v>
      </c>
      <c r="BP617" s="1">
        <v>6.4</v>
      </c>
      <c r="BQ617" s="1" t="s">
        <v>1003</v>
      </c>
      <c r="BR617" s="1">
        <v>22.92</v>
      </c>
      <c r="BS617" s="1">
        <v>120.54</v>
      </c>
      <c r="BT617" s="1">
        <v>14.6</v>
      </c>
      <c r="BU617" s="1" t="s">
        <v>2978</v>
      </c>
      <c r="BV617" s="1" t="s">
        <v>2922</v>
      </c>
      <c r="BW617" s="1">
        <v>295</v>
      </c>
      <c r="BX617" s="1">
        <v>22</v>
      </c>
      <c r="BY617" s="1">
        <v>20</v>
      </c>
      <c r="BZ617" s="1"/>
      <c r="CA617" s="1"/>
      <c r="CB617" s="1"/>
      <c r="CC617" s="1" t="s">
        <v>2973</v>
      </c>
      <c r="CD617" s="1" t="s">
        <v>731</v>
      </c>
      <c r="CE617" s="1"/>
      <c r="CF617" s="1"/>
      <c r="CG617" s="1"/>
      <c r="CH617" s="1"/>
      <c r="CI617" s="1"/>
      <c r="CJ617" s="1" t="s">
        <v>1357</v>
      </c>
      <c r="CK617" t="s">
        <v>1264</v>
      </c>
      <c r="CL617">
        <v>34</v>
      </c>
      <c r="CM617" t="s">
        <v>2980</v>
      </c>
    </row>
    <row r="618" spans="1:91" ht="19" customHeight="1">
      <c r="A618" s="1" t="s">
        <v>4370</v>
      </c>
      <c r="B618" s="1" t="s">
        <v>1245</v>
      </c>
      <c r="C618" s="1">
        <v>35</v>
      </c>
      <c r="D618" s="1" t="s">
        <v>1797</v>
      </c>
      <c r="E618" s="1">
        <v>2016</v>
      </c>
      <c r="F618" s="1" t="s">
        <v>1215</v>
      </c>
      <c r="G618" s="1" t="s">
        <v>1860</v>
      </c>
      <c r="H618" s="4">
        <v>23.062999999999999</v>
      </c>
      <c r="I618" s="4">
        <v>120.1728</v>
      </c>
      <c r="J618" s="1" t="s">
        <v>1396</v>
      </c>
      <c r="K618" s="1" t="s">
        <v>70</v>
      </c>
      <c r="L618" s="1" t="s">
        <v>1861</v>
      </c>
      <c r="M618" s="1" t="s">
        <v>3545</v>
      </c>
      <c r="N618" s="1"/>
      <c r="O618" s="1" t="s">
        <v>3095</v>
      </c>
      <c r="P618" s="1"/>
      <c r="Q618" s="4">
        <v>6.4</v>
      </c>
      <c r="R618" s="4">
        <v>2.34</v>
      </c>
      <c r="S618" s="4"/>
      <c r="T618" s="4">
        <v>50.54</v>
      </c>
      <c r="U618" s="4"/>
      <c r="V618" s="4">
        <v>25.6</v>
      </c>
      <c r="W618" s="4">
        <v>43.8</v>
      </c>
      <c r="X618" s="4">
        <v>287.74</v>
      </c>
      <c r="Y618" s="4">
        <v>7.2599999999999909</v>
      </c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1"/>
      <c r="BJ618" s="1" t="s">
        <v>4371</v>
      </c>
      <c r="BK618" s="1">
        <v>1</v>
      </c>
      <c r="BL618" s="1"/>
      <c r="BM618" s="1" t="s">
        <v>672</v>
      </c>
      <c r="BN618" s="1" t="s">
        <v>2966</v>
      </c>
      <c r="BO618" s="1" t="s">
        <v>2967</v>
      </c>
      <c r="BP618" s="1">
        <v>6.4</v>
      </c>
      <c r="BQ618" s="1" t="s">
        <v>1003</v>
      </c>
      <c r="BR618" s="1">
        <v>22.92</v>
      </c>
      <c r="BS618" s="1">
        <v>120.54</v>
      </c>
      <c r="BT618" s="1">
        <v>14.6</v>
      </c>
      <c r="BU618" s="1" t="s">
        <v>2978</v>
      </c>
      <c r="BV618" s="1" t="s">
        <v>2922</v>
      </c>
      <c r="BW618" s="1">
        <v>295</v>
      </c>
      <c r="BX618" s="1">
        <v>22</v>
      </c>
      <c r="BY618" s="1">
        <v>20</v>
      </c>
      <c r="BZ618" s="1"/>
      <c r="CA618" s="1"/>
      <c r="CB618" s="1"/>
      <c r="CC618" s="1" t="s">
        <v>2973</v>
      </c>
      <c r="CD618" s="1" t="s">
        <v>731</v>
      </c>
      <c r="CE618" s="1"/>
      <c r="CF618" s="1"/>
      <c r="CG618" s="1"/>
      <c r="CH618" s="1"/>
      <c r="CI618" s="1"/>
      <c r="CJ618" s="1" t="s">
        <v>1357</v>
      </c>
      <c r="CK618" t="s">
        <v>1264</v>
      </c>
      <c r="CL618">
        <v>35</v>
      </c>
      <c r="CM618" t="s">
        <v>2980</v>
      </c>
    </row>
    <row r="619" spans="1:91" ht="19" customHeight="1">
      <c r="A619" s="1" t="s">
        <v>4372</v>
      </c>
      <c r="B619" s="1" t="s">
        <v>1245</v>
      </c>
      <c r="C619" s="1">
        <v>36</v>
      </c>
      <c r="D619" s="1" t="s">
        <v>1797</v>
      </c>
      <c r="E619" s="1">
        <v>2016</v>
      </c>
      <c r="F619" s="1" t="s">
        <v>1216</v>
      </c>
      <c r="G619" s="1" t="s">
        <v>1873</v>
      </c>
      <c r="H619" s="4">
        <v>22.99333</v>
      </c>
      <c r="I619" s="4">
        <v>120.2047</v>
      </c>
      <c r="J619" s="1" t="s">
        <v>1396</v>
      </c>
      <c r="K619" s="1" t="s">
        <v>70</v>
      </c>
      <c r="L619" s="1" t="s">
        <v>1874</v>
      </c>
      <c r="M619" s="1" t="s">
        <v>3545</v>
      </c>
      <c r="N619" s="1"/>
      <c r="O619" s="1" t="s">
        <v>3095</v>
      </c>
      <c r="P619" s="1"/>
      <c r="Q619" s="4">
        <v>6.4</v>
      </c>
      <c r="R619" s="4">
        <v>1.1299999999999999</v>
      </c>
      <c r="S619" s="4"/>
      <c r="T619" s="4">
        <v>39.840000000000003</v>
      </c>
      <c r="U619" s="4"/>
      <c r="V619" s="4">
        <v>20.399999999999999</v>
      </c>
      <c r="W619" s="4">
        <v>38.9</v>
      </c>
      <c r="X619" s="4">
        <v>70.7</v>
      </c>
      <c r="Y619" s="4">
        <v>44.3</v>
      </c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1"/>
      <c r="BJ619" s="1" t="s">
        <v>4373</v>
      </c>
      <c r="BK619" s="1">
        <v>1</v>
      </c>
      <c r="BL619" s="1"/>
      <c r="BM619" s="1" t="s">
        <v>672</v>
      </c>
      <c r="BN619" s="1" t="s">
        <v>2966</v>
      </c>
      <c r="BO619" s="1" t="s">
        <v>2967</v>
      </c>
      <c r="BP619" s="1">
        <v>6.4</v>
      </c>
      <c r="BQ619" s="1" t="s">
        <v>1003</v>
      </c>
      <c r="BR619" s="1">
        <v>22.92</v>
      </c>
      <c r="BS619" s="1">
        <v>120.54</v>
      </c>
      <c r="BT619" s="1">
        <v>14.6</v>
      </c>
      <c r="BU619" s="1" t="s">
        <v>2978</v>
      </c>
      <c r="BV619" s="1" t="s">
        <v>2922</v>
      </c>
      <c r="BW619" s="1">
        <v>295</v>
      </c>
      <c r="BX619" s="1">
        <v>22</v>
      </c>
      <c r="BY619" s="1">
        <v>20</v>
      </c>
      <c r="BZ619" s="1"/>
      <c r="CA619" s="1"/>
      <c r="CB619" s="1"/>
      <c r="CC619" s="1" t="s">
        <v>2973</v>
      </c>
      <c r="CD619" s="1" t="s">
        <v>731</v>
      </c>
      <c r="CE619" s="1"/>
      <c r="CF619" s="1"/>
      <c r="CG619" s="1"/>
      <c r="CH619" s="1"/>
      <c r="CI619" s="1"/>
      <c r="CJ619" s="1" t="s">
        <v>1357</v>
      </c>
      <c r="CK619" t="s">
        <v>1264</v>
      </c>
      <c r="CL619">
        <v>36</v>
      </c>
      <c r="CM619" t="s">
        <v>2980</v>
      </c>
    </row>
    <row r="620" spans="1:91" ht="19" customHeight="1">
      <c r="A620" s="1" t="s">
        <v>4374</v>
      </c>
      <c r="B620" s="1" t="s">
        <v>1245</v>
      </c>
      <c r="C620" s="1">
        <v>37</v>
      </c>
      <c r="D620" s="1" t="s">
        <v>1797</v>
      </c>
      <c r="E620" s="1">
        <v>2016</v>
      </c>
      <c r="F620" s="1" t="s">
        <v>1165</v>
      </c>
      <c r="G620" s="1" t="s">
        <v>1875</v>
      </c>
      <c r="H620" s="4">
        <v>23.075330000000001</v>
      </c>
      <c r="I620" s="4">
        <v>120.364</v>
      </c>
      <c r="J620" s="1" t="s">
        <v>1396</v>
      </c>
      <c r="K620" s="1" t="s">
        <v>70</v>
      </c>
      <c r="L620" s="1" t="s">
        <v>1876</v>
      </c>
      <c r="M620" s="1" t="s">
        <v>3545</v>
      </c>
      <c r="N620" s="1"/>
      <c r="O620" s="1" t="s">
        <v>3095</v>
      </c>
      <c r="P620" s="1"/>
      <c r="Q620" s="4">
        <v>6.4</v>
      </c>
      <c r="R620" s="4">
        <v>2.59</v>
      </c>
      <c r="S620" s="4"/>
      <c r="T620" s="4">
        <v>61.76</v>
      </c>
      <c r="U620" s="4"/>
      <c r="V620" s="4">
        <v>18.899999999999999</v>
      </c>
      <c r="W620" s="4">
        <v>29.4</v>
      </c>
      <c r="X620" s="4">
        <v>13.47</v>
      </c>
      <c r="Y620" s="4">
        <v>78</v>
      </c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1"/>
      <c r="BJ620" s="1" t="s">
        <v>4375</v>
      </c>
      <c r="BK620" s="1">
        <v>1</v>
      </c>
      <c r="BL620" s="1"/>
      <c r="BM620" s="1" t="s">
        <v>672</v>
      </c>
      <c r="BN620" s="1" t="s">
        <v>2966</v>
      </c>
      <c r="BO620" s="1" t="s">
        <v>2967</v>
      </c>
      <c r="BP620" s="1">
        <v>6.4</v>
      </c>
      <c r="BQ620" s="1" t="s">
        <v>1003</v>
      </c>
      <c r="BR620" s="1">
        <v>22.92</v>
      </c>
      <c r="BS620" s="1">
        <v>120.54</v>
      </c>
      <c r="BT620" s="1">
        <v>14.6</v>
      </c>
      <c r="BU620" s="1" t="s">
        <v>2978</v>
      </c>
      <c r="BV620" s="1" t="s">
        <v>2922</v>
      </c>
      <c r="BW620" s="1">
        <v>295</v>
      </c>
      <c r="BX620" s="1">
        <v>22</v>
      </c>
      <c r="BY620" s="1">
        <v>20</v>
      </c>
      <c r="BZ620" s="1"/>
      <c r="CA620" s="1"/>
      <c r="CB620" s="1"/>
      <c r="CC620" s="1" t="s">
        <v>2973</v>
      </c>
      <c r="CD620" s="1" t="s">
        <v>731</v>
      </c>
      <c r="CE620" s="1"/>
      <c r="CF620" s="1"/>
      <c r="CG620" s="1"/>
      <c r="CH620" s="1"/>
      <c r="CI620" s="1"/>
      <c r="CJ620" s="1" t="s">
        <v>1357</v>
      </c>
      <c r="CK620" t="s">
        <v>1264</v>
      </c>
      <c r="CL620">
        <v>37</v>
      </c>
      <c r="CM620" t="s">
        <v>2980</v>
      </c>
    </row>
    <row r="621" spans="1:91" ht="19" customHeight="1">
      <c r="A621" s="1" t="s">
        <v>4376</v>
      </c>
      <c r="B621" s="1" t="s">
        <v>1245</v>
      </c>
      <c r="C621" s="1">
        <v>38</v>
      </c>
      <c r="D621" s="1" t="s">
        <v>1797</v>
      </c>
      <c r="E621" s="1">
        <v>2016</v>
      </c>
      <c r="F621" s="1" t="s">
        <v>1217</v>
      </c>
      <c r="G621" s="1" t="s">
        <v>1881</v>
      </c>
      <c r="H621" s="4">
        <v>23.009</v>
      </c>
      <c r="I621" s="4">
        <v>120.2115</v>
      </c>
      <c r="J621" s="1" t="s">
        <v>1396</v>
      </c>
      <c r="K621" s="1" t="s">
        <v>70</v>
      </c>
      <c r="L621" s="1" t="s">
        <v>1882</v>
      </c>
      <c r="M621" s="1" t="s">
        <v>3545</v>
      </c>
      <c r="N621" s="1"/>
      <c r="O621" s="1" t="s">
        <v>3095</v>
      </c>
      <c r="P621" s="1"/>
      <c r="Q621" s="4">
        <v>6.4</v>
      </c>
      <c r="R621" s="4">
        <v>1.51</v>
      </c>
      <c r="S621" s="4"/>
      <c r="T621" s="4">
        <v>37.69</v>
      </c>
      <c r="U621" s="4"/>
      <c r="V621" s="4">
        <v>20.6</v>
      </c>
      <c r="W621" s="4">
        <v>38.6</v>
      </c>
      <c r="X621" s="4">
        <v>72.760000000000005</v>
      </c>
      <c r="Y621" s="4">
        <v>42.239999999999988</v>
      </c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1"/>
      <c r="BJ621" s="1" t="s">
        <v>4377</v>
      </c>
      <c r="BK621" s="1">
        <v>1</v>
      </c>
      <c r="BL621" s="1"/>
      <c r="BM621" s="1" t="s">
        <v>672</v>
      </c>
      <c r="BN621" s="1" t="s">
        <v>2966</v>
      </c>
      <c r="BO621" s="1" t="s">
        <v>2967</v>
      </c>
      <c r="BP621" s="1">
        <v>6.4</v>
      </c>
      <c r="BQ621" s="1" t="s">
        <v>1003</v>
      </c>
      <c r="BR621" s="1">
        <v>22.92</v>
      </c>
      <c r="BS621" s="1">
        <v>120.54</v>
      </c>
      <c r="BT621" s="1">
        <v>14.6</v>
      </c>
      <c r="BU621" s="1" t="s">
        <v>2978</v>
      </c>
      <c r="BV621" s="1" t="s">
        <v>2922</v>
      </c>
      <c r="BW621" s="1">
        <v>295</v>
      </c>
      <c r="BX621" s="1">
        <v>22</v>
      </c>
      <c r="BY621" s="1">
        <v>20</v>
      </c>
      <c r="BZ621" s="1"/>
      <c r="CA621" s="1"/>
      <c r="CB621" s="1"/>
      <c r="CC621" s="1" t="s">
        <v>2973</v>
      </c>
      <c r="CD621" s="1" t="s">
        <v>731</v>
      </c>
      <c r="CE621" s="1"/>
      <c r="CF621" s="1"/>
      <c r="CG621" s="1"/>
      <c r="CH621" s="1"/>
      <c r="CI621" s="1"/>
      <c r="CJ621" s="1" t="s">
        <v>1357</v>
      </c>
      <c r="CK621" t="s">
        <v>1264</v>
      </c>
      <c r="CL621">
        <v>38</v>
      </c>
      <c r="CM621" t="s">
        <v>2980</v>
      </c>
    </row>
    <row r="622" spans="1:91" ht="19" customHeight="1">
      <c r="A622" s="1" t="s">
        <v>4378</v>
      </c>
      <c r="B622" s="1" t="s">
        <v>1245</v>
      </c>
      <c r="C622" s="1">
        <v>39</v>
      </c>
      <c r="D622" s="1" t="s">
        <v>1797</v>
      </c>
      <c r="E622" s="1">
        <v>2016</v>
      </c>
      <c r="F622" s="1" t="s">
        <v>1218</v>
      </c>
      <c r="G622" s="1" t="s">
        <v>1883</v>
      </c>
      <c r="H622" s="4">
        <v>23.00067</v>
      </c>
      <c r="I622" s="4">
        <v>120.1662</v>
      </c>
      <c r="J622" s="1" t="s">
        <v>1396</v>
      </c>
      <c r="K622" s="1" t="s">
        <v>70</v>
      </c>
      <c r="L622" s="1" t="s">
        <v>1884</v>
      </c>
      <c r="M622" s="1" t="s">
        <v>3545</v>
      </c>
      <c r="N622" s="1"/>
      <c r="O622" s="1" t="s">
        <v>3095</v>
      </c>
      <c r="P622" s="1"/>
      <c r="Q622" s="4">
        <v>6.4</v>
      </c>
      <c r="R622" s="4">
        <v>3.2</v>
      </c>
      <c r="S622" s="4"/>
      <c r="T622" s="4">
        <v>51.05</v>
      </c>
      <c r="U622" s="4"/>
      <c r="V622" s="4">
        <v>23.5</v>
      </c>
      <c r="W622" s="4">
        <v>42.6</v>
      </c>
      <c r="X622" s="4">
        <v>280.66000000000003</v>
      </c>
      <c r="Y622" s="4">
        <v>14.34000000000003</v>
      </c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1"/>
      <c r="BJ622" s="1" t="s">
        <v>4379</v>
      </c>
      <c r="BK622" s="1">
        <v>1</v>
      </c>
      <c r="BL622" s="1"/>
      <c r="BM622" s="1" t="s">
        <v>672</v>
      </c>
      <c r="BN622" s="1" t="s">
        <v>2966</v>
      </c>
      <c r="BO622" s="1" t="s">
        <v>2967</v>
      </c>
      <c r="BP622" s="1">
        <v>6.4</v>
      </c>
      <c r="BQ622" s="1" t="s">
        <v>1003</v>
      </c>
      <c r="BR622" s="1">
        <v>22.92</v>
      </c>
      <c r="BS622" s="1">
        <v>120.54</v>
      </c>
      <c r="BT622" s="1">
        <v>14.6</v>
      </c>
      <c r="BU622" s="1" t="s">
        <v>2978</v>
      </c>
      <c r="BV622" s="1" t="s">
        <v>2922</v>
      </c>
      <c r="BW622" s="1">
        <v>295</v>
      </c>
      <c r="BX622" s="1">
        <v>22</v>
      </c>
      <c r="BY622" s="1">
        <v>20</v>
      </c>
      <c r="BZ622" s="1"/>
      <c r="CA622" s="1"/>
      <c r="CB622" s="1"/>
      <c r="CC622" s="1" t="s">
        <v>2973</v>
      </c>
      <c r="CD622" s="1" t="s">
        <v>731</v>
      </c>
      <c r="CE622" s="1"/>
      <c r="CF622" s="1"/>
      <c r="CG622" s="1"/>
      <c r="CH622" s="1"/>
      <c r="CI622" s="1"/>
      <c r="CJ622" s="1" t="s">
        <v>1357</v>
      </c>
      <c r="CK622" t="s">
        <v>1264</v>
      </c>
      <c r="CL622">
        <v>39</v>
      </c>
      <c r="CM622" t="s">
        <v>2980</v>
      </c>
    </row>
    <row r="623" spans="1:91" ht="19" customHeight="1">
      <c r="A623" s="1" t="s">
        <v>4380</v>
      </c>
      <c r="B623" s="1" t="s">
        <v>1245</v>
      </c>
      <c r="C623" s="1">
        <v>40</v>
      </c>
      <c r="D623" s="1" t="s">
        <v>1797</v>
      </c>
      <c r="E623" s="1">
        <v>2016</v>
      </c>
      <c r="F623" s="1" t="s">
        <v>1168</v>
      </c>
      <c r="G623" s="1" t="s">
        <v>1899</v>
      </c>
      <c r="H623" s="4">
        <v>23.146999999999998</v>
      </c>
      <c r="I623" s="4">
        <v>120.08580000000001</v>
      </c>
      <c r="J623" s="1" t="s">
        <v>1396</v>
      </c>
      <c r="K623" s="1" t="s">
        <v>70</v>
      </c>
      <c r="L623" s="1" t="s">
        <v>1900</v>
      </c>
      <c r="M623" s="1" t="s">
        <v>3545</v>
      </c>
      <c r="N623" s="1"/>
      <c r="O623" s="1" t="s">
        <v>3095</v>
      </c>
      <c r="P623" s="1"/>
      <c r="Q623" s="4">
        <v>6.4</v>
      </c>
      <c r="R623" s="4">
        <v>2.34</v>
      </c>
      <c r="S623" s="4"/>
      <c r="T623" s="4">
        <v>34.47</v>
      </c>
      <c r="U623" s="4"/>
      <c r="V623" s="4">
        <v>35.700000000000003</v>
      </c>
      <c r="W623" s="4">
        <v>55</v>
      </c>
      <c r="X623" s="4">
        <v>274.55</v>
      </c>
      <c r="Y623" s="4">
        <v>20.449999999999989</v>
      </c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1"/>
      <c r="BJ623" s="1" t="s">
        <v>4381</v>
      </c>
      <c r="BK623" s="1">
        <v>1</v>
      </c>
      <c r="BL623" s="1"/>
      <c r="BM623" s="1" t="s">
        <v>672</v>
      </c>
      <c r="BN623" s="1" t="s">
        <v>2966</v>
      </c>
      <c r="BO623" s="1" t="s">
        <v>2967</v>
      </c>
      <c r="BP623" s="1">
        <v>6.4</v>
      </c>
      <c r="BQ623" s="1" t="s">
        <v>1003</v>
      </c>
      <c r="BR623" s="1">
        <v>22.92</v>
      </c>
      <c r="BS623" s="1">
        <v>120.54</v>
      </c>
      <c r="BT623" s="1">
        <v>14.6</v>
      </c>
      <c r="BU623" s="1" t="s">
        <v>2978</v>
      </c>
      <c r="BV623" s="1" t="s">
        <v>2922</v>
      </c>
      <c r="BW623" s="1">
        <v>295</v>
      </c>
      <c r="BX623" s="1">
        <v>22</v>
      </c>
      <c r="BY623" s="1">
        <v>20</v>
      </c>
      <c r="BZ623" s="1"/>
      <c r="CA623" s="1"/>
      <c r="CB623" s="1"/>
      <c r="CC623" s="1" t="s">
        <v>2973</v>
      </c>
      <c r="CD623" s="1" t="s">
        <v>731</v>
      </c>
      <c r="CE623" s="1"/>
      <c r="CF623" s="1"/>
      <c r="CG623" s="1"/>
      <c r="CH623" s="1"/>
      <c r="CI623" s="1"/>
      <c r="CJ623" s="1" t="s">
        <v>1357</v>
      </c>
      <c r="CK623" t="s">
        <v>1264</v>
      </c>
      <c r="CL623">
        <v>40</v>
      </c>
      <c r="CM623" t="s">
        <v>2980</v>
      </c>
    </row>
    <row r="624" spans="1:91" ht="19" customHeight="1">
      <c r="A624" s="1" t="s">
        <v>4382</v>
      </c>
      <c r="B624" s="1" t="s">
        <v>1245</v>
      </c>
      <c r="C624" s="1">
        <v>41</v>
      </c>
      <c r="D624" s="1" t="s">
        <v>1797</v>
      </c>
      <c r="E624" s="1">
        <v>2016</v>
      </c>
      <c r="F624" s="1" t="s">
        <v>1220</v>
      </c>
      <c r="G624" s="1" t="s">
        <v>1902</v>
      </c>
      <c r="H624" s="4">
        <v>23.076830000000001</v>
      </c>
      <c r="I624" s="4">
        <v>120.1168</v>
      </c>
      <c r="J624" s="1" t="s">
        <v>1396</v>
      </c>
      <c r="K624" s="1" t="s">
        <v>70</v>
      </c>
      <c r="L624" s="1" t="s">
        <v>1903</v>
      </c>
      <c r="M624" s="1" t="s">
        <v>3545</v>
      </c>
      <c r="N624" s="1"/>
      <c r="O624" s="1" t="s">
        <v>3095</v>
      </c>
      <c r="P624" s="1"/>
      <c r="Q624" s="4">
        <v>6.4</v>
      </c>
      <c r="R624" s="4">
        <v>2.35</v>
      </c>
      <c r="S624" s="4"/>
      <c r="T624" s="4">
        <v>45.48</v>
      </c>
      <c r="U624" s="4"/>
      <c r="V624" s="4">
        <v>30.4</v>
      </c>
      <c r="W624" s="4">
        <v>49.3</v>
      </c>
      <c r="X624" s="4">
        <v>320</v>
      </c>
      <c r="Y624" s="4">
        <v>25</v>
      </c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1"/>
      <c r="BJ624" s="1" t="s">
        <v>4383</v>
      </c>
      <c r="BK624" s="1">
        <v>1</v>
      </c>
      <c r="BL624" s="1"/>
      <c r="BM624" s="1" t="s">
        <v>672</v>
      </c>
      <c r="BN624" s="1" t="s">
        <v>2966</v>
      </c>
      <c r="BO624" s="1" t="s">
        <v>2967</v>
      </c>
      <c r="BP624" s="1">
        <v>6.4</v>
      </c>
      <c r="BQ624" s="1" t="s">
        <v>1003</v>
      </c>
      <c r="BR624" s="1">
        <v>22.92</v>
      </c>
      <c r="BS624" s="1">
        <v>120.54</v>
      </c>
      <c r="BT624" s="1">
        <v>14.6</v>
      </c>
      <c r="BU624" s="1" t="s">
        <v>2978</v>
      </c>
      <c r="BV624" s="1" t="s">
        <v>2922</v>
      </c>
      <c r="BW624" s="1">
        <v>295</v>
      </c>
      <c r="BX624" s="1">
        <v>22</v>
      </c>
      <c r="BY624" s="1">
        <v>20</v>
      </c>
      <c r="BZ624" s="1"/>
      <c r="CA624" s="1"/>
      <c r="CB624" s="1"/>
      <c r="CC624" s="1" t="s">
        <v>2973</v>
      </c>
      <c r="CD624" s="1" t="s">
        <v>731</v>
      </c>
      <c r="CE624" s="1"/>
      <c r="CF624" s="1"/>
      <c r="CG624" s="1"/>
      <c r="CH624" s="1"/>
      <c r="CI624" s="1"/>
      <c r="CJ624" s="1" t="s">
        <v>1357</v>
      </c>
      <c r="CK624" t="s">
        <v>1264</v>
      </c>
      <c r="CL624">
        <v>41</v>
      </c>
      <c r="CM624" t="s">
        <v>2980</v>
      </c>
    </row>
    <row r="625" spans="1:91" ht="19" customHeight="1">
      <c r="A625" s="1" t="s">
        <v>4384</v>
      </c>
      <c r="B625" s="1" t="s">
        <v>1245</v>
      </c>
      <c r="C625" s="1">
        <v>42</v>
      </c>
      <c r="D625" s="1" t="s">
        <v>1797</v>
      </c>
      <c r="E625" s="1">
        <v>2016</v>
      </c>
      <c r="F625" s="1" t="s">
        <v>1221</v>
      </c>
      <c r="G625" s="1" t="s">
        <v>1908</v>
      </c>
      <c r="H625" s="4">
        <v>22.992170000000002</v>
      </c>
      <c r="I625" s="4">
        <v>120.16679999999999</v>
      </c>
      <c r="J625" s="1" t="s">
        <v>1396</v>
      </c>
      <c r="K625" s="1" t="s">
        <v>70</v>
      </c>
      <c r="L625" s="1" t="s">
        <v>1909</v>
      </c>
      <c r="M625" s="1" t="s">
        <v>3545</v>
      </c>
      <c r="N625" s="1"/>
      <c r="O625" s="1" t="s">
        <v>3095</v>
      </c>
      <c r="P625" s="1"/>
      <c r="Q625" s="4">
        <v>6.4</v>
      </c>
      <c r="R625" s="4">
        <v>2.93</v>
      </c>
      <c r="S625" s="4"/>
      <c r="T625" s="4">
        <v>51.42</v>
      </c>
      <c r="U625" s="4"/>
      <c r="V625" s="4">
        <v>23</v>
      </c>
      <c r="W625" s="4">
        <v>42.3</v>
      </c>
      <c r="X625" s="4">
        <v>277.38</v>
      </c>
      <c r="Y625" s="4">
        <v>17.62</v>
      </c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1"/>
      <c r="BJ625" s="1" t="s">
        <v>4385</v>
      </c>
      <c r="BK625" s="1">
        <v>1</v>
      </c>
      <c r="BL625" s="1"/>
      <c r="BM625" s="1" t="s">
        <v>672</v>
      </c>
      <c r="BN625" s="1" t="s">
        <v>2966</v>
      </c>
      <c r="BO625" s="1" t="s">
        <v>2967</v>
      </c>
      <c r="BP625" s="1">
        <v>6.4</v>
      </c>
      <c r="BQ625" s="1" t="s">
        <v>1003</v>
      </c>
      <c r="BR625" s="1">
        <v>22.92</v>
      </c>
      <c r="BS625" s="1">
        <v>120.54</v>
      </c>
      <c r="BT625" s="1">
        <v>14.6</v>
      </c>
      <c r="BU625" s="1" t="s">
        <v>2978</v>
      </c>
      <c r="BV625" s="1" t="s">
        <v>2922</v>
      </c>
      <c r="BW625" s="1">
        <v>295</v>
      </c>
      <c r="BX625" s="1">
        <v>22</v>
      </c>
      <c r="BY625" s="1">
        <v>20</v>
      </c>
      <c r="BZ625" s="1"/>
      <c r="CA625" s="1"/>
      <c r="CB625" s="1"/>
      <c r="CC625" s="1" t="s">
        <v>2973</v>
      </c>
      <c r="CD625" s="1" t="s">
        <v>731</v>
      </c>
      <c r="CE625" s="1"/>
      <c r="CF625" s="1"/>
      <c r="CG625" s="1"/>
      <c r="CH625" s="1"/>
      <c r="CI625" s="1"/>
      <c r="CJ625" s="1" t="s">
        <v>1357</v>
      </c>
      <c r="CK625" t="s">
        <v>1264</v>
      </c>
      <c r="CL625">
        <v>42</v>
      </c>
      <c r="CM625" t="s">
        <v>2980</v>
      </c>
    </row>
    <row r="626" spans="1:91" ht="19" customHeight="1">
      <c r="A626" s="1" t="s">
        <v>4386</v>
      </c>
      <c r="B626" s="1" t="s">
        <v>1245</v>
      </c>
      <c r="C626" s="1">
        <v>43</v>
      </c>
      <c r="D626" s="1" t="s">
        <v>1797</v>
      </c>
      <c r="E626" s="1">
        <v>2016</v>
      </c>
      <c r="F626" s="1" t="s">
        <v>1173</v>
      </c>
      <c r="G626" s="1" t="s">
        <v>1914</v>
      </c>
      <c r="H626" s="4">
        <v>23.119669999999999</v>
      </c>
      <c r="I626" s="4">
        <v>120.3613</v>
      </c>
      <c r="J626" s="1" t="s">
        <v>1396</v>
      </c>
      <c r="K626" s="1" t="s">
        <v>70</v>
      </c>
      <c r="L626" s="1" t="s">
        <v>1915</v>
      </c>
      <c r="M626" s="1" t="s">
        <v>3545</v>
      </c>
      <c r="N626" s="1"/>
      <c r="O626" s="1" t="s">
        <v>3095</v>
      </c>
      <c r="P626" s="1"/>
      <c r="Q626" s="4">
        <v>6.4</v>
      </c>
      <c r="R626" s="4">
        <v>1.85</v>
      </c>
      <c r="S626" s="4"/>
      <c r="T626" s="4">
        <v>57.83</v>
      </c>
      <c r="U626" s="4"/>
      <c r="V626" s="4">
        <v>20.9</v>
      </c>
      <c r="W626" s="4">
        <v>32.5</v>
      </c>
      <c r="X626" s="4">
        <v>5.55</v>
      </c>
      <c r="Y626" s="4">
        <v>70.55</v>
      </c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1"/>
      <c r="BJ626" s="1" t="s">
        <v>4387</v>
      </c>
      <c r="BK626" s="1">
        <v>1</v>
      </c>
      <c r="BL626" s="1"/>
      <c r="BM626" s="1" t="s">
        <v>672</v>
      </c>
      <c r="BN626" s="1" t="s">
        <v>2966</v>
      </c>
      <c r="BO626" s="1" t="s">
        <v>2967</v>
      </c>
      <c r="BP626" s="1">
        <v>6.4</v>
      </c>
      <c r="BQ626" s="1" t="s">
        <v>1003</v>
      </c>
      <c r="BR626" s="1">
        <v>22.92</v>
      </c>
      <c r="BS626" s="1">
        <v>120.54</v>
      </c>
      <c r="BT626" s="1">
        <v>14.6</v>
      </c>
      <c r="BU626" s="1" t="s">
        <v>2978</v>
      </c>
      <c r="BV626" s="1" t="s">
        <v>2922</v>
      </c>
      <c r="BW626" s="1">
        <v>295</v>
      </c>
      <c r="BX626" s="1">
        <v>22</v>
      </c>
      <c r="BY626" s="1">
        <v>20</v>
      </c>
      <c r="BZ626" s="1"/>
      <c r="CA626" s="1"/>
      <c r="CB626" s="1"/>
      <c r="CC626" s="1" t="s">
        <v>2973</v>
      </c>
      <c r="CD626" s="1" t="s">
        <v>731</v>
      </c>
      <c r="CE626" s="1"/>
      <c r="CF626" s="1"/>
      <c r="CG626" s="1"/>
      <c r="CH626" s="1"/>
      <c r="CI626" s="1"/>
      <c r="CJ626" s="1" t="s">
        <v>1357</v>
      </c>
      <c r="CK626" t="s">
        <v>1264</v>
      </c>
      <c r="CL626">
        <v>43</v>
      </c>
      <c r="CM626" t="s">
        <v>2980</v>
      </c>
    </row>
    <row r="627" spans="1:91" ht="19" customHeight="1">
      <c r="A627" s="1" t="s">
        <v>4388</v>
      </c>
      <c r="B627" s="1" t="s">
        <v>1245</v>
      </c>
      <c r="C627" s="1">
        <v>44</v>
      </c>
      <c r="D627" s="1" t="s">
        <v>1797</v>
      </c>
      <c r="E627" s="1">
        <v>2016</v>
      </c>
      <c r="F627" s="1" t="s">
        <v>1224</v>
      </c>
      <c r="G627" s="1" t="s">
        <v>2280</v>
      </c>
      <c r="H627" s="4">
        <v>23.137080000000001</v>
      </c>
      <c r="I627" s="4">
        <v>120.30697000000001</v>
      </c>
      <c r="J627" s="1" t="s">
        <v>1396</v>
      </c>
      <c r="K627" s="1" t="s">
        <v>70</v>
      </c>
      <c r="L627" s="1" t="s">
        <v>2281</v>
      </c>
      <c r="M627" s="1" t="s">
        <v>3545</v>
      </c>
      <c r="N627" s="1"/>
      <c r="O627" s="1" t="s">
        <v>3095</v>
      </c>
      <c r="P627" s="1"/>
      <c r="Q627" s="4">
        <v>6.4</v>
      </c>
      <c r="R627" s="4">
        <v>2.29</v>
      </c>
      <c r="S627" s="4"/>
      <c r="T627" s="4">
        <v>66.48</v>
      </c>
      <c r="U627" s="4"/>
      <c r="V627" s="4">
        <v>22.4</v>
      </c>
      <c r="W627" s="4">
        <v>37.1</v>
      </c>
      <c r="X627" s="4">
        <v>347.52</v>
      </c>
      <c r="Y627" s="4">
        <v>52.519999999999982</v>
      </c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1"/>
      <c r="BJ627" s="1" t="s">
        <v>4389</v>
      </c>
      <c r="BK627" s="1">
        <v>1</v>
      </c>
      <c r="BL627" s="1"/>
      <c r="BM627" s="1" t="s">
        <v>672</v>
      </c>
      <c r="BN627" s="1" t="s">
        <v>2966</v>
      </c>
      <c r="BO627" s="1" t="s">
        <v>2967</v>
      </c>
      <c r="BP627" s="1">
        <v>6.4</v>
      </c>
      <c r="BQ627" s="1" t="s">
        <v>1003</v>
      </c>
      <c r="BR627" s="1">
        <v>22.92</v>
      </c>
      <c r="BS627" s="1">
        <v>120.54</v>
      </c>
      <c r="BT627" s="1">
        <v>14.6</v>
      </c>
      <c r="BU627" s="1" t="s">
        <v>2978</v>
      </c>
      <c r="BV627" s="1" t="s">
        <v>2922</v>
      </c>
      <c r="BW627" s="1">
        <v>295</v>
      </c>
      <c r="BX627" s="1">
        <v>22</v>
      </c>
      <c r="BY627" s="1">
        <v>20</v>
      </c>
      <c r="BZ627" s="1"/>
      <c r="CA627" s="1"/>
      <c r="CB627" s="1"/>
      <c r="CC627" s="1" t="s">
        <v>2973</v>
      </c>
      <c r="CD627" s="1" t="s">
        <v>731</v>
      </c>
      <c r="CE627" s="1"/>
      <c r="CF627" s="1"/>
      <c r="CG627" s="1"/>
      <c r="CH627" s="1"/>
      <c r="CI627" s="1"/>
      <c r="CJ627" s="1" t="s">
        <v>1357</v>
      </c>
      <c r="CK627" t="s">
        <v>1264</v>
      </c>
      <c r="CL627">
        <v>44</v>
      </c>
      <c r="CM627" t="s">
        <v>2980</v>
      </c>
    </row>
    <row r="628" spans="1:91" ht="19" customHeight="1">
      <c r="A628" s="1" t="s">
        <v>4390</v>
      </c>
      <c r="B628" s="1" t="s">
        <v>1245</v>
      </c>
      <c r="C628" s="1">
        <v>45</v>
      </c>
      <c r="D628" s="1" t="s">
        <v>1924</v>
      </c>
      <c r="E628" s="1">
        <v>2018</v>
      </c>
      <c r="F628" s="1" t="s">
        <v>1226</v>
      </c>
      <c r="G628" s="1" t="s">
        <v>1923</v>
      </c>
      <c r="H628" s="4">
        <v>23.986499999999999</v>
      </c>
      <c r="I628" s="4">
        <v>121.626167</v>
      </c>
      <c r="J628" s="1" t="s">
        <v>1396</v>
      </c>
      <c r="K628" s="1" t="s">
        <v>70</v>
      </c>
      <c r="L628" s="1" t="s">
        <v>1925</v>
      </c>
      <c r="M628" s="1" t="s">
        <v>3545</v>
      </c>
      <c r="N628" s="1"/>
      <c r="O628" s="1" t="s">
        <v>3095</v>
      </c>
      <c r="P628" s="1"/>
      <c r="Q628" s="4">
        <v>6.4</v>
      </c>
      <c r="R628" s="4">
        <v>3.95</v>
      </c>
      <c r="S628" s="4"/>
      <c r="T628" s="4">
        <v>80.92</v>
      </c>
      <c r="U628" s="4"/>
      <c r="V628" s="4">
        <v>2.2999999999999998</v>
      </c>
      <c r="W628" s="4">
        <v>19.600000000000001</v>
      </c>
      <c r="X628" s="4">
        <v>82.8</v>
      </c>
      <c r="Y628" s="4">
        <v>46.8</v>
      </c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1"/>
      <c r="BJ628" s="1" t="s">
        <v>4391</v>
      </c>
      <c r="BK628" s="1">
        <v>1</v>
      </c>
      <c r="BL628" s="1"/>
      <c r="BM628" s="1" t="s">
        <v>676</v>
      </c>
      <c r="BN628" s="1" t="s">
        <v>2970</v>
      </c>
      <c r="BO628" s="1" t="s">
        <v>2971</v>
      </c>
      <c r="BP628" s="1">
        <v>6.4</v>
      </c>
      <c r="BQ628" s="1" t="s">
        <v>1003</v>
      </c>
      <c r="BR628" s="1">
        <v>24.132000000000001</v>
      </c>
      <c r="BS628" s="1">
        <v>121.65900000000001</v>
      </c>
      <c r="BT628" s="1">
        <v>10.6</v>
      </c>
      <c r="BU628" s="1" t="s">
        <v>2981</v>
      </c>
      <c r="BV628" s="1" t="s">
        <v>2922</v>
      </c>
      <c r="BW628" s="1">
        <v>216</v>
      </c>
      <c r="BX628" s="1">
        <v>56</v>
      </c>
      <c r="BY628" s="1">
        <v>26</v>
      </c>
      <c r="BZ628" s="1"/>
      <c r="CA628" s="1"/>
      <c r="CB628" s="1"/>
      <c r="CC628" s="1" t="s">
        <v>2973</v>
      </c>
      <c r="CD628" s="1" t="s">
        <v>731</v>
      </c>
      <c r="CE628" s="1"/>
      <c r="CF628" s="1"/>
      <c r="CG628" s="1"/>
      <c r="CH628" s="1"/>
      <c r="CI628" s="1"/>
      <c r="CJ628" s="1" t="s">
        <v>1357</v>
      </c>
      <c r="CK628" t="s">
        <v>1264</v>
      </c>
      <c r="CL628">
        <v>45</v>
      </c>
      <c r="CM628" t="s">
        <v>2983</v>
      </c>
    </row>
    <row r="629" spans="1:91" ht="19" customHeight="1">
      <c r="A629" s="1" t="s">
        <v>4392</v>
      </c>
      <c r="B629" s="1" t="s">
        <v>1245</v>
      </c>
      <c r="C629" s="1">
        <v>46</v>
      </c>
      <c r="D629" s="1" t="s">
        <v>1924</v>
      </c>
      <c r="E629" s="1">
        <v>2018</v>
      </c>
      <c r="F629" s="1" t="s">
        <v>1227</v>
      </c>
      <c r="G629" s="1" t="s">
        <v>1926</v>
      </c>
      <c r="H629" s="4">
        <v>23.987333</v>
      </c>
      <c r="I629" s="4">
        <v>121.60299999999999</v>
      </c>
      <c r="J629" s="1" t="s">
        <v>1396</v>
      </c>
      <c r="K629" s="1" t="s">
        <v>70</v>
      </c>
      <c r="L629" s="1" t="s">
        <v>1927</v>
      </c>
      <c r="M629" s="1" t="s">
        <v>3545</v>
      </c>
      <c r="N629" s="1"/>
      <c r="O629" s="1" t="s">
        <v>3095</v>
      </c>
      <c r="P629" s="1"/>
      <c r="Q629" s="4">
        <v>6.4</v>
      </c>
      <c r="R629" s="4">
        <v>3.28</v>
      </c>
      <c r="S629" s="4"/>
      <c r="T629" s="4">
        <v>93.73</v>
      </c>
      <c r="U629" s="4"/>
      <c r="V629" s="4">
        <v>2.1</v>
      </c>
      <c r="W629" s="4">
        <v>20</v>
      </c>
      <c r="X629" s="4">
        <v>271.52999999999997</v>
      </c>
      <c r="Y629" s="4">
        <v>55.529999999999973</v>
      </c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1"/>
      <c r="BJ629" s="1" t="s">
        <v>4393</v>
      </c>
      <c r="BK629" s="1">
        <v>1</v>
      </c>
      <c r="BL629" s="1"/>
      <c r="BM629" s="1" t="s">
        <v>676</v>
      </c>
      <c r="BN629" s="1" t="s">
        <v>2970</v>
      </c>
      <c r="BO629" s="1" t="s">
        <v>2971</v>
      </c>
      <c r="BP629" s="1">
        <v>6.4</v>
      </c>
      <c r="BQ629" s="1" t="s">
        <v>1003</v>
      </c>
      <c r="BR629" s="1">
        <v>24.132000000000001</v>
      </c>
      <c r="BS629" s="1">
        <v>121.65900000000001</v>
      </c>
      <c r="BT629" s="1">
        <v>10.6</v>
      </c>
      <c r="BU629" s="1" t="s">
        <v>2981</v>
      </c>
      <c r="BV629" s="1" t="s">
        <v>2922</v>
      </c>
      <c r="BW629" s="1">
        <v>216</v>
      </c>
      <c r="BX629" s="1">
        <v>56</v>
      </c>
      <c r="BY629" s="1">
        <v>26</v>
      </c>
      <c r="BZ629" s="1"/>
      <c r="CA629" s="1"/>
      <c r="CB629" s="1"/>
      <c r="CC629" s="1" t="s">
        <v>2973</v>
      </c>
      <c r="CD629" s="1" t="s">
        <v>731</v>
      </c>
      <c r="CE629" s="1"/>
      <c r="CF629" s="1"/>
      <c r="CG629" s="1"/>
      <c r="CH629" s="1"/>
      <c r="CI629" s="1"/>
      <c r="CJ629" s="1" t="s">
        <v>1357</v>
      </c>
      <c r="CK629" t="s">
        <v>1264</v>
      </c>
      <c r="CL629">
        <v>46</v>
      </c>
      <c r="CM629" t="s">
        <v>2983</v>
      </c>
    </row>
    <row r="630" spans="1:91" ht="19" customHeight="1">
      <c r="A630" s="1" t="s">
        <v>4394</v>
      </c>
      <c r="B630" s="1" t="s">
        <v>1245</v>
      </c>
      <c r="C630" s="1">
        <v>47</v>
      </c>
      <c r="D630" s="1" t="s">
        <v>1924</v>
      </c>
      <c r="E630" s="1">
        <v>2018</v>
      </c>
      <c r="F630" s="1" t="s">
        <v>1228</v>
      </c>
      <c r="G630" s="1" t="s">
        <v>1928</v>
      </c>
      <c r="H630" s="4">
        <v>23.990333</v>
      </c>
      <c r="I630" s="4">
        <v>121.622333</v>
      </c>
      <c r="J630" s="1" t="s">
        <v>1396</v>
      </c>
      <c r="K630" s="1" t="s">
        <v>70</v>
      </c>
      <c r="L630" s="1" t="s">
        <v>1929</v>
      </c>
      <c r="M630" s="1" t="s">
        <v>3545</v>
      </c>
      <c r="N630" s="1"/>
      <c r="O630" s="1" t="s">
        <v>3095</v>
      </c>
      <c r="P630" s="1"/>
      <c r="Q630" s="4">
        <v>6.4</v>
      </c>
      <c r="R630" s="4">
        <v>4.1399999999999997</v>
      </c>
      <c r="S630" s="4"/>
      <c r="T630" s="4">
        <v>96.34</v>
      </c>
      <c r="U630" s="4"/>
      <c r="V630" s="4">
        <v>2.2000000000000002</v>
      </c>
      <c r="W630" s="4">
        <v>19.3</v>
      </c>
      <c r="X630" s="4">
        <v>282.45999999999998</v>
      </c>
      <c r="Y630" s="4">
        <v>66.45999999999998</v>
      </c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1"/>
      <c r="BJ630" s="1" t="s">
        <v>4395</v>
      </c>
      <c r="BK630" s="1">
        <v>1</v>
      </c>
      <c r="BL630" s="1"/>
      <c r="BM630" s="1" t="s">
        <v>676</v>
      </c>
      <c r="BN630" s="1" t="s">
        <v>2970</v>
      </c>
      <c r="BO630" s="1" t="s">
        <v>2971</v>
      </c>
      <c r="BP630" s="1">
        <v>6.4</v>
      </c>
      <c r="BQ630" s="1" t="s">
        <v>1003</v>
      </c>
      <c r="BR630" s="1">
        <v>24.132000000000001</v>
      </c>
      <c r="BS630" s="1">
        <v>121.65900000000001</v>
      </c>
      <c r="BT630" s="1">
        <v>10.6</v>
      </c>
      <c r="BU630" s="1" t="s">
        <v>2981</v>
      </c>
      <c r="BV630" s="1" t="s">
        <v>2922</v>
      </c>
      <c r="BW630" s="1">
        <v>216</v>
      </c>
      <c r="BX630" s="1">
        <v>56</v>
      </c>
      <c r="BY630" s="1">
        <v>26</v>
      </c>
      <c r="BZ630" s="1"/>
      <c r="CA630" s="1"/>
      <c r="CB630" s="1"/>
      <c r="CC630" s="1" t="s">
        <v>2973</v>
      </c>
      <c r="CD630" s="1" t="s">
        <v>731</v>
      </c>
      <c r="CE630" s="1"/>
      <c r="CF630" s="1"/>
      <c r="CG630" s="1"/>
      <c r="CH630" s="1"/>
      <c r="CI630" s="1"/>
      <c r="CJ630" s="1" t="s">
        <v>1357</v>
      </c>
      <c r="CK630" t="s">
        <v>1264</v>
      </c>
      <c r="CL630">
        <v>47</v>
      </c>
      <c r="CM630" t="s">
        <v>2983</v>
      </c>
    </row>
    <row r="631" spans="1:91" ht="19" customHeight="1">
      <c r="A631" s="1" t="s">
        <v>4396</v>
      </c>
      <c r="B631" s="1" t="s">
        <v>1245</v>
      </c>
      <c r="C631" s="1">
        <v>48</v>
      </c>
      <c r="D631" s="1" t="s">
        <v>1924</v>
      </c>
      <c r="E631" s="1">
        <v>2018</v>
      </c>
      <c r="F631" s="1" t="s">
        <v>1229</v>
      </c>
      <c r="G631" s="1" t="s">
        <v>1930</v>
      </c>
      <c r="H631" s="4">
        <v>23.978332999999999</v>
      </c>
      <c r="I631" s="4">
        <v>121.602667</v>
      </c>
      <c r="J631" s="1" t="s">
        <v>1396</v>
      </c>
      <c r="K631" s="1" t="s">
        <v>70</v>
      </c>
      <c r="L631" s="1" t="s">
        <v>1931</v>
      </c>
      <c r="M631" s="1" t="s">
        <v>3545</v>
      </c>
      <c r="N631" s="1"/>
      <c r="O631" s="1" t="s">
        <v>3095</v>
      </c>
      <c r="P631" s="1"/>
      <c r="Q631" s="4">
        <v>6.4</v>
      </c>
      <c r="R631" s="4">
        <v>3.27</v>
      </c>
      <c r="S631" s="4"/>
      <c r="T631" s="4">
        <v>125.14</v>
      </c>
      <c r="U631" s="4"/>
      <c r="V631" s="4">
        <v>2.1</v>
      </c>
      <c r="W631" s="4">
        <v>20.9</v>
      </c>
      <c r="X631" s="4">
        <v>82.07</v>
      </c>
      <c r="Y631" s="4">
        <v>46.069999999999993</v>
      </c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1"/>
      <c r="BJ631" s="1" t="s">
        <v>4397</v>
      </c>
      <c r="BK631" s="1">
        <v>1</v>
      </c>
      <c r="BL631" s="1"/>
      <c r="BM631" s="1" t="s">
        <v>676</v>
      </c>
      <c r="BN631" s="1" t="s">
        <v>2970</v>
      </c>
      <c r="BO631" s="1" t="s">
        <v>2971</v>
      </c>
      <c r="BP631" s="1">
        <v>6.4</v>
      </c>
      <c r="BQ631" s="1" t="s">
        <v>1003</v>
      </c>
      <c r="BR631" s="1">
        <v>24.132000000000001</v>
      </c>
      <c r="BS631" s="1">
        <v>121.65900000000001</v>
      </c>
      <c r="BT631" s="1">
        <v>10.6</v>
      </c>
      <c r="BU631" s="1" t="s">
        <v>2981</v>
      </c>
      <c r="BV631" s="1" t="s">
        <v>2922</v>
      </c>
      <c r="BW631" s="1">
        <v>216</v>
      </c>
      <c r="BX631" s="1">
        <v>56</v>
      </c>
      <c r="BY631" s="1">
        <v>26</v>
      </c>
      <c r="BZ631" s="1"/>
      <c r="CA631" s="1"/>
      <c r="CB631" s="1"/>
      <c r="CC631" s="1" t="s">
        <v>2973</v>
      </c>
      <c r="CD631" s="1" t="s">
        <v>731</v>
      </c>
      <c r="CE631" s="1"/>
      <c r="CF631" s="1"/>
      <c r="CG631" s="1"/>
      <c r="CH631" s="1"/>
      <c r="CI631" s="1"/>
      <c r="CJ631" s="1" t="s">
        <v>1357</v>
      </c>
      <c r="CK631" t="s">
        <v>1264</v>
      </c>
      <c r="CL631">
        <v>48</v>
      </c>
      <c r="CM631" t="s">
        <v>2983</v>
      </c>
    </row>
    <row r="632" spans="1:91" ht="19" customHeight="1">
      <c r="A632" s="1" t="s">
        <v>4398</v>
      </c>
      <c r="B632" s="1" t="s">
        <v>1245</v>
      </c>
      <c r="C632" s="1">
        <v>49</v>
      </c>
      <c r="D632" s="1" t="s">
        <v>1924</v>
      </c>
      <c r="E632" s="1">
        <v>2018</v>
      </c>
      <c r="F632" s="1" t="s">
        <v>1099</v>
      </c>
      <c r="G632" s="1" t="s">
        <v>1932</v>
      </c>
      <c r="H632" s="4">
        <v>23.995332999999999</v>
      </c>
      <c r="I632" s="4">
        <v>121.59483299999999</v>
      </c>
      <c r="J632" s="1" t="s">
        <v>1396</v>
      </c>
      <c r="K632" s="1" t="s">
        <v>70</v>
      </c>
      <c r="L632" s="1" t="s">
        <v>1933</v>
      </c>
      <c r="M632" s="1" t="s">
        <v>3545</v>
      </c>
      <c r="N632" s="1"/>
      <c r="O632" s="1" t="s">
        <v>3095</v>
      </c>
      <c r="P632" s="1"/>
      <c r="Q632" s="4">
        <v>6.4</v>
      </c>
      <c r="R632" s="4">
        <v>3.83</v>
      </c>
      <c r="S632" s="4"/>
      <c r="T632" s="4">
        <v>87.95</v>
      </c>
      <c r="U632" s="4"/>
      <c r="V632" s="4">
        <v>3</v>
      </c>
      <c r="W632" s="4">
        <v>19.600000000000001</v>
      </c>
      <c r="X632" s="4">
        <v>4.1100000000000003</v>
      </c>
      <c r="Y632" s="4">
        <v>31.89</v>
      </c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1"/>
      <c r="BJ632" s="1" t="s">
        <v>4399</v>
      </c>
      <c r="BK632" s="1">
        <v>1</v>
      </c>
      <c r="BL632" s="1"/>
      <c r="BM632" s="1" t="s">
        <v>676</v>
      </c>
      <c r="BN632" s="1" t="s">
        <v>2970</v>
      </c>
      <c r="BO632" s="1" t="s">
        <v>2971</v>
      </c>
      <c r="BP632" s="1">
        <v>6.4</v>
      </c>
      <c r="BQ632" s="1" t="s">
        <v>1003</v>
      </c>
      <c r="BR632" s="1">
        <v>24.132000000000001</v>
      </c>
      <c r="BS632" s="1">
        <v>121.65900000000001</v>
      </c>
      <c r="BT632" s="1">
        <v>10.6</v>
      </c>
      <c r="BU632" s="1" t="s">
        <v>2981</v>
      </c>
      <c r="BV632" s="1" t="s">
        <v>2922</v>
      </c>
      <c r="BW632" s="1">
        <v>216</v>
      </c>
      <c r="BX632" s="1">
        <v>56</v>
      </c>
      <c r="BY632" s="1">
        <v>26</v>
      </c>
      <c r="BZ632" s="1"/>
      <c r="CA632" s="1"/>
      <c r="CB632" s="1"/>
      <c r="CC632" s="1" t="s">
        <v>2973</v>
      </c>
      <c r="CD632" s="1" t="s">
        <v>731</v>
      </c>
      <c r="CE632" s="1"/>
      <c r="CF632" s="1"/>
      <c r="CG632" s="1"/>
      <c r="CH632" s="1"/>
      <c r="CI632" s="1"/>
      <c r="CJ632" s="1" t="s">
        <v>1357</v>
      </c>
      <c r="CK632" t="s">
        <v>1264</v>
      </c>
      <c r="CL632">
        <v>49</v>
      </c>
      <c r="CM632" t="s">
        <v>2983</v>
      </c>
    </row>
    <row r="633" spans="1:91" ht="19" customHeight="1">
      <c r="A633" s="1" t="s">
        <v>4400</v>
      </c>
      <c r="B633" s="1" t="s">
        <v>1245</v>
      </c>
      <c r="C633" s="1">
        <v>50</v>
      </c>
      <c r="D633" s="1" t="s">
        <v>1924</v>
      </c>
      <c r="E633" s="1">
        <v>2018</v>
      </c>
      <c r="F633" s="1" t="s">
        <v>1230</v>
      </c>
      <c r="G633" s="1" t="s">
        <v>1936</v>
      </c>
      <c r="H633" s="4">
        <v>23.992000000000001</v>
      </c>
      <c r="I633" s="4">
        <v>121.631333</v>
      </c>
      <c r="J633" s="1" t="s">
        <v>1396</v>
      </c>
      <c r="K633" s="1" t="s">
        <v>70</v>
      </c>
      <c r="L633" s="1" t="s">
        <v>1937</v>
      </c>
      <c r="M633" s="1" t="s">
        <v>3545</v>
      </c>
      <c r="N633" s="1"/>
      <c r="O633" s="1" t="s">
        <v>3095</v>
      </c>
      <c r="P633" s="1"/>
      <c r="Q633" s="4">
        <v>6.4</v>
      </c>
      <c r="R633" s="4">
        <v>4.54</v>
      </c>
      <c r="S633" s="4"/>
      <c r="T633" s="4">
        <v>68.81</v>
      </c>
      <c r="U633" s="4"/>
      <c r="V633" s="4">
        <v>2.7</v>
      </c>
      <c r="W633" s="4">
        <v>19</v>
      </c>
      <c r="X633" s="4">
        <v>81.19</v>
      </c>
      <c r="Y633" s="4">
        <v>45.19</v>
      </c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1"/>
      <c r="BJ633" s="1" t="s">
        <v>4401</v>
      </c>
      <c r="BK633" s="1">
        <v>1</v>
      </c>
      <c r="BL633" s="1"/>
      <c r="BM633" s="1" t="s">
        <v>676</v>
      </c>
      <c r="BN633" s="1" t="s">
        <v>2970</v>
      </c>
      <c r="BO633" s="1" t="s">
        <v>2971</v>
      </c>
      <c r="BP633" s="1">
        <v>6.4</v>
      </c>
      <c r="BQ633" s="1" t="s">
        <v>1003</v>
      </c>
      <c r="BR633" s="1">
        <v>24.132000000000001</v>
      </c>
      <c r="BS633" s="1">
        <v>121.65900000000001</v>
      </c>
      <c r="BT633" s="1">
        <v>10.6</v>
      </c>
      <c r="BU633" s="1" t="s">
        <v>2981</v>
      </c>
      <c r="BV633" s="1" t="s">
        <v>2922</v>
      </c>
      <c r="BW633" s="1">
        <v>216</v>
      </c>
      <c r="BX633" s="1">
        <v>56</v>
      </c>
      <c r="BY633" s="1">
        <v>26</v>
      </c>
      <c r="BZ633" s="1"/>
      <c r="CA633" s="1"/>
      <c r="CB633" s="1"/>
      <c r="CC633" s="1" t="s">
        <v>2973</v>
      </c>
      <c r="CD633" s="1" t="s">
        <v>731</v>
      </c>
      <c r="CE633" s="1"/>
      <c r="CF633" s="1"/>
      <c r="CG633" s="1"/>
      <c r="CH633" s="1"/>
      <c r="CI633" s="1"/>
      <c r="CJ633" s="1" t="s">
        <v>1357</v>
      </c>
      <c r="CK633" t="s">
        <v>1264</v>
      </c>
      <c r="CL633">
        <v>50</v>
      </c>
      <c r="CM633" t="s">
        <v>2983</v>
      </c>
    </row>
    <row r="634" spans="1:91" ht="19" customHeight="1">
      <c r="A634" s="1" t="s">
        <v>4402</v>
      </c>
      <c r="B634" s="1" t="s">
        <v>1245</v>
      </c>
      <c r="C634" s="1">
        <v>51</v>
      </c>
      <c r="D634" s="1" t="s">
        <v>1924</v>
      </c>
      <c r="E634" s="1">
        <v>2018</v>
      </c>
      <c r="F634" s="1" t="s">
        <v>1231</v>
      </c>
      <c r="G634" s="1" t="s">
        <v>1938</v>
      </c>
      <c r="H634" s="4">
        <v>23.9755</v>
      </c>
      <c r="I634" s="4">
        <v>121.5985</v>
      </c>
      <c r="J634" s="1" t="s">
        <v>1396</v>
      </c>
      <c r="K634" s="1" t="s">
        <v>70</v>
      </c>
      <c r="L634" s="1" t="s">
        <v>1939</v>
      </c>
      <c r="M634" s="1" t="s">
        <v>3545</v>
      </c>
      <c r="N634" s="1"/>
      <c r="O634" s="1" t="s">
        <v>3095</v>
      </c>
      <c r="P634" s="1"/>
      <c r="Q634" s="4">
        <v>6.4</v>
      </c>
      <c r="R634" s="4">
        <v>2.72</v>
      </c>
      <c r="S634" s="4"/>
      <c r="T634" s="4">
        <v>110.63</v>
      </c>
      <c r="U634" s="4"/>
      <c r="V634" s="4">
        <v>2.2999999999999998</v>
      </c>
      <c r="W634" s="4">
        <v>21.2</v>
      </c>
      <c r="X634" s="4">
        <v>65.87</v>
      </c>
      <c r="Y634" s="4">
        <v>29.87</v>
      </c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1"/>
      <c r="BJ634" s="1" t="s">
        <v>4403</v>
      </c>
      <c r="BK634" s="1">
        <v>1</v>
      </c>
      <c r="BL634" s="1"/>
      <c r="BM634" s="1" t="s">
        <v>676</v>
      </c>
      <c r="BN634" s="1" t="s">
        <v>2970</v>
      </c>
      <c r="BO634" s="1" t="s">
        <v>2971</v>
      </c>
      <c r="BP634" s="1">
        <v>6.4</v>
      </c>
      <c r="BQ634" s="1" t="s">
        <v>1003</v>
      </c>
      <c r="BR634" s="1">
        <v>24.132000000000001</v>
      </c>
      <c r="BS634" s="1">
        <v>121.65900000000001</v>
      </c>
      <c r="BT634" s="1">
        <v>10.6</v>
      </c>
      <c r="BU634" s="1" t="s">
        <v>2981</v>
      </c>
      <c r="BV634" s="1" t="s">
        <v>2922</v>
      </c>
      <c r="BW634" s="1">
        <v>216</v>
      </c>
      <c r="BX634" s="1">
        <v>56</v>
      </c>
      <c r="BY634" s="1">
        <v>26</v>
      </c>
      <c r="BZ634" s="1"/>
      <c r="CA634" s="1"/>
      <c r="CB634" s="1"/>
      <c r="CC634" s="1" t="s">
        <v>2973</v>
      </c>
      <c r="CD634" s="1" t="s">
        <v>731</v>
      </c>
      <c r="CE634" s="1"/>
      <c r="CF634" s="1"/>
      <c r="CG634" s="1"/>
      <c r="CH634" s="1"/>
      <c r="CI634" s="1"/>
      <c r="CJ634" s="1" t="s">
        <v>1357</v>
      </c>
      <c r="CK634" t="s">
        <v>1264</v>
      </c>
      <c r="CL634">
        <v>51</v>
      </c>
      <c r="CM634" t="s">
        <v>2983</v>
      </c>
    </row>
    <row r="635" spans="1:91" ht="19" customHeight="1">
      <c r="A635" s="1" t="s">
        <v>4404</v>
      </c>
      <c r="B635" s="1" t="s">
        <v>1245</v>
      </c>
      <c r="C635" s="1">
        <v>52</v>
      </c>
      <c r="D635" s="1" t="s">
        <v>1924</v>
      </c>
      <c r="E635" s="1">
        <v>2018</v>
      </c>
      <c r="F635" s="1" t="s">
        <v>1232</v>
      </c>
      <c r="G635" s="1" t="s">
        <v>1940</v>
      </c>
      <c r="H635" s="4">
        <v>23.971167000000001</v>
      </c>
      <c r="I635" s="4">
        <v>121.605667</v>
      </c>
      <c r="J635" s="1" t="s">
        <v>1396</v>
      </c>
      <c r="K635" s="1" t="s">
        <v>70</v>
      </c>
      <c r="L635" s="1" t="s">
        <v>1941</v>
      </c>
      <c r="M635" s="1" t="s">
        <v>3545</v>
      </c>
      <c r="N635" s="1"/>
      <c r="O635" s="1" t="s">
        <v>3095</v>
      </c>
      <c r="P635" s="1"/>
      <c r="Q635" s="4">
        <v>6.4</v>
      </c>
      <c r="R635" s="4">
        <v>3.64</v>
      </c>
      <c r="S635" s="4"/>
      <c r="T635" s="4">
        <v>142.75</v>
      </c>
      <c r="U635" s="4"/>
      <c r="V635" s="4">
        <v>2.2000000000000002</v>
      </c>
      <c r="W635" s="4">
        <v>21.4</v>
      </c>
      <c r="X635" s="4">
        <v>275.54000000000002</v>
      </c>
      <c r="Y635" s="4">
        <v>59.54000000000002</v>
      </c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1"/>
      <c r="BJ635" s="1" t="s">
        <v>4405</v>
      </c>
      <c r="BK635" s="1">
        <v>1</v>
      </c>
      <c r="BL635" s="1"/>
      <c r="BM635" s="1" t="s">
        <v>676</v>
      </c>
      <c r="BN635" s="1" t="s">
        <v>2970</v>
      </c>
      <c r="BO635" s="1" t="s">
        <v>2971</v>
      </c>
      <c r="BP635" s="1">
        <v>6.4</v>
      </c>
      <c r="BQ635" s="1" t="s">
        <v>1003</v>
      </c>
      <c r="BR635" s="1">
        <v>24.132000000000001</v>
      </c>
      <c r="BS635" s="1">
        <v>121.65900000000001</v>
      </c>
      <c r="BT635" s="1">
        <v>10.6</v>
      </c>
      <c r="BU635" s="1" t="s">
        <v>2981</v>
      </c>
      <c r="BV635" s="1" t="s">
        <v>2922</v>
      </c>
      <c r="BW635" s="1">
        <v>216</v>
      </c>
      <c r="BX635" s="1">
        <v>56</v>
      </c>
      <c r="BY635" s="1">
        <v>26</v>
      </c>
      <c r="BZ635" s="1"/>
      <c r="CA635" s="1"/>
      <c r="CB635" s="1"/>
      <c r="CC635" s="1" t="s">
        <v>2973</v>
      </c>
      <c r="CD635" s="1" t="s">
        <v>731</v>
      </c>
      <c r="CE635" s="1"/>
      <c r="CF635" s="1"/>
      <c r="CG635" s="1"/>
      <c r="CH635" s="1"/>
      <c r="CI635" s="1"/>
      <c r="CJ635" s="1" t="s">
        <v>1357</v>
      </c>
      <c r="CK635" t="s">
        <v>1264</v>
      </c>
      <c r="CL635">
        <v>52</v>
      </c>
      <c r="CM635" t="s">
        <v>2983</v>
      </c>
    </row>
    <row r="636" spans="1:91" ht="19" customHeight="1">
      <c r="A636" s="1" t="s">
        <v>4406</v>
      </c>
      <c r="B636" s="1" t="s">
        <v>1245</v>
      </c>
      <c r="C636" s="1">
        <v>53</v>
      </c>
      <c r="D636" s="1" t="s">
        <v>1924</v>
      </c>
      <c r="E636" s="1">
        <v>2018</v>
      </c>
      <c r="F636" s="1" t="s">
        <v>1234</v>
      </c>
      <c r="G636" s="1" t="s">
        <v>1950</v>
      </c>
      <c r="H636" s="4">
        <v>23.975000000000001</v>
      </c>
      <c r="I636" s="4">
        <v>121.6135</v>
      </c>
      <c r="J636" s="1" t="s">
        <v>1396</v>
      </c>
      <c r="K636" s="1" t="s">
        <v>70</v>
      </c>
      <c r="L636" s="1" t="s">
        <v>1951</v>
      </c>
      <c r="M636" s="1" t="s">
        <v>3545</v>
      </c>
      <c r="N636" s="1"/>
      <c r="O636" s="1" t="s">
        <v>3095</v>
      </c>
      <c r="P636" s="1"/>
      <c r="Q636" s="4">
        <v>6.4</v>
      </c>
      <c r="R636" s="4">
        <v>3.32</v>
      </c>
      <c r="S636" s="4"/>
      <c r="T636" s="4">
        <v>144.08000000000001</v>
      </c>
      <c r="U636" s="4"/>
      <c r="V636" s="4">
        <v>1.9</v>
      </c>
      <c r="W636" s="4">
        <v>20.9</v>
      </c>
      <c r="X636" s="4">
        <v>286.64</v>
      </c>
      <c r="Y636" s="4">
        <v>70.639999999999986</v>
      </c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1"/>
      <c r="BJ636" s="1" t="s">
        <v>4407</v>
      </c>
      <c r="BK636" s="1">
        <v>1</v>
      </c>
      <c r="BL636" s="1"/>
      <c r="BM636" s="1" t="s">
        <v>676</v>
      </c>
      <c r="BN636" s="1" t="s">
        <v>2970</v>
      </c>
      <c r="BO636" s="1" t="s">
        <v>2971</v>
      </c>
      <c r="BP636" s="1">
        <v>6.4</v>
      </c>
      <c r="BQ636" s="1" t="s">
        <v>1003</v>
      </c>
      <c r="BR636" s="1">
        <v>24.132000000000001</v>
      </c>
      <c r="BS636" s="1">
        <v>121.65900000000001</v>
      </c>
      <c r="BT636" s="1">
        <v>10.6</v>
      </c>
      <c r="BU636" s="1" t="s">
        <v>2981</v>
      </c>
      <c r="BV636" s="1" t="s">
        <v>2922</v>
      </c>
      <c r="BW636" s="1">
        <v>216</v>
      </c>
      <c r="BX636" s="1">
        <v>56</v>
      </c>
      <c r="BY636" s="1">
        <v>26</v>
      </c>
      <c r="BZ636" s="1"/>
      <c r="CA636" s="1"/>
      <c r="CB636" s="1"/>
      <c r="CC636" s="1" t="s">
        <v>2973</v>
      </c>
      <c r="CD636" s="1" t="s">
        <v>731</v>
      </c>
      <c r="CE636" s="1"/>
      <c r="CF636" s="1"/>
      <c r="CG636" s="1"/>
      <c r="CH636" s="1"/>
      <c r="CI636" s="1"/>
      <c r="CJ636" s="1" t="s">
        <v>1357</v>
      </c>
      <c r="CK636" t="s">
        <v>1264</v>
      </c>
      <c r="CL636">
        <v>53</v>
      </c>
      <c r="CM636" t="s">
        <v>2983</v>
      </c>
    </row>
    <row r="637" spans="1:91" ht="19" customHeight="1">
      <c r="A637" s="1" t="s">
        <v>4408</v>
      </c>
      <c r="B637" s="1" t="s">
        <v>1245</v>
      </c>
      <c r="C637" s="1">
        <v>54</v>
      </c>
      <c r="D637" s="1" t="s">
        <v>1924</v>
      </c>
      <c r="E637" s="1">
        <v>2018</v>
      </c>
      <c r="F637" s="1" t="s">
        <v>1141</v>
      </c>
      <c r="G637" s="1" t="s">
        <v>1954</v>
      </c>
      <c r="H637" s="4">
        <v>24.014333000000001</v>
      </c>
      <c r="I637" s="4">
        <v>121.6095</v>
      </c>
      <c r="J637" s="1" t="s">
        <v>1396</v>
      </c>
      <c r="K637" s="1" t="s">
        <v>70</v>
      </c>
      <c r="L637" s="1" t="s">
        <v>1956</v>
      </c>
      <c r="M637" s="1" t="s">
        <v>3545</v>
      </c>
      <c r="N637" s="1"/>
      <c r="O637" s="1" t="s">
        <v>3095</v>
      </c>
      <c r="P637" s="1"/>
      <c r="Q637" s="4">
        <v>6.4</v>
      </c>
      <c r="R637" s="4">
        <v>3.95</v>
      </c>
      <c r="S637" s="4"/>
      <c r="T637" s="4">
        <v>56.39</v>
      </c>
      <c r="U637" s="4"/>
      <c r="V637" s="4">
        <v>2.6</v>
      </c>
      <c r="W637" s="4">
        <v>28</v>
      </c>
      <c r="X637" s="4">
        <v>22.61</v>
      </c>
      <c r="Y637" s="4">
        <v>13.39</v>
      </c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1"/>
      <c r="BJ637" s="1" t="s">
        <v>4409</v>
      </c>
      <c r="BK637" s="1">
        <v>1</v>
      </c>
      <c r="BL637" s="1"/>
      <c r="BM637" s="1" t="s">
        <v>676</v>
      </c>
      <c r="BN637" s="1" t="s">
        <v>2970</v>
      </c>
      <c r="BO637" s="1" t="s">
        <v>2971</v>
      </c>
      <c r="BP637" s="1">
        <v>6.4</v>
      </c>
      <c r="BQ637" s="1" t="s">
        <v>1003</v>
      </c>
      <c r="BR637" s="1">
        <v>24.132000000000001</v>
      </c>
      <c r="BS637" s="1">
        <v>121.65900000000001</v>
      </c>
      <c r="BT637" s="1">
        <v>10.6</v>
      </c>
      <c r="BU637" s="1" t="s">
        <v>2981</v>
      </c>
      <c r="BV637" s="1" t="s">
        <v>2922</v>
      </c>
      <c r="BW637" s="1">
        <v>216</v>
      </c>
      <c r="BX637" s="1">
        <v>56</v>
      </c>
      <c r="BY637" s="1">
        <v>26</v>
      </c>
      <c r="BZ637" s="1"/>
      <c r="CA637" s="1"/>
      <c r="CB637" s="1"/>
      <c r="CC637" s="1" t="s">
        <v>2973</v>
      </c>
      <c r="CD637" s="1" t="s">
        <v>731</v>
      </c>
      <c r="CE637" s="1"/>
      <c r="CF637" s="1"/>
      <c r="CG637" s="1"/>
      <c r="CH637" s="1"/>
      <c r="CI637" s="1"/>
      <c r="CJ637" s="1" t="s">
        <v>1357</v>
      </c>
      <c r="CK637" t="s">
        <v>1264</v>
      </c>
      <c r="CL637">
        <v>54</v>
      </c>
      <c r="CM637" t="s">
        <v>2983</v>
      </c>
    </row>
    <row r="638" spans="1:91" ht="19" customHeight="1">
      <c r="A638" s="1" t="s">
        <v>4410</v>
      </c>
      <c r="B638" s="1" t="s">
        <v>1245</v>
      </c>
      <c r="C638" s="1">
        <v>55</v>
      </c>
      <c r="D638" s="1" t="s">
        <v>1924</v>
      </c>
      <c r="E638" s="1">
        <v>2018</v>
      </c>
      <c r="F638" s="1" t="s">
        <v>1143</v>
      </c>
      <c r="G638" s="1" t="s">
        <v>1971</v>
      </c>
      <c r="H638" s="4">
        <v>23.987832999999998</v>
      </c>
      <c r="I638" s="4">
        <v>121.590833</v>
      </c>
      <c r="J638" s="1" t="s">
        <v>1396</v>
      </c>
      <c r="K638" s="1" t="s">
        <v>70</v>
      </c>
      <c r="L638" s="1" t="s">
        <v>1973</v>
      </c>
      <c r="M638" s="1" t="s">
        <v>3545</v>
      </c>
      <c r="N638" s="1"/>
      <c r="O638" s="1" t="s">
        <v>3095</v>
      </c>
      <c r="P638" s="1"/>
      <c r="Q638" s="4">
        <v>6.4</v>
      </c>
      <c r="R638" s="4">
        <v>2.29</v>
      </c>
      <c r="S638" s="4"/>
      <c r="T638" s="4">
        <v>85.76</v>
      </c>
      <c r="U638" s="4"/>
      <c r="V638" s="4">
        <v>2.9</v>
      </c>
      <c r="W638" s="4">
        <v>20.3</v>
      </c>
      <c r="X638" s="4">
        <v>35.119999999999997</v>
      </c>
      <c r="Y638" s="4">
        <v>0.88000000000000256</v>
      </c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1"/>
      <c r="BJ638" s="1" t="s">
        <v>4411</v>
      </c>
      <c r="BK638" s="1">
        <v>1</v>
      </c>
      <c r="BL638" s="1"/>
      <c r="BM638" s="1" t="s">
        <v>676</v>
      </c>
      <c r="BN638" s="1" t="s">
        <v>2970</v>
      </c>
      <c r="BO638" s="1" t="s">
        <v>2971</v>
      </c>
      <c r="BP638" s="1">
        <v>6.4</v>
      </c>
      <c r="BQ638" s="1" t="s">
        <v>1003</v>
      </c>
      <c r="BR638" s="1">
        <v>24.132000000000001</v>
      </c>
      <c r="BS638" s="1">
        <v>121.65900000000001</v>
      </c>
      <c r="BT638" s="1">
        <v>10.6</v>
      </c>
      <c r="BU638" s="1" t="s">
        <v>2981</v>
      </c>
      <c r="BV638" s="1" t="s">
        <v>2922</v>
      </c>
      <c r="BW638" s="1">
        <v>216</v>
      </c>
      <c r="BX638" s="1">
        <v>56</v>
      </c>
      <c r="BY638" s="1">
        <v>26</v>
      </c>
      <c r="BZ638" s="1"/>
      <c r="CA638" s="1"/>
      <c r="CB638" s="1"/>
      <c r="CC638" s="1" t="s">
        <v>2973</v>
      </c>
      <c r="CD638" s="1" t="s">
        <v>731</v>
      </c>
      <c r="CE638" s="1"/>
      <c r="CF638" s="1"/>
      <c r="CG638" s="1"/>
      <c r="CH638" s="1"/>
      <c r="CI638" s="1"/>
      <c r="CJ638" s="1" t="s">
        <v>1357</v>
      </c>
      <c r="CK638" t="s">
        <v>1264</v>
      </c>
      <c r="CL638">
        <v>55</v>
      </c>
      <c r="CM638" t="s">
        <v>2983</v>
      </c>
    </row>
    <row r="639" spans="1:91" ht="19" customHeight="1">
      <c r="A639" s="1" t="s">
        <v>4412</v>
      </c>
      <c r="B639" s="1" t="s">
        <v>1245</v>
      </c>
      <c r="C639" s="1">
        <v>56</v>
      </c>
      <c r="D639" s="1" t="s">
        <v>1924</v>
      </c>
      <c r="E639" s="1">
        <v>2018</v>
      </c>
      <c r="F639" s="1" t="s">
        <v>1236</v>
      </c>
      <c r="G639" s="1" t="s">
        <v>1984</v>
      </c>
      <c r="H639" s="4">
        <v>23.979666999999999</v>
      </c>
      <c r="I639" s="4">
        <v>121.619833</v>
      </c>
      <c r="J639" s="1" t="s">
        <v>1396</v>
      </c>
      <c r="K639" s="1" t="s">
        <v>70</v>
      </c>
      <c r="L639" s="1" t="s">
        <v>1985</v>
      </c>
      <c r="M639" s="1" t="s">
        <v>3545</v>
      </c>
      <c r="N639" s="1"/>
      <c r="O639" s="1" t="s">
        <v>3095</v>
      </c>
      <c r="P639" s="1"/>
      <c r="Q639" s="4">
        <v>6.4</v>
      </c>
      <c r="R639" s="4">
        <v>3.58</v>
      </c>
      <c r="S639" s="4"/>
      <c r="T639" s="4">
        <v>93.29</v>
      </c>
      <c r="U639" s="4"/>
      <c r="V639" s="4">
        <v>1.9</v>
      </c>
      <c r="W639" s="4">
        <v>20.6</v>
      </c>
      <c r="X639" s="4">
        <v>73.91</v>
      </c>
      <c r="Y639" s="4">
        <v>37.909999999999997</v>
      </c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1"/>
      <c r="BJ639" s="1" t="s">
        <v>4413</v>
      </c>
      <c r="BK639" s="1">
        <v>1</v>
      </c>
      <c r="BL639" s="1"/>
      <c r="BM639" s="1" t="s">
        <v>676</v>
      </c>
      <c r="BN639" s="1" t="s">
        <v>2970</v>
      </c>
      <c r="BO639" s="1" t="s">
        <v>2971</v>
      </c>
      <c r="BP639" s="1">
        <v>6.4</v>
      </c>
      <c r="BQ639" s="1" t="s">
        <v>1003</v>
      </c>
      <c r="BR639" s="1">
        <v>24.132000000000001</v>
      </c>
      <c r="BS639" s="1">
        <v>121.65900000000001</v>
      </c>
      <c r="BT639" s="1">
        <v>10.6</v>
      </c>
      <c r="BU639" s="1" t="s">
        <v>2981</v>
      </c>
      <c r="BV639" s="1" t="s">
        <v>2922</v>
      </c>
      <c r="BW639" s="1">
        <v>216</v>
      </c>
      <c r="BX639" s="1">
        <v>56</v>
      </c>
      <c r="BY639" s="1">
        <v>26</v>
      </c>
      <c r="BZ639" s="1"/>
      <c r="CA639" s="1"/>
      <c r="CB639" s="1"/>
      <c r="CC639" s="1" t="s">
        <v>2973</v>
      </c>
      <c r="CD639" s="1" t="s">
        <v>731</v>
      </c>
      <c r="CE639" s="1"/>
      <c r="CF639" s="1"/>
      <c r="CG639" s="1"/>
      <c r="CH639" s="1"/>
      <c r="CI639" s="1"/>
      <c r="CJ639" s="1" t="s">
        <v>1357</v>
      </c>
      <c r="CK639" t="s">
        <v>1264</v>
      </c>
      <c r="CL639">
        <v>56</v>
      </c>
      <c r="CM639" t="s">
        <v>2983</v>
      </c>
    </row>
    <row r="640" spans="1:91" ht="19" customHeight="1">
      <c r="A640" s="1" t="s">
        <v>4414</v>
      </c>
      <c r="B640" s="1" t="s">
        <v>1245</v>
      </c>
      <c r="C640" s="1">
        <v>57</v>
      </c>
      <c r="D640" s="1" t="s">
        <v>1924</v>
      </c>
      <c r="E640" s="1">
        <v>2018</v>
      </c>
      <c r="F640" s="1" t="s">
        <v>1237</v>
      </c>
      <c r="G640" s="1" t="s">
        <v>1986</v>
      </c>
      <c r="H640" s="4">
        <v>23.993500000000001</v>
      </c>
      <c r="I640" s="4">
        <v>121.593</v>
      </c>
      <c r="J640" s="1" t="s">
        <v>1396</v>
      </c>
      <c r="K640" s="1" t="s">
        <v>70</v>
      </c>
      <c r="L640" s="1" t="s">
        <v>1987</v>
      </c>
      <c r="M640" s="1" t="s">
        <v>3545</v>
      </c>
      <c r="N640" s="1"/>
      <c r="O640" s="1" t="s">
        <v>3095</v>
      </c>
      <c r="P640" s="1"/>
      <c r="Q640" s="4">
        <v>6.4</v>
      </c>
      <c r="R640" s="4">
        <v>2.33</v>
      </c>
      <c r="S640" s="4"/>
      <c r="T640" s="4">
        <v>85.55</v>
      </c>
      <c r="U640" s="4"/>
      <c r="V640" s="4">
        <v>3</v>
      </c>
      <c r="W640" s="4">
        <v>18.899999999999999</v>
      </c>
      <c r="X640" s="4">
        <v>8.35</v>
      </c>
      <c r="Y640" s="4">
        <v>27.65</v>
      </c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1"/>
      <c r="BJ640" s="1" t="s">
        <v>4415</v>
      </c>
      <c r="BK640" s="1">
        <v>1</v>
      </c>
      <c r="BL640" s="1"/>
      <c r="BM640" s="1" t="s">
        <v>676</v>
      </c>
      <c r="BN640" s="1" t="s">
        <v>2970</v>
      </c>
      <c r="BO640" s="1" t="s">
        <v>2971</v>
      </c>
      <c r="BP640" s="1">
        <v>6.4</v>
      </c>
      <c r="BQ640" s="1" t="s">
        <v>1003</v>
      </c>
      <c r="BR640" s="1">
        <v>24.132000000000001</v>
      </c>
      <c r="BS640" s="1">
        <v>121.65900000000001</v>
      </c>
      <c r="BT640" s="1">
        <v>10.6</v>
      </c>
      <c r="BU640" s="1" t="s">
        <v>2981</v>
      </c>
      <c r="BV640" s="1" t="s">
        <v>2922</v>
      </c>
      <c r="BW640" s="1">
        <v>216</v>
      </c>
      <c r="BX640" s="1">
        <v>56</v>
      </c>
      <c r="BY640" s="1">
        <v>26</v>
      </c>
      <c r="BZ640" s="1"/>
      <c r="CA640" s="1"/>
      <c r="CB640" s="1"/>
      <c r="CC640" s="1" t="s">
        <v>2973</v>
      </c>
      <c r="CD640" s="1" t="s">
        <v>731</v>
      </c>
      <c r="CE640" s="1"/>
      <c r="CF640" s="1"/>
      <c r="CG640" s="1"/>
      <c r="CH640" s="1"/>
      <c r="CI640" s="1"/>
      <c r="CJ640" s="1" t="s">
        <v>1357</v>
      </c>
      <c r="CK640" t="s">
        <v>1264</v>
      </c>
      <c r="CL640">
        <v>57</v>
      </c>
      <c r="CM640" t="s">
        <v>2983</v>
      </c>
    </row>
    <row r="641" spans="1:91" ht="19" customHeight="1">
      <c r="A641" s="1" t="s">
        <v>4416</v>
      </c>
      <c r="B641" s="1" t="s">
        <v>1245</v>
      </c>
      <c r="C641" s="1">
        <v>58</v>
      </c>
      <c r="D641" s="1" t="s">
        <v>1924</v>
      </c>
      <c r="E641" s="1">
        <v>2018</v>
      </c>
      <c r="F641" s="1" t="s">
        <v>1240</v>
      </c>
      <c r="G641" s="1" t="s">
        <v>2282</v>
      </c>
      <c r="H641" s="4">
        <v>24.000299999999999</v>
      </c>
      <c r="I641" s="4">
        <v>121.60380000000001</v>
      </c>
      <c r="J641" s="1" t="s">
        <v>1396</v>
      </c>
      <c r="K641" s="1" t="s">
        <v>70</v>
      </c>
      <c r="L641" s="1" t="s">
        <v>2283</v>
      </c>
      <c r="M641" s="1" t="s">
        <v>3545</v>
      </c>
      <c r="N641" s="1"/>
      <c r="O641" s="1" t="s">
        <v>3095</v>
      </c>
      <c r="P641" s="1"/>
      <c r="Q641" s="4">
        <v>6.4</v>
      </c>
      <c r="R641" s="4">
        <v>3.19</v>
      </c>
      <c r="S641" s="4"/>
      <c r="T641" s="4">
        <v>72.47</v>
      </c>
      <c r="U641" s="4"/>
      <c r="V641" s="4">
        <v>2.8</v>
      </c>
      <c r="W641" s="4">
        <v>16.93</v>
      </c>
      <c r="X641" s="4">
        <v>329.53</v>
      </c>
      <c r="Y641" s="4">
        <v>66.470000000000027</v>
      </c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1"/>
      <c r="BJ641" s="1" t="s">
        <v>4417</v>
      </c>
      <c r="BK641" s="1">
        <v>1</v>
      </c>
      <c r="BL641" s="1"/>
      <c r="BM641" s="1" t="s">
        <v>676</v>
      </c>
      <c r="BN641" s="1" t="s">
        <v>2970</v>
      </c>
      <c r="BO641" s="1" t="s">
        <v>2971</v>
      </c>
      <c r="BP641" s="1">
        <v>6.4</v>
      </c>
      <c r="BQ641" s="1" t="s">
        <v>1003</v>
      </c>
      <c r="BR641" s="1">
        <v>24.132000000000001</v>
      </c>
      <c r="BS641" s="1">
        <v>121.65900000000001</v>
      </c>
      <c r="BT641" s="1">
        <v>10.6</v>
      </c>
      <c r="BU641" s="1" t="s">
        <v>2981</v>
      </c>
      <c r="BV641" s="1" t="s">
        <v>2922</v>
      </c>
      <c r="BW641" s="1">
        <v>216</v>
      </c>
      <c r="BX641" s="1">
        <v>56</v>
      </c>
      <c r="BY641" s="1">
        <v>26</v>
      </c>
      <c r="BZ641" s="1"/>
      <c r="CA641" s="1"/>
      <c r="CB641" s="1"/>
      <c r="CC641" s="1" t="s">
        <v>2973</v>
      </c>
      <c r="CD641" s="1" t="s">
        <v>731</v>
      </c>
      <c r="CE641" s="1"/>
      <c r="CF641" s="1"/>
      <c r="CG641" s="1"/>
      <c r="CH641" s="1"/>
      <c r="CI641" s="1"/>
      <c r="CJ641" s="1" t="s">
        <v>1357</v>
      </c>
      <c r="CK641" t="s">
        <v>1264</v>
      </c>
      <c r="CL641">
        <v>58</v>
      </c>
      <c r="CM641" t="s">
        <v>2983</v>
      </c>
    </row>
    <row r="642" spans="1:91" ht="19" customHeight="1">
      <c r="A642" s="1" t="s">
        <v>4418</v>
      </c>
      <c r="B642" s="1" t="s">
        <v>1245</v>
      </c>
      <c r="C642" s="1">
        <v>59</v>
      </c>
      <c r="D642" s="1" t="s">
        <v>4419</v>
      </c>
      <c r="E642" s="1">
        <v>2010</v>
      </c>
      <c r="F642" s="1" t="s">
        <v>977</v>
      </c>
      <c r="G642" s="1" t="s">
        <v>1600</v>
      </c>
      <c r="H642" s="4">
        <v>-43.669199999999996</v>
      </c>
      <c r="I642" s="4">
        <v>172.1978</v>
      </c>
      <c r="J642" s="1" t="s">
        <v>1396</v>
      </c>
      <c r="K642" s="1" t="s">
        <v>70</v>
      </c>
      <c r="L642" s="1" t="s">
        <v>1605</v>
      </c>
      <c r="M642" s="1" t="s">
        <v>3545</v>
      </c>
      <c r="N642" s="1"/>
      <c r="O642" s="1" t="s">
        <v>3095</v>
      </c>
      <c r="P642" s="1"/>
      <c r="Q642" s="4">
        <v>7.02</v>
      </c>
      <c r="R642" s="4">
        <v>7.77</v>
      </c>
      <c r="S642" s="4"/>
      <c r="T642" s="4">
        <v>65.569999999999993</v>
      </c>
      <c r="U642" s="4"/>
      <c r="V642" s="4">
        <v>8.5</v>
      </c>
      <c r="W642" s="4">
        <v>17.899999999999999</v>
      </c>
      <c r="X642" s="4">
        <v>44.05</v>
      </c>
      <c r="Y642" s="4">
        <v>40.950000000000003</v>
      </c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1"/>
      <c r="BJ642" s="1" t="s">
        <v>4420</v>
      </c>
      <c r="BK642" s="1">
        <v>1</v>
      </c>
      <c r="BL642" s="1"/>
      <c r="BM642" s="1" t="s">
        <v>620</v>
      </c>
      <c r="BN642" s="1" t="s">
        <v>2792</v>
      </c>
      <c r="BO642" s="1" t="s">
        <v>2793</v>
      </c>
      <c r="BP642" s="1">
        <v>7.02</v>
      </c>
      <c r="BQ642" s="1" t="s">
        <v>1003</v>
      </c>
      <c r="BR642" s="1">
        <v>-43.614800000000002</v>
      </c>
      <c r="BS642" s="1">
        <v>172.0386</v>
      </c>
      <c r="BT642" s="1">
        <v>10.84</v>
      </c>
      <c r="BU642" s="1" t="s">
        <v>730</v>
      </c>
      <c r="BV642" s="1" t="s">
        <v>2922</v>
      </c>
      <c r="BW642" s="1">
        <v>85</v>
      </c>
      <c r="BX642" s="1">
        <v>82</v>
      </c>
      <c r="BY642" s="1">
        <v>154</v>
      </c>
      <c r="BZ642" s="1"/>
      <c r="CA642" s="1"/>
      <c r="CB642" s="1"/>
      <c r="CC642" s="1" t="s">
        <v>2973</v>
      </c>
      <c r="CD642" s="1" t="s">
        <v>731</v>
      </c>
      <c r="CE642" s="1"/>
      <c r="CF642" s="1"/>
      <c r="CG642" s="1"/>
      <c r="CH642" s="1"/>
      <c r="CI642" s="1"/>
      <c r="CJ642" s="1" t="s">
        <v>1357</v>
      </c>
      <c r="CK642" t="s">
        <v>1264</v>
      </c>
      <c r="CL642">
        <v>59</v>
      </c>
      <c r="CM642" t="s">
        <v>2985</v>
      </c>
    </row>
    <row r="643" spans="1:91" ht="19" customHeight="1">
      <c r="A643" s="1" t="s">
        <v>4421</v>
      </c>
      <c r="B643" s="1" t="s">
        <v>1245</v>
      </c>
      <c r="C643" s="1">
        <v>60</v>
      </c>
      <c r="D643" s="1" t="s">
        <v>4419</v>
      </c>
      <c r="E643" s="1">
        <v>2010</v>
      </c>
      <c r="F643" s="1" t="s">
        <v>978</v>
      </c>
      <c r="G643" s="1" t="s">
        <v>1606</v>
      </c>
      <c r="H643" s="4">
        <v>-43.588000000000001</v>
      </c>
      <c r="I643" s="4">
        <v>172.08930000000001</v>
      </c>
      <c r="J643" s="1" t="s">
        <v>1396</v>
      </c>
      <c r="K643" s="1" t="s">
        <v>70</v>
      </c>
      <c r="L643" s="1" t="s">
        <v>1608</v>
      </c>
      <c r="M643" s="1" t="s">
        <v>3545</v>
      </c>
      <c r="N643" s="1"/>
      <c r="O643" s="1" t="s">
        <v>3095</v>
      </c>
      <c r="P643" s="1"/>
      <c r="Q643" s="4">
        <v>7.02</v>
      </c>
      <c r="R643" s="4">
        <v>2.25</v>
      </c>
      <c r="S643" s="4"/>
      <c r="T643" s="4">
        <v>141.03</v>
      </c>
      <c r="U643" s="4"/>
      <c r="V643" s="4">
        <v>2.5</v>
      </c>
      <c r="W643" s="4">
        <v>12</v>
      </c>
      <c r="X643" s="4">
        <v>74.12</v>
      </c>
      <c r="Y643" s="4">
        <v>10.88</v>
      </c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1"/>
      <c r="BJ643" s="1" t="s">
        <v>4422</v>
      </c>
      <c r="BK643" s="1">
        <v>1</v>
      </c>
      <c r="BL643" s="1"/>
      <c r="BM643" s="1" t="s">
        <v>620</v>
      </c>
      <c r="BN643" s="1" t="s">
        <v>2792</v>
      </c>
      <c r="BO643" s="1" t="s">
        <v>2793</v>
      </c>
      <c r="BP643" s="1">
        <v>7.02</v>
      </c>
      <c r="BQ643" s="1" t="s">
        <v>1003</v>
      </c>
      <c r="BR643" s="1">
        <v>-43.614800000000002</v>
      </c>
      <c r="BS643" s="1">
        <v>172.0386</v>
      </c>
      <c r="BT643" s="1">
        <v>10.84</v>
      </c>
      <c r="BU643" s="1" t="s">
        <v>730</v>
      </c>
      <c r="BV643" s="1" t="s">
        <v>2922</v>
      </c>
      <c r="BW643" s="1">
        <v>85</v>
      </c>
      <c r="BX643" s="1">
        <v>82</v>
      </c>
      <c r="BY643" s="1">
        <v>154</v>
      </c>
      <c r="BZ643" s="1"/>
      <c r="CA643" s="1"/>
      <c r="CB643" s="1"/>
      <c r="CC643" s="1" t="s">
        <v>2973</v>
      </c>
      <c r="CD643" s="1" t="s">
        <v>731</v>
      </c>
      <c r="CE643" s="1"/>
      <c r="CF643" s="1"/>
      <c r="CG643" s="1"/>
      <c r="CH643" s="1"/>
      <c r="CI643" s="1"/>
      <c r="CJ643" s="1" t="s">
        <v>1357</v>
      </c>
      <c r="CK643" t="s">
        <v>1264</v>
      </c>
      <c r="CL643">
        <v>60</v>
      </c>
      <c r="CM643" t="s">
        <v>2985</v>
      </c>
    </row>
    <row r="644" spans="1:91" ht="19" customHeight="1">
      <c r="A644" s="1" t="s">
        <v>4423</v>
      </c>
      <c r="B644" s="1" t="s">
        <v>1245</v>
      </c>
      <c r="C644" s="1">
        <v>61</v>
      </c>
      <c r="D644" s="1" t="s">
        <v>4419</v>
      </c>
      <c r="E644" s="1">
        <v>2010</v>
      </c>
      <c r="F644" s="1" t="s">
        <v>979</v>
      </c>
      <c r="G644" s="1" t="s">
        <v>1609</v>
      </c>
      <c r="H644" s="4">
        <v>-43.5413</v>
      </c>
      <c r="I644" s="4">
        <v>171.9598</v>
      </c>
      <c r="J644" s="1" t="s">
        <v>1396</v>
      </c>
      <c r="K644" s="1" t="s">
        <v>70</v>
      </c>
      <c r="L644" s="1" t="s">
        <v>1611</v>
      </c>
      <c r="M644" s="1" t="s">
        <v>3545</v>
      </c>
      <c r="N644" s="1"/>
      <c r="O644" s="1" t="s">
        <v>3095</v>
      </c>
      <c r="P644" s="1"/>
      <c r="Q644" s="4">
        <v>7.02</v>
      </c>
      <c r="R644" s="4">
        <v>2.69</v>
      </c>
      <c r="S644" s="4"/>
      <c r="T644" s="4">
        <v>99.49</v>
      </c>
      <c r="U644" s="4"/>
      <c r="V644" s="4">
        <v>7.8</v>
      </c>
      <c r="W644" s="4">
        <v>15</v>
      </c>
      <c r="X644" s="4">
        <v>19.34</v>
      </c>
      <c r="Y644" s="4">
        <v>65.66</v>
      </c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1"/>
      <c r="BJ644" s="1" t="s">
        <v>4424</v>
      </c>
      <c r="BK644" s="1">
        <v>1</v>
      </c>
      <c r="BL644" s="1"/>
      <c r="BM644" s="1" t="s">
        <v>620</v>
      </c>
      <c r="BN644" s="1" t="s">
        <v>2792</v>
      </c>
      <c r="BO644" s="1" t="s">
        <v>2793</v>
      </c>
      <c r="BP644" s="1">
        <v>7.02</v>
      </c>
      <c r="BQ644" s="1" t="s">
        <v>1003</v>
      </c>
      <c r="BR644" s="1">
        <v>-43.614800000000002</v>
      </c>
      <c r="BS644" s="1">
        <v>172.0386</v>
      </c>
      <c r="BT644" s="1">
        <v>10.84</v>
      </c>
      <c r="BU644" s="1" t="s">
        <v>730</v>
      </c>
      <c r="BV644" s="1" t="s">
        <v>2922</v>
      </c>
      <c r="BW644" s="1">
        <v>85</v>
      </c>
      <c r="BX644" s="1">
        <v>82</v>
      </c>
      <c r="BY644" s="1">
        <v>154</v>
      </c>
      <c r="BZ644" s="1"/>
      <c r="CA644" s="1"/>
      <c r="CB644" s="1"/>
      <c r="CC644" s="1" t="s">
        <v>2973</v>
      </c>
      <c r="CD644" s="1" t="s">
        <v>731</v>
      </c>
      <c r="CE644" s="1"/>
      <c r="CF644" s="1"/>
      <c r="CG644" s="1"/>
      <c r="CH644" s="1"/>
      <c r="CI644" s="1"/>
      <c r="CJ644" s="1" t="s">
        <v>1357</v>
      </c>
      <c r="CK644" t="s">
        <v>1264</v>
      </c>
      <c r="CL644">
        <v>61</v>
      </c>
      <c r="CM644" t="s">
        <v>2985</v>
      </c>
    </row>
    <row r="645" spans="1:91" ht="19" customHeight="1">
      <c r="A645" s="1" t="s">
        <v>4425</v>
      </c>
      <c r="B645" s="1" t="s">
        <v>1245</v>
      </c>
      <c r="C645" s="1">
        <v>62</v>
      </c>
      <c r="D645" s="1" t="s">
        <v>4419</v>
      </c>
      <c r="E645" s="1">
        <v>2010</v>
      </c>
      <c r="F645" s="1" t="s">
        <v>980</v>
      </c>
      <c r="G645" s="1" t="s">
        <v>1616</v>
      </c>
      <c r="H645" s="4">
        <v>-43.6248</v>
      </c>
      <c r="I645" s="4">
        <v>172.46789999999999</v>
      </c>
      <c r="J645" s="1" t="s">
        <v>1396</v>
      </c>
      <c r="K645" s="1" t="s">
        <v>70</v>
      </c>
      <c r="L645" s="1" t="s">
        <v>1618</v>
      </c>
      <c r="M645" s="1" t="s">
        <v>3545</v>
      </c>
      <c r="N645" s="1"/>
      <c r="O645" s="1" t="s">
        <v>3095</v>
      </c>
      <c r="P645" s="1"/>
      <c r="Q645" s="4">
        <v>7.02</v>
      </c>
      <c r="R645" s="4">
        <v>7.15</v>
      </c>
      <c r="S645" s="4"/>
      <c r="T645" s="4">
        <v>114.49</v>
      </c>
      <c r="U645" s="4"/>
      <c r="V645" s="4">
        <v>5.7</v>
      </c>
      <c r="W645" s="4">
        <v>36.299999999999997</v>
      </c>
      <c r="X645" s="4">
        <v>5.9</v>
      </c>
      <c r="Y645" s="4">
        <v>79.099999999999994</v>
      </c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1"/>
      <c r="BJ645" s="1" t="s">
        <v>4426</v>
      </c>
      <c r="BK645" s="1">
        <v>1</v>
      </c>
      <c r="BL645" s="1"/>
      <c r="BM645" s="1" t="s">
        <v>620</v>
      </c>
      <c r="BN645" s="1" t="s">
        <v>2792</v>
      </c>
      <c r="BO645" s="1" t="s">
        <v>2793</v>
      </c>
      <c r="BP645" s="1">
        <v>7.02</v>
      </c>
      <c r="BQ645" s="1" t="s">
        <v>1003</v>
      </c>
      <c r="BR645" s="1">
        <v>-43.614800000000002</v>
      </c>
      <c r="BS645" s="1">
        <v>172.0386</v>
      </c>
      <c r="BT645" s="1">
        <v>10.84</v>
      </c>
      <c r="BU645" s="1" t="s">
        <v>730</v>
      </c>
      <c r="BV645" s="1" t="s">
        <v>2922</v>
      </c>
      <c r="BW645" s="1">
        <v>85</v>
      </c>
      <c r="BX645" s="1">
        <v>82</v>
      </c>
      <c r="BY645" s="1">
        <v>154</v>
      </c>
      <c r="BZ645" s="1"/>
      <c r="CA645" s="1"/>
      <c r="CB645" s="1"/>
      <c r="CC645" s="1" t="s">
        <v>2973</v>
      </c>
      <c r="CD645" s="1" t="s">
        <v>731</v>
      </c>
      <c r="CE645" s="1"/>
      <c r="CF645" s="1"/>
      <c r="CG645" s="1"/>
      <c r="CH645" s="1"/>
      <c r="CI645" s="1"/>
      <c r="CJ645" s="1" t="s">
        <v>1357</v>
      </c>
      <c r="CK645" t="s">
        <v>1264</v>
      </c>
      <c r="CL645">
        <v>62</v>
      </c>
      <c r="CM645" t="s">
        <v>2985</v>
      </c>
    </row>
    <row r="646" spans="1:91" ht="19" customHeight="1">
      <c r="A646" s="1" t="s">
        <v>4427</v>
      </c>
      <c r="B646" s="1" t="s">
        <v>1245</v>
      </c>
      <c r="C646" s="1">
        <v>63</v>
      </c>
      <c r="D646" s="1" t="s">
        <v>4419</v>
      </c>
      <c r="E646" s="1">
        <v>2010</v>
      </c>
      <c r="F646" s="1" t="s">
        <v>982</v>
      </c>
      <c r="G646" s="1" t="s">
        <v>1623</v>
      </c>
      <c r="H646" s="4">
        <v>-43.497100000000003</v>
      </c>
      <c r="I646" s="4">
        <v>172.71789999999999</v>
      </c>
      <c r="J646" s="1" t="s">
        <v>1396</v>
      </c>
      <c r="K646" s="1" t="s">
        <v>75</v>
      </c>
      <c r="L646" s="1" t="s">
        <v>1624</v>
      </c>
      <c r="M646" s="1" t="s">
        <v>3545</v>
      </c>
      <c r="N646" s="1"/>
      <c r="O646" s="1" t="s">
        <v>3095</v>
      </c>
      <c r="P646" s="1"/>
      <c r="Q646" s="4">
        <v>7.02</v>
      </c>
      <c r="R646" s="4">
        <v>10.67</v>
      </c>
      <c r="S646" s="4"/>
      <c r="T646" s="4">
        <v>54.61</v>
      </c>
      <c r="U646" s="4"/>
      <c r="V646" s="4">
        <v>15.1</v>
      </c>
      <c r="W646" s="4">
        <v>57.5</v>
      </c>
      <c r="X646" s="4">
        <v>333.28</v>
      </c>
      <c r="Y646" s="4">
        <v>68.279999999999973</v>
      </c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1"/>
      <c r="BJ646" s="1" t="s">
        <v>4428</v>
      </c>
      <c r="BK646" s="1">
        <v>1</v>
      </c>
      <c r="BL646" s="1"/>
      <c r="BM646" s="1" t="s">
        <v>620</v>
      </c>
      <c r="BN646" s="1" t="s">
        <v>2792</v>
      </c>
      <c r="BO646" s="1" t="s">
        <v>2793</v>
      </c>
      <c r="BP646" s="1">
        <v>7.02</v>
      </c>
      <c r="BQ646" s="1" t="s">
        <v>1003</v>
      </c>
      <c r="BR646" s="1">
        <v>-43.614800000000002</v>
      </c>
      <c r="BS646" s="1">
        <v>172.0386</v>
      </c>
      <c r="BT646" s="1">
        <v>10.84</v>
      </c>
      <c r="BU646" s="1" t="s">
        <v>730</v>
      </c>
      <c r="BV646" s="1" t="s">
        <v>2922</v>
      </c>
      <c r="BW646" s="1">
        <v>85</v>
      </c>
      <c r="BX646" s="1">
        <v>82</v>
      </c>
      <c r="BY646" s="1">
        <v>154</v>
      </c>
      <c r="BZ646" s="1"/>
      <c r="CA646" s="1"/>
      <c r="CB646" s="1"/>
      <c r="CC646" s="1" t="s">
        <v>2973</v>
      </c>
      <c r="CD646" s="1" t="s">
        <v>731</v>
      </c>
      <c r="CE646" s="1"/>
      <c r="CF646" s="1"/>
      <c r="CG646" s="1"/>
      <c r="CH646" s="1"/>
      <c r="CI646" s="1"/>
      <c r="CJ646" s="1" t="s">
        <v>1357</v>
      </c>
      <c r="CK646" t="s">
        <v>1264</v>
      </c>
      <c r="CL646">
        <v>63</v>
      </c>
      <c r="CM646" t="s">
        <v>2985</v>
      </c>
    </row>
    <row r="647" spans="1:91" ht="19" customHeight="1">
      <c r="A647" s="1" t="s">
        <v>4429</v>
      </c>
      <c r="B647" s="1" t="s">
        <v>1245</v>
      </c>
      <c r="C647" s="1">
        <v>64</v>
      </c>
      <c r="D647" s="1" t="s">
        <v>4419</v>
      </c>
      <c r="E647" s="1">
        <v>2010</v>
      </c>
      <c r="F647" s="1" t="s">
        <v>983</v>
      </c>
      <c r="G647" s="1" t="s">
        <v>1631</v>
      </c>
      <c r="H647" s="4">
        <v>-43.523600000000002</v>
      </c>
      <c r="I647" s="4">
        <v>172.63499999999999</v>
      </c>
      <c r="J647" s="1" t="s">
        <v>1396</v>
      </c>
      <c r="K647" s="1" t="s">
        <v>75</v>
      </c>
      <c r="L647" s="1" t="s">
        <v>1633</v>
      </c>
      <c r="M647" s="1" t="s">
        <v>3545</v>
      </c>
      <c r="N647" s="1"/>
      <c r="O647" s="1" t="s">
        <v>3095</v>
      </c>
      <c r="P647" s="1"/>
      <c r="Q647" s="4">
        <v>7.02</v>
      </c>
      <c r="R647" s="4">
        <v>12.02</v>
      </c>
      <c r="S647" s="4"/>
      <c r="T647" s="4">
        <v>256.2</v>
      </c>
      <c r="U647" s="4"/>
      <c r="V647" s="4">
        <v>8</v>
      </c>
      <c r="W647" s="4">
        <v>50.4</v>
      </c>
      <c r="X647" s="4">
        <v>346.84</v>
      </c>
      <c r="Y647" s="4">
        <v>81.839999999999975</v>
      </c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1"/>
      <c r="BJ647" s="1" t="s">
        <v>4430</v>
      </c>
      <c r="BK647" s="1">
        <v>1</v>
      </c>
      <c r="BL647" s="1"/>
      <c r="BM647" s="1" t="s">
        <v>620</v>
      </c>
      <c r="BN647" s="1" t="s">
        <v>2792</v>
      </c>
      <c r="BO647" s="1" t="s">
        <v>2793</v>
      </c>
      <c r="BP647" s="1">
        <v>7.02</v>
      </c>
      <c r="BQ647" s="1" t="s">
        <v>1003</v>
      </c>
      <c r="BR647" s="1">
        <v>-43.614800000000002</v>
      </c>
      <c r="BS647" s="1">
        <v>172.0386</v>
      </c>
      <c r="BT647" s="1">
        <v>10.84</v>
      </c>
      <c r="BU647" s="1" t="s">
        <v>730</v>
      </c>
      <c r="BV647" s="1" t="s">
        <v>2922</v>
      </c>
      <c r="BW647" s="1">
        <v>85</v>
      </c>
      <c r="BX647" s="1">
        <v>82</v>
      </c>
      <c r="BY647" s="1">
        <v>154</v>
      </c>
      <c r="BZ647" s="1"/>
      <c r="CA647" s="1"/>
      <c r="CB647" s="1"/>
      <c r="CC647" s="1" t="s">
        <v>2973</v>
      </c>
      <c r="CD647" s="1" t="s">
        <v>731</v>
      </c>
      <c r="CE647" s="1"/>
      <c r="CF647" s="1"/>
      <c r="CG647" s="1"/>
      <c r="CH647" s="1"/>
      <c r="CI647" s="1"/>
      <c r="CJ647" s="1" t="s">
        <v>1357</v>
      </c>
      <c r="CK647" t="s">
        <v>1264</v>
      </c>
      <c r="CL647">
        <v>64</v>
      </c>
      <c r="CM647" t="s">
        <v>2985</v>
      </c>
    </row>
    <row r="648" spans="1:91" ht="19" customHeight="1">
      <c r="A648" s="1" t="s">
        <v>4431</v>
      </c>
      <c r="B648" s="1" t="s">
        <v>1245</v>
      </c>
      <c r="C648" s="1">
        <v>65</v>
      </c>
      <c r="D648" s="1" t="s">
        <v>4419</v>
      </c>
      <c r="E648" s="1">
        <v>2010</v>
      </c>
      <c r="F648" s="1" t="s">
        <v>984</v>
      </c>
      <c r="G648" s="1" t="s">
        <v>1634</v>
      </c>
      <c r="H648" s="4">
        <v>-43.536200000000001</v>
      </c>
      <c r="I648" s="4">
        <v>172.56440000000001</v>
      </c>
      <c r="J648" s="1" t="s">
        <v>1396</v>
      </c>
      <c r="K648" s="1" t="s">
        <v>75</v>
      </c>
      <c r="L648" s="1" t="s">
        <v>1635</v>
      </c>
      <c r="M648" s="1" t="s">
        <v>3545</v>
      </c>
      <c r="N648" s="1"/>
      <c r="O648" s="1" t="s">
        <v>3095</v>
      </c>
      <c r="P648" s="1"/>
      <c r="Q648" s="4">
        <v>7.02</v>
      </c>
      <c r="R648" s="4">
        <v>9.35</v>
      </c>
      <c r="S648" s="4"/>
      <c r="T648" s="4">
        <v>63.96</v>
      </c>
      <c r="U648" s="4"/>
      <c r="V648" s="4">
        <v>4.2</v>
      </c>
      <c r="W648" s="4">
        <v>44.6</v>
      </c>
      <c r="X648" s="4">
        <v>354.18</v>
      </c>
      <c r="Y648" s="4">
        <v>89.18</v>
      </c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1"/>
      <c r="BJ648" s="1" t="s">
        <v>4432</v>
      </c>
      <c r="BK648" s="1">
        <v>1</v>
      </c>
      <c r="BL648" s="1"/>
      <c r="BM648" s="1" t="s">
        <v>620</v>
      </c>
      <c r="BN648" s="1" t="s">
        <v>2792</v>
      </c>
      <c r="BO648" s="1" t="s">
        <v>2793</v>
      </c>
      <c r="BP648" s="1">
        <v>7.02</v>
      </c>
      <c r="BQ648" s="1" t="s">
        <v>1003</v>
      </c>
      <c r="BR648" s="1">
        <v>-43.614800000000002</v>
      </c>
      <c r="BS648" s="1">
        <v>172.0386</v>
      </c>
      <c r="BT648" s="1">
        <v>10.84</v>
      </c>
      <c r="BU648" s="1" t="s">
        <v>730</v>
      </c>
      <c r="BV648" s="1" t="s">
        <v>2922</v>
      </c>
      <c r="BW648" s="1">
        <v>85</v>
      </c>
      <c r="BX648" s="1">
        <v>82</v>
      </c>
      <c r="BY648" s="1">
        <v>154</v>
      </c>
      <c r="BZ648" s="1"/>
      <c r="CA648" s="1"/>
      <c r="CB648" s="1"/>
      <c r="CC648" s="1" t="s">
        <v>2973</v>
      </c>
      <c r="CD648" s="1" t="s">
        <v>731</v>
      </c>
      <c r="CE648" s="1"/>
      <c r="CF648" s="1"/>
      <c r="CG648" s="1"/>
      <c r="CH648" s="1"/>
      <c r="CI648" s="1"/>
      <c r="CJ648" s="1" t="s">
        <v>1357</v>
      </c>
      <c r="CK648" t="s">
        <v>1264</v>
      </c>
      <c r="CL648">
        <v>65</v>
      </c>
      <c r="CM648" t="s">
        <v>2985</v>
      </c>
    </row>
    <row r="649" spans="1:91" ht="19" customHeight="1">
      <c r="A649" s="1" t="s">
        <v>4433</v>
      </c>
      <c r="B649" s="1" t="s">
        <v>1245</v>
      </c>
      <c r="C649" s="1">
        <v>66</v>
      </c>
      <c r="D649" s="1" t="s">
        <v>4419</v>
      </c>
      <c r="E649" s="1">
        <v>2010</v>
      </c>
      <c r="F649" s="1" t="s">
        <v>985</v>
      </c>
      <c r="G649" s="1" t="s">
        <v>1638</v>
      </c>
      <c r="H649" s="4">
        <v>-43.594499999999996</v>
      </c>
      <c r="I649" s="4">
        <v>172.381</v>
      </c>
      <c r="J649" s="1" t="s">
        <v>1396</v>
      </c>
      <c r="K649" s="1" t="s">
        <v>70</v>
      </c>
      <c r="L649" s="1" t="s">
        <v>1640</v>
      </c>
      <c r="M649" s="1" t="s">
        <v>3545</v>
      </c>
      <c r="N649" s="1"/>
      <c r="O649" s="1" t="s">
        <v>3095</v>
      </c>
      <c r="P649" s="1"/>
      <c r="Q649" s="4">
        <v>7.02</v>
      </c>
      <c r="R649" s="4">
        <v>6.9</v>
      </c>
      <c r="S649" s="4"/>
      <c r="T649" s="4">
        <v>82.22</v>
      </c>
      <c r="U649" s="4"/>
      <c r="V649" s="4">
        <v>2.4</v>
      </c>
      <c r="W649" s="4">
        <v>29.8</v>
      </c>
      <c r="X649" s="4">
        <v>343.22</v>
      </c>
      <c r="Y649" s="4">
        <v>78.220000000000027</v>
      </c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1"/>
      <c r="BJ649" s="1" t="s">
        <v>4434</v>
      </c>
      <c r="BK649" s="1">
        <v>1</v>
      </c>
      <c r="BL649" s="1"/>
      <c r="BM649" s="1" t="s">
        <v>620</v>
      </c>
      <c r="BN649" s="1" t="s">
        <v>2792</v>
      </c>
      <c r="BO649" s="1" t="s">
        <v>2793</v>
      </c>
      <c r="BP649" s="1">
        <v>7.02</v>
      </c>
      <c r="BQ649" s="1" t="s">
        <v>1003</v>
      </c>
      <c r="BR649" s="1">
        <v>-43.614800000000002</v>
      </c>
      <c r="BS649" s="1">
        <v>172.0386</v>
      </c>
      <c r="BT649" s="1">
        <v>10.84</v>
      </c>
      <c r="BU649" s="1" t="s">
        <v>730</v>
      </c>
      <c r="BV649" s="1" t="s">
        <v>2922</v>
      </c>
      <c r="BW649" s="1">
        <v>85</v>
      </c>
      <c r="BX649" s="1">
        <v>82</v>
      </c>
      <c r="BY649" s="1">
        <v>154</v>
      </c>
      <c r="BZ649" s="1"/>
      <c r="CA649" s="1"/>
      <c r="CB649" s="1"/>
      <c r="CC649" s="1" t="s">
        <v>2973</v>
      </c>
      <c r="CD649" s="1" t="s">
        <v>731</v>
      </c>
      <c r="CE649" s="1"/>
      <c r="CF649" s="1"/>
      <c r="CG649" s="1"/>
      <c r="CH649" s="1"/>
      <c r="CI649" s="1"/>
      <c r="CJ649" s="1" t="s">
        <v>1357</v>
      </c>
      <c r="CK649" t="s">
        <v>1264</v>
      </c>
      <c r="CL649">
        <v>66</v>
      </c>
      <c r="CM649" t="s">
        <v>2985</v>
      </c>
    </row>
    <row r="650" spans="1:91" ht="19" customHeight="1">
      <c r="A650" s="1" t="s">
        <v>4435</v>
      </c>
      <c r="B650" s="1" t="s">
        <v>1245</v>
      </c>
      <c r="C650" s="1">
        <v>67</v>
      </c>
      <c r="D650" s="1" t="s">
        <v>4419</v>
      </c>
      <c r="E650" s="1">
        <v>2010</v>
      </c>
      <c r="F650" s="1" t="s">
        <v>986</v>
      </c>
      <c r="G650" s="1" t="s">
        <v>1645</v>
      </c>
      <c r="H650" s="4">
        <v>-43.505299999999998</v>
      </c>
      <c r="I650" s="4">
        <v>172.6634</v>
      </c>
      <c r="J650" s="1" t="s">
        <v>1396</v>
      </c>
      <c r="K650" s="1" t="s">
        <v>75</v>
      </c>
      <c r="L650" s="1" t="s">
        <v>1646</v>
      </c>
      <c r="M650" s="1" t="s">
        <v>3545</v>
      </c>
      <c r="N650" s="1"/>
      <c r="O650" s="1" t="s">
        <v>3095</v>
      </c>
      <c r="P650" s="1"/>
      <c r="Q650" s="4">
        <v>7.02</v>
      </c>
      <c r="R650" s="4">
        <v>8.3699999999999992</v>
      </c>
      <c r="S650" s="4"/>
      <c r="T650" s="4">
        <v>62.3</v>
      </c>
      <c r="U650" s="4"/>
      <c r="V650" s="4">
        <v>10.9</v>
      </c>
      <c r="W650" s="4">
        <v>53</v>
      </c>
      <c r="X650" s="4">
        <v>334.21</v>
      </c>
      <c r="Y650" s="4">
        <v>69.20999999999998</v>
      </c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1"/>
      <c r="BJ650" s="1" t="s">
        <v>4436</v>
      </c>
      <c r="BK650" s="1">
        <v>1</v>
      </c>
      <c r="BL650" s="1"/>
      <c r="BM650" s="1" t="s">
        <v>620</v>
      </c>
      <c r="BN650" s="1" t="s">
        <v>2792</v>
      </c>
      <c r="BO650" s="1" t="s">
        <v>2793</v>
      </c>
      <c r="BP650" s="1">
        <v>7.02</v>
      </c>
      <c r="BQ650" s="1" t="s">
        <v>1003</v>
      </c>
      <c r="BR650" s="1">
        <v>-43.614800000000002</v>
      </c>
      <c r="BS650" s="1">
        <v>172.0386</v>
      </c>
      <c r="BT650" s="1">
        <v>10.84</v>
      </c>
      <c r="BU650" s="1" t="s">
        <v>730</v>
      </c>
      <c r="BV650" s="1" t="s">
        <v>2922</v>
      </c>
      <c r="BW650" s="1">
        <v>85</v>
      </c>
      <c r="BX650" s="1">
        <v>82</v>
      </c>
      <c r="BY650" s="1">
        <v>154</v>
      </c>
      <c r="BZ650" s="1"/>
      <c r="CA650" s="1"/>
      <c r="CB650" s="1"/>
      <c r="CC650" s="1" t="s">
        <v>2973</v>
      </c>
      <c r="CD650" s="1" t="s">
        <v>731</v>
      </c>
      <c r="CE650" s="1"/>
      <c r="CF650" s="1"/>
      <c r="CG650" s="1"/>
      <c r="CH650" s="1"/>
      <c r="CI650" s="1"/>
      <c r="CJ650" s="1" t="s">
        <v>1357</v>
      </c>
      <c r="CK650" t="s">
        <v>1264</v>
      </c>
      <c r="CL650">
        <v>67</v>
      </c>
      <c r="CM650" t="s">
        <v>2985</v>
      </c>
    </row>
    <row r="651" spans="1:91" ht="19" customHeight="1">
      <c r="A651" s="1" t="s">
        <v>4437</v>
      </c>
      <c r="B651" s="1" t="s">
        <v>1245</v>
      </c>
      <c r="C651" s="1">
        <v>68</v>
      </c>
      <c r="D651" s="1" t="s">
        <v>4419</v>
      </c>
      <c r="E651" s="1">
        <v>2010</v>
      </c>
      <c r="F651" s="1" t="s">
        <v>987</v>
      </c>
      <c r="G651" s="1" t="s">
        <v>1647</v>
      </c>
      <c r="H651" s="4">
        <v>-43.467500000000001</v>
      </c>
      <c r="I651" s="4">
        <v>172.6139</v>
      </c>
      <c r="J651" s="1" t="s">
        <v>1396</v>
      </c>
      <c r="K651" s="1" t="s">
        <v>75</v>
      </c>
      <c r="L651" s="1" t="s">
        <v>1648</v>
      </c>
      <c r="M651" s="1" t="s">
        <v>3545</v>
      </c>
      <c r="N651" s="1"/>
      <c r="O651" s="1" t="s">
        <v>3095</v>
      </c>
      <c r="P651" s="1"/>
      <c r="Q651" s="4">
        <v>7.02</v>
      </c>
      <c r="R651" s="4">
        <v>9.23</v>
      </c>
      <c r="S651" s="4"/>
      <c r="T651" s="4">
        <v>61.8</v>
      </c>
      <c r="U651" s="4"/>
      <c r="V651" s="4">
        <v>12.2</v>
      </c>
      <c r="W651" s="4">
        <v>50.4</v>
      </c>
      <c r="X651" s="4">
        <v>331.53</v>
      </c>
      <c r="Y651" s="4">
        <v>66.529999999999973</v>
      </c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1"/>
      <c r="BJ651" s="1" t="s">
        <v>4438</v>
      </c>
      <c r="BK651" s="1">
        <v>1</v>
      </c>
      <c r="BL651" s="1"/>
      <c r="BM651" s="1" t="s">
        <v>620</v>
      </c>
      <c r="BN651" s="1" t="s">
        <v>2792</v>
      </c>
      <c r="BO651" s="1" t="s">
        <v>2793</v>
      </c>
      <c r="BP651" s="1">
        <v>7.02</v>
      </c>
      <c r="BQ651" s="1" t="s">
        <v>1003</v>
      </c>
      <c r="BR651" s="1">
        <v>-43.614800000000002</v>
      </c>
      <c r="BS651" s="1">
        <v>172.0386</v>
      </c>
      <c r="BT651" s="1">
        <v>10.84</v>
      </c>
      <c r="BU651" s="1" t="s">
        <v>730</v>
      </c>
      <c r="BV651" s="1" t="s">
        <v>2922</v>
      </c>
      <c r="BW651" s="1">
        <v>85</v>
      </c>
      <c r="BX651" s="1">
        <v>82</v>
      </c>
      <c r="BY651" s="1">
        <v>154</v>
      </c>
      <c r="BZ651" s="1"/>
      <c r="CA651" s="1"/>
      <c r="CB651" s="1"/>
      <c r="CC651" s="1" t="s">
        <v>2973</v>
      </c>
      <c r="CD651" s="1" t="s">
        <v>731</v>
      </c>
      <c r="CE651" s="1"/>
      <c r="CF651" s="1"/>
      <c r="CG651" s="1"/>
      <c r="CH651" s="1"/>
      <c r="CI651" s="1"/>
      <c r="CJ651" s="1" t="s">
        <v>1357</v>
      </c>
      <c r="CK651" t="s">
        <v>1264</v>
      </c>
      <c r="CL651">
        <v>68</v>
      </c>
      <c r="CM651" t="s">
        <v>2985</v>
      </c>
    </row>
    <row r="652" spans="1:91" ht="19" customHeight="1">
      <c r="A652" s="1" t="s">
        <v>4439</v>
      </c>
      <c r="B652" s="1" t="s">
        <v>1245</v>
      </c>
      <c r="C652" s="1">
        <v>69</v>
      </c>
      <c r="D652" s="1" t="s">
        <v>4419</v>
      </c>
      <c r="E652" s="1">
        <v>2010</v>
      </c>
      <c r="F652" s="1" t="s">
        <v>988</v>
      </c>
      <c r="G652" s="1" t="s">
        <v>1651</v>
      </c>
      <c r="H652" s="4">
        <v>-43.551699999999997</v>
      </c>
      <c r="I652" s="4">
        <v>172.4718</v>
      </c>
      <c r="J652" s="1" t="s">
        <v>1396</v>
      </c>
      <c r="K652" s="1" t="s">
        <v>70</v>
      </c>
      <c r="L652" s="1" t="s">
        <v>1653</v>
      </c>
      <c r="M652" s="1" t="s">
        <v>3545</v>
      </c>
      <c r="N652" s="1"/>
      <c r="O652" s="1" t="s">
        <v>3095</v>
      </c>
      <c r="P652" s="1"/>
      <c r="Q652" s="4">
        <v>7.02</v>
      </c>
      <c r="R652" s="4">
        <v>7.88</v>
      </c>
      <c r="S652" s="4"/>
      <c r="T652" s="4">
        <v>74.81</v>
      </c>
      <c r="U652" s="4"/>
      <c r="V652" s="4">
        <v>3.4</v>
      </c>
      <c r="W652" s="4">
        <v>37.299999999999997</v>
      </c>
      <c r="X652" s="4">
        <v>0.49</v>
      </c>
      <c r="Y652" s="4">
        <v>85</v>
      </c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1"/>
      <c r="BJ652" s="1" t="s">
        <v>4440</v>
      </c>
      <c r="BK652" s="1">
        <v>1</v>
      </c>
      <c r="BL652" s="1"/>
      <c r="BM652" s="1" t="s">
        <v>620</v>
      </c>
      <c r="BN652" s="1" t="s">
        <v>2792</v>
      </c>
      <c r="BO652" s="1" t="s">
        <v>2793</v>
      </c>
      <c r="BP652" s="1">
        <v>7.02</v>
      </c>
      <c r="BQ652" s="1" t="s">
        <v>1003</v>
      </c>
      <c r="BR652" s="1">
        <v>-43.614800000000002</v>
      </c>
      <c r="BS652" s="1">
        <v>172.0386</v>
      </c>
      <c r="BT652" s="1">
        <v>10.84</v>
      </c>
      <c r="BU652" s="1" t="s">
        <v>730</v>
      </c>
      <c r="BV652" s="1" t="s">
        <v>2922</v>
      </c>
      <c r="BW652" s="1">
        <v>85</v>
      </c>
      <c r="BX652" s="1">
        <v>82</v>
      </c>
      <c r="BY652" s="1">
        <v>154</v>
      </c>
      <c r="BZ652" s="1"/>
      <c r="CA652" s="1"/>
      <c r="CB652" s="1"/>
      <c r="CC652" s="1" t="s">
        <v>2973</v>
      </c>
      <c r="CD652" s="1" t="s">
        <v>731</v>
      </c>
      <c r="CE652" s="1"/>
      <c r="CF652" s="1"/>
      <c r="CG652" s="1"/>
      <c r="CH652" s="1"/>
      <c r="CI652" s="1"/>
      <c r="CJ652" s="1" t="s">
        <v>1357</v>
      </c>
      <c r="CK652" t="s">
        <v>1264</v>
      </c>
      <c r="CL652">
        <v>69</v>
      </c>
      <c r="CM652" t="s">
        <v>2985</v>
      </c>
    </row>
    <row r="653" spans="1:91" ht="19" customHeight="1">
      <c r="A653" s="1" t="s">
        <v>4441</v>
      </c>
      <c r="B653" s="1" t="s">
        <v>1245</v>
      </c>
      <c r="C653" s="1">
        <v>70</v>
      </c>
      <c r="D653" s="1" t="s">
        <v>1450</v>
      </c>
      <c r="E653" s="1">
        <v>2016</v>
      </c>
      <c r="F653" s="1" t="s">
        <v>1250</v>
      </c>
      <c r="G653" s="1" t="s">
        <v>1535</v>
      </c>
      <c r="H653" s="4">
        <v>32.634999999999998</v>
      </c>
      <c r="I653" s="4">
        <v>130.75200000000001</v>
      </c>
      <c r="J653" s="1" t="s">
        <v>1396</v>
      </c>
      <c r="K653" s="1" t="s">
        <v>79</v>
      </c>
      <c r="L653" s="1" t="s">
        <v>1536</v>
      </c>
      <c r="M653" s="1" t="s">
        <v>3545</v>
      </c>
      <c r="N653" s="1"/>
      <c r="O653" s="1" t="s">
        <v>3095</v>
      </c>
      <c r="P653" s="1"/>
      <c r="Q653" s="4">
        <v>6.1</v>
      </c>
      <c r="R653" s="4">
        <v>1.82</v>
      </c>
      <c r="S653" s="4"/>
      <c r="T653" s="4">
        <v>52.27</v>
      </c>
      <c r="U653" s="4"/>
      <c r="V653" s="4">
        <v>1.9</v>
      </c>
      <c r="W653" s="4">
        <v>9.6999999999999993</v>
      </c>
      <c r="X653" s="4">
        <v>347.65</v>
      </c>
      <c r="Y653" s="4">
        <v>37.350000000000023</v>
      </c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1"/>
      <c r="BJ653" s="1" t="s">
        <v>4442</v>
      </c>
      <c r="BK653" s="1">
        <v>1</v>
      </c>
      <c r="BL653" s="1"/>
      <c r="BM653" s="1" t="s">
        <v>669</v>
      </c>
      <c r="BN653" s="1" t="s">
        <v>2986</v>
      </c>
      <c r="BO653" s="1" t="s">
        <v>2987</v>
      </c>
      <c r="BP653" s="1">
        <v>6.1</v>
      </c>
      <c r="BQ653" s="1" t="s">
        <v>1003</v>
      </c>
      <c r="BR653" s="1">
        <v>32.741700000000002</v>
      </c>
      <c r="BS653" s="1">
        <v>130.80869999999999</v>
      </c>
      <c r="BT653" s="1">
        <v>11.39</v>
      </c>
      <c r="BU653" s="1" t="s">
        <v>730</v>
      </c>
      <c r="BV653" s="1" t="s">
        <v>2922</v>
      </c>
      <c r="BW653" s="1">
        <v>205</v>
      </c>
      <c r="BX653" s="1">
        <v>74</v>
      </c>
      <c r="BY653" s="1">
        <v>180</v>
      </c>
      <c r="BZ653" s="1"/>
      <c r="CA653" s="1"/>
      <c r="CB653" s="1"/>
      <c r="CC653" s="1" t="s">
        <v>2973</v>
      </c>
      <c r="CD653" s="1" t="s">
        <v>731</v>
      </c>
      <c r="CE653" s="1"/>
      <c r="CF653" s="1"/>
      <c r="CG653" s="1"/>
      <c r="CH653" s="1"/>
      <c r="CI653" s="1"/>
      <c r="CJ653" s="1" t="s">
        <v>1357</v>
      </c>
      <c r="CK653" t="s">
        <v>1264</v>
      </c>
      <c r="CL653">
        <v>70</v>
      </c>
      <c r="CM653" t="s">
        <v>2990</v>
      </c>
    </row>
    <row r="654" spans="1:91" ht="19" customHeight="1">
      <c r="A654" s="1" t="s">
        <v>4443</v>
      </c>
      <c r="B654" s="1" t="s">
        <v>1245</v>
      </c>
      <c r="C654" s="1">
        <v>71</v>
      </c>
      <c r="D654" s="1" t="s">
        <v>1450</v>
      </c>
      <c r="E654" s="1">
        <v>2016</v>
      </c>
      <c r="F654" s="1">
        <v>93020</v>
      </c>
      <c r="G654" s="1" t="s">
        <v>1444</v>
      </c>
      <c r="H654" s="4">
        <v>32.643000000000001</v>
      </c>
      <c r="I654" s="4">
        <v>130.67099999999999</v>
      </c>
      <c r="J654" s="1" t="s">
        <v>1396</v>
      </c>
      <c r="K654" s="1" t="s">
        <v>79</v>
      </c>
      <c r="L654" s="1" t="s">
        <v>1447</v>
      </c>
      <c r="M654" s="1" t="s">
        <v>3545</v>
      </c>
      <c r="N654" s="1"/>
      <c r="O654" s="1" t="s">
        <v>3095</v>
      </c>
      <c r="P654" s="1"/>
      <c r="Q654" s="4">
        <v>6.1</v>
      </c>
      <c r="R654" s="4">
        <v>1.26</v>
      </c>
      <c r="S654" s="4"/>
      <c r="T654" s="4">
        <v>39.01</v>
      </c>
      <c r="U654" s="4"/>
      <c r="V654" s="4">
        <v>7.7</v>
      </c>
      <c r="W654" s="4">
        <v>13.2</v>
      </c>
      <c r="X654" s="4">
        <v>344.85</v>
      </c>
      <c r="Y654" s="4">
        <v>40.149999999999977</v>
      </c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1"/>
      <c r="BJ654" s="1" t="s">
        <v>4444</v>
      </c>
      <c r="BK654" s="1">
        <v>1</v>
      </c>
      <c r="BL654" s="1"/>
      <c r="BM654" s="1" t="s">
        <v>669</v>
      </c>
      <c r="BN654" s="1" t="s">
        <v>2986</v>
      </c>
      <c r="BO654" s="1" t="s">
        <v>2987</v>
      </c>
      <c r="BP654" s="1">
        <v>6.1</v>
      </c>
      <c r="BQ654" s="1" t="s">
        <v>1003</v>
      </c>
      <c r="BR654" s="1">
        <v>32.741700000000002</v>
      </c>
      <c r="BS654" s="1">
        <v>130.80869999999999</v>
      </c>
      <c r="BT654" s="1">
        <v>11.39</v>
      </c>
      <c r="BU654" s="1" t="s">
        <v>730</v>
      </c>
      <c r="BV654" s="1" t="s">
        <v>2922</v>
      </c>
      <c r="BW654" s="1">
        <v>205</v>
      </c>
      <c r="BX654" s="1">
        <v>74</v>
      </c>
      <c r="BY654" s="1">
        <v>180</v>
      </c>
      <c r="BZ654" s="1"/>
      <c r="CA654" s="1"/>
      <c r="CB654" s="1"/>
      <c r="CC654" s="1" t="s">
        <v>2973</v>
      </c>
      <c r="CD654" s="1" t="s">
        <v>731</v>
      </c>
      <c r="CE654" s="1"/>
      <c r="CF654" s="1"/>
      <c r="CG654" s="1"/>
      <c r="CH654" s="1"/>
      <c r="CI654" s="1"/>
      <c r="CJ654" s="1" t="s">
        <v>1357</v>
      </c>
      <c r="CK654" t="s">
        <v>1264</v>
      </c>
      <c r="CL654">
        <v>71</v>
      </c>
      <c r="CM654" t="s">
        <v>2990</v>
      </c>
    </row>
    <row r="655" spans="1:91" ht="19" customHeight="1">
      <c r="A655" s="1" t="s">
        <v>4445</v>
      </c>
      <c r="B655" s="1" t="s">
        <v>1245</v>
      </c>
      <c r="C655" s="1">
        <v>72</v>
      </c>
      <c r="D655" s="1" t="s">
        <v>1450</v>
      </c>
      <c r="E655" s="1">
        <v>2016</v>
      </c>
      <c r="F655" s="1">
        <v>93021</v>
      </c>
      <c r="G655" s="1" t="s">
        <v>1448</v>
      </c>
      <c r="H655" s="4">
        <v>32.706000000000003</v>
      </c>
      <c r="I655" s="4">
        <v>130.73099999999999</v>
      </c>
      <c r="J655" s="1" t="s">
        <v>1396</v>
      </c>
      <c r="K655" s="1" t="s">
        <v>79</v>
      </c>
      <c r="L655" s="1" t="s">
        <v>1451</v>
      </c>
      <c r="M655" s="1" t="s">
        <v>3545</v>
      </c>
      <c r="N655" s="1"/>
      <c r="O655" s="1" t="s">
        <v>3095</v>
      </c>
      <c r="P655" s="1"/>
      <c r="Q655" s="4">
        <v>6.1</v>
      </c>
      <c r="R655" s="4">
        <v>1.81</v>
      </c>
      <c r="S655" s="4"/>
      <c r="T655" s="4">
        <v>57.82</v>
      </c>
      <c r="U655" s="4"/>
      <c r="V655" s="4">
        <v>4.4000000000000004</v>
      </c>
      <c r="W655" s="4">
        <v>7.3</v>
      </c>
      <c r="X655" s="4">
        <v>24.99</v>
      </c>
      <c r="Y655" s="4">
        <v>-1.000000000000156E-2</v>
      </c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1"/>
      <c r="BJ655" s="1" t="s">
        <v>4446</v>
      </c>
      <c r="BK655" s="1">
        <v>1</v>
      </c>
      <c r="BL655" s="1"/>
      <c r="BM655" s="1" t="s">
        <v>669</v>
      </c>
      <c r="BN655" s="1" t="s">
        <v>2986</v>
      </c>
      <c r="BO655" s="1" t="s">
        <v>2987</v>
      </c>
      <c r="BP655" s="1">
        <v>6.1</v>
      </c>
      <c r="BQ655" s="1" t="s">
        <v>1003</v>
      </c>
      <c r="BR655" s="1">
        <v>32.741700000000002</v>
      </c>
      <c r="BS655" s="1">
        <v>130.80869999999999</v>
      </c>
      <c r="BT655" s="1">
        <v>11.39</v>
      </c>
      <c r="BU655" s="1" t="s">
        <v>730</v>
      </c>
      <c r="BV655" s="1" t="s">
        <v>2922</v>
      </c>
      <c r="BW655" s="1">
        <v>205</v>
      </c>
      <c r="BX655" s="1">
        <v>74</v>
      </c>
      <c r="BY655" s="1">
        <v>180</v>
      </c>
      <c r="BZ655" s="1"/>
      <c r="CA655" s="1"/>
      <c r="CB655" s="1"/>
      <c r="CC655" s="1" t="s">
        <v>2973</v>
      </c>
      <c r="CD655" s="1" t="s">
        <v>731</v>
      </c>
      <c r="CE655" s="1"/>
      <c r="CF655" s="1"/>
      <c r="CG655" s="1"/>
      <c r="CH655" s="1"/>
      <c r="CI655" s="1"/>
      <c r="CJ655" s="1" t="s">
        <v>1357</v>
      </c>
      <c r="CK655" t="s">
        <v>1264</v>
      </c>
      <c r="CL655">
        <v>72</v>
      </c>
      <c r="CM655" t="s">
        <v>2990</v>
      </c>
    </row>
    <row r="656" spans="1:91" ht="19" customHeight="1">
      <c r="A656" s="1" t="s">
        <v>4447</v>
      </c>
      <c r="B656" s="1" t="s">
        <v>1245</v>
      </c>
      <c r="C656" s="1">
        <v>73</v>
      </c>
      <c r="D656" s="1" t="s">
        <v>1450</v>
      </c>
      <c r="E656" s="1">
        <v>2016</v>
      </c>
      <c r="F656" s="1">
        <v>93024</v>
      </c>
      <c r="G656" s="1" t="s">
        <v>1452</v>
      </c>
      <c r="H656" s="4">
        <v>32.588999999999999</v>
      </c>
      <c r="I656" s="4">
        <v>130.70699999999999</v>
      </c>
      <c r="J656" s="1" t="s">
        <v>1396</v>
      </c>
      <c r="K656" s="1" t="s">
        <v>79</v>
      </c>
      <c r="L656" s="1" t="s">
        <v>1454</v>
      </c>
      <c r="M656" s="1" t="s">
        <v>3545</v>
      </c>
      <c r="N656" s="1"/>
      <c r="O656" s="1" t="s">
        <v>3095</v>
      </c>
      <c r="P656" s="1"/>
      <c r="Q656" s="4">
        <v>6.1</v>
      </c>
      <c r="R656" s="4">
        <v>1.69</v>
      </c>
      <c r="S656" s="4"/>
      <c r="T656" s="4">
        <v>59.01</v>
      </c>
      <c r="U656" s="4"/>
      <c r="V656" s="4">
        <v>8.1</v>
      </c>
      <c r="W656" s="4">
        <v>15.2</v>
      </c>
      <c r="X656" s="4">
        <v>311.08</v>
      </c>
      <c r="Y656" s="4">
        <v>73.920000000000016</v>
      </c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1"/>
      <c r="BJ656" s="1" t="s">
        <v>4448</v>
      </c>
      <c r="BK656" s="1">
        <v>1</v>
      </c>
      <c r="BL656" s="1"/>
      <c r="BM656" s="1" t="s">
        <v>669</v>
      </c>
      <c r="BN656" s="1" t="s">
        <v>2986</v>
      </c>
      <c r="BO656" s="1" t="s">
        <v>2987</v>
      </c>
      <c r="BP656" s="1">
        <v>6.1</v>
      </c>
      <c r="BQ656" s="1" t="s">
        <v>1003</v>
      </c>
      <c r="BR656" s="1">
        <v>32.741700000000002</v>
      </c>
      <c r="BS656" s="1">
        <v>130.80869999999999</v>
      </c>
      <c r="BT656" s="1">
        <v>11.39</v>
      </c>
      <c r="BU656" s="1" t="s">
        <v>730</v>
      </c>
      <c r="BV656" s="1" t="s">
        <v>2922</v>
      </c>
      <c r="BW656" s="1">
        <v>205</v>
      </c>
      <c r="BX656" s="1">
        <v>74</v>
      </c>
      <c r="BY656" s="1">
        <v>180</v>
      </c>
      <c r="BZ656" s="1"/>
      <c r="CA656" s="1"/>
      <c r="CB656" s="1"/>
      <c r="CC656" s="1" t="s">
        <v>2973</v>
      </c>
      <c r="CD656" s="1" t="s">
        <v>731</v>
      </c>
      <c r="CE656" s="1"/>
      <c r="CF656" s="1"/>
      <c r="CG656" s="1"/>
      <c r="CH656" s="1"/>
      <c r="CI656" s="1"/>
      <c r="CJ656" s="1" t="s">
        <v>1357</v>
      </c>
      <c r="CK656" t="s">
        <v>1264</v>
      </c>
      <c r="CL656">
        <v>73</v>
      </c>
      <c r="CM656" t="s">
        <v>2990</v>
      </c>
    </row>
    <row r="657" spans="1:91" ht="19" customHeight="1">
      <c r="A657" s="1" t="s">
        <v>4449</v>
      </c>
      <c r="B657" s="1" t="s">
        <v>1245</v>
      </c>
      <c r="C657" s="1">
        <v>74</v>
      </c>
      <c r="D657" s="1" t="s">
        <v>1450</v>
      </c>
      <c r="E657" s="1">
        <v>2016</v>
      </c>
      <c r="F657" s="1">
        <v>93025</v>
      </c>
      <c r="G657" s="1" t="s">
        <v>1455</v>
      </c>
      <c r="H657" s="4">
        <v>32.636000000000003</v>
      </c>
      <c r="I657" s="4">
        <v>130.75200000000001</v>
      </c>
      <c r="J657" s="1" t="s">
        <v>1396</v>
      </c>
      <c r="K657" s="1" t="s">
        <v>79</v>
      </c>
      <c r="L657" s="1" t="s">
        <v>1457</v>
      </c>
      <c r="M657" s="1" t="s">
        <v>3545</v>
      </c>
      <c r="N657" s="1"/>
      <c r="O657" s="1" t="s">
        <v>3095</v>
      </c>
      <c r="P657" s="1"/>
      <c r="Q657" s="4">
        <v>6.1</v>
      </c>
      <c r="R657" s="4">
        <v>1.69</v>
      </c>
      <c r="S657" s="4"/>
      <c r="T657" s="4">
        <v>64.489999999999995</v>
      </c>
      <c r="U657" s="4"/>
      <c r="V657" s="4">
        <v>1.8</v>
      </c>
      <c r="W657" s="4">
        <v>9.6</v>
      </c>
      <c r="X657" s="4">
        <v>345.94</v>
      </c>
      <c r="Y657" s="4">
        <v>39.06</v>
      </c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1"/>
      <c r="BJ657" s="1" t="s">
        <v>4450</v>
      </c>
      <c r="BK657" s="1">
        <v>1</v>
      </c>
      <c r="BL657" s="1"/>
      <c r="BM657" s="1" t="s">
        <v>669</v>
      </c>
      <c r="BN657" s="1" t="s">
        <v>2986</v>
      </c>
      <c r="BO657" s="1" t="s">
        <v>2987</v>
      </c>
      <c r="BP657" s="1">
        <v>6.1</v>
      </c>
      <c r="BQ657" s="1" t="s">
        <v>1003</v>
      </c>
      <c r="BR657" s="1">
        <v>32.741700000000002</v>
      </c>
      <c r="BS657" s="1">
        <v>130.80869999999999</v>
      </c>
      <c r="BT657" s="1">
        <v>11.39</v>
      </c>
      <c r="BU657" s="1" t="s">
        <v>730</v>
      </c>
      <c r="BV657" s="1" t="s">
        <v>2922</v>
      </c>
      <c r="BW657" s="1">
        <v>205</v>
      </c>
      <c r="BX657" s="1">
        <v>74</v>
      </c>
      <c r="BY657" s="1">
        <v>180</v>
      </c>
      <c r="BZ657" s="1"/>
      <c r="CA657" s="1"/>
      <c r="CB657" s="1"/>
      <c r="CC657" s="1" t="s">
        <v>2973</v>
      </c>
      <c r="CD657" s="1" t="s">
        <v>731</v>
      </c>
      <c r="CE657" s="1"/>
      <c r="CF657" s="1"/>
      <c r="CG657" s="1"/>
      <c r="CH657" s="1"/>
      <c r="CI657" s="1"/>
      <c r="CJ657" s="1" t="s">
        <v>1357</v>
      </c>
      <c r="CK657" t="s">
        <v>1264</v>
      </c>
      <c r="CL657">
        <v>74</v>
      </c>
      <c r="CM657" t="s">
        <v>2990</v>
      </c>
    </row>
    <row r="658" spans="1:91" ht="19" customHeight="1">
      <c r="A658" s="1" t="s">
        <v>4451</v>
      </c>
      <c r="B658" s="1" t="s">
        <v>1245</v>
      </c>
      <c r="C658" s="1">
        <v>75</v>
      </c>
      <c r="D658" s="1" t="s">
        <v>1450</v>
      </c>
      <c r="E658" s="1">
        <v>2016</v>
      </c>
      <c r="F658" s="1">
        <v>93050</v>
      </c>
      <c r="G658" s="1" t="s">
        <v>1476</v>
      </c>
      <c r="H658" s="4">
        <v>32.735999999999997</v>
      </c>
      <c r="I658" s="4">
        <v>130.75899999999999</v>
      </c>
      <c r="J658" s="1" t="s">
        <v>1396</v>
      </c>
      <c r="K658" s="1" t="s">
        <v>79</v>
      </c>
      <c r="L658" s="1" t="s">
        <v>1478</v>
      </c>
      <c r="M658" s="1" t="s">
        <v>3545</v>
      </c>
      <c r="N658" s="1"/>
      <c r="O658" s="1" t="s">
        <v>3095</v>
      </c>
      <c r="P658" s="1"/>
      <c r="Q658" s="4">
        <v>6.1</v>
      </c>
      <c r="R658" s="4">
        <v>2.4500000000000002</v>
      </c>
      <c r="S658" s="4"/>
      <c r="T658" s="4">
        <v>43.2</v>
      </c>
      <c r="U658" s="4"/>
      <c r="V658" s="4">
        <v>3.5</v>
      </c>
      <c r="W658" s="4">
        <v>7.3</v>
      </c>
      <c r="X658" s="4">
        <v>334.29</v>
      </c>
      <c r="Y658" s="4">
        <v>50.70999999999998</v>
      </c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1"/>
      <c r="BJ658" s="1" t="s">
        <v>4452</v>
      </c>
      <c r="BK658" s="1">
        <v>1</v>
      </c>
      <c r="BL658" s="1"/>
      <c r="BM658" s="1" t="s">
        <v>669</v>
      </c>
      <c r="BN658" s="1" t="s">
        <v>2986</v>
      </c>
      <c r="BO658" s="1" t="s">
        <v>2987</v>
      </c>
      <c r="BP658" s="1">
        <v>6.1</v>
      </c>
      <c r="BQ658" s="1" t="s">
        <v>1003</v>
      </c>
      <c r="BR658" s="1">
        <v>32.741700000000002</v>
      </c>
      <c r="BS658" s="1">
        <v>130.80869999999999</v>
      </c>
      <c r="BT658" s="1">
        <v>11.39</v>
      </c>
      <c r="BU658" s="1" t="s">
        <v>730</v>
      </c>
      <c r="BV658" s="1" t="s">
        <v>2922</v>
      </c>
      <c r="BW658" s="1">
        <v>205</v>
      </c>
      <c r="BX658" s="1">
        <v>74</v>
      </c>
      <c r="BY658" s="1">
        <v>180</v>
      </c>
      <c r="BZ658" s="1"/>
      <c r="CA658" s="1"/>
      <c r="CB658" s="1"/>
      <c r="CC658" s="1" t="s">
        <v>2973</v>
      </c>
      <c r="CD658" s="1" t="s">
        <v>731</v>
      </c>
      <c r="CE658" s="1"/>
      <c r="CF658" s="1"/>
      <c r="CG658" s="1"/>
      <c r="CH658" s="1"/>
      <c r="CI658" s="1"/>
      <c r="CJ658" s="1" t="s">
        <v>1357</v>
      </c>
      <c r="CK658" t="s">
        <v>1264</v>
      </c>
      <c r="CL658">
        <v>75</v>
      </c>
      <c r="CM658" t="s">
        <v>2990</v>
      </c>
    </row>
    <row r="659" spans="1:91" ht="19" customHeight="1">
      <c r="A659" s="1" t="s">
        <v>4453</v>
      </c>
      <c r="B659" s="1" t="s">
        <v>1245</v>
      </c>
      <c r="C659" s="1">
        <v>76</v>
      </c>
      <c r="D659" s="1" t="s">
        <v>1450</v>
      </c>
      <c r="E659" s="1">
        <v>2016</v>
      </c>
      <c r="F659" s="1">
        <v>93051</v>
      </c>
      <c r="G659" s="1" t="s">
        <v>1479</v>
      </c>
      <c r="H659" s="4">
        <v>32.787999999999997</v>
      </c>
      <c r="I659" s="4">
        <v>130.81899999999999</v>
      </c>
      <c r="J659" s="1" t="s">
        <v>1396</v>
      </c>
      <c r="K659" s="1" t="s">
        <v>79</v>
      </c>
      <c r="L659" s="1" t="s">
        <v>1481</v>
      </c>
      <c r="M659" s="1" t="s">
        <v>3545</v>
      </c>
      <c r="N659" s="1"/>
      <c r="O659" s="1" t="s">
        <v>3095</v>
      </c>
      <c r="P659" s="1"/>
      <c r="Q659" s="4">
        <v>6.1</v>
      </c>
      <c r="R659" s="4">
        <v>1.1599999999999999</v>
      </c>
      <c r="S659" s="4"/>
      <c r="T659" s="4">
        <v>74.62</v>
      </c>
      <c r="U659" s="4"/>
      <c r="V659" s="4">
        <v>4.5999999999999996</v>
      </c>
      <c r="W659" s="4">
        <v>12.1</v>
      </c>
      <c r="X659" s="4">
        <v>72.069999999999993</v>
      </c>
      <c r="Y659" s="4">
        <v>47.069999999999993</v>
      </c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1"/>
      <c r="BJ659" s="1" t="s">
        <v>4454</v>
      </c>
      <c r="BK659" s="1">
        <v>1</v>
      </c>
      <c r="BL659" s="1"/>
      <c r="BM659" s="1" t="s">
        <v>669</v>
      </c>
      <c r="BN659" s="1" t="s">
        <v>2986</v>
      </c>
      <c r="BO659" s="1" t="s">
        <v>2987</v>
      </c>
      <c r="BP659" s="1">
        <v>6.1</v>
      </c>
      <c r="BQ659" s="1" t="s">
        <v>1003</v>
      </c>
      <c r="BR659" s="1">
        <v>32.741700000000002</v>
      </c>
      <c r="BS659" s="1">
        <v>130.80869999999999</v>
      </c>
      <c r="BT659" s="1">
        <v>11.39</v>
      </c>
      <c r="BU659" s="1" t="s">
        <v>730</v>
      </c>
      <c r="BV659" s="1" t="s">
        <v>2922</v>
      </c>
      <c r="BW659" s="1">
        <v>205</v>
      </c>
      <c r="BX659" s="1">
        <v>74</v>
      </c>
      <c r="BY659" s="1">
        <v>180</v>
      </c>
      <c r="BZ659" s="1"/>
      <c r="CA659" s="1"/>
      <c r="CB659" s="1"/>
      <c r="CC659" s="1" t="s">
        <v>2973</v>
      </c>
      <c r="CD659" s="1" t="s">
        <v>731</v>
      </c>
      <c r="CE659" s="1"/>
      <c r="CF659" s="1"/>
      <c r="CG659" s="1"/>
      <c r="CH659" s="1"/>
      <c r="CI659" s="1"/>
      <c r="CJ659" s="1" t="s">
        <v>1357</v>
      </c>
      <c r="CK659" t="s">
        <v>1264</v>
      </c>
      <c r="CL659">
        <v>76</v>
      </c>
      <c r="CM659" t="s">
        <v>2990</v>
      </c>
    </row>
    <row r="660" spans="1:91" ht="19" customHeight="1">
      <c r="A660" s="1" t="s">
        <v>4455</v>
      </c>
      <c r="B660" s="1" t="s">
        <v>1245</v>
      </c>
      <c r="C660" s="1">
        <v>77</v>
      </c>
      <c r="D660" s="1" t="s">
        <v>1450</v>
      </c>
      <c r="E660" s="1">
        <v>2016</v>
      </c>
      <c r="F660" s="1">
        <v>93055</v>
      </c>
      <c r="G660" s="1" t="s">
        <v>1482</v>
      </c>
      <c r="H660" s="4">
        <v>32.530999999999999</v>
      </c>
      <c r="I660" s="4">
        <v>130.63499999999999</v>
      </c>
      <c r="J660" s="1" t="s">
        <v>1396</v>
      </c>
      <c r="K660" s="1" t="s">
        <v>79</v>
      </c>
      <c r="L660" s="1" t="s">
        <v>1484</v>
      </c>
      <c r="M660" s="1" t="s">
        <v>3545</v>
      </c>
      <c r="N660" s="1"/>
      <c r="O660" s="1" t="s">
        <v>3095</v>
      </c>
      <c r="P660" s="1"/>
      <c r="Q660" s="4">
        <v>6.1</v>
      </c>
      <c r="R660" s="4">
        <v>1.75</v>
      </c>
      <c r="S660" s="4"/>
      <c r="T660" s="4">
        <v>26.27</v>
      </c>
      <c r="U660" s="4"/>
      <c r="V660" s="4">
        <v>17.2</v>
      </c>
      <c r="W660" s="4">
        <v>23.8</v>
      </c>
      <c r="X660" s="4">
        <v>319.81</v>
      </c>
      <c r="Y660" s="4">
        <v>65.19</v>
      </c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1"/>
      <c r="BJ660" s="1" t="s">
        <v>4456</v>
      </c>
      <c r="BK660" s="1">
        <v>1</v>
      </c>
      <c r="BL660" s="1"/>
      <c r="BM660" s="1" t="s">
        <v>669</v>
      </c>
      <c r="BN660" s="1" t="s">
        <v>2986</v>
      </c>
      <c r="BO660" s="1" t="s">
        <v>2987</v>
      </c>
      <c r="BP660" s="1">
        <v>6.1</v>
      </c>
      <c r="BQ660" s="1" t="s">
        <v>1003</v>
      </c>
      <c r="BR660" s="1">
        <v>32.741700000000002</v>
      </c>
      <c r="BS660" s="1">
        <v>130.80869999999999</v>
      </c>
      <c r="BT660" s="1">
        <v>11.39</v>
      </c>
      <c r="BU660" s="1" t="s">
        <v>730</v>
      </c>
      <c r="BV660" s="1" t="s">
        <v>2922</v>
      </c>
      <c r="BW660" s="1">
        <v>205</v>
      </c>
      <c r="BX660" s="1">
        <v>74</v>
      </c>
      <c r="BY660" s="1">
        <v>180</v>
      </c>
      <c r="BZ660" s="1"/>
      <c r="CA660" s="1"/>
      <c r="CB660" s="1"/>
      <c r="CC660" s="1" t="s">
        <v>2973</v>
      </c>
      <c r="CD660" s="1" t="s">
        <v>731</v>
      </c>
      <c r="CE660" s="1"/>
      <c r="CF660" s="1"/>
      <c r="CG660" s="1"/>
      <c r="CH660" s="1"/>
      <c r="CI660" s="1"/>
      <c r="CJ660" s="1" t="s">
        <v>1357</v>
      </c>
      <c r="CK660" t="s">
        <v>1264</v>
      </c>
      <c r="CL660">
        <v>77</v>
      </c>
      <c r="CM660" t="s">
        <v>2990</v>
      </c>
    </row>
    <row r="661" spans="1:91" ht="19" customHeight="1">
      <c r="A661" s="1" t="s">
        <v>4457</v>
      </c>
      <c r="B661" s="1" t="s">
        <v>1245</v>
      </c>
      <c r="C661" s="1">
        <v>78</v>
      </c>
      <c r="D661" s="1" t="s">
        <v>1450</v>
      </c>
      <c r="E661" s="1">
        <v>2016</v>
      </c>
      <c r="F661" s="1">
        <v>93056</v>
      </c>
      <c r="G661" s="1" t="s">
        <v>1485</v>
      </c>
      <c r="H661" s="4">
        <v>32.558999999999997</v>
      </c>
      <c r="I661" s="4">
        <v>130.65100000000001</v>
      </c>
      <c r="J661" s="1" t="s">
        <v>1396</v>
      </c>
      <c r="K661" s="1" t="s">
        <v>79</v>
      </c>
      <c r="L661" s="1" t="s">
        <v>1487</v>
      </c>
      <c r="M661" s="1" t="s">
        <v>3545</v>
      </c>
      <c r="N661" s="1"/>
      <c r="O661" s="1" t="s">
        <v>3095</v>
      </c>
      <c r="P661" s="1"/>
      <c r="Q661" s="4">
        <v>6.1</v>
      </c>
      <c r="R661" s="4">
        <v>1.81</v>
      </c>
      <c r="S661" s="4"/>
      <c r="T661" s="4">
        <v>37.590000000000003</v>
      </c>
      <c r="U661" s="4"/>
      <c r="V661" s="4">
        <v>13.9</v>
      </c>
      <c r="W661" s="4">
        <v>20.5</v>
      </c>
      <c r="X661" s="4">
        <v>324.11</v>
      </c>
      <c r="Y661" s="4">
        <v>60.889999999999993</v>
      </c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1"/>
      <c r="BJ661" s="1" t="s">
        <v>4458</v>
      </c>
      <c r="BK661" s="1">
        <v>1</v>
      </c>
      <c r="BL661" s="1"/>
      <c r="BM661" s="1" t="s">
        <v>669</v>
      </c>
      <c r="BN661" s="1" t="s">
        <v>2986</v>
      </c>
      <c r="BO661" s="1" t="s">
        <v>2987</v>
      </c>
      <c r="BP661" s="1">
        <v>6.1</v>
      </c>
      <c r="BQ661" s="1" t="s">
        <v>1003</v>
      </c>
      <c r="BR661" s="1">
        <v>32.741700000000002</v>
      </c>
      <c r="BS661" s="1">
        <v>130.80869999999999</v>
      </c>
      <c r="BT661" s="1">
        <v>11.39</v>
      </c>
      <c r="BU661" s="1" t="s">
        <v>730</v>
      </c>
      <c r="BV661" s="1" t="s">
        <v>2922</v>
      </c>
      <c r="BW661" s="1">
        <v>205</v>
      </c>
      <c r="BX661" s="1">
        <v>74</v>
      </c>
      <c r="BY661" s="1">
        <v>180</v>
      </c>
      <c r="BZ661" s="1"/>
      <c r="CA661" s="1"/>
      <c r="CB661" s="1"/>
      <c r="CC661" s="1" t="s">
        <v>2973</v>
      </c>
      <c r="CD661" s="1" t="s">
        <v>731</v>
      </c>
      <c r="CE661" s="1"/>
      <c r="CF661" s="1"/>
      <c r="CG661" s="1"/>
      <c r="CH661" s="1"/>
      <c r="CI661" s="1"/>
      <c r="CJ661" s="1" t="s">
        <v>1357</v>
      </c>
      <c r="CK661" t="s">
        <v>1264</v>
      </c>
      <c r="CL661">
        <v>78</v>
      </c>
      <c r="CM661" t="s">
        <v>2990</v>
      </c>
    </row>
    <row r="662" spans="1:91" ht="19" customHeight="1">
      <c r="A662" s="1" t="s">
        <v>4459</v>
      </c>
      <c r="B662" s="1" t="s">
        <v>1245</v>
      </c>
      <c r="C662" s="1">
        <v>79</v>
      </c>
      <c r="D662" s="1" t="s">
        <v>1450</v>
      </c>
      <c r="E662" s="1">
        <v>2016</v>
      </c>
      <c r="F662" s="1">
        <v>93057</v>
      </c>
      <c r="G662" s="1" t="s">
        <v>1488</v>
      </c>
      <c r="H662" s="4">
        <v>32.579000000000001</v>
      </c>
      <c r="I662" s="4">
        <v>130.67599999999999</v>
      </c>
      <c r="J662" s="1" t="s">
        <v>1396</v>
      </c>
      <c r="K662" s="1" t="s">
        <v>79</v>
      </c>
      <c r="L662" s="1" t="s">
        <v>1490</v>
      </c>
      <c r="M662" s="1" t="s">
        <v>3545</v>
      </c>
      <c r="N662" s="1"/>
      <c r="O662" s="1" t="s">
        <v>3095</v>
      </c>
      <c r="P662" s="1"/>
      <c r="Q662" s="4">
        <v>6.1</v>
      </c>
      <c r="R662" s="4">
        <v>1.5</v>
      </c>
      <c r="S662" s="4"/>
      <c r="T662" s="4">
        <v>54.32</v>
      </c>
      <c r="U662" s="4"/>
      <c r="V662" s="4">
        <v>10.7</v>
      </c>
      <c r="W662" s="4">
        <v>17.5</v>
      </c>
      <c r="X662" s="4">
        <v>325.95999999999998</v>
      </c>
      <c r="Y662" s="4">
        <v>59.04000000000002</v>
      </c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1"/>
      <c r="BJ662" s="1" t="s">
        <v>4460</v>
      </c>
      <c r="BK662" s="1">
        <v>1</v>
      </c>
      <c r="BL662" s="1"/>
      <c r="BM662" s="1" t="s">
        <v>669</v>
      </c>
      <c r="BN662" s="1" t="s">
        <v>2986</v>
      </c>
      <c r="BO662" s="1" t="s">
        <v>2987</v>
      </c>
      <c r="BP662" s="1">
        <v>6.1</v>
      </c>
      <c r="BQ662" s="1" t="s">
        <v>1003</v>
      </c>
      <c r="BR662" s="1">
        <v>32.741700000000002</v>
      </c>
      <c r="BS662" s="1">
        <v>130.80869999999999</v>
      </c>
      <c r="BT662" s="1">
        <v>11.39</v>
      </c>
      <c r="BU662" s="1" t="s">
        <v>730</v>
      </c>
      <c r="BV662" s="1" t="s">
        <v>2922</v>
      </c>
      <c r="BW662" s="1">
        <v>205</v>
      </c>
      <c r="BX662" s="1">
        <v>74</v>
      </c>
      <c r="BY662" s="1">
        <v>180</v>
      </c>
      <c r="BZ662" s="1"/>
      <c r="CA662" s="1"/>
      <c r="CB662" s="1"/>
      <c r="CC662" s="1" t="s">
        <v>2973</v>
      </c>
      <c r="CD662" s="1" t="s">
        <v>731</v>
      </c>
      <c r="CE662" s="1"/>
      <c r="CF662" s="1"/>
      <c r="CG662" s="1"/>
      <c r="CH662" s="1"/>
      <c r="CI662" s="1"/>
      <c r="CJ662" s="1" t="s">
        <v>1357</v>
      </c>
      <c r="CK662" t="s">
        <v>1264</v>
      </c>
      <c r="CL662">
        <v>79</v>
      </c>
      <c r="CM662" t="s">
        <v>2990</v>
      </c>
    </row>
    <row r="663" spans="1:91" ht="19" customHeight="1">
      <c r="A663" s="1" t="s">
        <v>4461</v>
      </c>
      <c r="B663" s="1" t="s">
        <v>1245</v>
      </c>
      <c r="C663" s="1">
        <v>80</v>
      </c>
      <c r="D663" s="1" t="s">
        <v>1450</v>
      </c>
      <c r="E663" s="1">
        <v>2016</v>
      </c>
      <c r="F663" s="1">
        <v>93058</v>
      </c>
      <c r="G663" s="1" t="s">
        <v>1491</v>
      </c>
      <c r="H663" s="4">
        <v>32.552</v>
      </c>
      <c r="I663" s="4">
        <v>130.685</v>
      </c>
      <c r="J663" s="1" t="s">
        <v>1396</v>
      </c>
      <c r="K663" s="1" t="s">
        <v>79</v>
      </c>
      <c r="L663" s="1" t="s">
        <v>1493</v>
      </c>
      <c r="M663" s="1" t="s">
        <v>3545</v>
      </c>
      <c r="N663" s="1"/>
      <c r="O663" s="1" t="s">
        <v>3095</v>
      </c>
      <c r="P663" s="1"/>
      <c r="Q663" s="4">
        <v>6.1</v>
      </c>
      <c r="R663" s="4">
        <v>1.39</v>
      </c>
      <c r="S663" s="4"/>
      <c r="T663" s="4">
        <v>25.47</v>
      </c>
      <c r="U663" s="4"/>
      <c r="V663" s="4">
        <v>12.6</v>
      </c>
      <c r="W663" s="4">
        <v>19.5</v>
      </c>
      <c r="X663" s="4">
        <v>321.60000000000002</v>
      </c>
      <c r="Y663" s="4">
        <v>63.399999999999977</v>
      </c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1"/>
      <c r="BJ663" s="1" t="s">
        <v>4462</v>
      </c>
      <c r="BK663" s="1">
        <v>1</v>
      </c>
      <c r="BL663" s="1"/>
      <c r="BM663" s="1" t="s">
        <v>669</v>
      </c>
      <c r="BN663" s="1" t="s">
        <v>2986</v>
      </c>
      <c r="BO663" s="1" t="s">
        <v>2987</v>
      </c>
      <c r="BP663" s="1">
        <v>6.1</v>
      </c>
      <c r="BQ663" s="1" t="s">
        <v>1003</v>
      </c>
      <c r="BR663" s="1">
        <v>32.741700000000002</v>
      </c>
      <c r="BS663" s="1">
        <v>130.80869999999999</v>
      </c>
      <c r="BT663" s="1">
        <v>11.39</v>
      </c>
      <c r="BU663" s="1" t="s">
        <v>730</v>
      </c>
      <c r="BV663" s="1" t="s">
        <v>2922</v>
      </c>
      <c r="BW663" s="1">
        <v>205</v>
      </c>
      <c r="BX663" s="1">
        <v>74</v>
      </c>
      <c r="BY663" s="1">
        <v>180</v>
      </c>
      <c r="BZ663" s="1"/>
      <c r="CA663" s="1"/>
      <c r="CB663" s="1"/>
      <c r="CC663" s="1" t="s">
        <v>2973</v>
      </c>
      <c r="CD663" s="1" t="s">
        <v>731</v>
      </c>
      <c r="CE663" s="1"/>
      <c r="CF663" s="1"/>
      <c r="CG663" s="1"/>
      <c r="CH663" s="1"/>
      <c r="CI663" s="1"/>
      <c r="CJ663" s="1" t="s">
        <v>1357</v>
      </c>
      <c r="CK663" t="s">
        <v>1264</v>
      </c>
      <c r="CL663">
        <v>80</v>
      </c>
      <c r="CM663" t="s">
        <v>2990</v>
      </c>
    </row>
    <row r="664" spans="1:91" ht="19" customHeight="1">
      <c r="A664" s="1" t="s">
        <v>4463</v>
      </c>
      <c r="B664" s="1" t="s">
        <v>1245</v>
      </c>
      <c r="C664" s="1">
        <v>81</v>
      </c>
      <c r="D664" s="1" t="s">
        <v>1450</v>
      </c>
      <c r="E664" s="1">
        <v>2016</v>
      </c>
      <c r="F664" s="1" t="s">
        <v>1246</v>
      </c>
      <c r="G664" s="1" t="s">
        <v>1497</v>
      </c>
      <c r="H664" s="4">
        <v>32.648000000000003</v>
      </c>
      <c r="I664" s="4">
        <v>130.684</v>
      </c>
      <c r="J664" s="1" t="s">
        <v>1396</v>
      </c>
      <c r="K664" s="1" t="s">
        <v>79</v>
      </c>
      <c r="L664" s="1" t="s">
        <v>1498</v>
      </c>
      <c r="M664" s="1" t="s">
        <v>3545</v>
      </c>
      <c r="N664" s="1"/>
      <c r="O664" s="1" t="s">
        <v>3095</v>
      </c>
      <c r="P664" s="1"/>
      <c r="Q664" s="4">
        <v>6.1</v>
      </c>
      <c r="R664" s="4">
        <v>1.39</v>
      </c>
      <c r="S664" s="4"/>
      <c r="T664" s="4">
        <v>51.28</v>
      </c>
      <c r="U664" s="4"/>
      <c r="V664" s="4">
        <v>6.4</v>
      </c>
      <c r="W664" s="4">
        <v>12</v>
      </c>
      <c r="X664" s="4">
        <v>346.44</v>
      </c>
      <c r="Y664" s="4">
        <v>38.56</v>
      </c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1"/>
      <c r="BJ664" s="1" t="s">
        <v>4464</v>
      </c>
      <c r="BK664" s="1">
        <v>1</v>
      </c>
      <c r="BL664" s="1"/>
      <c r="BM664" s="1" t="s">
        <v>669</v>
      </c>
      <c r="BN664" s="1" t="s">
        <v>2986</v>
      </c>
      <c r="BO664" s="1" t="s">
        <v>2987</v>
      </c>
      <c r="BP664" s="1">
        <v>6.1</v>
      </c>
      <c r="BQ664" s="1" t="s">
        <v>1003</v>
      </c>
      <c r="BR664" s="1">
        <v>32.741700000000002</v>
      </c>
      <c r="BS664" s="1">
        <v>130.80869999999999</v>
      </c>
      <c r="BT664" s="1">
        <v>11.39</v>
      </c>
      <c r="BU664" s="1" t="s">
        <v>730</v>
      </c>
      <c r="BV664" s="1" t="s">
        <v>2922</v>
      </c>
      <c r="BW664" s="1">
        <v>205</v>
      </c>
      <c r="BX664" s="1">
        <v>74</v>
      </c>
      <c r="BY664" s="1">
        <v>180</v>
      </c>
      <c r="BZ664" s="1"/>
      <c r="CA664" s="1"/>
      <c r="CB664" s="1"/>
      <c r="CC664" s="1" t="s">
        <v>2973</v>
      </c>
      <c r="CD664" s="1" t="s">
        <v>731</v>
      </c>
      <c r="CE664" s="1"/>
      <c r="CF664" s="1"/>
      <c r="CG664" s="1"/>
      <c r="CH664" s="1"/>
      <c r="CI664" s="1"/>
      <c r="CJ664" s="1" t="s">
        <v>1357</v>
      </c>
      <c r="CK664" t="s">
        <v>1264</v>
      </c>
      <c r="CL664">
        <v>81</v>
      </c>
      <c r="CM664" t="s">
        <v>2990</v>
      </c>
    </row>
    <row r="665" spans="1:91" ht="19" customHeight="1">
      <c r="A665" s="1" t="s">
        <v>4465</v>
      </c>
      <c r="B665" s="1" t="s">
        <v>1245</v>
      </c>
      <c r="C665" s="1">
        <v>82</v>
      </c>
      <c r="D665" s="1" t="s">
        <v>681</v>
      </c>
      <c r="E665" s="1">
        <v>2018</v>
      </c>
      <c r="F665" s="1" t="s">
        <v>1251</v>
      </c>
      <c r="G665" s="1" t="s">
        <v>1501</v>
      </c>
      <c r="H665" s="4">
        <v>42.575000000000003</v>
      </c>
      <c r="I665" s="4">
        <v>141.92789999999999</v>
      </c>
      <c r="J665" s="1" t="s">
        <v>1396</v>
      </c>
      <c r="K665" s="1" t="s">
        <v>98</v>
      </c>
      <c r="L665" s="1" t="s">
        <v>1251</v>
      </c>
      <c r="M665" s="1" t="s">
        <v>3506</v>
      </c>
      <c r="N665" s="1"/>
      <c r="O665" s="1" t="s">
        <v>3095</v>
      </c>
      <c r="P665" s="1"/>
      <c r="Q665" s="4">
        <v>6.7</v>
      </c>
      <c r="R665" s="4">
        <v>1.85</v>
      </c>
      <c r="S665" s="4"/>
      <c r="T665" s="4">
        <v>151.47999999999999</v>
      </c>
      <c r="U665" s="4"/>
      <c r="V665" s="4">
        <v>18.8</v>
      </c>
      <c r="W665" s="22">
        <f>YEN!F82</f>
        <v>39.740640542991102</v>
      </c>
      <c r="X665" s="4">
        <v>82.62</v>
      </c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1"/>
      <c r="BJ665" s="1" t="s">
        <v>4466</v>
      </c>
      <c r="BK665" s="1">
        <v>1</v>
      </c>
      <c r="BL665" s="1"/>
      <c r="BM665" s="1" t="s">
        <v>680</v>
      </c>
      <c r="BN665" s="1" t="s">
        <v>2992</v>
      </c>
      <c r="BO665" s="1" t="s">
        <v>2993</v>
      </c>
      <c r="BP665" s="1">
        <v>6.8</v>
      </c>
      <c r="BQ665" s="1" t="s">
        <v>2994</v>
      </c>
      <c r="BR665" s="1">
        <v>42.690800000000003</v>
      </c>
      <c r="BS665" s="1">
        <v>142.0067</v>
      </c>
      <c r="BT665" s="1">
        <v>37.04</v>
      </c>
      <c r="BU665" s="1" t="s">
        <v>2995</v>
      </c>
      <c r="BV665" s="1" t="s">
        <v>2996</v>
      </c>
      <c r="BW665" s="1">
        <v>355</v>
      </c>
      <c r="BX665" s="1">
        <v>70</v>
      </c>
      <c r="BY665" s="1">
        <v>102.76675200839219</v>
      </c>
      <c r="BZ665" s="1"/>
      <c r="CA665" s="1"/>
      <c r="CB665" s="1"/>
      <c r="CC665" s="1" t="s">
        <v>2991</v>
      </c>
      <c r="CD665" s="1" t="s">
        <v>2999</v>
      </c>
      <c r="CE665" s="1">
        <v>3</v>
      </c>
      <c r="CF665" s="1">
        <v>6.8</v>
      </c>
      <c r="CG665" s="1">
        <v>1.7014</v>
      </c>
      <c r="CH665" s="1">
        <v>720</v>
      </c>
      <c r="CI665" s="1" t="s">
        <v>1374</v>
      </c>
      <c r="CJ665" s="1" t="s">
        <v>1374</v>
      </c>
      <c r="CK665" t="s">
        <v>1264</v>
      </c>
      <c r="CL665">
        <v>82</v>
      </c>
      <c r="CM665" t="s">
        <v>3005</v>
      </c>
    </row>
    <row r="666" spans="1:91" ht="19" customHeight="1">
      <c r="A666" s="1" t="s">
        <v>4467</v>
      </c>
      <c r="B666" s="1" t="s">
        <v>1245</v>
      </c>
      <c r="C666" s="1">
        <v>83</v>
      </c>
      <c r="D666" s="1" t="s">
        <v>681</v>
      </c>
      <c r="E666" s="1">
        <v>2018</v>
      </c>
      <c r="F666" s="1" t="s">
        <v>1252</v>
      </c>
      <c r="G666" s="1" t="s">
        <v>1502</v>
      </c>
      <c r="H666" s="4">
        <v>42.765500000000003</v>
      </c>
      <c r="I666" s="4">
        <v>141.82210000000001</v>
      </c>
      <c r="J666" s="1" t="s">
        <v>1396</v>
      </c>
      <c r="K666" s="1" t="s">
        <v>98</v>
      </c>
      <c r="L666" s="1" t="s">
        <v>1252</v>
      </c>
      <c r="M666" s="1" t="s">
        <v>3506</v>
      </c>
      <c r="N666" s="1"/>
      <c r="O666" s="1" t="s">
        <v>3095</v>
      </c>
      <c r="P666" s="1"/>
      <c r="Q666" s="4">
        <v>6.7</v>
      </c>
      <c r="R666" s="4">
        <v>1.23</v>
      </c>
      <c r="S666" s="4"/>
      <c r="T666" s="4">
        <v>102.46</v>
      </c>
      <c r="U666" s="4"/>
      <c r="V666" s="4">
        <v>20.5</v>
      </c>
      <c r="W666" s="22">
        <f>YEN!F83</f>
        <v>40.845010264661475</v>
      </c>
      <c r="X666" s="4">
        <v>54.36</v>
      </c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1"/>
      <c r="BJ666" s="1" t="s">
        <v>4468</v>
      </c>
      <c r="BK666" s="1">
        <v>1</v>
      </c>
      <c r="BL666" s="1"/>
      <c r="BM666" s="1" t="s">
        <v>680</v>
      </c>
      <c r="BN666" s="1" t="s">
        <v>2992</v>
      </c>
      <c r="BO666" s="1" t="s">
        <v>2993</v>
      </c>
      <c r="BP666" s="1">
        <v>6.8</v>
      </c>
      <c r="BQ666" s="1" t="s">
        <v>2994</v>
      </c>
      <c r="BR666" s="1">
        <v>42.690800000000003</v>
      </c>
      <c r="BS666" s="1">
        <v>142.0067</v>
      </c>
      <c r="BT666" s="1">
        <v>37.04</v>
      </c>
      <c r="BU666" s="1" t="s">
        <v>2995</v>
      </c>
      <c r="BV666" s="1" t="s">
        <v>2996</v>
      </c>
      <c r="BW666" s="1">
        <v>355</v>
      </c>
      <c r="BX666" s="1">
        <v>70</v>
      </c>
      <c r="BY666" s="1">
        <v>102.76675200839219</v>
      </c>
      <c r="BZ666" s="1"/>
      <c r="CA666" s="1"/>
      <c r="CB666" s="1"/>
      <c r="CC666" s="1" t="s">
        <v>2991</v>
      </c>
      <c r="CD666" s="1" t="s">
        <v>2999</v>
      </c>
      <c r="CE666" s="1">
        <v>3</v>
      </c>
      <c r="CF666" s="1">
        <v>6.8</v>
      </c>
      <c r="CG666" s="1">
        <v>1.7014</v>
      </c>
      <c r="CH666" s="1">
        <v>720</v>
      </c>
      <c r="CI666" s="1" t="s">
        <v>1374</v>
      </c>
      <c r="CJ666" s="1" t="s">
        <v>1374</v>
      </c>
      <c r="CK666" t="s">
        <v>1264</v>
      </c>
      <c r="CL666">
        <v>83</v>
      </c>
      <c r="CM666" t="s">
        <v>3005</v>
      </c>
    </row>
    <row r="667" spans="1:91" ht="19" customHeight="1">
      <c r="A667" s="1" t="s">
        <v>4469</v>
      </c>
      <c r="B667" s="1" t="s">
        <v>1245</v>
      </c>
      <c r="C667" s="1">
        <v>84</v>
      </c>
      <c r="D667" s="1" t="s">
        <v>681</v>
      </c>
      <c r="E667" s="1">
        <v>2018</v>
      </c>
      <c r="F667" s="1" t="s">
        <v>1253</v>
      </c>
      <c r="G667" s="1" t="s">
        <v>1503</v>
      </c>
      <c r="H667" s="4">
        <v>42.873899999999999</v>
      </c>
      <c r="I667" s="4">
        <v>141.81909999999999</v>
      </c>
      <c r="J667" s="1" t="s">
        <v>1396</v>
      </c>
      <c r="K667" s="1" t="s">
        <v>105</v>
      </c>
      <c r="L667" s="1" t="s">
        <v>1504</v>
      </c>
      <c r="M667" s="1" t="s">
        <v>3545</v>
      </c>
      <c r="N667" s="1"/>
      <c r="O667" s="1" t="s">
        <v>3095</v>
      </c>
      <c r="P667" s="1"/>
      <c r="Q667" s="4">
        <v>6.7</v>
      </c>
      <c r="R667" s="4">
        <v>0.56999999999999995</v>
      </c>
      <c r="S667" s="4"/>
      <c r="T667" s="4">
        <v>127.86</v>
      </c>
      <c r="U667" s="4"/>
      <c r="V667" s="4">
        <v>22.2</v>
      </c>
      <c r="W667" s="22">
        <f>YEN!F84</f>
        <v>44.954208423555926</v>
      </c>
      <c r="X667" s="4">
        <v>41.73</v>
      </c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1"/>
      <c r="BJ667" s="1" t="s">
        <v>4470</v>
      </c>
      <c r="BK667" s="1">
        <v>1</v>
      </c>
      <c r="BL667" s="1"/>
      <c r="BM667" s="1" t="s">
        <v>680</v>
      </c>
      <c r="BN667" s="1" t="s">
        <v>2992</v>
      </c>
      <c r="BO667" s="1" t="s">
        <v>2993</v>
      </c>
      <c r="BP667" s="1">
        <v>6.8</v>
      </c>
      <c r="BQ667" s="1" t="s">
        <v>2994</v>
      </c>
      <c r="BR667" s="1">
        <v>42.690800000000003</v>
      </c>
      <c r="BS667" s="1">
        <v>142.0067</v>
      </c>
      <c r="BT667" s="1">
        <v>37.04</v>
      </c>
      <c r="BU667" s="1" t="s">
        <v>2995</v>
      </c>
      <c r="BV667" s="1" t="s">
        <v>2996</v>
      </c>
      <c r="BW667" s="1">
        <v>355</v>
      </c>
      <c r="BX667" s="1">
        <v>70</v>
      </c>
      <c r="BY667" s="1">
        <v>102.76675200839219</v>
      </c>
      <c r="BZ667" s="1"/>
      <c r="CA667" s="1"/>
      <c r="CB667" s="1"/>
      <c r="CC667" s="1" t="s">
        <v>2991</v>
      </c>
      <c r="CD667" s="1" t="s">
        <v>2999</v>
      </c>
      <c r="CE667" s="1">
        <v>3</v>
      </c>
      <c r="CF667" s="1">
        <v>6.8</v>
      </c>
      <c r="CG667" s="1">
        <v>1.7014</v>
      </c>
      <c r="CH667" s="1">
        <v>720</v>
      </c>
      <c r="CI667" s="1" t="s">
        <v>1374</v>
      </c>
      <c r="CJ667" s="1" t="s">
        <v>1374</v>
      </c>
      <c r="CK667" t="s">
        <v>1264</v>
      </c>
      <c r="CL667">
        <v>84</v>
      </c>
      <c r="CM667" t="s">
        <v>3005</v>
      </c>
    </row>
    <row r="668" spans="1:91" ht="19" customHeight="1">
      <c r="A668" s="1" t="s">
        <v>4471</v>
      </c>
      <c r="B668" s="1" t="s">
        <v>1245</v>
      </c>
      <c r="C668" s="1">
        <v>85</v>
      </c>
      <c r="D668" s="1" t="s">
        <v>681</v>
      </c>
      <c r="E668" s="1">
        <v>2018</v>
      </c>
      <c r="F668" s="1">
        <v>47004</v>
      </c>
      <c r="G668" s="1" t="s">
        <v>1427</v>
      </c>
      <c r="H668" s="4">
        <v>42.622599999999998</v>
      </c>
      <c r="I668" s="4">
        <v>141.9204</v>
      </c>
      <c r="J668" s="1" t="s">
        <v>1396</v>
      </c>
      <c r="K668" s="1" t="s">
        <v>1368</v>
      </c>
      <c r="L668" s="1" t="s">
        <v>4472</v>
      </c>
      <c r="M668" s="1" t="s">
        <v>4473</v>
      </c>
      <c r="N668" s="1" t="s">
        <v>4474</v>
      </c>
      <c r="O668" s="1" t="s">
        <v>3095</v>
      </c>
      <c r="P668" s="1"/>
      <c r="Q668" s="4">
        <v>6.7</v>
      </c>
      <c r="R668" s="4">
        <v>1.75</v>
      </c>
      <c r="S668" s="4"/>
      <c r="T668" s="4">
        <v>130.72999999999999</v>
      </c>
      <c r="U668" s="4"/>
      <c r="V668" s="4">
        <v>18.7</v>
      </c>
      <c r="W668" s="22">
        <f>YEN!F85</f>
        <v>38.461353083533496</v>
      </c>
      <c r="X668" s="4">
        <v>273.36</v>
      </c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1"/>
      <c r="BJ668" s="1" t="s">
        <v>4475</v>
      </c>
      <c r="BK668" s="1">
        <v>1</v>
      </c>
      <c r="BL668" s="1"/>
      <c r="BM668" s="1" t="s">
        <v>680</v>
      </c>
      <c r="BN668" s="1" t="s">
        <v>2992</v>
      </c>
      <c r="BO668" s="1" t="s">
        <v>2993</v>
      </c>
      <c r="BP668" s="1">
        <v>6.8</v>
      </c>
      <c r="BQ668" s="1" t="s">
        <v>2994</v>
      </c>
      <c r="BR668" s="1">
        <v>42.690800000000003</v>
      </c>
      <c r="BS668" s="1">
        <v>142.0067</v>
      </c>
      <c r="BT668" s="1">
        <v>37.04</v>
      </c>
      <c r="BU668" s="1" t="s">
        <v>2995</v>
      </c>
      <c r="BV668" s="1" t="s">
        <v>2996</v>
      </c>
      <c r="BW668" s="1">
        <v>355</v>
      </c>
      <c r="BX668" s="1">
        <v>70</v>
      </c>
      <c r="BY668" s="1">
        <v>102.76675200839219</v>
      </c>
      <c r="BZ668" s="1"/>
      <c r="CA668" s="1"/>
      <c r="CB668" s="1"/>
      <c r="CC668" s="1" t="s">
        <v>2991</v>
      </c>
      <c r="CD668" s="1" t="s">
        <v>2999</v>
      </c>
      <c r="CE668" s="1">
        <v>3</v>
      </c>
      <c r="CF668" s="1">
        <v>6.8</v>
      </c>
      <c r="CG668" s="1">
        <v>1.7014</v>
      </c>
      <c r="CH668" s="1">
        <v>720</v>
      </c>
      <c r="CI668" s="1" t="s">
        <v>1374</v>
      </c>
      <c r="CJ668" s="1" t="s">
        <v>1374</v>
      </c>
      <c r="CK668" t="s">
        <v>1264</v>
      </c>
      <c r="CL668">
        <v>85</v>
      </c>
      <c r="CM668" t="s">
        <v>3005</v>
      </c>
    </row>
    <row r="669" spans="1:91" ht="19" customHeight="1">
      <c r="A669" s="1" t="s">
        <v>4476</v>
      </c>
      <c r="B669" s="1" t="s">
        <v>1254</v>
      </c>
      <c r="C669" s="1">
        <v>2</v>
      </c>
      <c r="D669" s="1" t="s">
        <v>685</v>
      </c>
      <c r="E669" s="1">
        <v>2022</v>
      </c>
      <c r="F669" s="1">
        <v>8101</v>
      </c>
      <c r="G669" s="1" t="s">
        <v>1734</v>
      </c>
      <c r="H669" s="4">
        <v>40.843600000000002</v>
      </c>
      <c r="I669" s="4">
        <v>31.148900000000001</v>
      </c>
      <c r="J669" s="1" t="s">
        <v>1396</v>
      </c>
      <c r="K669" s="1" t="s">
        <v>101</v>
      </c>
      <c r="L669" s="1" t="s">
        <v>1736</v>
      </c>
      <c r="M669" s="1" t="s">
        <v>3545</v>
      </c>
      <c r="N669" s="1"/>
      <c r="O669" s="1" t="s">
        <v>4477</v>
      </c>
      <c r="P669" s="1"/>
      <c r="Q669" s="4">
        <v>6.1</v>
      </c>
      <c r="R669" s="4">
        <v>1.9</v>
      </c>
      <c r="S669" s="4"/>
      <c r="T669" s="4">
        <v>40.89</v>
      </c>
      <c r="U669" s="4"/>
      <c r="V669" s="4"/>
      <c r="W669" s="4">
        <v>10.67</v>
      </c>
      <c r="X669" s="4">
        <v>68.63</v>
      </c>
      <c r="Y669" s="4">
        <v>7.3700000000000054</v>
      </c>
      <c r="Z669" s="4"/>
      <c r="AA669" s="4"/>
      <c r="AB669" s="4"/>
      <c r="AC669" s="4">
        <v>0.64185388617239469</v>
      </c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1"/>
      <c r="BJ669" s="1" t="s">
        <v>4478</v>
      </c>
      <c r="BK669" s="1">
        <v>1</v>
      </c>
      <c r="BL669" s="1"/>
      <c r="BM669" s="1" t="s">
        <v>684</v>
      </c>
      <c r="BN669" s="1" t="s">
        <v>3007</v>
      </c>
      <c r="BO669" s="1" t="s">
        <v>3008</v>
      </c>
      <c r="BP669" s="1">
        <v>6.1</v>
      </c>
      <c r="BQ669" s="1" t="s">
        <v>1003</v>
      </c>
      <c r="BR669" s="1">
        <v>40.835599999999999</v>
      </c>
      <c r="BS669" s="1">
        <v>30.9831</v>
      </c>
      <c r="BT669" s="1">
        <v>10</v>
      </c>
      <c r="BU669" s="1" t="s">
        <v>3009</v>
      </c>
      <c r="BV669" s="1" t="s">
        <v>2834</v>
      </c>
      <c r="BW669" s="1">
        <v>160.21</v>
      </c>
      <c r="BX669" s="1">
        <v>63.36</v>
      </c>
      <c r="BY669" s="1">
        <v>-18.91</v>
      </c>
      <c r="BZ669" s="1">
        <v>258.94</v>
      </c>
      <c r="CA669" s="1">
        <v>73.16</v>
      </c>
      <c r="CB669" s="1">
        <v>-152.06</v>
      </c>
      <c r="CC669" s="1" t="s">
        <v>3006</v>
      </c>
      <c r="CD669" s="1" t="s">
        <v>731</v>
      </c>
      <c r="CE669" s="1"/>
      <c r="CF669" s="1"/>
      <c r="CG669" s="1"/>
      <c r="CH669" s="1"/>
      <c r="CI669" s="1"/>
      <c r="CJ669" s="1" t="s">
        <v>687</v>
      </c>
      <c r="CK669" t="s">
        <v>1264</v>
      </c>
      <c r="CL669">
        <v>86</v>
      </c>
      <c r="CM669" t="s">
        <v>3013</v>
      </c>
    </row>
    <row r="670" spans="1:91" ht="19" customHeight="1">
      <c r="A670" s="1" t="s">
        <v>4479</v>
      </c>
      <c r="B670" s="1" t="s">
        <v>1254</v>
      </c>
      <c r="C670" s="1">
        <v>3</v>
      </c>
      <c r="D670" s="1" t="s">
        <v>685</v>
      </c>
      <c r="E670" s="1">
        <v>2022</v>
      </c>
      <c r="F670" s="1">
        <v>8102</v>
      </c>
      <c r="G670" s="1" t="s">
        <v>1737</v>
      </c>
      <c r="H670" s="4">
        <v>40.834200000000003</v>
      </c>
      <c r="I670" s="4">
        <v>31.164400000000001</v>
      </c>
      <c r="J670" s="1" t="s">
        <v>1396</v>
      </c>
      <c r="K670" s="1" t="s">
        <v>101</v>
      </c>
      <c r="L670" s="1" t="s">
        <v>1736</v>
      </c>
      <c r="M670" s="1" t="s">
        <v>3545</v>
      </c>
      <c r="N670" s="1"/>
      <c r="O670" s="1" t="s">
        <v>4477</v>
      </c>
      <c r="P670" s="1"/>
      <c r="Q670" s="4">
        <v>6.1</v>
      </c>
      <c r="R670" s="4">
        <v>1.61</v>
      </c>
      <c r="S670" s="4"/>
      <c r="T670" s="4">
        <v>79.25</v>
      </c>
      <c r="U670" s="4"/>
      <c r="V670" s="4"/>
      <c r="W670" s="4">
        <v>11.79</v>
      </c>
      <c r="X670" s="4">
        <v>76.12</v>
      </c>
      <c r="Y670" s="4">
        <v>-0.12000000000000451</v>
      </c>
      <c r="Z670" s="4"/>
      <c r="AA670" s="4"/>
      <c r="AB670" s="4"/>
      <c r="AC670" s="4">
        <v>0.47623417899637172</v>
      </c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1"/>
      <c r="BJ670" s="1" t="s">
        <v>4480</v>
      </c>
      <c r="BK670" s="1">
        <v>1</v>
      </c>
      <c r="BL670" s="1"/>
      <c r="BM670" s="1" t="s">
        <v>684</v>
      </c>
      <c r="BN670" s="1" t="s">
        <v>3007</v>
      </c>
      <c r="BO670" s="1" t="s">
        <v>3008</v>
      </c>
      <c r="BP670" s="1">
        <v>6.1</v>
      </c>
      <c r="BQ670" s="1" t="s">
        <v>1003</v>
      </c>
      <c r="BR670" s="1">
        <v>40.835599999999999</v>
      </c>
      <c r="BS670" s="1">
        <v>30.9831</v>
      </c>
      <c r="BT670" s="1">
        <v>10</v>
      </c>
      <c r="BU670" s="1" t="s">
        <v>3009</v>
      </c>
      <c r="BV670" s="1" t="s">
        <v>2834</v>
      </c>
      <c r="BW670" s="1">
        <v>160.21</v>
      </c>
      <c r="BX670" s="1">
        <v>63.36</v>
      </c>
      <c r="BY670" s="1">
        <v>-18.91</v>
      </c>
      <c r="BZ670" s="1">
        <v>258.94</v>
      </c>
      <c r="CA670" s="1">
        <v>73.16</v>
      </c>
      <c r="CB670" s="1">
        <v>-152.06</v>
      </c>
      <c r="CC670" s="1" t="s">
        <v>3006</v>
      </c>
      <c r="CD670" s="1" t="s">
        <v>731</v>
      </c>
      <c r="CE670" s="1"/>
      <c r="CF670" s="1"/>
      <c r="CG670" s="1"/>
      <c r="CH670" s="1"/>
      <c r="CI670" s="1"/>
      <c r="CJ670" s="1" t="s">
        <v>687</v>
      </c>
      <c r="CK670" t="s">
        <v>1264</v>
      </c>
      <c r="CL670">
        <v>87</v>
      </c>
      <c r="CM670" t="s">
        <v>3013</v>
      </c>
    </row>
    <row r="671" spans="1:91" ht="19" customHeight="1">
      <c r="A671" s="1" t="s">
        <v>4481</v>
      </c>
      <c r="B671" s="1" t="s">
        <v>1254</v>
      </c>
      <c r="C671" s="1">
        <v>4</v>
      </c>
      <c r="D671" s="1" t="s">
        <v>685</v>
      </c>
      <c r="E671" s="1">
        <v>2022</v>
      </c>
      <c r="F671" s="1">
        <v>8104</v>
      </c>
      <c r="G671" s="1" t="s">
        <v>1739</v>
      </c>
      <c r="H671" s="4">
        <v>40.8611</v>
      </c>
      <c r="I671" s="4">
        <v>31.180399999999999</v>
      </c>
      <c r="J671" s="1" t="s">
        <v>1396</v>
      </c>
      <c r="K671" s="1" t="s">
        <v>101</v>
      </c>
      <c r="L671" s="1" t="s">
        <v>1736</v>
      </c>
      <c r="M671" s="1" t="s">
        <v>3545</v>
      </c>
      <c r="N671" s="1"/>
      <c r="O671" s="1" t="s">
        <v>4477</v>
      </c>
      <c r="P671" s="1"/>
      <c r="Q671" s="4">
        <v>6.1</v>
      </c>
      <c r="R671" s="4">
        <v>1.92</v>
      </c>
      <c r="S671" s="4"/>
      <c r="T671" s="4">
        <v>40.78</v>
      </c>
      <c r="U671" s="4"/>
      <c r="V671" s="4"/>
      <c r="W671" s="4">
        <v>13.74</v>
      </c>
      <c r="X671" s="4">
        <v>41.07</v>
      </c>
      <c r="Y671" s="4">
        <v>34.93</v>
      </c>
      <c r="Z671" s="4"/>
      <c r="AA671" s="4"/>
      <c r="AB671" s="4"/>
      <c r="AC671" s="4">
        <v>0.65232518603969014</v>
      </c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1"/>
      <c r="BJ671" s="1" t="s">
        <v>4482</v>
      </c>
      <c r="BK671" s="1">
        <v>1</v>
      </c>
      <c r="BL671" s="1"/>
      <c r="BM671" s="1" t="s">
        <v>684</v>
      </c>
      <c r="BN671" s="1" t="s">
        <v>3007</v>
      </c>
      <c r="BO671" s="1" t="s">
        <v>3008</v>
      </c>
      <c r="BP671" s="1">
        <v>6.1</v>
      </c>
      <c r="BQ671" s="1" t="s">
        <v>1003</v>
      </c>
      <c r="BR671" s="1">
        <v>40.835599999999999</v>
      </c>
      <c r="BS671" s="1">
        <v>30.9831</v>
      </c>
      <c r="BT671" s="1">
        <v>10</v>
      </c>
      <c r="BU671" s="1" t="s">
        <v>3009</v>
      </c>
      <c r="BV671" s="1" t="s">
        <v>2834</v>
      </c>
      <c r="BW671" s="1">
        <v>160.21</v>
      </c>
      <c r="BX671" s="1">
        <v>63.36</v>
      </c>
      <c r="BY671" s="1">
        <v>-18.91</v>
      </c>
      <c r="BZ671" s="1">
        <v>258.94</v>
      </c>
      <c r="CA671" s="1">
        <v>73.16</v>
      </c>
      <c r="CB671" s="1">
        <v>-152.06</v>
      </c>
      <c r="CC671" s="1" t="s">
        <v>3006</v>
      </c>
      <c r="CD671" s="1" t="s">
        <v>731</v>
      </c>
      <c r="CE671" s="1"/>
      <c r="CF671" s="1"/>
      <c r="CG671" s="1"/>
      <c r="CH671" s="1"/>
      <c r="CI671" s="1"/>
      <c r="CJ671" s="1" t="s">
        <v>687</v>
      </c>
      <c r="CK671" t="s">
        <v>1264</v>
      </c>
      <c r="CL671">
        <v>88</v>
      </c>
      <c r="CM671" t="s">
        <v>3013</v>
      </c>
    </row>
    <row r="672" spans="1:91" ht="19" customHeight="1">
      <c r="A672" s="1" t="s">
        <v>4483</v>
      </c>
      <c r="B672" s="1" t="s">
        <v>1254</v>
      </c>
      <c r="C672" s="1">
        <v>5</v>
      </c>
      <c r="D672" s="1" t="s">
        <v>685</v>
      </c>
      <c r="E672" s="1">
        <v>2022</v>
      </c>
      <c r="F672" s="1">
        <v>8109</v>
      </c>
      <c r="G672" s="1" t="s">
        <v>1741</v>
      </c>
      <c r="H672" s="4">
        <v>40.780999999999999</v>
      </c>
      <c r="I672" s="4">
        <v>31.014399999999998</v>
      </c>
      <c r="J672" s="1" t="s">
        <v>1396</v>
      </c>
      <c r="K672" s="1" t="s">
        <v>101</v>
      </c>
      <c r="L672" s="1" t="s">
        <v>1736</v>
      </c>
      <c r="M672" s="1" t="s">
        <v>3545</v>
      </c>
      <c r="N672" s="1"/>
      <c r="O672" s="1" t="s">
        <v>4477</v>
      </c>
      <c r="P672" s="1"/>
      <c r="Q672" s="4">
        <v>6.1</v>
      </c>
      <c r="R672" s="4">
        <v>1.75</v>
      </c>
      <c r="S672" s="4"/>
      <c r="T672" s="4">
        <v>44</v>
      </c>
      <c r="U672" s="4"/>
      <c r="V672" s="4"/>
      <c r="W672" s="4">
        <v>4.75</v>
      </c>
      <c r="X672" s="4">
        <v>0</v>
      </c>
      <c r="Y672" s="4">
        <v>76</v>
      </c>
      <c r="Z672" s="4"/>
      <c r="AA672" s="4"/>
      <c r="AB672" s="4"/>
      <c r="AC672" s="4">
        <v>0.55961578793542266</v>
      </c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1"/>
      <c r="BJ672" s="1" t="s">
        <v>4484</v>
      </c>
      <c r="BK672" s="1">
        <v>1</v>
      </c>
      <c r="BL672" s="1"/>
      <c r="BM672" s="1" t="s">
        <v>684</v>
      </c>
      <c r="BN672" s="1" t="s">
        <v>3007</v>
      </c>
      <c r="BO672" s="1" t="s">
        <v>3008</v>
      </c>
      <c r="BP672" s="1">
        <v>6.1</v>
      </c>
      <c r="BQ672" s="1" t="s">
        <v>1003</v>
      </c>
      <c r="BR672" s="1">
        <v>40.835599999999999</v>
      </c>
      <c r="BS672" s="1">
        <v>30.9831</v>
      </c>
      <c r="BT672" s="1">
        <v>10</v>
      </c>
      <c r="BU672" s="1" t="s">
        <v>3009</v>
      </c>
      <c r="BV672" s="1" t="s">
        <v>2834</v>
      </c>
      <c r="BW672" s="1">
        <v>160.21</v>
      </c>
      <c r="BX672" s="1">
        <v>63.36</v>
      </c>
      <c r="BY672" s="1">
        <v>-18.91</v>
      </c>
      <c r="BZ672" s="1">
        <v>258.94</v>
      </c>
      <c r="CA672" s="1">
        <v>73.16</v>
      </c>
      <c r="CB672" s="1">
        <v>-152.06</v>
      </c>
      <c r="CC672" s="1" t="s">
        <v>3006</v>
      </c>
      <c r="CD672" s="1" t="s">
        <v>731</v>
      </c>
      <c r="CE672" s="1"/>
      <c r="CF672" s="1"/>
      <c r="CG672" s="1"/>
      <c r="CH672" s="1"/>
      <c r="CI672" s="1"/>
      <c r="CJ672" s="1" t="s">
        <v>687</v>
      </c>
      <c r="CK672" t="s">
        <v>1264</v>
      </c>
      <c r="CL672">
        <v>89</v>
      </c>
      <c r="CM672" t="s">
        <v>3013</v>
      </c>
    </row>
    <row r="673" spans="1:91" ht="19" customHeight="1">
      <c r="A673" s="1" t="s">
        <v>4485</v>
      </c>
      <c r="B673" s="1" t="s">
        <v>1254</v>
      </c>
      <c r="C673" s="1">
        <v>6</v>
      </c>
      <c r="D673" s="1" t="s">
        <v>1255</v>
      </c>
      <c r="E673" s="1">
        <v>2023</v>
      </c>
      <c r="F673" s="1">
        <v>3123</v>
      </c>
      <c r="G673" s="1" t="s">
        <v>1687</v>
      </c>
      <c r="H673" s="4">
        <v>36.214230000000001</v>
      </c>
      <c r="I673" s="4">
        <v>36.159730000000003</v>
      </c>
      <c r="J673" s="1" t="s">
        <v>1396</v>
      </c>
      <c r="K673" s="1" t="s">
        <v>87</v>
      </c>
      <c r="L673" s="1" t="s">
        <v>1689</v>
      </c>
      <c r="M673" s="1" t="s">
        <v>3545</v>
      </c>
      <c r="N673" s="1"/>
      <c r="O673" s="1" t="s">
        <v>4477</v>
      </c>
      <c r="P673" s="1"/>
      <c r="Q673" s="4">
        <v>7.8</v>
      </c>
      <c r="R673" s="4">
        <v>2.6</v>
      </c>
      <c r="S673" s="4"/>
      <c r="T673" s="4">
        <v>179.2</v>
      </c>
      <c r="U673" s="4"/>
      <c r="V673" s="4">
        <v>1.5</v>
      </c>
      <c r="W673" s="22">
        <f>YEN!F90</f>
        <v>136.19180595904618</v>
      </c>
      <c r="X673" s="4">
        <v>18</v>
      </c>
      <c r="Y673" s="4">
        <v>7</v>
      </c>
      <c r="Z673" s="4"/>
      <c r="AA673" s="4"/>
      <c r="AB673" s="4"/>
      <c r="AC673" s="4">
        <v>0.95551144502743635</v>
      </c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1"/>
      <c r="BJ673" s="1" t="s">
        <v>4486</v>
      </c>
      <c r="BK673" s="1">
        <v>1</v>
      </c>
      <c r="BL673" s="1"/>
      <c r="BM673" s="1" t="s">
        <v>232</v>
      </c>
      <c r="BN673" s="1" t="s">
        <v>3014</v>
      </c>
      <c r="BO673" s="1" t="s">
        <v>3015</v>
      </c>
      <c r="BP673" s="1">
        <v>7.8</v>
      </c>
      <c r="BQ673" s="1" t="s">
        <v>1003</v>
      </c>
      <c r="BR673" s="1">
        <v>37.2256</v>
      </c>
      <c r="BS673" s="1">
        <v>37.014299999999999</v>
      </c>
      <c r="BT673" s="1">
        <v>10</v>
      </c>
      <c r="BU673" s="1" t="s">
        <v>3009</v>
      </c>
      <c r="BV673" s="1" t="s">
        <v>2834</v>
      </c>
      <c r="BW673" s="1">
        <v>317.63</v>
      </c>
      <c r="BX673" s="1">
        <v>88.71</v>
      </c>
      <c r="BY673" s="1">
        <v>-179.18</v>
      </c>
      <c r="BZ673" s="1">
        <v>227.61</v>
      </c>
      <c r="CA673" s="1">
        <v>89.18</v>
      </c>
      <c r="CB673" s="1">
        <v>-1.29</v>
      </c>
      <c r="CC673" s="1" t="s">
        <v>3006</v>
      </c>
      <c r="CD673" s="1" t="s">
        <v>862</v>
      </c>
      <c r="CE673" s="1">
        <v>3</v>
      </c>
      <c r="CF673" s="1">
        <v>7.8990001775435843</v>
      </c>
      <c r="CG673" s="1">
        <v>11.212199999999999</v>
      </c>
      <c r="CH673" s="1">
        <v>16200</v>
      </c>
      <c r="CI673" s="1" t="s">
        <v>1256</v>
      </c>
      <c r="CJ673" s="1" t="s">
        <v>691</v>
      </c>
      <c r="CK673" t="s">
        <v>1264</v>
      </c>
      <c r="CL673">
        <v>90</v>
      </c>
      <c r="CM673" t="s">
        <v>3021</v>
      </c>
    </row>
    <row r="674" spans="1:91" ht="19" customHeight="1">
      <c r="A674" s="1" t="s">
        <v>4487</v>
      </c>
      <c r="B674" s="1" t="s">
        <v>1254</v>
      </c>
      <c r="C674" s="1">
        <v>7</v>
      </c>
      <c r="D674" s="1" t="s">
        <v>1255</v>
      </c>
      <c r="E674" s="1">
        <v>2023</v>
      </c>
      <c r="F674" s="1">
        <v>2712</v>
      </c>
      <c r="G674" s="1" t="s">
        <v>1669</v>
      </c>
      <c r="H674" s="4">
        <v>37.183999999999997</v>
      </c>
      <c r="I674" s="4">
        <v>36.73283</v>
      </c>
      <c r="J674" s="1" t="s">
        <v>1396</v>
      </c>
      <c r="K674" s="1" t="s">
        <v>87</v>
      </c>
      <c r="L674" s="1" t="s">
        <v>1671</v>
      </c>
      <c r="M674" s="1" t="s">
        <v>3545</v>
      </c>
      <c r="N674" s="1"/>
      <c r="O674" s="1" t="s">
        <v>4477</v>
      </c>
      <c r="P674" s="1"/>
      <c r="Q674" s="4">
        <v>7.8</v>
      </c>
      <c r="R674" s="4">
        <v>7.1</v>
      </c>
      <c r="S674" s="4"/>
      <c r="T674" s="4">
        <v>126.7</v>
      </c>
      <c r="U674" s="4"/>
      <c r="V674" s="4">
        <v>1.7</v>
      </c>
      <c r="W674" s="22">
        <f>YEN!F91</f>
        <v>27.254607620080087</v>
      </c>
      <c r="X674" s="4">
        <v>-31</v>
      </c>
      <c r="Y674" s="4">
        <v>56</v>
      </c>
      <c r="Z674" s="4"/>
      <c r="AA674" s="4"/>
      <c r="AB674" s="4"/>
      <c r="AC674" s="4">
        <v>1.96009478404727</v>
      </c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1"/>
      <c r="BJ674" s="1" t="s">
        <v>4488</v>
      </c>
      <c r="BK674" s="1">
        <v>1</v>
      </c>
      <c r="BL674" s="1"/>
      <c r="BM674" s="1" t="s">
        <v>232</v>
      </c>
      <c r="BN674" s="1" t="s">
        <v>3014</v>
      </c>
      <c r="BO674" s="1" t="s">
        <v>3015</v>
      </c>
      <c r="BP674" s="1">
        <v>7.8</v>
      </c>
      <c r="BQ674" s="1" t="s">
        <v>1003</v>
      </c>
      <c r="BR674" s="1">
        <v>37.2256</v>
      </c>
      <c r="BS674" s="1">
        <v>37.014299999999999</v>
      </c>
      <c r="BT674" s="1">
        <v>10</v>
      </c>
      <c r="BU674" s="1" t="s">
        <v>3009</v>
      </c>
      <c r="BV674" s="1" t="s">
        <v>2834</v>
      </c>
      <c r="BW674" s="1">
        <v>317.63</v>
      </c>
      <c r="BX674" s="1">
        <v>88.71</v>
      </c>
      <c r="BY674" s="1">
        <v>-179.18</v>
      </c>
      <c r="BZ674" s="1">
        <v>227.61</v>
      </c>
      <c r="CA674" s="1">
        <v>89.18</v>
      </c>
      <c r="CB674" s="1">
        <v>-1.29</v>
      </c>
      <c r="CC674" s="1" t="s">
        <v>3006</v>
      </c>
      <c r="CD674" s="1" t="s">
        <v>862</v>
      </c>
      <c r="CE674" s="1">
        <v>3</v>
      </c>
      <c r="CF674" s="1">
        <v>7.8990001775435843</v>
      </c>
      <c r="CG674" s="1">
        <v>11.212199999999999</v>
      </c>
      <c r="CH674" s="1">
        <v>16200</v>
      </c>
      <c r="CI674" s="1" t="s">
        <v>1256</v>
      </c>
      <c r="CJ674" s="1" t="s">
        <v>691</v>
      </c>
      <c r="CK674" t="s">
        <v>1264</v>
      </c>
      <c r="CL674">
        <v>91</v>
      </c>
      <c r="CM674" t="s">
        <v>3021</v>
      </c>
    </row>
    <row r="675" spans="1:91" ht="19" customHeight="1">
      <c r="A675" s="1" t="s">
        <v>4489</v>
      </c>
      <c r="B675" s="1" t="s">
        <v>1254</v>
      </c>
      <c r="C675" s="1">
        <v>8</v>
      </c>
      <c r="D675" s="1" t="s">
        <v>1255</v>
      </c>
      <c r="E675" s="1">
        <v>2023</v>
      </c>
      <c r="F675" s="1">
        <v>2718</v>
      </c>
      <c r="G675" s="1" t="s">
        <v>1681</v>
      </c>
      <c r="H675" s="4">
        <v>37.007770000000001</v>
      </c>
      <c r="I675" s="4">
        <v>36.626600000000003</v>
      </c>
      <c r="J675" s="1" t="s">
        <v>1396</v>
      </c>
      <c r="K675" s="1" t="s">
        <v>87</v>
      </c>
      <c r="L675" s="1" t="s">
        <v>1683</v>
      </c>
      <c r="M675" s="1" t="s">
        <v>3545</v>
      </c>
      <c r="N675" s="1"/>
      <c r="O675" s="1" t="s">
        <v>4477</v>
      </c>
      <c r="P675" s="1"/>
      <c r="Q675" s="4">
        <v>7.8</v>
      </c>
      <c r="R675" s="4">
        <v>6</v>
      </c>
      <c r="S675" s="4"/>
      <c r="T675" s="4">
        <v>114.4</v>
      </c>
      <c r="U675" s="4"/>
      <c r="V675" s="4">
        <v>1.8</v>
      </c>
      <c r="W675" s="22">
        <f>YEN!F92</f>
        <v>43.225256477462416</v>
      </c>
      <c r="X675" s="4">
        <v>-79</v>
      </c>
      <c r="Y675" s="4">
        <v>76</v>
      </c>
      <c r="Z675" s="4"/>
      <c r="AA675" s="4"/>
      <c r="AB675" s="4"/>
      <c r="AC675" s="4">
        <v>1.791759469228055</v>
      </c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1"/>
      <c r="BJ675" s="1" t="s">
        <v>4490</v>
      </c>
      <c r="BK675" s="1">
        <v>1</v>
      </c>
      <c r="BL675" s="1"/>
      <c r="BM675" s="1" t="s">
        <v>232</v>
      </c>
      <c r="BN675" s="1" t="s">
        <v>3014</v>
      </c>
      <c r="BO675" s="1" t="s">
        <v>3015</v>
      </c>
      <c r="BP675" s="1">
        <v>7.8</v>
      </c>
      <c r="BQ675" s="1" t="s">
        <v>1003</v>
      </c>
      <c r="BR675" s="1">
        <v>37.2256</v>
      </c>
      <c r="BS675" s="1">
        <v>37.014299999999999</v>
      </c>
      <c r="BT675" s="1">
        <v>10</v>
      </c>
      <c r="BU675" s="1" t="s">
        <v>3009</v>
      </c>
      <c r="BV675" s="1" t="s">
        <v>2834</v>
      </c>
      <c r="BW675" s="1">
        <v>317.63</v>
      </c>
      <c r="BX675" s="1">
        <v>88.71</v>
      </c>
      <c r="BY675" s="1">
        <v>-179.18</v>
      </c>
      <c r="BZ675" s="1">
        <v>227.61</v>
      </c>
      <c r="CA675" s="1">
        <v>89.18</v>
      </c>
      <c r="CB675" s="1">
        <v>-1.29</v>
      </c>
      <c r="CC675" s="1" t="s">
        <v>3006</v>
      </c>
      <c r="CD675" s="1" t="s">
        <v>862</v>
      </c>
      <c r="CE675" s="1">
        <v>3</v>
      </c>
      <c r="CF675" s="1">
        <v>7.8990001775435843</v>
      </c>
      <c r="CG675" s="1">
        <v>11.212199999999999</v>
      </c>
      <c r="CH675" s="1">
        <v>16200</v>
      </c>
      <c r="CI675" s="1" t="s">
        <v>1256</v>
      </c>
      <c r="CJ675" s="1" t="s">
        <v>691</v>
      </c>
      <c r="CK675" t="s">
        <v>1264</v>
      </c>
      <c r="CL675">
        <v>92</v>
      </c>
      <c r="CM675" t="s">
        <v>3021</v>
      </c>
    </row>
    <row r="676" spans="1:91" ht="19" customHeight="1">
      <c r="A676" s="1" t="s">
        <v>4491</v>
      </c>
      <c r="B676" s="1" t="s">
        <v>1254</v>
      </c>
      <c r="C676" s="1">
        <v>9</v>
      </c>
      <c r="D676" s="1" t="s">
        <v>1255</v>
      </c>
      <c r="E676" s="1">
        <v>2023</v>
      </c>
      <c r="F676" s="1">
        <v>3145</v>
      </c>
      <c r="G676" s="1" t="s">
        <v>1715</v>
      </c>
      <c r="H676" s="4">
        <v>36.645359999999997</v>
      </c>
      <c r="I676" s="4">
        <v>36.406399999999998</v>
      </c>
      <c r="J676" s="1" t="s">
        <v>1396</v>
      </c>
      <c r="K676" s="1" t="s">
        <v>87</v>
      </c>
      <c r="L676" s="1" t="s">
        <v>1717</v>
      </c>
      <c r="M676" s="1" t="s">
        <v>3545</v>
      </c>
      <c r="N676" s="1"/>
      <c r="O676" s="1" t="s">
        <v>4477</v>
      </c>
      <c r="P676" s="1"/>
      <c r="Q676" s="4">
        <v>7.8</v>
      </c>
      <c r="R676" s="4">
        <v>4.2</v>
      </c>
      <c r="S676" s="4"/>
      <c r="T676" s="4">
        <v>147.9</v>
      </c>
      <c r="U676" s="4"/>
      <c r="V676" s="4">
        <v>1.8</v>
      </c>
      <c r="W676" s="22">
        <f>YEN!F93</f>
        <v>84.746361866557024</v>
      </c>
      <c r="X676" s="4">
        <v>75</v>
      </c>
      <c r="Y676" s="4">
        <v>50</v>
      </c>
      <c r="Z676" s="4"/>
      <c r="AA676" s="4"/>
      <c r="AB676" s="4"/>
      <c r="AC676" s="4">
        <v>1.435084525289323</v>
      </c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1"/>
      <c r="BJ676" s="1" t="s">
        <v>4492</v>
      </c>
      <c r="BK676" s="1">
        <v>1</v>
      </c>
      <c r="BL676" s="1"/>
      <c r="BM676" s="1" t="s">
        <v>232</v>
      </c>
      <c r="BN676" s="1" t="s">
        <v>3014</v>
      </c>
      <c r="BO676" s="1" t="s">
        <v>3015</v>
      </c>
      <c r="BP676" s="1">
        <v>7.8</v>
      </c>
      <c r="BQ676" s="1" t="s">
        <v>1003</v>
      </c>
      <c r="BR676" s="1">
        <v>37.2256</v>
      </c>
      <c r="BS676" s="1">
        <v>37.014299999999999</v>
      </c>
      <c r="BT676" s="1">
        <v>10</v>
      </c>
      <c r="BU676" s="1" t="s">
        <v>3009</v>
      </c>
      <c r="BV676" s="1" t="s">
        <v>2834</v>
      </c>
      <c r="BW676" s="1">
        <v>317.63</v>
      </c>
      <c r="BX676" s="1">
        <v>88.71</v>
      </c>
      <c r="BY676" s="1">
        <v>-179.18</v>
      </c>
      <c r="BZ676" s="1">
        <v>227.61</v>
      </c>
      <c r="CA676" s="1">
        <v>89.18</v>
      </c>
      <c r="CB676" s="1">
        <v>-1.29</v>
      </c>
      <c r="CC676" s="1" t="s">
        <v>3006</v>
      </c>
      <c r="CD676" s="1" t="s">
        <v>862</v>
      </c>
      <c r="CE676" s="1">
        <v>3</v>
      </c>
      <c r="CF676" s="1">
        <v>7.8990001775435843</v>
      </c>
      <c r="CG676" s="1">
        <v>11.212199999999999</v>
      </c>
      <c r="CH676" s="1">
        <v>16200</v>
      </c>
      <c r="CI676" s="1" t="s">
        <v>1256</v>
      </c>
      <c r="CJ676" s="1" t="s">
        <v>691</v>
      </c>
      <c r="CK676" t="s">
        <v>1264</v>
      </c>
      <c r="CL676">
        <v>93</v>
      </c>
      <c r="CM676" t="s">
        <v>3021</v>
      </c>
    </row>
    <row r="677" spans="1:91" ht="19" customHeight="1">
      <c r="A677" s="1" t="s">
        <v>4493</v>
      </c>
      <c r="B677" s="1" t="s">
        <v>1254</v>
      </c>
      <c r="C677" s="1">
        <v>10</v>
      </c>
      <c r="D677" s="1" t="s">
        <v>1255</v>
      </c>
      <c r="E677" s="1">
        <v>2023</v>
      </c>
      <c r="F677" s="1">
        <v>4616</v>
      </c>
      <c r="G677" s="1" t="s">
        <v>1728</v>
      </c>
      <c r="H677" s="4">
        <v>37.37547</v>
      </c>
      <c r="I677" s="4">
        <v>36.838360000000002</v>
      </c>
      <c r="J677" s="1" t="s">
        <v>1396</v>
      </c>
      <c r="K677" s="1" t="s">
        <v>87</v>
      </c>
      <c r="L677" s="1" t="s">
        <v>1730</v>
      </c>
      <c r="M677" s="1" t="s">
        <v>3545</v>
      </c>
      <c r="N677" s="1"/>
      <c r="O677" s="1" t="s">
        <v>4477</v>
      </c>
      <c r="P677" s="1"/>
      <c r="Q677" s="4">
        <v>7.8</v>
      </c>
      <c r="R677" s="4">
        <v>8.4</v>
      </c>
      <c r="S677" s="4"/>
      <c r="T677" s="4">
        <v>102.2</v>
      </c>
      <c r="U677" s="4"/>
      <c r="V677" s="4">
        <v>1.9</v>
      </c>
      <c r="W677" s="22">
        <f>YEN!F94</f>
        <v>24.897750015535877</v>
      </c>
      <c r="X677" s="4">
        <v>-50</v>
      </c>
      <c r="Y677" s="4">
        <v>70</v>
      </c>
      <c r="Z677" s="4"/>
      <c r="AA677" s="4"/>
      <c r="AB677" s="4"/>
      <c r="AC677" s="4">
        <v>2.1282317058492679</v>
      </c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1"/>
      <c r="BJ677" s="1" t="s">
        <v>4494</v>
      </c>
      <c r="BK677" s="1">
        <v>1</v>
      </c>
      <c r="BL677" s="1"/>
      <c r="BM677" s="1" t="s">
        <v>232</v>
      </c>
      <c r="BN677" s="1" t="s">
        <v>3014</v>
      </c>
      <c r="BO677" s="1" t="s">
        <v>3015</v>
      </c>
      <c r="BP677" s="1">
        <v>7.8</v>
      </c>
      <c r="BQ677" s="1" t="s">
        <v>1003</v>
      </c>
      <c r="BR677" s="1">
        <v>37.2256</v>
      </c>
      <c r="BS677" s="1">
        <v>37.014299999999999</v>
      </c>
      <c r="BT677" s="1">
        <v>10</v>
      </c>
      <c r="BU677" s="1" t="s">
        <v>3009</v>
      </c>
      <c r="BV677" s="1" t="s">
        <v>2834</v>
      </c>
      <c r="BW677" s="1">
        <v>317.63</v>
      </c>
      <c r="BX677" s="1">
        <v>88.71</v>
      </c>
      <c r="BY677" s="1">
        <v>-179.18</v>
      </c>
      <c r="BZ677" s="1">
        <v>227.61</v>
      </c>
      <c r="CA677" s="1">
        <v>89.18</v>
      </c>
      <c r="CB677" s="1">
        <v>-1.29</v>
      </c>
      <c r="CC677" s="1" t="s">
        <v>3006</v>
      </c>
      <c r="CD677" s="1" t="s">
        <v>862</v>
      </c>
      <c r="CE677" s="1">
        <v>3</v>
      </c>
      <c r="CF677" s="1">
        <v>7.8990001775435843</v>
      </c>
      <c r="CG677" s="1">
        <v>11.212199999999999</v>
      </c>
      <c r="CH677" s="1">
        <v>16200</v>
      </c>
      <c r="CI677" s="1" t="s">
        <v>1256</v>
      </c>
      <c r="CJ677" s="1" t="s">
        <v>691</v>
      </c>
      <c r="CK677" t="s">
        <v>1264</v>
      </c>
      <c r="CL677">
        <v>94</v>
      </c>
      <c r="CM677" t="s">
        <v>3021</v>
      </c>
    </row>
    <row r="678" spans="1:91" ht="19" customHeight="1">
      <c r="A678" s="1" t="s">
        <v>4495</v>
      </c>
      <c r="B678" s="1" t="s">
        <v>1254</v>
      </c>
      <c r="C678" s="1">
        <v>11</v>
      </c>
      <c r="D678" s="1" t="s">
        <v>1255</v>
      </c>
      <c r="E678" s="1">
        <v>2023</v>
      </c>
      <c r="F678" s="1">
        <v>3138</v>
      </c>
      <c r="G678" s="1" t="s">
        <v>1702</v>
      </c>
      <c r="H678" s="4">
        <v>36.802619999999997</v>
      </c>
      <c r="I678" s="4">
        <v>36.511189999999999</v>
      </c>
      <c r="J678" s="1" t="s">
        <v>1396</v>
      </c>
      <c r="K678" s="1" t="s">
        <v>87</v>
      </c>
      <c r="L678" s="1" t="s">
        <v>1662</v>
      </c>
      <c r="M678" s="1" t="s">
        <v>3545</v>
      </c>
      <c r="N678" s="1"/>
      <c r="O678" s="1" t="s">
        <v>4477</v>
      </c>
      <c r="P678" s="1"/>
      <c r="Q678" s="4">
        <v>7.8</v>
      </c>
      <c r="R678" s="4">
        <v>7.5</v>
      </c>
      <c r="S678" s="4"/>
      <c r="T678" s="4">
        <v>173.2</v>
      </c>
      <c r="U678" s="4"/>
      <c r="V678" s="4">
        <v>2.1</v>
      </c>
      <c r="W678" s="22">
        <f>YEN!F95</f>
        <v>65.631579340330177</v>
      </c>
      <c r="X678" s="4">
        <v>74</v>
      </c>
      <c r="Y678" s="4">
        <v>49</v>
      </c>
      <c r="Z678" s="4"/>
      <c r="AA678" s="4"/>
      <c r="AB678" s="4"/>
      <c r="AC678" s="4">
        <v>2.0149030205422651</v>
      </c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1"/>
      <c r="BJ678" s="1" t="s">
        <v>4496</v>
      </c>
      <c r="BK678" s="1">
        <v>1</v>
      </c>
      <c r="BL678" s="1"/>
      <c r="BM678" s="1" t="s">
        <v>232</v>
      </c>
      <c r="BN678" s="1" t="s">
        <v>3014</v>
      </c>
      <c r="BO678" s="1" t="s">
        <v>3015</v>
      </c>
      <c r="BP678" s="1">
        <v>7.8</v>
      </c>
      <c r="BQ678" s="1" t="s">
        <v>1003</v>
      </c>
      <c r="BR678" s="1">
        <v>37.2256</v>
      </c>
      <c r="BS678" s="1">
        <v>37.014299999999999</v>
      </c>
      <c r="BT678" s="1">
        <v>10</v>
      </c>
      <c r="BU678" s="1" t="s">
        <v>3009</v>
      </c>
      <c r="BV678" s="1" t="s">
        <v>2834</v>
      </c>
      <c r="BW678" s="1">
        <v>317.63</v>
      </c>
      <c r="BX678" s="1">
        <v>88.71</v>
      </c>
      <c r="BY678" s="1">
        <v>-179.18</v>
      </c>
      <c r="BZ678" s="1">
        <v>227.61</v>
      </c>
      <c r="CA678" s="1">
        <v>89.18</v>
      </c>
      <c r="CB678" s="1">
        <v>-1.29</v>
      </c>
      <c r="CC678" s="1" t="s">
        <v>3006</v>
      </c>
      <c r="CD678" s="1" t="s">
        <v>862</v>
      </c>
      <c r="CE678" s="1">
        <v>3</v>
      </c>
      <c r="CF678" s="1">
        <v>7.8990001775435843</v>
      </c>
      <c r="CG678" s="1">
        <v>11.212199999999999</v>
      </c>
      <c r="CH678" s="1">
        <v>16200</v>
      </c>
      <c r="CI678" s="1" t="s">
        <v>1256</v>
      </c>
      <c r="CJ678" s="1" t="s">
        <v>691</v>
      </c>
      <c r="CK678" t="s">
        <v>1264</v>
      </c>
      <c r="CL678">
        <v>95</v>
      </c>
      <c r="CM678" t="s">
        <v>3021</v>
      </c>
    </row>
    <row r="679" spans="1:91" ht="19" customHeight="1">
      <c r="A679" s="1" t="s">
        <v>4497</v>
      </c>
      <c r="B679" s="1" t="s">
        <v>1254</v>
      </c>
      <c r="C679" s="1">
        <v>12</v>
      </c>
      <c r="D679" s="1" t="s">
        <v>1255</v>
      </c>
      <c r="E679" s="1">
        <v>2023</v>
      </c>
      <c r="F679" s="1">
        <v>3144</v>
      </c>
      <c r="G679" s="1" t="s">
        <v>1713</v>
      </c>
      <c r="H679" s="4">
        <v>36.756909999999998</v>
      </c>
      <c r="I679" s="4">
        <v>36.485742000000002</v>
      </c>
      <c r="J679" s="1" t="s">
        <v>1396</v>
      </c>
      <c r="K679" s="1" t="s">
        <v>87</v>
      </c>
      <c r="L679" s="1" t="s">
        <v>1665</v>
      </c>
      <c r="M679" s="1" t="s">
        <v>3545</v>
      </c>
      <c r="N679" s="1"/>
      <c r="O679" s="1" t="s">
        <v>4477</v>
      </c>
      <c r="P679" s="1"/>
      <c r="Q679" s="4">
        <v>7.8</v>
      </c>
      <c r="R679" s="4">
        <v>8.3000000000000007</v>
      </c>
      <c r="S679" s="4"/>
      <c r="T679" s="4">
        <v>145.4</v>
      </c>
      <c r="U679" s="4"/>
      <c r="V679" s="4">
        <v>2.1</v>
      </c>
      <c r="W679" s="22">
        <f>YEN!F96</f>
        <v>70.850073015547721</v>
      </c>
      <c r="X679" s="4">
        <v>57</v>
      </c>
      <c r="Y679" s="4">
        <v>32</v>
      </c>
      <c r="Z679" s="4"/>
      <c r="AA679" s="4"/>
      <c r="AB679" s="4"/>
      <c r="AC679" s="4">
        <v>2.1162555148025519</v>
      </c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1"/>
      <c r="BJ679" s="1" t="s">
        <v>4498</v>
      </c>
      <c r="BK679" s="1">
        <v>1</v>
      </c>
      <c r="BL679" s="1"/>
      <c r="BM679" s="1" t="s">
        <v>232</v>
      </c>
      <c r="BN679" s="1" t="s">
        <v>3014</v>
      </c>
      <c r="BO679" s="1" t="s">
        <v>3015</v>
      </c>
      <c r="BP679" s="1">
        <v>7.8</v>
      </c>
      <c r="BQ679" s="1" t="s">
        <v>1003</v>
      </c>
      <c r="BR679" s="1">
        <v>37.2256</v>
      </c>
      <c r="BS679" s="1">
        <v>37.014299999999999</v>
      </c>
      <c r="BT679" s="1">
        <v>10</v>
      </c>
      <c r="BU679" s="1" t="s">
        <v>3009</v>
      </c>
      <c r="BV679" s="1" t="s">
        <v>2834</v>
      </c>
      <c r="BW679" s="1">
        <v>317.63</v>
      </c>
      <c r="BX679" s="1">
        <v>88.71</v>
      </c>
      <c r="BY679" s="1">
        <v>-179.18</v>
      </c>
      <c r="BZ679" s="1">
        <v>227.61</v>
      </c>
      <c r="CA679" s="1">
        <v>89.18</v>
      </c>
      <c r="CB679" s="1">
        <v>-1.29</v>
      </c>
      <c r="CC679" s="1" t="s">
        <v>3006</v>
      </c>
      <c r="CD679" s="1" t="s">
        <v>862</v>
      </c>
      <c r="CE679" s="1">
        <v>3</v>
      </c>
      <c r="CF679" s="1">
        <v>7.8990001775435843</v>
      </c>
      <c r="CG679" s="1">
        <v>11.212199999999999</v>
      </c>
      <c r="CH679" s="1">
        <v>16200</v>
      </c>
      <c r="CI679" s="1" t="s">
        <v>1256</v>
      </c>
      <c r="CJ679" s="1" t="s">
        <v>691</v>
      </c>
      <c r="CK679" t="s">
        <v>1264</v>
      </c>
      <c r="CL679">
        <v>96</v>
      </c>
      <c r="CM679" t="s">
        <v>3021</v>
      </c>
    </row>
    <row r="680" spans="1:91" ht="19" customHeight="1">
      <c r="A680" s="1" t="s">
        <v>4499</v>
      </c>
      <c r="B680" s="1" t="s">
        <v>1254</v>
      </c>
      <c r="C680" s="1">
        <v>13</v>
      </c>
      <c r="D680" s="1" t="s">
        <v>1255</v>
      </c>
      <c r="E680" s="1">
        <v>2023</v>
      </c>
      <c r="F680" s="1">
        <v>3131</v>
      </c>
      <c r="G680" s="1" t="s">
        <v>1690</v>
      </c>
      <c r="H680" s="4">
        <v>36.191209999999998</v>
      </c>
      <c r="I680" s="4">
        <v>36.16328</v>
      </c>
      <c r="J680" s="1" t="s">
        <v>1396</v>
      </c>
      <c r="K680" s="1" t="s">
        <v>87</v>
      </c>
      <c r="L680" s="1" t="s">
        <v>1692</v>
      </c>
      <c r="M680" s="1" t="s">
        <v>3545</v>
      </c>
      <c r="N680" s="1"/>
      <c r="O680" s="1" t="s">
        <v>4477</v>
      </c>
      <c r="P680" s="1"/>
      <c r="Q680" s="4">
        <v>7.8</v>
      </c>
      <c r="R680" s="4">
        <v>7.9</v>
      </c>
      <c r="S680" s="4"/>
      <c r="T680" s="4">
        <v>59.8</v>
      </c>
      <c r="U680" s="4"/>
      <c r="V680" s="4">
        <v>2.2999999999999998</v>
      </c>
      <c r="W680" s="22">
        <f>YEN!F97</f>
        <v>138.14519305243493</v>
      </c>
      <c r="X680" s="4">
        <v>-29</v>
      </c>
      <c r="Y680" s="4">
        <v>54</v>
      </c>
      <c r="Z680" s="4"/>
      <c r="AA680" s="4"/>
      <c r="AB680" s="4"/>
      <c r="AC680" s="4">
        <v>2.066862759472976</v>
      </c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1"/>
      <c r="BJ680" s="1" t="s">
        <v>4500</v>
      </c>
      <c r="BK680" s="1">
        <v>1</v>
      </c>
      <c r="BL680" s="1"/>
      <c r="BM680" s="1" t="s">
        <v>232</v>
      </c>
      <c r="BN680" s="1" t="s">
        <v>3014</v>
      </c>
      <c r="BO680" s="1" t="s">
        <v>3015</v>
      </c>
      <c r="BP680" s="1">
        <v>7.8</v>
      </c>
      <c r="BQ680" s="1" t="s">
        <v>1003</v>
      </c>
      <c r="BR680" s="1">
        <v>37.2256</v>
      </c>
      <c r="BS680" s="1">
        <v>37.014299999999999</v>
      </c>
      <c r="BT680" s="1">
        <v>10</v>
      </c>
      <c r="BU680" s="1" t="s">
        <v>3009</v>
      </c>
      <c r="BV680" s="1" t="s">
        <v>2834</v>
      </c>
      <c r="BW680" s="1">
        <v>317.63</v>
      </c>
      <c r="BX680" s="1">
        <v>88.71</v>
      </c>
      <c r="BY680" s="1">
        <v>-179.18</v>
      </c>
      <c r="BZ680" s="1">
        <v>227.61</v>
      </c>
      <c r="CA680" s="1">
        <v>89.18</v>
      </c>
      <c r="CB680" s="1">
        <v>-1.29</v>
      </c>
      <c r="CC680" s="1" t="s">
        <v>3006</v>
      </c>
      <c r="CD680" s="1" t="s">
        <v>862</v>
      </c>
      <c r="CE680" s="1">
        <v>3</v>
      </c>
      <c r="CF680" s="1">
        <v>7.8990001775435843</v>
      </c>
      <c r="CG680" s="1">
        <v>11.212199999999999</v>
      </c>
      <c r="CH680" s="1">
        <v>16200</v>
      </c>
      <c r="CI680" s="1" t="s">
        <v>1256</v>
      </c>
      <c r="CJ680" s="1" t="s">
        <v>691</v>
      </c>
      <c r="CK680" t="s">
        <v>1264</v>
      </c>
      <c r="CL680">
        <v>97</v>
      </c>
      <c r="CM680" t="s">
        <v>3021</v>
      </c>
    </row>
    <row r="681" spans="1:91" ht="19" customHeight="1">
      <c r="A681" s="1" t="s">
        <v>4501</v>
      </c>
      <c r="B681" s="1" t="s">
        <v>1254</v>
      </c>
      <c r="C681" s="1">
        <v>14</v>
      </c>
      <c r="D681" s="1" t="s">
        <v>1255</v>
      </c>
      <c r="E681" s="1">
        <v>2023</v>
      </c>
      <c r="F681" s="1">
        <v>2708</v>
      </c>
      <c r="G681" s="1" t="s">
        <v>1666</v>
      </c>
      <c r="H681" s="4">
        <v>37.099330000000002</v>
      </c>
      <c r="I681" s="4">
        <v>36.648372999999999</v>
      </c>
      <c r="J681" s="1" t="s">
        <v>1396</v>
      </c>
      <c r="K681" s="1" t="s">
        <v>87</v>
      </c>
      <c r="L681" s="1" t="s">
        <v>1668</v>
      </c>
      <c r="M681" s="1" t="s">
        <v>3545</v>
      </c>
      <c r="N681" s="1"/>
      <c r="O681" s="1" t="s">
        <v>4477</v>
      </c>
      <c r="P681" s="1"/>
      <c r="Q681" s="4">
        <v>7.8</v>
      </c>
      <c r="R681" s="4">
        <v>3.1</v>
      </c>
      <c r="S681" s="4"/>
      <c r="T681" s="4">
        <v>155.4</v>
      </c>
      <c r="U681" s="4"/>
      <c r="V681" s="4">
        <v>2.6</v>
      </c>
      <c r="W681" s="22">
        <f>YEN!F98</f>
        <v>36.723291293504737</v>
      </c>
      <c r="X681" s="4">
        <v>-66</v>
      </c>
      <c r="Y681" s="4">
        <v>89</v>
      </c>
      <c r="Z681" s="4"/>
      <c r="AA681" s="4"/>
      <c r="AB681" s="4"/>
      <c r="AC681" s="4">
        <v>1.131402111491101</v>
      </c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1"/>
      <c r="BJ681" s="1" t="s">
        <v>4502</v>
      </c>
      <c r="BK681" s="1">
        <v>1</v>
      </c>
      <c r="BL681" s="1"/>
      <c r="BM681" s="1" t="s">
        <v>232</v>
      </c>
      <c r="BN681" s="1" t="s">
        <v>3014</v>
      </c>
      <c r="BO681" s="1" t="s">
        <v>3015</v>
      </c>
      <c r="BP681" s="1">
        <v>7.8</v>
      </c>
      <c r="BQ681" s="1" t="s">
        <v>1003</v>
      </c>
      <c r="BR681" s="1">
        <v>37.2256</v>
      </c>
      <c r="BS681" s="1">
        <v>37.014299999999999</v>
      </c>
      <c r="BT681" s="1">
        <v>10</v>
      </c>
      <c r="BU681" s="1" t="s">
        <v>3009</v>
      </c>
      <c r="BV681" s="1" t="s">
        <v>2834</v>
      </c>
      <c r="BW681" s="1">
        <v>317.63</v>
      </c>
      <c r="BX681" s="1">
        <v>88.71</v>
      </c>
      <c r="BY681" s="1">
        <v>-179.18</v>
      </c>
      <c r="BZ681" s="1">
        <v>227.61</v>
      </c>
      <c r="CA681" s="1">
        <v>89.18</v>
      </c>
      <c r="CB681" s="1">
        <v>-1.29</v>
      </c>
      <c r="CC681" s="1" t="s">
        <v>3006</v>
      </c>
      <c r="CD681" s="1" t="s">
        <v>862</v>
      </c>
      <c r="CE681" s="1">
        <v>3</v>
      </c>
      <c r="CF681" s="1">
        <v>7.8990001775435843</v>
      </c>
      <c r="CG681" s="1">
        <v>11.212199999999999</v>
      </c>
      <c r="CH681" s="1">
        <v>16200</v>
      </c>
      <c r="CI681" s="1" t="s">
        <v>1256</v>
      </c>
      <c r="CJ681" s="1" t="s">
        <v>691</v>
      </c>
      <c r="CK681" t="s">
        <v>1264</v>
      </c>
      <c r="CL681">
        <v>98</v>
      </c>
      <c r="CM681" t="s">
        <v>3021</v>
      </c>
    </row>
    <row r="682" spans="1:91" ht="19" customHeight="1">
      <c r="A682" s="1" t="s">
        <v>4503</v>
      </c>
      <c r="B682" s="1" t="s">
        <v>1254</v>
      </c>
      <c r="C682" s="1">
        <v>15</v>
      </c>
      <c r="D682" s="1" t="s">
        <v>1255</v>
      </c>
      <c r="E682" s="1">
        <v>2023</v>
      </c>
      <c r="F682" s="1">
        <v>3143</v>
      </c>
      <c r="G682" s="1" t="s">
        <v>1710</v>
      </c>
      <c r="H682" s="4">
        <v>36.848906999999997</v>
      </c>
      <c r="I682" s="4">
        <v>36.557138000000002</v>
      </c>
      <c r="J682" s="1" t="s">
        <v>1396</v>
      </c>
      <c r="K682" s="1" t="s">
        <v>87</v>
      </c>
      <c r="L682" s="1" t="s">
        <v>1712</v>
      </c>
      <c r="M682" s="1" t="s">
        <v>3545</v>
      </c>
      <c r="N682" s="1"/>
      <c r="O682" s="1" t="s">
        <v>4477</v>
      </c>
      <c r="P682" s="1"/>
      <c r="Q682" s="4">
        <v>7.8</v>
      </c>
      <c r="R682" s="4">
        <v>7.3</v>
      </c>
      <c r="S682" s="4"/>
      <c r="T682" s="4">
        <v>157.6</v>
      </c>
      <c r="U682" s="4"/>
      <c r="V682" s="4">
        <v>3.1</v>
      </c>
      <c r="W682" s="22">
        <f>YEN!F99</f>
        <v>59.169437321455796</v>
      </c>
      <c r="X682" s="4">
        <v>-47</v>
      </c>
      <c r="Y682" s="4">
        <v>72</v>
      </c>
      <c r="Z682" s="4"/>
      <c r="AA682" s="4"/>
      <c r="AB682" s="4"/>
      <c r="AC682" s="4">
        <v>1.987874348154345</v>
      </c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1"/>
      <c r="BJ682" s="1" t="s">
        <v>4504</v>
      </c>
      <c r="BK682" s="1">
        <v>1</v>
      </c>
      <c r="BL682" s="1"/>
      <c r="BM682" s="1" t="s">
        <v>232</v>
      </c>
      <c r="BN682" s="1" t="s">
        <v>3014</v>
      </c>
      <c r="BO682" s="1" t="s">
        <v>3015</v>
      </c>
      <c r="BP682" s="1">
        <v>7.8</v>
      </c>
      <c r="BQ682" s="1" t="s">
        <v>1003</v>
      </c>
      <c r="BR682" s="1">
        <v>37.2256</v>
      </c>
      <c r="BS682" s="1">
        <v>37.014299999999999</v>
      </c>
      <c r="BT682" s="1">
        <v>10</v>
      </c>
      <c r="BU682" s="1" t="s">
        <v>3009</v>
      </c>
      <c r="BV682" s="1" t="s">
        <v>2834</v>
      </c>
      <c r="BW682" s="1">
        <v>317.63</v>
      </c>
      <c r="BX682" s="1">
        <v>88.71</v>
      </c>
      <c r="BY682" s="1">
        <v>-179.18</v>
      </c>
      <c r="BZ682" s="1">
        <v>227.61</v>
      </c>
      <c r="CA682" s="1">
        <v>89.18</v>
      </c>
      <c r="CB682" s="1">
        <v>-1.29</v>
      </c>
      <c r="CC682" s="1" t="s">
        <v>3006</v>
      </c>
      <c r="CD682" s="1" t="s">
        <v>862</v>
      </c>
      <c r="CE682" s="1">
        <v>3</v>
      </c>
      <c r="CF682" s="1">
        <v>7.8990001775435843</v>
      </c>
      <c r="CG682" s="1">
        <v>11.212199999999999</v>
      </c>
      <c r="CH682" s="1">
        <v>16200</v>
      </c>
      <c r="CI682" s="1" t="s">
        <v>1256</v>
      </c>
      <c r="CJ682" s="1" t="s">
        <v>691</v>
      </c>
      <c r="CK682" t="s">
        <v>1264</v>
      </c>
      <c r="CL682">
        <v>99</v>
      </c>
      <c r="CM682" t="s">
        <v>3021</v>
      </c>
    </row>
    <row r="683" spans="1:91" ht="19" customHeight="1">
      <c r="A683" s="1" t="s">
        <v>4505</v>
      </c>
      <c r="B683" s="1" t="s">
        <v>1254</v>
      </c>
      <c r="C683" s="1">
        <v>16</v>
      </c>
      <c r="D683" s="1" t="s">
        <v>1255</v>
      </c>
      <c r="E683" s="1">
        <v>2023</v>
      </c>
      <c r="F683" s="1">
        <v>4615</v>
      </c>
      <c r="G683" s="1" t="s">
        <v>1724</v>
      </c>
      <c r="H683" s="4">
        <v>37.386760000000002</v>
      </c>
      <c r="I683" s="4">
        <v>37.138030000000001</v>
      </c>
      <c r="J683" s="1" t="s">
        <v>1396</v>
      </c>
      <c r="K683" s="1" t="s">
        <v>87</v>
      </c>
      <c r="L683" s="1" t="s">
        <v>1727</v>
      </c>
      <c r="M683" s="1" t="s">
        <v>3545</v>
      </c>
      <c r="N683" s="1"/>
      <c r="O683" s="1" t="s">
        <v>4477</v>
      </c>
      <c r="P683" s="1"/>
      <c r="Q683" s="4">
        <v>7.8</v>
      </c>
      <c r="R683" s="4">
        <v>5.6</v>
      </c>
      <c r="S683" s="4"/>
      <c r="T683" s="4">
        <v>156.6</v>
      </c>
      <c r="U683" s="4"/>
      <c r="V683" s="4">
        <v>3.6</v>
      </c>
      <c r="W683" s="22">
        <f>YEN!F100</f>
        <v>23.257024035897185</v>
      </c>
      <c r="X683" s="4">
        <v>-20</v>
      </c>
      <c r="Y683" s="4">
        <v>48</v>
      </c>
      <c r="Z683" s="4"/>
      <c r="AA683" s="4"/>
      <c r="AB683" s="4"/>
      <c r="AC683" s="4">
        <v>1.722766597741104</v>
      </c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1"/>
      <c r="BJ683" s="1" t="s">
        <v>4506</v>
      </c>
      <c r="BK683" s="1">
        <v>1</v>
      </c>
      <c r="BL683" s="1"/>
      <c r="BM683" s="1" t="s">
        <v>232</v>
      </c>
      <c r="BN683" s="1" t="s">
        <v>3014</v>
      </c>
      <c r="BO683" s="1" t="s">
        <v>3015</v>
      </c>
      <c r="BP683" s="1">
        <v>7.8</v>
      </c>
      <c r="BQ683" s="1" t="s">
        <v>1003</v>
      </c>
      <c r="BR683" s="1">
        <v>37.2256</v>
      </c>
      <c r="BS683" s="1">
        <v>37.014299999999999</v>
      </c>
      <c r="BT683" s="1">
        <v>10</v>
      </c>
      <c r="BU683" s="1" t="s">
        <v>3009</v>
      </c>
      <c r="BV683" s="1" t="s">
        <v>2834</v>
      </c>
      <c r="BW683" s="1">
        <v>317.63</v>
      </c>
      <c r="BX683" s="1">
        <v>88.71</v>
      </c>
      <c r="BY683" s="1">
        <v>-179.18</v>
      </c>
      <c r="BZ683" s="1">
        <v>227.61</v>
      </c>
      <c r="CA683" s="1">
        <v>89.18</v>
      </c>
      <c r="CB683" s="1">
        <v>-1.29</v>
      </c>
      <c r="CC683" s="1" t="s">
        <v>3006</v>
      </c>
      <c r="CD683" s="1" t="s">
        <v>862</v>
      </c>
      <c r="CE683" s="1">
        <v>3</v>
      </c>
      <c r="CF683" s="1">
        <v>7.8990001775435843</v>
      </c>
      <c r="CG683" s="1">
        <v>11.212199999999999</v>
      </c>
      <c r="CH683" s="1">
        <v>16200</v>
      </c>
      <c r="CI683" s="1" t="s">
        <v>1256</v>
      </c>
      <c r="CJ683" s="1" t="s">
        <v>691</v>
      </c>
      <c r="CK683" t="s">
        <v>1264</v>
      </c>
      <c r="CL683">
        <v>100</v>
      </c>
      <c r="CM683" t="s">
        <v>3021</v>
      </c>
    </row>
    <row r="684" spans="1:91" ht="19" customHeight="1">
      <c r="A684" s="1" t="s">
        <v>4507</v>
      </c>
      <c r="B684" s="1" t="s">
        <v>1254</v>
      </c>
      <c r="C684" s="1">
        <v>17</v>
      </c>
      <c r="D684" s="1" t="s">
        <v>1255</v>
      </c>
      <c r="E684" s="1">
        <v>2023</v>
      </c>
      <c r="F684" s="1">
        <v>3139</v>
      </c>
      <c r="G684" s="1" t="s">
        <v>1704</v>
      </c>
      <c r="H684" s="4">
        <v>36.583829999999999</v>
      </c>
      <c r="I684" s="4">
        <v>36.414389999999997</v>
      </c>
      <c r="J684" s="1" t="s">
        <v>1396</v>
      </c>
      <c r="K684" s="1" t="s">
        <v>87</v>
      </c>
      <c r="L684" s="1" t="s">
        <v>1706</v>
      </c>
      <c r="M684" s="1" t="s">
        <v>3545</v>
      </c>
      <c r="N684" s="1"/>
      <c r="O684" s="1" t="s">
        <v>4477</v>
      </c>
      <c r="P684" s="1"/>
      <c r="Q684" s="4">
        <v>7.8</v>
      </c>
      <c r="R684" s="4">
        <v>3</v>
      </c>
      <c r="S684" s="4"/>
      <c r="T684" s="4">
        <v>149.6</v>
      </c>
      <c r="U684" s="4"/>
      <c r="V684" s="4">
        <v>4</v>
      </c>
      <c r="W684" s="22">
        <f>YEN!F101</f>
        <v>89.653056051610989</v>
      </c>
      <c r="X684" s="4">
        <v>-18</v>
      </c>
      <c r="Y684" s="4">
        <v>43</v>
      </c>
      <c r="Z684" s="4"/>
      <c r="AA684" s="4"/>
      <c r="AB684" s="4"/>
      <c r="AC684" s="4">
        <v>1.09861228866811</v>
      </c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1"/>
      <c r="BJ684" s="1" t="s">
        <v>4508</v>
      </c>
      <c r="BK684" s="1">
        <v>1</v>
      </c>
      <c r="BL684" s="1"/>
      <c r="BM684" s="1" t="s">
        <v>232</v>
      </c>
      <c r="BN684" s="1" t="s">
        <v>3014</v>
      </c>
      <c r="BO684" s="1" t="s">
        <v>3015</v>
      </c>
      <c r="BP684" s="1">
        <v>7.8</v>
      </c>
      <c r="BQ684" s="1" t="s">
        <v>1003</v>
      </c>
      <c r="BR684" s="1">
        <v>37.2256</v>
      </c>
      <c r="BS684" s="1">
        <v>37.014299999999999</v>
      </c>
      <c r="BT684" s="1">
        <v>10</v>
      </c>
      <c r="BU684" s="1" t="s">
        <v>3009</v>
      </c>
      <c r="BV684" s="1" t="s">
        <v>2834</v>
      </c>
      <c r="BW684" s="1">
        <v>317.63</v>
      </c>
      <c r="BX684" s="1">
        <v>88.71</v>
      </c>
      <c r="BY684" s="1">
        <v>-179.18</v>
      </c>
      <c r="BZ684" s="1">
        <v>227.61</v>
      </c>
      <c r="CA684" s="1">
        <v>89.18</v>
      </c>
      <c r="CB684" s="1">
        <v>-1.29</v>
      </c>
      <c r="CC684" s="1" t="s">
        <v>3006</v>
      </c>
      <c r="CD684" s="1" t="s">
        <v>862</v>
      </c>
      <c r="CE684" s="1">
        <v>3</v>
      </c>
      <c r="CF684" s="1">
        <v>7.8990001775435843</v>
      </c>
      <c r="CG684" s="1">
        <v>11.212199999999999</v>
      </c>
      <c r="CH684" s="1">
        <v>16200</v>
      </c>
      <c r="CI684" s="1" t="s">
        <v>1256</v>
      </c>
      <c r="CJ684" s="1" t="s">
        <v>691</v>
      </c>
      <c r="CK684" t="s">
        <v>1264</v>
      </c>
      <c r="CL684">
        <v>101</v>
      </c>
      <c r="CM684" t="s">
        <v>3021</v>
      </c>
    </row>
    <row r="685" spans="1:91" ht="19" customHeight="1">
      <c r="A685" s="1" t="s">
        <v>4509</v>
      </c>
      <c r="B685" s="1" t="s">
        <v>1254</v>
      </c>
      <c r="C685" s="1">
        <v>18</v>
      </c>
      <c r="D685" s="1" t="s">
        <v>1255</v>
      </c>
      <c r="E685" s="1">
        <v>2023</v>
      </c>
      <c r="F685" s="1">
        <v>3142</v>
      </c>
      <c r="G685" s="1" t="s">
        <v>1707</v>
      </c>
      <c r="H685" s="4">
        <v>36.497970000000002</v>
      </c>
      <c r="I685" s="4">
        <v>36.366120000000002</v>
      </c>
      <c r="J685" s="1" t="s">
        <v>1396</v>
      </c>
      <c r="K685" s="1" t="s">
        <v>87</v>
      </c>
      <c r="L685" s="1" t="s">
        <v>1709</v>
      </c>
      <c r="M685" s="1" t="s">
        <v>3545</v>
      </c>
      <c r="N685" s="1"/>
      <c r="O685" s="1" t="s">
        <v>4477</v>
      </c>
      <c r="P685" s="1"/>
      <c r="Q685" s="4">
        <v>7.8</v>
      </c>
      <c r="R685" s="4">
        <v>13.5</v>
      </c>
      <c r="S685" s="4"/>
      <c r="T685" s="4">
        <v>77.099999999999994</v>
      </c>
      <c r="U685" s="4"/>
      <c r="V685" s="4">
        <v>4.0999999999999996</v>
      </c>
      <c r="W685" s="22">
        <f>YEN!F102</f>
        <v>99.856972635078577</v>
      </c>
      <c r="X685" s="4">
        <v>-67</v>
      </c>
      <c r="Y685" s="4">
        <v>88</v>
      </c>
      <c r="Z685" s="4"/>
      <c r="AA685" s="4"/>
      <c r="AB685" s="4"/>
      <c r="AC685" s="4">
        <v>2.6026896854443842</v>
      </c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1"/>
      <c r="BJ685" s="1" t="s">
        <v>4510</v>
      </c>
      <c r="BK685" s="1">
        <v>1</v>
      </c>
      <c r="BL685" s="1"/>
      <c r="BM685" s="1" t="s">
        <v>232</v>
      </c>
      <c r="BN685" s="1" t="s">
        <v>3014</v>
      </c>
      <c r="BO685" s="1" t="s">
        <v>3015</v>
      </c>
      <c r="BP685" s="1">
        <v>7.8</v>
      </c>
      <c r="BQ685" s="1" t="s">
        <v>1003</v>
      </c>
      <c r="BR685" s="1">
        <v>37.2256</v>
      </c>
      <c r="BS685" s="1">
        <v>37.014299999999999</v>
      </c>
      <c r="BT685" s="1">
        <v>10</v>
      </c>
      <c r="BU685" s="1" t="s">
        <v>3009</v>
      </c>
      <c r="BV685" s="1" t="s">
        <v>2834</v>
      </c>
      <c r="BW685" s="1">
        <v>317.63</v>
      </c>
      <c r="BX685" s="1">
        <v>88.71</v>
      </c>
      <c r="BY685" s="1">
        <v>-179.18</v>
      </c>
      <c r="BZ685" s="1">
        <v>227.61</v>
      </c>
      <c r="CA685" s="1">
        <v>89.18</v>
      </c>
      <c r="CB685" s="1">
        <v>-1.29</v>
      </c>
      <c r="CC685" s="1" t="s">
        <v>3006</v>
      </c>
      <c r="CD685" s="1" t="s">
        <v>862</v>
      </c>
      <c r="CE685" s="1">
        <v>3</v>
      </c>
      <c r="CF685" s="1">
        <v>7.8990001775435843</v>
      </c>
      <c r="CG685" s="1">
        <v>11.212199999999999</v>
      </c>
      <c r="CH685" s="1">
        <v>16200</v>
      </c>
      <c r="CI685" s="1" t="s">
        <v>1256</v>
      </c>
      <c r="CJ685" s="1" t="s">
        <v>691</v>
      </c>
      <c r="CK685" t="s">
        <v>1264</v>
      </c>
      <c r="CL685">
        <v>102</v>
      </c>
      <c r="CM685" t="s">
        <v>3021</v>
      </c>
    </row>
    <row r="686" spans="1:91" ht="19" customHeight="1">
      <c r="A686" s="1" t="s">
        <v>4511</v>
      </c>
      <c r="B686" s="1" t="s">
        <v>1254</v>
      </c>
      <c r="C686" s="1">
        <v>19</v>
      </c>
      <c r="D686" s="1" t="s">
        <v>1255</v>
      </c>
      <c r="E686" s="1">
        <v>2023</v>
      </c>
      <c r="F686" s="1" t="s">
        <v>1257</v>
      </c>
      <c r="G686" s="1" t="s">
        <v>1762</v>
      </c>
      <c r="H686" s="4">
        <v>37.3919</v>
      </c>
      <c r="I686" s="4">
        <v>37.157400000000003</v>
      </c>
      <c r="J686" s="1" t="s">
        <v>1396</v>
      </c>
      <c r="K686" s="1" t="s">
        <v>87</v>
      </c>
      <c r="L686" s="1" t="s">
        <v>1763</v>
      </c>
      <c r="M686" s="1" t="s">
        <v>3545</v>
      </c>
      <c r="N686" s="1"/>
      <c r="O686" s="1" t="s">
        <v>4477</v>
      </c>
      <c r="P686" s="1"/>
      <c r="Q686" s="4">
        <v>7.8</v>
      </c>
      <c r="R686" s="4">
        <v>4.8</v>
      </c>
      <c r="S686" s="4"/>
      <c r="T686" s="4">
        <v>121.8</v>
      </c>
      <c r="U686" s="4"/>
      <c r="V686" s="4">
        <v>4.2</v>
      </c>
      <c r="W686" s="22">
        <f>YEN!F103</f>
        <v>24.538133844430071</v>
      </c>
      <c r="X686" s="4">
        <v>53</v>
      </c>
      <c r="Y686" s="4">
        <v>25</v>
      </c>
      <c r="Z686" s="4"/>
      <c r="AA686" s="4"/>
      <c r="AB686" s="4"/>
      <c r="AC686" s="4">
        <v>1.568615917913845</v>
      </c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1"/>
      <c r="BJ686" s="1" t="s">
        <v>4512</v>
      </c>
      <c r="BK686" s="1">
        <v>1</v>
      </c>
      <c r="BL686" s="1"/>
      <c r="BM686" s="1" t="s">
        <v>232</v>
      </c>
      <c r="BN686" s="1" t="s">
        <v>3014</v>
      </c>
      <c r="BO686" s="1" t="s">
        <v>3015</v>
      </c>
      <c r="BP686" s="1">
        <v>7.8</v>
      </c>
      <c r="BQ686" s="1" t="s">
        <v>1003</v>
      </c>
      <c r="BR686" s="1">
        <v>37.2256</v>
      </c>
      <c r="BS686" s="1">
        <v>37.014299999999999</v>
      </c>
      <c r="BT686" s="1">
        <v>10</v>
      </c>
      <c r="BU686" s="1" t="s">
        <v>3009</v>
      </c>
      <c r="BV686" s="1" t="s">
        <v>2834</v>
      </c>
      <c r="BW686" s="1">
        <v>317.63</v>
      </c>
      <c r="BX686" s="1">
        <v>88.71</v>
      </c>
      <c r="BY686" s="1">
        <v>-179.18</v>
      </c>
      <c r="BZ686" s="1">
        <v>227.61</v>
      </c>
      <c r="CA686" s="1">
        <v>89.18</v>
      </c>
      <c r="CB686" s="1">
        <v>-1.29</v>
      </c>
      <c r="CC686" s="1" t="s">
        <v>3006</v>
      </c>
      <c r="CD686" s="1" t="s">
        <v>862</v>
      </c>
      <c r="CE686" s="1">
        <v>3</v>
      </c>
      <c r="CF686" s="1">
        <v>7.8990001775435843</v>
      </c>
      <c r="CG686" s="1">
        <v>11.212199999999999</v>
      </c>
      <c r="CH686" s="1">
        <v>16200</v>
      </c>
      <c r="CI686" s="1" t="s">
        <v>1256</v>
      </c>
      <c r="CJ686" s="1" t="s">
        <v>691</v>
      </c>
      <c r="CK686" t="s">
        <v>1264</v>
      </c>
      <c r="CL686">
        <v>103</v>
      </c>
      <c r="CM686" t="s">
        <v>3021</v>
      </c>
    </row>
    <row r="687" spans="1:91" ht="19" customHeight="1">
      <c r="A687" s="1" t="s">
        <v>4513</v>
      </c>
      <c r="B687" s="1" t="s">
        <v>1254</v>
      </c>
      <c r="C687" s="1">
        <v>20</v>
      </c>
      <c r="D687" s="1" t="s">
        <v>1255</v>
      </c>
      <c r="E687" s="1">
        <v>2023</v>
      </c>
      <c r="F687" s="1" t="s">
        <v>1258</v>
      </c>
      <c r="G687" s="1" t="s">
        <v>1760</v>
      </c>
      <c r="H687" s="4">
        <v>37.392000000000003</v>
      </c>
      <c r="I687" s="4">
        <v>37.156999999999996</v>
      </c>
      <c r="J687" s="1" t="s">
        <v>1396</v>
      </c>
      <c r="K687" s="1" t="s">
        <v>87</v>
      </c>
      <c r="L687" s="1" t="s">
        <v>1761</v>
      </c>
      <c r="M687" s="1" t="s">
        <v>3545</v>
      </c>
      <c r="N687" s="1"/>
      <c r="O687" s="1" t="s">
        <v>4477</v>
      </c>
      <c r="P687" s="1"/>
      <c r="Q687" s="4">
        <v>7.8</v>
      </c>
      <c r="R687" s="4">
        <v>4.8</v>
      </c>
      <c r="S687" s="4"/>
      <c r="T687" s="4">
        <v>120.9</v>
      </c>
      <c r="U687" s="4"/>
      <c r="V687" s="4">
        <v>4.2</v>
      </c>
      <c r="W687" s="22">
        <f>YEN!F104</f>
        <v>24.528288707518669</v>
      </c>
      <c r="X687" s="4">
        <v>56</v>
      </c>
      <c r="Y687" s="4">
        <v>31</v>
      </c>
      <c r="Z687" s="4"/>
      <c r="AA687" s="4"/>
      <c r="AB687" s="4"/>
      <c r="AC687" s="4">
        <v>1.568615917913845</v>
      </c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1"/>
      <c r="BJ687" s="1" t="s">
        <v>4514</v>
      </c>
      <c r="BK687" s="1">
        <v>1</v>
      </c>
      <c r="BL687" s="1"/>
      <c r="BM687" s="1" t="s">
        <v>232</v>
      </c>
      <c r="BN687" s="1" t="s">
        <v>3014</v>
      </c>
      <c r="BO687" s="1" t="s">
        <v>3015</v>
      </c>
      <c r="BP687" s="1">
        <v>7.8</v>
      </c>
      <c r="BQ687" s="1" t="s">
        <v>1003</v>
      </c>
      <c r="BR687" s="1">
        <v>37.2256</v>
      </c>
      <c r="BS687" s="1">
        <v>37.014299999999999</v>
      </c>
      <c r="BT687" s="1">
        <v>10</v>
      </c>
      <c r="BU687" s="1" t="s">
        <v>3009</v>
      </c>
      <c r="BV687" s="1" t="s">
        <v>2834</v>
      </c>
      <c r="BW687" s="1">
        <v>317.63</v>
      </c>
      <c r="BX687" s="1">
        <v>88.71</v>
      </c>
      <c r="BY687" s="1">
        <v>-179.18</v>
      </c>
      <c r="BZ687" s="1">
        <v>227.61</v>
      </c>
      <c r="CA687" s="1">
        <v>89.18</v>
      </c>
      <c r="CB687" s="1">
        <v>-1.29</v>
      </c>
      <c r="CC687" s="1" t="s">
        <v>3006</v>
      </c>
      <c r="CD687" s="1" t="s">
        <v>862</v>
      </c>
      <c r="CE687" s="1">
        <v>3</v>
      </c>
      <c r="CF687" s="1">
        <v>7.8990001775435843</v>
      </c>
      <c r="CG687" s="1">
        <v>11.212199999999999</v>
      </c>
      <c r="CH687" s="1">
        <v>16200</v>
      </c>
      <c r="CI687" s="1" t="s">
        <v>1256</v>
      </c>
      <c r="CJ687" s="1" t="s">
        <v>691</v>
      </c>
      <c r="CK687" t="s">
        <v>1264</v>
      </c>
      <c r="CL687">
        <v>104</v>
      </c>
      <c r="CM687" t="s">
        <v>3021</v>
      </c>
    </row>
    <row r="688" spans="1:91" ht="19" customHeight="1">
      <c r="A688" s="1" t="s">
        <v>4515</v>
      </c>
      <c r="B688" s="1" t="s">
        <v>1254</v>
      </c>
      <c r="C688" s="1">
        <v>21</v>
      </c>
      <c r="D688" s="1" t="s">
        <v>1255</v>
      </c>
      <c r="E688" s="1">
        <v>2023</v>
      </c>
      <c r="F688" s="1">
        <v>3137</v>
      </c>
      <c r="G688" s="1" t="s">
        <v>1699</v>
      </c>
      <c r="H688" s="4">
        <v>36.692929999999997</v>
      </c>
      <c r="I688" s="4">
        <v>36.488520000000001</v>
      </c>
      <c r="J688" s="1" t="s">
        <v>1396</v>
      </c>
      <c r="K688" s="1" t="s">
        <v>87</v>
      </c>
      <c r="L688" s="1" t="s">
        <v>1701</v>
      </c>
      <c r="M688" s="1" t="s">
        <v>3545</v>
      </c>
      <c r="N688" s="1"/>
      <c r="O688" s="1" t="s">
        <v>4477</v>
      </c>
      <c r="P688" s="1"/>
      <c r="Q688" s="4">
        <v>7.8</v>
      </c>
      <c r="R688" s="4">
        <v>9.1999999999999993</v>
      </c>
      <c r="S688" s="4"/>
      <c r="T688" s="4">
        <v>98.5</v>
      </c>
      <c r="U688" s="4"/>
      <c r="V688" s="4">
        <v>4.8</v>
      </c>
      <c r="W688" s="22">
        <f>YEN!F105</f>
        <v>76.095983595383743</v>
      </c>
      <c r="X688" s="4">
        <v>-33</v>
      </c>
      <c r="Y688" s="4">
        <v>58</v>
      </c>
      <c r="Z688" s="4"/>
      <c r="AA688" s="4"/>
      <c r="AB688" s="4"/>
      <c r="AC688" s="4">
        <v>2.219203484054995</v>
      </c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1"/>
      <c r="BJ688" s="1" t="s">
        <v>4516</v>
      </c>
      <c r="BK688" s="1">
        <v>1</v>
      </c>
      <c r="BL688" s="1"/>
      <c r="BM688" s="1" t="s">
        <v>232</v>
      </c>
      <c r="BN688" s="1" t="s">
        <v>3014</v>
      </c>
      <c r="BO688" s="1" t="s">
        <v>3015</v>
      </c>
      <c r="BP688" s="1">
        <v>7.8</v>
      </c>
      <c r="BQ688" s="1" t="s">
        <v>1003</v>
      </c>
      <c r="BR688" s="1">
        <v>37.2256</v>
      </c>
      <c r="BS688" s="1">
        <v>37.014299999999999</v>
      </c>
      <c r="BT688" s="1">
        <v>10</v>
      </c>
      <c r="BU688" s="1" t="s">
        <v>3009</v>
      </c>
      <c r="BV688" s="1" t="s">
        <v>2834</v>
      </c>
      <c r="BW688" s="1">
        <v>317.63</v>
      </c>
      <c r="BX688" s="1">
        <v>88.71</v>
      </c>
      <c r="BY688" s="1">
        <v>-179.18</v>
      </c>
      <c r="BZ688" s="1">
        <v>227.61</v>
      </c>
      <c r="CA688" s="1">
        <v>89.18</v>
      </c>
      <c r="CB688" s="1">
        <v>-1.29</v>
      </c>
      <c r="CC688" s="1" t="s">
        <v>3006</v>
      </c>
      <c r="CD688" s="1" t="s">
        <v>862</v>
      </c>
      <c r="CE688" s="1">
        <v>3</v>
      </c>
      <c r="CF688" s="1">
        <v>7.8990001775435843</v>
      </c>
      <c r="CG688" s="1">
        <v>11.212199999999999</v>
      </c>
      <c r="CH688" s="1">
        <v>16200</v>
      </c>
      <c r="CI688" s="1" t="s">
        <v>1256</v>
      </c>
      <c r="CJ688" s="1" t="s">
        <v>691</v>
      </c>
      <c r="CK688" t="s">
        <v>1264</v>
      </c>
      <c r="CL688">
        <v>105</v>
      </c>
      <c r="CM688" t="s">
        <v>3021</v>
      </c>
    </row>
    <row r="689" spans="1:91" ht="19" customHeight="1">
      <c r="A689" s="1" t="s">
        <v>4517</v>
      </c>
      <c r="B689" s="1" t="s">
        <v>1254</v>
      </c>
      <c r="C689" s="1">
        <v>22</v>
      </c>
      <c r="D689" s="1" t="s">
        <v>1255</v>
      </c>
      <c r="E689" s="1">
        <v>2023</v>
      </c>
      <c r="F689" s="1">
        <v>3136</v>
      </c>
      <c r="G689" s="1" t="s">
        <v>1696</v>
      </c>
      <c r="H689" s="4">
        <v>36.115929999999999</v>
      </c>
      <c r="I689" s="4">
        <v>36.247219999999999</v>
      </c>
      <c r="J689" s="1" t="s">
        <v>1396</v>
      </c>
      <c r="K689" s="1" t="s">
        <v>87</v>
      </c>
      <c r="L689" s="1" t="s">
        <v>1698</v>
      </c>
      <c r="M689" s="1" t="s">
        <v>3545</v>
      </c>
      <c r="N689" s="1"/>
      <c r="O689" s="1" t="s">
        <v>4477</v>
      </c>
      <c r="P689" s="1"/>
      <c r="Q689" s="4">
        <v>7.8</v>
      </c>
      <c r="R689" s="4">
        <v>13.5</v>
      </c>
      <c r="S689" s="4"/>
      <c r="T689" s="4">
        <v>56.9</v>
      </c>
      <c r="U689" s="4"/>
      <c r="V689" s="4">
        <v>12.1</v>
      </c>
      <c r="W689" s="22">
        <f>YEN!F106</f>
        <v>141.43918208387677</v>
      </c>
      <c r="X689" s="4">
        <v>-62</v>
      </c>
      <c r="Y689" s="4">
        <v>87</v>
      </c>
      <c r="Z689" s="4"/>
      <c r="AA689" s="4"/>
      <c r="AB689" s="4"/>
      <c r="AC689" s="4">
        <v>2.6026896854443842</v>
      </c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1"/>
      <c r="BJ689" s="1" t="s">
        <v>4518</v>
      </c>
      <c r="BK689" s="1">
        <v>1</v>
      </c>
      <c r="BL689" s="1"/>
      <c r="BM689" s="1" t="s">
        <v>232</v>
      </c>
      <c r="BN689" s="1" t="s">
        <v>3014</v>
      </c>
      <c r="BO689" s="1" t="s">
        <v>3015</v>
      </c>
      <c r="BP689" s="1">
        <v>7.8</v>
      </c>
      <c r="BQ689" s="1" t="s">
        <v>1003</v>
      </c>
      <c r="BR689" s="1">
        <v>37.2256</v>
      </c>
      <c r="BS689" s="1">
        <v>37.014299999999999</v>
      </c>
      <c r="BT689" s="1">
        <v>10</v>
      </c>
      <c r="BU689" s="1" t="s">
        <v>3009</v>
      </c>
      <c r="BV689" s="1" t="s">
        <v>2834</v>
      </c>
      <c r="BW689" s="1">
        <v>317.63</v>
      </c>
      <c r="BX689" s="1">
        <v>88.71</v>
      </c>
      <c r="BY689" s="1">
        <v>-179.18</v>
      </c>
      <c r="BZ689" s="1">
        <v>227.61</v>
      </c>
      <c r="CA689" s="1">
        <v>89.18</v>
      </c>
      <c r="CB689" s="1">
        <v>-1.29</v>
      </c>
      <c r="CC689" s="1" t="s">
        <v>3006</v>
      </c>
      <c r="CD689" s="1" t="s">
        <v>862</v>
      </c>
      <c r="CE689" s="1">
        <v>3</v>
      </c>
      <c r="CF689" s="1">
        <v>7.8990001775435843</v>
      </c>
      <c r="CG689" s="1">
        <v>11.212199999999999</v>
      </c>
      <c r="CH689" s="1">
        <v>16200</v>
      </c>
      <c r="CI689" s="1" t="s">
        <v>1256</v>
      </c>
      <c r="CJ689" s="1" t="s">
        <v>691</v>
      </c>
      <c r="CK689" t="s">
        <v>1264</v>
      </c>
      <c r="CL689">
        <v>106</v>
      </c>
      <c r="CM689" t="s">
        <v>3021</v>
      </c>
    </row>
    <row r="690" spans="1:91" ht="19" customHeight="1">
      <c r="A690" s="1" t="s">
        <v>4519</v>
      </c>
      <c r="B690" s="1" t="s">
        <v>1254</v>
      </c>
      <c r="C690" s="1">
        <v>23</v>
      </c>
      <c r="D690" s="1" t="s">
        <v>1255</v>
      </c>
      <c r="E690" s="1">
        <v>2023</v>
      </c>
      <c r="F690" s="1">
        <v>2715</v>
      </c>
      <c r="G690" s="1" t="s">
        <v>1672</v>
      </c>
      <c r="H690" s="4">
        <v>36.855364000000002</v>
      </c>
      <c r="I690" s="4">
        <v>36.685617999999998</v>
      </c>
      <c r="J690" s="1" t="s">
        <v>1396</v>
      </c>
      <c r="K690" s="1" t="s">
        <v>87</v>
      </c>
      <c r="L690" s="1" t="s">
        <v>1674</v>
      </c>
      <c r="M690" s="1" t="s">
        <v>3545</v>
      </c>
      <c r="N690" s="1"/>
      <c r="O690" s="1" t="s">
        <v>4477</v>
      </c>
      <c r="P690" s="1"/>
      <c r="Q690" s="4">
        <v>7.8</v>
      </c>
      <c r="R690" s="4">
        <v>6.6</v>
      </c>
      <c r="S690" s="4"/>
      <c r="T690" s="4">
        <v>56.8</v>
      </c>
      <c r="U690" s="4"/>
      <c r="V690" s="4">
        <v>12.6</v>
      </c>
      <c r="W690" s="22">
        <f>YEN!F107</f>
        <v>51.438095342327074</v>
      </c>
      <c r="X690" s="4">
        <v>-68</v>
      </c>
      <c r="Y690" s="4">
        <v>87</v>
      </c>
      <c r="Z690" s="4"/>
      <c r="AA690" s="4"/>
      <c r="AB690" s="4"/>
      <c r="AC690" s="4">
        <v>1.8870696490323799</v>
      </c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1"/>
      <c r="BJ690" s="1" t="s">
        <v>4520</v>
      </c>
      <c r="BK690" s="1">
        <v>1</v>
      </c>
      <c r="BL690" s="1"/>
      <c r="BM690" s="1" t="s">
        <v>232</v>
      </c>
      <c r="BN690" s="1" t="s">
        <v>3014</v>
      </c>
      <c r="BO690" s="1" t="s">
        <v>3015</v>
      </c>
      <c r="BP690" s="1">
        <v>7.8</v>
      </c>
      <c r="BQ690" s="1" t="s">
        <v>1003</v>
      </c>
      <c r="BR690" s="1">
        <v>37.2256</v>
      </c>
      <c r="BS690" s="1">
        <v>37.014299999999999</v>
      </c>
      <c r="BT690" s="1">
        <v>10</v>
      </c>
      <c r="BU690" s="1" t="s">
        <v>3009</v>
      </c>
      <c r="BV690" s="1" t="s">
        <v>2834</v>
      </c>
      <c r="BW690" s="1">
        <v>317.63</v>
      </c>
      <c r="BX690" s="1">
        <v>88.71</v>
      </c>
      <c r="BY690" s="1">
        <v>-179.18</v>
      </c>
      <c r="BZ690" s="1">
        <v>227.61</v>
      </c>
      <c r="CA690" s="1">
        <v>89.18</v>
      </c>
      <c r="CB690" s="1">
        <v>-1.29</v>
      </c>
      <c r="CC690" s="1" t="s">
        <v>3006</v>
      </c>
      <c r="CD690" s="1" t="s">
        <v>862</v>
      </c>
      <c r="CE690" s="1">
        <v>3</v>
      </c>
      <c r="CF690" s="1">
        <v>7.8990001775435843</v>
      </c>
      <c r="CG690" s="1">
        <v>11.212199999999999</v>
      </c>
      <c r="CH690" s="1">
        <v>16200</v>
      </c>
      <c r="CI690" s="1" t="s">
        <v>1256</v>
      </c>
      <c r="CJ690" s="1" t="s">
        <v>691</v>
      </c>
      <c r="CK690" t="s">
        <v>1264</v>
      </c>
      <c r="CL690">
        <v>107</v>
      </c>
      <c r="CM690" t="s">
        <v>3021</v>
      </c>
    </row>
    <row r="691" spans="1:91" ht="19" customHeight="1">
      <c r="A691" s="1" t="s">
        <v>4521</v>
      </c>
      <c r="B691" s="1" t="s">
        <v>1254</v>
      </c>
      <c r="C691" s="1">
        <v>24</v>
      </c>
      <c r="D691" s="1" t="s">
        <v>1255</v>
      </c>
      <c r="E691" s="1">
        <v>2023</v>
      </c>
      <c r="F691" s="1">
        <v>2716</v>
      </c>
      <c r="G691" s="1" t="s">
        <v>1675</v>
      </c>
      <c r="H691" s="4">
        <v>36.856430000000003</v>
      </c>
      <c r="I691" s="4">
        <v>36.688330000000001</v>
      </c>
      <c r="J691" s="1" t="s">
        <v>1396</v>
      </c>
      <c r="K691" s="1" t="s">
        <v>87</v>
      </c>
      <c r="L691" s="1" t="s">
        <v>1677</v>
      </c>
      <c r="M691" s="1" t="s">
        <v>3545</v>
      </c>
      <c r="N691" s="1"/>
      <c r="O691" s="1" t="s">
        <v>4477</v>
      </c>
      <c r="P691" s="1"/>
      <c r="Q691" s="4">
        <v>7.8</v>
      </c>
      <c r="R691" s="4">
        <v>6.8</v>
      </c>
      <c r="S691" s="4"/>
      <c r="T691" s="4">
        <v>71</v>
      </c>
      <c r="U691" s="4"/>
      <c r="V691" s="4">
        <v>12.8</v>
      </c>
      <c r="W691" s="22">
        <f>YEN!F108</f>
        <v>51.206778007817746</v>
      </c>
      <c r="X691" s="4">
        <v>-59</v>
      </c>
      <c r="Y691" s="4">
        <v>84</v>
      </c>
      <c r="Z691" s="4"/>
      <c r="AA691" s="4"/>
      <c r="AB691" s="4"/>
      <c r="AC691" s="4">
        <v>1.9169226121820611</v>
      </c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1"/>
      <c r="BJ691" s="1" t="s">
        <v>4522</v>
      </c>
      <c r="BK691" s="1">
        <v>1</v>
      </c>
      <c r="BL691" s="1"/>
      <c r="BM691" s="1" t="s">
        <v>232</v>
      </c>
      <c r="BN691" s="1" t="s">
        <v>3014</v>
      </c>
      <c r="BO691" s="1" t="s">
        <v>3015</v>
      </c>
      <c r="BP691" s="1">
        <v>7.8</v>
      </c>
      <c r="BQ691" s="1" t="s">
        <v>1003</v>
      </c>
      <c r="BR691" s="1">
        <v>37.2256</v>
      </c>
      <c r="BS691" s="1">
        <v>37.014299999999999</v>
      </c>
      <c r="BT691" s="1">
        <v>10</v>
      </c>
      <c r="BU691" s="1" t="s">
        <v>3009</v>
      </c>
      <c r="BV691" s="1" t="s">
        <v>2834</v>
      </c>
      <c r="BW691" s="1">
        <v>317.63</v>
      </c>
      <c r="BX691" s="1">
        <v>88.71</v>
      </c>
      <c r="BY691" s="1">
        <v>-179.18</v>
      </c>
      <c r="BZ691" s="1">
        <v>227.61</v>
      </c>
      <c r="CA691" s="1">
        <v>89.18</v>
      </c>
      <c r="CB691" s="1">
        <v>-1.29</v>
      </c>
      <c r="CC691" s="1" t="s">
        <v>3006</v>
      </c>
      <c r="CD691" s="1" t="s">
        <v>862</v>
      </c>
      <c r="CE691" s="1">
        <v>3</v>
      </c>
      <c r="CF691" s="1">
        <v>7.8990001775435843</v>
      </c>
      <c r="CG691" s="1">
        <v>11.212199999999999</v>
      </c>
      <c r="CH691" s="1">
        <v>16200</v>
      </c>
      <c r="CI691" s="1" t="s">
        <v>1256</v>
      </c>
      <c r="CJ691" s="1" t="s">
        <v>691</v>
      </c>
      <c r="CK691" t="s">
        <v>1264</v>
      </c>
      <c r="CL691">
        <v>108</v>
      </c>
      <c r="CM691" t="s">
        <v>3021</v>
      </c>
    </row>
    <row r="692" spans="1:91" ht="19" customHeight="1">
      <c r="A692" s="1" t="s">
        <v>4523</v>
      </c>
      <c r="B692" s="1" t="s">
        <v>1254</v>
      </c>
      <c r="C692" s="1">
        <v>25</v>
      </c>
      <c r="D692" s="1" t="s">
        <v>1255</v>
      </c>
      <c r="E692" s="1">
        <v>2023</v>
      </c>
      <c r="F692" s="1">
        <v>2717</v>
      </c>
      <c r="G692" s="1" t="s">
        <v>1678</v>
      </c>
      <c r="H692" s="4">
        <v>36.85548</v>
      </c>
      <c r="I692" s="4">
        <v>36.690995999999998</v>
      </c>
      <c r="J692" s="1" t="s">
        <v>1396</v>
      </c>
      <c r="K692" s="1" t="s">
        <v>87</v>
      </c>
      <c r="L692" s="1" t="s">
        <v>1680</v>
      </c>
      <c r="M692" s="1" t="s">
        <v>3545</v>
      </c>
      <c r="N692" s="1"/>
      <c r="O692" s="1" t="s">
        <v>4477</v>
      </c>
      <c r="P692" s="1"/>
      <c r="Q692" s="4">
        <v>7.8</v>
      </c>
      <c r="R692" s="4">
        <v>6.9</v>
      </c>
      <c r="S692" s="4"/>
      <c r="T692" s="4">
        <v>60.6</v>
      </c>
      <c r="U692" s="4"/>
      <c r="V692" s="4">
        <v>13</v>
      </c>
      <c r="W692" s="22">
        <f>YEN!F109</f>
        <v>51.158501938199592</v>
      </c>
      <c r="X692" s="4">
        <v>-69</v>
      </c>
      <c r="Y692" s="4">
        <v>86</v>
      </c>
      <c r="Z692" s="4"/>
      <c r="AA692" s="4"/>
      <c r="AB692" s="4"/>
      <c r="AC692" s="4">
        <v>1.931521411603214</v>
      </c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1"/>
      <c r="BJ692" s="1" t="s">
        <v>4524</v>
      </c>
      <c r="BK692" s="1">
        <v>1</v>
      </c>
      <c r="BL692" s="1"/>
      <c r="BM692" s="1" t="s">
        <v>232</v>
      </c>
      <c r="BN692" s="1" t="s">
        <v>3014</v>
      </c>
      <c r="BO692" s="1" t="s">
        <v>3015</v>
      </c>
      <c r="BP692" s="1">
        <v>7.8</v>
      </c>
      <c r="BQ692" s="1" t="s">
        <v>1003</v>
      </c>
      <c r="BR692" s="1">
        <v>37.2256</v>
      </c>
      <c r="BS692" s="1">
        <v>37.014299999999999</v>
      </c>
      <c r="BT692" s="1">
        <v>10</v>
      </c>
      <c r="BU692" s="1" t="s">
        <v>3009</v>
      </c>
      <c r="BV692" s="1" t="s">
        <v>2834</v>
      </c>
      <c r="BW692" s="1">
        <v>317.63</v>
      </c>
      <c r="BX692" s="1">
        <v>88.71</v>
      </c>
      <c r="BY692" s="1">
        <v>-179.18</v>
      </c>
      <c r="BZ692" s="1">
        <v>227.61</v>
      </c>
      <c r="CA692" s="1">
        <v>89.18</v>
      </c>
      <c r="CB692" s="1">
        <v>-1.29</v>
      </c>
      <c r="CC692" s="1" t="s">
        <v>3006</v>
      </c>
      <c r="CD692" s="1" t="s">
        <v>862</v>
      </c>
      <c r="CE692" s="1">
        <v>3</v>
      </c>
      <c r="CF692" s="1">
        <v>7.8990001775435843</v>
      </c>
      <c r="CG692" s="1">
        <v>11.212199999999999</v>
      </c>
      <c r="CH692" s="1">
        <v>16200</v>
      </c>
      <c r="CI692" s="1" t="s">
        <v>1256</v>
      </c>
      <c r="CJ692" s="1" t="s">
        <v>691</v>
      </c>
      <c r="CK692" t="s">
        <v>1264</v>
      </c>
      <c r="CL692">
        <v>109</v>
      </c>
      <c r="CM692" t="s">
        <v>3021</v>
      </c>
    </row>
    <row r="693" spans="1:91" ht="19" customHeight="1">
      <c r="A693" s="1" t="s">
        <v>4525</v>
      </c>
      <c r="B693" s="1" t="s">
        <v>1254</v>
      </c>
      <c r="C693" s="1">
        <v>26</v>
      </c>
      <c r="D693" s="1" t="s">
        <v>1255</v>
      </c>
      <c r="E693" s="1">
        <v>2023</v>
      </c>
      <c r="F693" s="1">
        <v>8002</v>
      </c>
      <c r="G693" s="1" t="s">
        <v>1731</v>
      </c>
      <c r="H693" s="4">
        <v>37.191560000000003</v>
      </c>
      <c r="I693" s="4">
        <v>36.561950000000003</v>
      </c>
      <c r="J693" s="1" t="s">
        <v>1396</v>
      </c>
      <c r="K693" s="1" t="s">
        <v>87</v>
      </c>
      <c r="L693" s="1" t="s">
        <v>1733</v>
      </c>
      <c r="M693" s="1" t="s">
        <v>3545</v>
      </c>
      <c r="N693" s="1"/>
      <c r="O693" s="1" t="s">
        <v>4477</v>
      </c>
      <c r="P693" s="1"/>
      <c r="Q693" s="4">
        <v>7.8</v>
      </c>
      <c r="R693" s="4">
        <v>9</v>
      </c>
      <c r="S693" s="4"/>
      <c r="T693" s="4">
        <v>41.4</v>
      </c>
      <c r="U693" s="4"/>
      <c r="V693" s="4">
        <v>13.4</v>
      </c>
      <c r="W693" s="22">
        <f>YEN!F110</f>
        <v>41.462478737584043</v>
      </c>
      <c r="X693" s="4">
        <v>-61</v>
      </c>
      <c r="Y693" s="4">
        <v>86</v>
      </c>
      <c r="Z693" s="4"/>
      <c r="AA693" s="4"/>
      <c r="AB693" s="4"/>
      <c r="AC693" s="4">
        <v>2.19722457733622</v>
      </c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1"/>
      <c r="BJ693" s="1" t="s">
        <v>4526</v>
      </c>
      <c r="BK693" s="1">
        <v>1</v>
      </c>
      <c r="BL693" s="1"/>
      <c r="BM693" s="1" t="s">
        <v>232</v>
      </c>
      <c r="BN693" s="1" t="s">
        <v>3014</v>
      </c>
      <c r="BO693" s="1" t="s">
        <v>3015</v>
      </c>
      <c r="BP693" s="1">
        <v>7.8</v>
      </c>
      <c r="BQ693" s="1" t="s">
        <v>1003</v>
      </c>
      <c r="BR693" s="1">
        <v>37.2256</v>
      </c>
      <c r="BS693" s="1">
        <v>37.014299999999999</v>
      </c>
      <c r="BT693" s="1">
        <v>10</v>
      </c>
      <c r="BU693" s="1" t="s">
        <v>3009</v>
      </c>
      <c r="BV693" s="1" t="s">
        <v>2834</v>
      </c>
      <c r="BW693" s="1">
        <v>317.63</v>
      </c>
      <c r="BX693" s="1">
        <v>88.71</v>
      </c>
      <c r="BY693" s="1">
        <v>-179.18</v>
      </c>
      <c r="BZ693" s="1">
        <v>227.61</v>
      </c>
      <c r="CA693" s="1">
        <v>89.18</v>
      </c>
      <c r="CB693" s="1">
        <v>-1.29</v>
      </c>
      <c r="CC693" s="1" t="s">
        <v>3006</v>
      </c>
      <c r="CD693" s="1" t="s">
        <v>862</v>
      </c>
      <c r="CE693" s="1">
        <v>3</v>
      </c>
      <c r="CF693" s="1">
        <v>7.8990001775435843</v>
      </c>
      <c r="CG693" s="1">
        <v>11.212199999999999</v>
      </c>
      <c r="CH693" s="1">
        <v>16200</v>
      </c>
      <c r="CI693" s="1" t="s">
        <v>1256</v>
      </c>
      <c r="CJ693" s="1" t="s">
        <v>691</v>
      </c>
      <c r="CK693" t="s">
        <v>1264</v>
      </c>
      <c r="CL693">
        <v>110</v>
      </c>
      <c r="CM693" t="s">
        <v>3021</v>
      </c>
    </row>
    <row r="694" spans="1:91" ht="19" customHeight="1">
      <c r="A694" s="1" t="s">
        <v>4527</v>
      </c>
      <c r="B694" s="1" t="s">
        <v>1254</v>
      </c>
      <c r="C694" s="1">
        <v>27</v>
      </c>
      <c r="D694" s="1" t="s">
        <v>1255</v>
      </c>
      <c r="E694" s="1">
        <v>2023</v>
      </c>
      <c r="F694" s="1">
        <v>3116</v>
      </c>
      <c r="G694" s="1" t="s">
        <v>1684</v>
      </c>
      <c r="H694" s="4">
        <v>36.61618</v>
      </c>
      <c r="I694" s="4">
        <v>36.206609999999998</v>
      </c>
      <c r="J694" s="1" t="s">
        <v>1396</v>
      </c>
      <c r="K694" s="1" t="s">
        <v>87</v>
      </c>
      <c r="L694" s="1" t="s">
        <v>1686</v>
      </c>
      <c r="M694" s="1" t="s">
        <v>3545</v>
      </c>
      <c r="N694" s="1"/>
      <c r="O694" s="1" t="s">
        <v>4477</v>
      </c>
      <c r="P694" s="1"/>
      <c r="Q694" s="4">
        <v>7.8</v>
      </c>
      <c r="R694" s="4">
        <v>14.4</v>
      </c>
      <c r="S694" s="4"/>
      <c r="T694" s="4">
        <v>47.5</v>
      </c>
      <c r="U694" s="4"/>
      <c r="V694" s="4">
        <v>14.8</v>
      </c>
      <c r="W694" s="22">
        <f>YEN!F111</f>
        <v>99.233130036391799</v>
      </c>
      <c r="X694" s="4">
        <v>26</v>
      </c>
      <c r="Y694" s="4">
        <v>1</v>
      </c>
      <c r="Z694" s="4"/>
      <c r="AA694" s="4"/>
      <c r="AB694" s="4"/>
      <c r="AC694" s="4">
        <v>2.6672282065819548</v>
      </c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1"/>
      <c r="BJ694" s="1" t="s">
        <v>4528</v>
      </c>
      <c r="BK694" s="1">
        <v>1</v>
      </c>
      <c r="BL694" s="1"/>
      <c r="BM694" s="1" t="s">
        <v>232</v>
      </c>
      <c r="BN694" s="1" t="s">
        <v>3014</v>
      </c>
      <c r="BO694" s="1" t="s">
        <v>3015</v>
      </c>
      <c r="BP694" s="1">
        <v>7.8</v>
      </c>
      <c r="BQ694" s="1" t="s">
        <v>1003</v>
      </c>
      <c r="BR694" s="1">
        <v>37.2256</v>
      </c>
      <c r="BS694" s="1">
        <v>37.014299999999999</v>
      </c>
      <c r="BT694" s="1">
        <v>10</v>
      </c>
      <c r="BU694" s="1" t="s">
        <v>3009</v>
      </c>
      <c r="BV694" s="1" t="s">
        <v>2834</v>
      </c>
      <c r="BW694" s="1">
        <v>317.63</v>
      </c>
      <c r="BX694" s="1">
        <v>88.71</v>
      </c>
      <c r="BY694" s="1">
        <v>-179.18</v>
      </c>
      <c r="BZ694" s="1">
        <v>227.61</v>
      </c>
      <c r="CA694" s="1">
        <v>89.18</v>
      </c>
      <c r="CB694" s="1">
        <v>-1.29</v>
      </c>
      <c r="CC694" s="1" t="s">
        <v>3006</v>
      </c>
      <c r="CD694" s="1" t="s">
        <v>862</v>
      </c>
      <c r="CE694" s="1">
        <v>3</v>
      </c>
      <c r="CF694" s="1">
        <v>7.8990001775435843</v>
      </c>
      <c r="CG694" s="1">
        <v>11.212199999999999</v>
      </c>
      <c r="CH694" s="1">
        <v>16200</v>
      </c>
      <c r="CI694" s="1" t="s">
        <v>1256</v>
      </c>
      <c r="CJ694" s="1" t="s">
        <v>691</v>
      </c>
      <c r="CK694" t="s">
        <v>1264</v>
      </c>
      <c r="CL694">
        <v>111</v>
      </c>
      <c r="CM694" t="s">
        <v>3021</v>
      </c>
    </row>
    <row r="695" spans="1:91" ht="19" customHeight="1">
      <c r="A695" s="1" t="s">
        <v>4529</v>
      </c>
      <c r="B695" s="1" t="s">
        <v>1254</v>
      </c>
      <c r="C695" s="1">
        <v>28</v>
      </c>
      <c r="D695" s="1" t="s">
        <v>1255</v>
      </c>
      <c r="E695" s="1">
        <v>2023</v>
      </c>
      <c r="F695" s="1">
        <v>3134</v>
      </c>
      <c r="G695" s="1" t="s">
        <v>1693</v>
      </c>
      <c r="H695" s="4">
        <v>36.827629999999999</v>
      </c>
      <c r="I695" s="4">
        <v>36.20485</v>
      </c>
      <c r="J695" s="1" t="s">
        <v>1396</v>
      </c>
      <c r="K695" s="1" t="s">
        <v>87</v>
      </c>
      <c r="L695" s="1" t="s">
        <v>1695</v>
      </c>
      <c r="M695" s="1" t="s">
        <v>3545</v>
      </c>
      <c r="N695" s="1"/>
      <c r="O695" s="1" t="s">
        <v>4477</v>
      </c>
      <c r="P695" s="1"/>
      <c r="Q695" s="4">
        <v>7.8</v>
      </c>
      <c r="R695" s="4">
        <v>11.7</v>
      </c>
      <c r="S695" s="4"/>
      <c r="T695" s="4">
        <v>48.7</v>
      </c>
      <c r="U695" s="4"/>
      <c r="V695" s="4">
        <v>24.9</v>
      </c>
      <c r="W695" s="22">
        <f>YEN!F112</f>
        <v>84.980352647781984</v>
      </c>
      <c r="X695" s="4">
        <v>-50</v>
      </c>
      <c r="Y695" s="4">
        <v>75</v>
      </c>
      <c r="Z695" s="4"/>
      <c r="AA695" s="4"/>
      <c r="AB695" s="4"/>
      <c r="AC695" s="4">
        <v>2.45958884180371</v>
      </c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1"/>
      <c r="BJ695" s="1" t="s">
        <v>4530</v>
      </c>
      <c r="BK695" s="1">
        <v>1</v>
      </c>
      <c r="BL695" s="1"/>
      <c r="BM695" s="1" t="s">
        <v>232</v>
      </c>
      <c r="BN695" s="1" t="s">
        <v>3014</v>
      </c>
      <c r="BO695" s="1" t="s">
        <v>3015</v>
      </c>
      <c r="BP695" s="1">
        <v>7.8</v>
      </c>
      <c r="BQ695" s="1" t="s">
        <v>1003</v>
      </c>
      <c r="BR695" s="1">
        <v>37.2256</v>
      </c>
      <c r="BS695" s="1">
        <v>37.014299999999999</v>
      </c>
      <c r="BT695" s="1">
        <v>10</v>
      </c>
      <c r="BU695" s="1" t="s">
        <v>3009</v>
      </c>
      <c r="BV695" s="1" t="s">
        <v>2834</v>
      </c>
      <c r="BW695" s="1">
        <v>317.63</v>
      </c>
      <c r="BX695" s="1">
        <v>88.71</v>
      </c>
      <c r="BY695" s="1">
        <v>-179.18</v>
      </c>
      <c r="BZ695" s="1">
        <v>227.61</v>
      </c>
      <c r="CA695" s="1">
        <v>89.18</v>
      </c>
      <c r="CB695" s="1">
        <v>-1.29</v>
      </c>
      <c r="CC695" s="1" t="s">
        <v>3006</v>
      </c>
      <c r="CD695" s="1" t="s">
        <v>862</v>
      </c>
      <c r="CE695" s="1">
        <v>3</v>
      </c>
      <c r="CF695" s="1">
        <v>7.8990001775435843</v>
      </c>
      <c r="CG695" s="1">
        <v>11.212199999999999</v>
      </c>
      <c r="CH695" s="1">
        <v>16200</v>
      </c>
      <c r="CI695" s="1" t="s">
        <v>1256</v>
      </c>
      <c r="CJ695" s="1" t="s">
        <v>691</v>
      </c>
      <c r="CK695" t="s">
        <v>1264</v>
      </c>
      <c r="CL695">
        <v>112</v>
      </c>
      <c r="CM695" t="s">
        <v>3021</v>
      </c>
    </row>
    <row r="696" spans="1:91" ht="19" customHeight="1">
      <c r="A696" s="1" t="s">
        <v>4531</v>
      </c>
      <c r="B696" s="1" t="s">
        <v>1254</v>
      </c>
      <c r="C696" s="1">
        <v>29</v>
      </c>
      <c r="D696" s="1" t="s">
        <v>1259</v>
      </c>
      <c r="E696" s="1">
        <v>2023</v>
      </c>
      <c r="F696" s="1">
        <v>4612</v>
      </c>
      <c r="G696" s="1" t="s">
        <v>1720</v>
      </c>
      <c r="H696" s="4">
        <v>38.023949999999999</v>
      </c>
      <c r="I696" s="4">
        <v>36.481870000000001</v>
      </c>
      <c r="J696" s="1" t="s">
        <v>1396</v>
      </c>
      <c r="K696" s="1" t="s">
        <v>90</v>
      </c>
      <c r="L696" s="1" t="s">
        <v>1671</v>
      </c>
      <c r="M696" s="1" t="s">
        <v>3545</v>
      </c>
      <c r="N696" s="1"/>
      <c r="O696" s="1" t="s">
        <v>4477</v>
      </c>
      <c r="P696" s="1"/>
      <c r="Q696" s="4">
        <v>7.5</v>
      </c>
      <c r="R696" s="4">
        <v>6.2</v>
      </c>
      <c r="S696" s="4"/>
      <c r="T696" s="4">
        <v>180.9</v>
      </c>
      <c r="U696" s="4"/>
      <c r="V696" s="4">
        <v>3</v>
      </c>
      <c r="W696" s="22">
        <f>YEN!F113</f>
        <v>63.033963963447356</v>
      </c>
      <c r="X696" s="4">
        <v>-18</v>
      </c>
      <c r="Y696" s="4">
        <v>88</v>
      </c>
      <c r="Z696" s="4"/>
      <c r="AA696" s="4"/>
      <c r="AB696" s="4"/>
      <c r="AC696" s="4">
        <v>1.824549292051046</v>
      </c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1"/>
      <c r="BJ696" s="1" t="s">
        <v>4532</v>
      </c>
      <c r="BK696" s="1">
        <v>1</v>
      </c>
      <c r="BL696" s="1"/>
      <c r="BM696" s="1" t="s">
        <v>229</v>
      </c>
      <c r="BN696" s="1" t="s">
        <v>3014</v>
      </c>
      <c r="BO696" s="1" t="s">
        <v>3022</v>
      </c>
      <c r="BP696" s="1">
        <v>7.5</v>
      </c>
      <c r="BQ696" s="1" t="s">
        <v>1003</v>
      </c>
      <c r="BR696" s="1">
        <v>38.010599999999997</v>
      </c>
      <c r="BS696" s="1">
        <v>37.196199999999997</v>
      </c>
      <c r="BT696" s="1">
        <v>7.4320000000000004</v>
      </c>
      <c r="BU696" s="1" t="s">
        <v>3009</v>
      </c>
      <c r="BV696" s="1" t="s">
        <v>2834</v>
      </c>
      <c r="BW696" s="1">
        <v>277.2</v>
      </c>
      <c r="BX696" s="1">
        <v>77.87</v>
      </c>
      <c r="BY696" s="1">
        <v>3.5</v>
      </c>
      <c r="BZ696" s="1">
        <v>186.46</v>
      </c>
      <c r="CA696" s="1">
        <v>86.57</v>
      </c>
      <c r="CB696" s="1">
        <v>167.85</v>
      </c>
      <c r="CC696" s="1" t="s">
        <v>3006</v>
      </c>
      <c r="CD696" s="1" t="s">
        <v>862</v>
      </c>
      <c r="CE696" s="1">
        <v>3</v>
      </c>
      <c r="CF696" s="1">
        <v>7.7687711563559034</v>
      </c>
      <c r="CG696" s="1">
        <v>11.510400000000001</v>
      </c>
      <c r="CH696" s="1">
        <v>5850</v>
      </c>
      <c r="CI696" s="1" t="s">
        <v>1260</v>
      </c>
      <c r="CJ696" s="1" t="s">
        <v>689</v>
      </c>
      <c r="CK696" t="s">
        <v>1264</v>
      </c>
      <c r="CL696">
        <v>113</v>
      </c>
      <c r="CM696" t="s">
        <v>3028</v>
      </c>
    </row>
    <row r="697" spans="1:91" ht="19" customHeight="1">
      <c r="A697" s="1" t="s">
        <v>4533</v>
      </c>
      <c r="B697" s="1" t="s">
        <v>1254</v>
      </c>
      <c r="C697" s="1">
        <v>30</v>
      </c>
      <c r="D697" s="1" t="s">
        <v>1259</v>
      </c>
      <c r="E697" s="1">
        <v>2023</v>
      </c>
      <c r="F697" s="1">
        <v>131</v>
      </c>
      <c r="G697" s="1" t="s">
        <v>1660</v>
      </c>
      <c r="H697" s="4">
        <v>37.856602000000002</v>
      </c>
      <c r="I697" s="4">
        <v>36.115347</v>
      </c>
      <c r="J697" s="1" t="s">
        <v>1396</v>
      </c>
      <c r="K697" s="1" t="s">
        <v>90</v>
      </c>
      <c r="L697" s="1" t="s">
        <v>1662</v>
      </c>
      <c r="M697" s="1" t="s">
        <v>3545</v>
      </c>
      <c r="N697" s="1"/>
      <c r="O697" s="1" t="s">
        <v>4477</v>
      </c>
      <c r="P697" s="1"/>
      <c r="Q697" s="4">
        <v>7.5</v>
      </c>
      <c r="R697" s="4">
        <v>11.7</v>
      </c>
      <c r="S697" s="4"/>
      <c r="T697" s="4">
        <v>37.4</v>
      </c>
      <c r="U697" s="4"/>
      <c r="V697" s="4">
        <v>15.4</v>
      </c>
      <c r="W697" s="22">
        <f>YEN!F114</f>
        <v>96.612967002279319</v>
      </c>
      <c r="X697" s="4">
        <v>-34</v>
      </c>
      <c r="Y697" s="4">
        <v>76</v>
      </c>
      <c r="Z697" s="4"/>
      <c r="AA697" s="4"/>
      <c r="AB697" s="4"/>
      <c r="AC697" s="4">
        <v>2.45958884180371</v>
      </c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1"/>
      <c r="BJ697" s="1" t="s">
        <v>4534</v>
      </c>
      <c r="BK697" s="1">
        <v>1</v>
      </c>
      <c r="BL697" s="1"/>
      <c r="BM697" s="1" t="s">
        <v>229</v>
      </c>
      <c r="BN697" s="1" t="s">
        <v>3014</v>
      </c>
      <c r="BO697" s="1" t="s">
        <v>3022</v>
      </c>
      <c r="BP697" s="1">
        <v>7.5</v>
      </c>
      <c r="BQ697" s="1" t="s">
        <v>1003</v>
      </c>
      <c r="BR697" s="1">
        <v>38.010599999999997</v>
      </c>
      <c r="BS697" s="1">
        <v>37.196199999999997</v>
      </c>
      <c r="BT697" s="1">
        <v>7.4320000000000004</v>
      </c>
      <c r="BU697" s="1" t="s">
        <v>3009</v>
      </c>
      <c r="BV697" s="1" t="s">
        <v>2834</v>
      </c>
      <c r="BW697" s="1">
        <v>277.2</v>
      </c>
      <c r="BX697" s="1">
        <v>77.87</v>
      </c>
      <c r="BY697" s="1">
        <v>3.5</v>
      </c>
      <c r="BZ697" s="1">
        <v>186.46</v>
      </c>
      <c r="CA697" s="1">
        <v>86.57</v>
      </c>
      <c r="CB697" s="1">
        <v>167.85</v>
      </c>
      <c r="CC697" s="1" t="s">
        <v>3006</v>
      </c>
      <c r="CD697" s="1" t="s">
        <v>862</v>
      </c>
      <c r="CE697" s="1">
        <v>3</v>
      </c>
      <c r="CF697" s="1">
        <v>7.7687711563559034</v>
      </c>
      <c r="CG697" s="1">
        <v>11.510400000000001</v>
      </c>
      <c r="CH697" s="1">
        <v>5850</v>
      </c>
      <c r="CI697" s="1" t="s">
        <v>1260</v>
      </c>
      <c r="CJ697" s="1" t="s">
        <v>689</v>
      </c>
      <c r="CK697" t="s">
        <v>1264</v>
      </c>
      <c r="CL697">
        <v>114</v>
      </c>
      <c r="CM697" t="s">
        <v>3028</v>
      </c>
    </row>
    <row r="698" spans="1:91" ht="19" customHeight="1">
      <c r="A698" s="1" t="s">
        <v>4535</v>
      </c>
      <c r="B698" s="1" t="s">
        <v>1254</v>
      </c>
      <c r="C698" s="1">
        <v>31</v>
      </c>
      <c r="D698" s="1" t="s">
        <v>1259</v>
      </c>
      <c r="E698" s="1">
        <v>2023</v>
      </c>
      <c r="F698" s="1">
        <v>132</v>
      </c>
      <c r="G698" s="1" t="s">
        <v>1663</v>
      </c>
      <c r="H698" s="4">
        <v>37.855891999999997</v>
      </c>
      <c r="I698" s="4">
        <v>36.114868000000001</v>
      </c>
      <c r="J698" s="1" t="s">
        <v>1396</v>
      </c>
      <c r="K698" s="1" t="s">
        <v>90</v>
      </c>
      <c r="L698" s="1" t="s">
        <v>1665</v>
      </c>
      <c r="M698" s="1" t="s">
        <v>3545</v>
      </c>
      <c r="N698" s="1"/>
      <c r="O698" s="1" t="s">
        <v>4477</v>
      </c>
      <c r="P698" s="1"/>
      <c r="Q698" s="4">
        <v>7.5</v>
      </c>
      <c r="R698" s="4">
        <v>11.8</v>
      </c>
      <c r="S698" s="4"/>
      <c r="T698" s="4">
        <v>24.2</v>
      </c>
      <c r="U698" s="4"/>
      <c r="V698" s="4">
        <v>15.5</v>
      </c>
      <c r="W698" s="22">
        <f>YEN!F115</f>
        <v>96.668651038904457</v>
      </c>
      <c r="X698" s="4">
        <v>-23</v>
      </c>
      <c r="Y698" s="4">
        <v>87</v>
      </c>
      <c r="Z698" s="4"/>
      <c r="AA698" s="4"/>
      <c r="AB698" s="4"/>
      <c r="AC698" s="4">
        <v>2.4680995314716192</v>
      </c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1"/>
      <c r="BJ698" s="1" t="s">
        <v>4536</v>
      </c>
      <c r="BK698" s="1">
        <v>1</v>
      </c>
      <c r="BL698" s="1"/>
      <c r="BM698" s="1" t="s">
        <v>229</v>
      </c>
      <c r="BN698" s="1" t="s">
        <v>3014</v>
      </c>
      <c r="BO698" s="1" t="s">
        <v>3022</v>
      </c>
      <c r="BP698" s="1">
        <v>7.5</v>
      </c>
      <c r="BQ698" s="1" t="s">
        <v>1003</v>
      </c>
      <c r="BR698" s="1">
        <v>38.010599999999997</v>
      </c>
      <c r="BS698" s="1">
        <v>37.196199999999997</v>
      </c>
      <c r="BT698" s="1">
        <v>7.4320000000000004</v>
      </c>
      <c r="BU698" s="1" t="s">
        <v>3009</v>
      </c>
      <c r="BV698" s="1" t="s">
        <v>2834</v>
      </c>
      <c r="BW698" s="1">
        <v>277.2</v>
      </c>
      <c r="BX698" s="1">
        <v>77.87</v>
      </c>
      <c r="BY698" s="1">
        <v>3.5</v>
      </c>
      <c r="BZ698" s="1">
        <v>186.46</v>
      </c>
      <c r="CA698" s="1">
        <v>86.57</v>
      </c>
      <c r="CB698" s="1">
        <v>167.85</v>
      </c>
      <c r="CC698" s="1" t="s">
        <v>3006</v>
      </c>
      <c r="CD698" s="1" t="s">
        <v>862</v>
      </c>
      <c r="CE698" s="1">
        <v>3</v>
      </c>
      <c r="CF698" s="1">
        <v>7.7687711563559034</v>
      </c>
      <c r="CG698" s="1">
        <v>11.510400000000001</v>
      </c>
      <c r="CH698" s="1">
        <v>5850</v>
      </c>
      <c r="CI698" s="1" t="s">
        <v>1260</v>
      </c>
      <c r="CJ698" s="1" t="s">
        <v>689</v>
      </c>
      <c r="CK698" t="s">
        <v>1264</v>
      </c>
      <c r="CL698">
        <v>115</v>
      </c>
      <c r="CM698" t="s">
        <v>3028</v>
      </c>
    </row>
    <row r="699" spans="1:91" ht="19" customHeight="1">
      <c r="A699" s="1" t="s">
        <v>4537</v>
      </c>
      <c r="B699" s="1" t="s">
        <v>1254</v>
      </c>
      <c r="C699" s="1">
        <v>32</v>
      </c>
      <c r="D699" s="1" t="s">
        <v>1259</v>
      </c>
      <c r="E699" s="1">
        <v>2023</v>
      </c>
      <c r="F699" s="1">
        <v>4611</v>
      </c>
      <c r="G699" s="1" t="s">
        <v>1718</v>
      </c>
      <c r="H699" s="4">
        <v>37.747199999999999</v>
      </c>
      <c r="I699" s="4">
        <v>37.284260000000003</v>
      </c>
      <c r="J699" s="1" t="s">
        <v>1396</v>
      </c>
      <c r="K699" s="1" t="s">
        <v>90</v>
      </c>
      <c r="L699" s="1" t="s">
        <v>1689</v>
      </c>
      <c r="M699" s="1" t="s">
        <v>3545</v>
      </c>
      <c r="N699" s="1"/>
      <c r="O699" s="1" t="s">
        <v>4477</v>
      </c>
      <c r="P699" s="1"/>
      <c r="Q699" s="4">
        <v>7.5</v>
      </c>
      <c r="R699" s="4">
        <v>10.8</v>
      </c>
      <c r="S699" s="4"/>
      <c r="T699" s="4">
        <v>40.299999999999997</v>
      </c>
      <c r="U699" s="4"/>
      <c r="V699" s="4">
        <v>27.4</v>
      </c>
      <c r="W699" s="22">
        <f>YEN!F116</f>
        <v>31.189725778395005</v>
      </c>
      <c r="X699" s="4">
        <v>74</v>
      </c>
      <c r="Y699" s="4">
        <v>22</v>
      </c>
      <c r="Z699" s="4"/>
      <c r="AA699" s="4"/>
      <c r="AB699" s="4"/>
      <c r="AC699" s="4">
        <v>2.379546134130174</v>
      </c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1"/>
      <c r="BJ699" s="1" t="s">
        <v>4538</v>
      </c>
      <c r="BK699" s="1">
        <v>1</v>
      </c>
      <c r="BL699" s="1"/>
      <c r="BM699" s="1" t="s">
        <v>229</v>
      </c>
      <c r="BN699" s="1" t="s">
        <v>3014</v>
      </c>
      <c r="BO699" s="1" t="s">
        <v>3022</v>
      </c>
      <c r="BP699" s="1">
        <v>7.5</v>
      </c>
      <c r="BQ699" s="1" t="s">
        <v>1003</v>
      </c>
      <c r="BR699" s="1">
        <v>38.010599999999997</v>
      </c>
      <c r="BS699" s="1">
        <v>37.196199999999997</v>
      </c>
      <c r="BT699" s="1">
        <v>7.4320000000000004</v>
      </c>
      <c r="BU699" s="1" t="s">
        <v>3009</v>
      </c>
      <c r="BV699" s="1" t="s">
        <v>2834</v>
      </c>
      <c r="BW699" s="1">
        <v>277.2</v>
      </c>
      <c r="BX699" s="1">
        <v>77.87</v>
      </c>
      <c r="BY699" s="1">
        <v>3.5</v>
      </c>
      <c r="BZ699" s="1">
        <v>186.46</v>
      </c>
      <c r="CA699" s="1">
        <v>86.57</v>
      </c>
      <c r="CB699" s="1">
        <v>167.85</v>
      </c>
      <c r="CC699" s="1" t="s">
        <v>3006</v>
      </c>
      <c r="CD699" s="1" t="s">
        <v>862</v>
      </c>
      <c r="CE699" s="1">
        <v>3</v>
      </c>
      <c r="CF699" s="1">
        <v>7.7687711563559034</v>
      </c>
      <c r="CG699" s="1">
        <v>11.510400000000001</v>
      </c>
      <c r="CH699" s="1">
        <v>5850</v>
      </c>
      <c r="CI699" s="1" t="s">
        <v>1260</v>
      </c>
      <c r="CJ699" s="1" t="s">
        <v>689</v>
      </c>
      <c r="CK699" t="s">
        <v>1264</v>
      </c>
      <c r="CL699">
        <v>116</v>
      </c>
      <c r="CM699" t="s">
        <v>3028</v>
      </c>
    </row>
    <row r="700" spans="1:91" ht="19" customHeight="1">
      <c r="A700" s="1" t="s">
        <v>4539</v>
      </c>
      <c r="B700" s="1" t="s">
        <v>1254</v>
      </c>
      <c r="C700" s="1">
        <v>33</v>
      </c>
      <c r="D700" s="1" t="s">
        <v>1259</v>
      </c>
      <c r="E700" s="1">
        <v>2023</v>
      </c>
      <c r="F700" s="1">
        <v>4614</v>
      </c>
      <c r="G700" s="1" t="s">
        <v>1722</v>
      </c>
      <c r="H700" s="4">
        <v>37.485129999999998</v>
      </c>
      <c r="I700" s="4">
        <v>37.297750000000001</v>
      </c>
      <c r="J700" s="1" t="s">
        <v>1396</v>
      </c>
      <c r="K700" s="1" t="s">
        <v>90</v>
      </c>
      <c r="L700" s="1" t="s">
        <v>1717</v>
      </c>
      <c r="M700" s="1" t="s">
        <v>3545</v>
      </c>
      <c r="N700" s="1"/>
      <c r="O700" s="1" t="s">
        <v>4477</v>
      </c>
      <c r="P700" s="1"/>
      <c r="Q700" s="4">
        <v>7.5</v>
      </c>
      <c r="R700" s="4">
        <v>9.3000000000000007</v>
      </c>
      <c r="S700" s="4"/>
      <c r="T700" s="4">
        <v>34.5</v>
      </c>
      <c r="U700" s="4"/>
      <c r="V700" s="4">
        <v>55.9</v>
      </c>
      <c r="W700" s="22">
        <f>YEN!F117</f>
        <v>59.573239904558974</v>
      </c>
      <c r="X700" s="4">
        <v>86</v>
      </c>
      <c r="Y700" s="4">
        <v>11</v>
      </c>
      <c r="Z700" s="4"/>
      <c r="AA700" s="4"/>
      <c r="AB700" s="4"/>
      <c r="AC700" s="4">
        <v>2.2300144001592099</v>
      </c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1"/>
      <c r="BJ700" s="1" t="s">
        <v>4540</v>
      </c>
      <c r="BK700" s="1">
        <v>1</v>
      </c>
      <c r="BL700" s="1"/>
      <c r="BM700" s="1" t="s">
        <v>229</v>
      </c>
      <c r="BN700" s="1" t="s">
        <v>3014</v>
      </c>
      <c r="BO700" s="1" t="s">
        <v>3022</v>
      </c>
      <c r="BP700" s="1">
        <v>7.5</v>
      </c>
      <c r="BQ700" s="1" t="s">
        <v>1003</v>
      </c>
      <c r="BR700" s="1">
        <v>38.010599999999997</v>
      </c>
      <c r="BS700" s="1">
        <v>37.196199999999997</v>
      </c>
      <c r="BT700" s="1">
        <v>7.4320000000000004</v>
      </c>
      <c r="BU700" s="1" t="s">
        <v>3009</v>
      </c>
      <c r="BV700" s="1" t="s">
        <v>2834</v>
      </c>
      <c r="BW700" s="1">
        <v>277.2</v>
      </c>
      <c r="BX700" s="1">
        <v>77.87</v>
      </c>
      <c r="BY700" s="1">
        <v>3.5</v>
      </c>
      <c r="BZ700" s="1">
        <v>186.46</v>
      </c>
      <c r="CA700" s="1">
        <v>86.57</v>
      </c>
      <c r="CB700" s="1">
        <v>167.85</v>
      </c>
      <c r="CC700" s="1" t="s">
        <v>3006</v>
      </c>
      <c r="CD700" s="1" t="s">
        <v>862</v>
      </c>
      <c r="CE700" s="1">
        <v>3</v>
      </c>
      <c r="CF700" s="1">
        <v>7.7687711563559034</v>
      </c>
      <c r="CG700" s="1">
        <v>11.510400000000001</v>
      </c>
      <c r="CH700" s="1">
        <v>5850</v>
      </c>
      <c r="CI700" s="1" t="s">
        <v>1260</v>
      </c>
      <c r="CJ700" s="1" t="s">
        <v>689</v>
      </c>
      <c r="CK700" t="s">
        <v>1264</v>
      </c>
      <c r="CL700">
        <v>117</v>
      </c>
      <c r="CM700" t="s">
        <v>3028</v>
      </c>
    </row>
    <row r="701" spans="1:91" ht="19" customHeight="1">
      <c r="A701" s="1" t="s">
        <v>4541</v>
      </c>
      <c r="B701" s="1" t="s">
        <v>1254</v>
      </c>
      <c r="C701" s="1">
        <v>34</v>
      </c>
      <c r="D701" s="1" t="s">
        <v>1259</v>
      </c>
      <c r="E701" s="1">
        <v>2023</v>
      </c>
      <c r="F701" s="1" t="s">
        <v>1257</v>
      </c>
      <c r="G701" s="1" t="s">
        <v>1762</v>
      </c>
      <c r="H701" s="4">
        <v>37.3919</v>
      </c>
      <c r="I701" s="4">
        <v>37.157400000000003</v>
      </c>
      <c r="J701" s="1" t="s">
        <v>1396</v>
      </c>
      <c r="K701" s="1" t="s">
        <v>87</v>
      </c>
      <c r="L701" s="1" t="s">
        <v>1763</v>
      </c>
      <c r="M701" s="1" t="s">
        <v>3545</v>
      </c>
      <c r="N701" s="1"/>
      <c r="O701" s="1" t="s">
        <v>4477</v>
      </c>
      <c r="P701" s="1"/>
      <c r="Q701" s="4">
        <v>7.5</v>
      </c>
      <c r="R701" s="4">
        <v>9.6</v>
      </c>
      <c r="S701" s="4"/>
      <c r="T701" s="4">
        <v>26.5</v>
      </c>
      <c r="U701" s="4"/>
      <c r="V701" s="4">
        <v>68.2</v>
      </c>
      <c r="W701" s="22">
        <f>YEN!F118</f>
        <v>69.28071738895116</v>
      </c>
      <c r="X701" s="4">
        <v>89</v>
      </c>
      <c r="Y701" s="4">
        <v>7</v>
      </c>
      <c r="Z701" s="4"/>
      <c r="AA701" s="4"/>
      <c r="AB701" s="4"/>
      <c r="AC701" s="4">
        <v>2.2617630984737911</v>
      </c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1"/>
      <c r="BJ701" s="1" t="s">
        <v>4542</v>
      </c>
      <c r="BK701" s="1">
        <v>1</v>
      </c>
      <c r="BL701" s="1"/>
      <c r="BM701" s="1" t="s">
        <v>229</v>
      </c>
      <c r="BN701" s="1" t="s">
        <v>3014</v>
      </c>
      <c r="BO701" s="1" t="s">
        <v>3022</v>
      </c>
      <c r="BP701" s="1">
        <v>7.5</v>
      </c>
      <c r="BQ701" s="1" t="s">
        <v>1003</v>
      </c>
      <c r="BR701" s="1">
        <v>38.010599999999997</v>
      </c>
      <c r="BS701" s="1">
        <v>37.196199999999997</v>
      </c>
      <c r="BT701" s="1">
        <v>7.4320000000000004</v>
      </c>
      <c r="BU701" s="1" t="s">
        <v>3009</v>
      </c>
      <c r="BV701" s="1" t="s">
        <v>2834</v>
      </c>
      <c r="BW701" s="1">
        <v>277.2</v>
      </c>
      <c r="BX701" s="1">
        <v>77.87</v>
      </c>
      <c r="BY701" s="1">
        <v>3.5</v>
      </c>
      <c r="BZ701" s="1">
        <v>186.46</v>
      </c>
      <c r="CA701" s="1">
        <v>86.57</v>
      </c>
      <c r="CB701" s="1">
        <v>167.85</v>
      </c>
      <c r="CC701" s="1" t="s">
        <v>3006</v>
      </c>
      <c r="CD701" s="1" t="s">
        <v>862</v>
      </c>
      <c r="CE701" s="1">
        <v>3</v>
      </c>
      <c r="CF701" s="1">
        <v>7.7687711563559034</v>
      </c>
      <c r="CG701" s="1">
        <v>11.510400000000001</v>
      </c>
      <c r="CH701" s="1">
        <v>5850</v>
      </c>
      <c r="CI701" s="1" t="s">
        <v>1260</v>
      </c>
      <c r="CJ701" s="1" t="s">
        <v>689</v>
      </c>
      <c r="CK701" t="s">
        <v>1264</v>
      </c>
      <c r="CL701">
        <v>118</v>
      </c>
      <c r="CM701" t="s">
        <v>3028</v>
      </c>
    </row>
    <row r="702" spans="1:91" ht="19" customHeight="1">
      <c r="A702" s="1" t="s">
        <v>4543</v>
      </c>
      <c r="B702" s="1" t="s">
        <v>1254</v>
      </c>
      <c r="C702" s="1">
        <v>35</v>
      </c>
      <c r="D702" s="1" t="s">
        <v>1259</v>
      </c>
      <c r="E702" s="1">
        <v>2023</v>
      </c>
      <c r="F702" s="1">
        <v>4615</v>
      </c>
      <c r="G702" s="1" t="s">
        <v>1724</v>
      </c>
      <c r="H702" s="4">
        <v>37.386760000000002</v>
      </c>
      <c r="I702" s="4">
        <v>37.138030000000001</v>
      </c>
      <c r="J702" s="1" t="s">
        <v>1396</v>
      </c>
      <c r="K702" s="1" t="s">
        <v>87</v>
      </c>
      <c r="L702" s="1" t="s">
        <v>1727</v>
      </c>
      <c r="M702" s="1" t="s">
        <v>3545</v>
      </c>
      <c r="N702" s="1"/>
      <c r="O702" s="1" t="s">
        <v>4477</v>
      </c>
      <c r="P702" s="1"/>
      <c r="Q702" s="4">
        <v>7.5</v>
      </c>
      <c r="R702" s="4">
        <v>9.4</v>
      </c>
      <c r="S702" s="4"/>
      <c r="T702" s="4">
        <v>30.4</v>
      </c>
      <c r="U702" s="4"/>
      <c r="V702" s="4">
        <v>69.099999999999994</v>
      </c>
      <c r="W702" s="22">
        <f>YEN!F119</f>
        <v>69.952300524433369</v>
      </c>
      <c r="X702" s="4">
        <v>83</v>
      </c>
      <c r="Y702" s="4">
        <v>13</v>
      </c>
      <c r="Z702" s="4"/>
      <c r="AA702" s="4"/>
      <c r="AB702" s="4"/>
      <c r="AC702" s="4">
        <v>2.2407096892759579</v>
      </c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1"/>
      <c r="BJ702" s="1" t="s">
        <v>4544</v>
      </c>
      <c r="BK702" s="1">
        <v>1</v>
      </c>
      <c r="BL702" s="1"/>
      <c r="BM702" s="1" t="s">
        <v>229</v>
      </c>
      <c r="BN702" s="1" t="s">
        <v>3014</v>
      </c>
      <c r="BO702" s="1" t="s">
        <v>3022</v>
      </c>
      <c r="BP702" s="1">
        <v>7.5</v>
      </c>
      <c r="BQ702" s="1" t="s">
        <v>1003</v>
      </c>
      <c r="BR702" s="1">
        <v>38.010599999999997</v>
      </c>
      <c r="BS702" s="1">
        <v>37.196199999999997</v>
      </c>
      <c r="BT702" s="1">
        <v>7.4320000000000004</v>
      </c>
      <c r="BU702" s="1" t="s">
        <v>3009</v>
      </c>
      <c r="BV702" s="1" t="s">
        <v>2834</v>
      </c>
      <c r="BW702" s="1">
        <v>277.2</v>
      </c>
      <c r="BX702" s="1">
        <v>77.87</v>
      </c>
      <c r="BY702" s="1">
        <v>3.5</v>
      </c>
      <c r="BZ702" s="1">
        <v>186.46</v>
      </c>
      <c r="CA702" s="1">
        <v>86.57</v>
      </c>
      <c r="CB702" s="1">
        <v>167.85</v>
      </c>
      <c r="CC702" s="1" t="s">
        <v>3006</v>
      </c>
      <c r="CD702" s="1" t="s">
        <v>862</v>
      </c>
      <c r="CE702" s="1">
        <v>3</v>
      </c>
      <c r="CF702" s="1">
        <v>7.7687711563559034</v>
      </c>
      <c r="CG702" s="1">
        <v>11.510400000000001</v>
      </c>
      <c r="CH702" s="1">
        <v>5850</v>
      </c>
      <c r="CI702" s="1" t="s">
        <v>1260</v>
      </c>
      <c r="CJ702" s="1" t="s">
        <v>689</v>
      </c>
      <c r="CK702" t="s">
        <v>1264</v>
      </c>
      <c r="CL702">
        <v>119</v>
      </c>
      <c r="CM702" t="s">
        <v>3028</v>
      </c>
    </row>
    <row r="703" spans="1:91" ht="19" customHeight="1"/>
    <row r="704" spans="1:91" ht="19" customHeight="1"/>
    <row r="705" ht="19" customHeight="1"/>
    <row r="706" ht="19" customHeight="1"/>
    <row r="707" ht="19" customHeight="1"/>
    <row r="708" ht="19" customHeight="1"/>
    <row r="709" ht="19" customHeight="1"/>
    <row r="710" ht="19" customHeight="1"/>
    <row r="711" ht="19" customHeight="1"/>
    <row r="712" ht="19" customHeight="1"/>
    <row r="713" ht="19" customHeight="1"/>
    <row r="714" ht="19" customHeight="1"/>
    <row r="715" ht="19" customHeight="1"/>
    <row r="716" ht="19" customHeight="1"/>
    <row r="717" ht="19" customHeight="1"/>
    <row r="718" ht="19" customHeight="1"/>
    <row r="719" ht="19" customHeight="1"/>
    <row r="720" ht="19" customHeight="1"/>
    <row r="721" ht="19" customHeight="1"/>
    <row r="722" ht="19" customHeight="1"/>
    <row r="723" ht="19" customHeight="1"/>
    <row r="724" ht="19" customHeight="1"/>
    <row r="725" ht="19" customHeight="1"/>
    <row r="726" ht="19" customHeight="1"/>
    <row r="727" ht="19" customHeight="1"/>
    <row r="728" ht="19" customHeight="1"/>
    <row r="729" ht="19" customHeight="1"/>
    <row r="730" ht="19" customHeight="1"/>
    <row r="731" ht="19" customHeight="1"/>
    <row r="732" ht="19" customHeight="1"/>
    <row r="733" ht="19" customHeight="1"/>
    <row r="734" ht="19" customHeight="1"/>
    <row r="735" ht="19" customHeight="1"/>
    <row r="736" ht="19" customHeight="1"/>
    <row r="737" ht="19" customHeight="1"/>
    <row r="738" ht="19" customHeight="1"/>
    <row r="739" ht="19" customHeight="1"/>
    <row r="740" ht="19" customHeight="1"/>
    <row r="741" ht="19" customHeight="1"/>
    <row r="742" ht="19" customHeight="1"/>
    <row r="743" ht="19" customHeight="1"/>
    <row r="744" ht="19" customHeight="1"/>
    <row r="745" ht="19" customHeight="1"/>
    <row r="746" ht="19" customHeight="1"/>
    <row r="747" ht="19" customHeight="1"/>
    <row r="748" ht="19" customHeight="1"/>
    <row r="749" ht="19" customHeight="1"/>
    <row r="750" ht="19" customHeight="1"/>
    <row r="751" ht="19" customHeight="1"/>
    <row r="752" ht="19" customHeight="1"/>
    <row r="753" ht="19" customHeight="1"/>
    <row r="754" ht="19" customHeight="1"/>
    <row r="755" ht="19" customHeight="1"/>
    <row r="756" ht="19" customHeight="1"/>
    <row r="757" ht="19" customHeight="1"/>
    <row r="758" ht="19" customHeight="1"/>
    <row r="759" ht="19" customHeight="1"/>
    <row r="760" ht="19" customHeight="1"/>
    <row r="761" ht="19" customHeight="1"/>
    <row r="762" ht="19" customHeight="1"/>
    <row r="763" ht="19" customHeight="1"/>
    <row r="764" ht="19" customHeight="1"/>
    <row r="765" ht="19" customHeight="1"/>
    <row r="766" ht="19" customHeight="1"/>
    <row r="767" ht="19" customHeight="1"/>
    <row r="768" ht="19" customHeight="1"/>
    <row r="769" ht="19" customHeight="1"/>
    <row r="770" ht="19" customHeight="1"/>
    <row r="771" ht="19" customHeight="1"/>
    <row r="772" ht="19" customHeight="1"/>
    <row r="773" ht="19" customHeight="1"/>
    <row r="774" ht="19" customHeight="1"/>
    <row r="775" ht="19" customHeight="1"/>
    <row r="776" ht="19" customHeight="1"/>
    <row r="777" ht="19" customHeight="1"/>
    <row r="778" ht="19" customHeight="1"/>
    <row r="779" ht="19" customHeight="1"/>
    <row r="780" ht="19" customHeight="1"/>
    <row r="781" ht="19" customHeight="1"/>
    <row r="782" ht="19" customHeight="1"/>
    <row r="783" ht="19" customHeight="1"/>
    <row r="784" ht="19" customHeight="1"/>
    <row r="785" ht="19" customHeight="1"/>
    <row r="786" ht="19" customHeight="1"/>
    <row r="787" ht="19" customHeight="1"/>
    <row r="788" ht="19" customHeight="1"/>
    <row r="789" ht="19" customHeight="1"/>
    <row r="790" ht="19" customHeight="1"/>
    <row r="791" ht="19" customHeight="1"/>
    <row r="792" ht="19" customHeight="1"/>
    <row r="793" ht="19" customHeight="1"/>
    <row r="794" ht="19" customHeight="1"/>
    <row r="795" ht="19" customHeight="1"/>
    <row r="796" ht="19" customHeight="1"/>
    <row r="797" ht="19" customHeight="1"/>
    <row r="798" ht="19" customHeight="1"/>
    <row r="799" ht="19" customHeight="1"/>
    <row r="800" ht="19" customHeight="1"/>
    <row r="801" ht="19" customHeight="1"/>
    <row r="802" ht="19" customHeight="1"/>
    <row r="803" ht="19" customHeight="1"/>
    <row r="804" ht="19" customHeight="1"/>
    <row r="805" ht="19" customHeight="1"/>
    <row r="806" ht="19" customHeight="1"/>
    <row r="807" ht="19" customHeight="1"/>
    <row r="808" ht="19" customHeight="1"/>
    <row r="809" ht="19" customHeight="1"/>
    <row r="810" ht="19" customHeight="1"/>
    <row r="811" ht="19" customHeight="1"/>
    <row r="812" ht="19" customHeight="1"/>
    <row r="813" ht="19" customHeight="1"/>
    <row r="814" ht="19" customHeight="1"/>
    <row r="815" ht="19" customHeight="1"/>
    <row r="816" ht="19" customHeight="1"/>
    <row r="817" ht="19" customHeight="1"/>
    <row r="818" ht="19" customHeight="1"/>
    <row r="819" ht="19" customHeight="1"/>
    <row r="820" ht="19" customHeight="1"/>
    <row r="821" ht="19" customHeight="1"/>
    <row r="822" ht="19" customHeight="1"/>
    <row r="823" ht="19" customHeight="1"/>
    <row r="824" ht="19" customHeight="1"/>
    <row r="825" ht="19" customHeight="1"/>
    <row r="826" ht="19" customHeight="1"/>
    <row r="827" ht="19" customHeight="1"/>
    <row r="828" ht="19" customHeight="1"/>
    <row r="829" ht="19" customHeight="1"/>
    <row r="830" ht="19" customHeight="1"/>
    <row r="831" ht="19" customHeight="1"/>
    <row r="832" ht="19" customHeight="1"/>
    <row r="833" ht="19" customHeight="1"/>
    <row r="834" ht="19" customHeight="1"/>
    <row r="835" ht="19" customHeight="1"/>
    <row r="836" ht="19" customHeight="1"/>
    <row r="837" ht="19" customHeight="1"/>
    <row r="838" ht="19" customHeight="1"/>
    <row r="839" ht="19" customHeight="1"/>
    <row r="840" ht="19" customHeight="1"/>
    <row r="841" ht="19" customHeight="1"/>
    <row r="842" ht="19" customHeight="1"/>
    <row r="843" ht="19" customHeight="1"/>
    <row r="844" ht="19" customHeight="1"/>
    <row r="845" ht="19" customHeight="1"/>
    <row r="846" ht="19" customHeight="1"/>
    <row r="847" ht="19" customHeight="1"/>
    <row r="848" ht="19" customHeight="1"/>
    <row r="849" ht="19" customHeight="1"/>
    <row r="850" ht="19" customHeight="1"/>
    <row r="851" ht="19" customHeight="1"/>
    <row r="852" ht="19" customHeight="1"/>
    <row r="853" ht="19" customHeight="1"/>
    <row r="854" ht="19" customHeight="1"/>
    <row r="855" ht="19" customHeight="1"/>
    <row r="856" ht="19" customHeight="1"/>
    <row r="857" ht="19" customHeight="1"/>
    <row r="858" ht="19" customHeight="1"/>
    <row r="859" ht="19" customHeight="1"/>
    <row r="860" ht="19" customHeight="1"/>
    <row r="861" ht="19" customHeight="1"/>
    <row r="862" ht="19" customHeight="1"/>
    <row r="863" ht="19" customHeight="1"/>
    <row r="864" ht="19" customHeight="1"/>
    <row r="865" ht="19" customHeight="1"/>
    <row r="866" ht="19" customHeight="1"/>
    <row r="867" ht="19" customHeight="1"/>
    <row r="868" ht="19" customHeight="1"/>
    <row r="869" ht="19" customHeight="1"/>
    <row r="870" ht="19" customHeight="1"/>
    <row r="871" ht="19" customHeight="1"/>
    <row r="872" ht="19" customHeight="1"/>
    <row r="873" ht="19" customHeight="1"/>
    <row r="874" ht="19" customHeight="1"/>
    <row r="875" ht="19" customHeight="1"/>
    <row r="876" ht="19" customHeight="1"/>
    <row r="877" ht="19" customHeight="1"/>
    <row r="878" ht="19" customHeight="1"/>
    <row r="879" ht="19" customHeight="1"/>
    <row r="880" ht="19" customHeight="1"/>
    <row r="881" ht="19" customHeight="1"/>
    <row r="882" ht="19" customHeight="1"/>
    <row r="883" ht="19" customHeight="1"/>
    <row r="884" ht="19" customHeight="1"/>
    <row r="885" ht="19" customHeight="1"/>
    <row r="886" ht="19" customHeight="1"/>
    <row r="887" ht="19" customHeight="1"/>
    <row r="888" ht="19" customHeight="1"/>
    <row r="889" ht="19" customHeight="1"/>
    <row r="890" ht="19" customHeight="1"/>
    <row r="891" ht="19" customHeight="1"/>
    <row r="892" ht="19" customHeight="1"/>
    <row r="893" ht="19" customHeight="1"/>
    <row r="894" ht="19" customHeight="1"/>
    <row r="895" ht="19" customHeight="1"/>
    <row r="896" ht="19" customHeight="1"/>
    <row r="897" ht="19" customHeight="1"/>
    <row r="898" ht="19" customHeight="1"/>
    <row r="899" ht="19" customHeight="1"/>
    <row r="900" ht="19" customHeight="1"/>
    <row r="901" ht="19" customHeight="1"/>
    <row r="902" ht="19" customHeight="1"/>
    <row r="903" ht="19" customHeight="1"/>
    <row r="904" ht="19" customHeight="1"/>
    <row r="905" ht="19" customHeight="1"/>
    <row r="906" ht="19" customHeight="1"/>
    <row r="907" ht="19" customHeight="1"/>
    <row r="908" ht="19" customHeight="1"/>
    <row r="909" ht="19" customHeight="1"/>
    <row r="910" ht="19" customHeight="1"/>
    <row r="911" ht="19" customHeight="1"/>
    <row r="912" ht="19" customHeight="1"/>
    <row r="913" ht="19" customHeight="1"/>
    <row r="914" ht="19" customHeight="1"/>
    <row r="915" ht="19" customHeight="1"/>
    <row r="916" ht="19" customHeight="1"/>
    <row r="917" ht="19" customHeight="1"/>
    <row r="918" ht="19" customHeight="1"/>
    <row r="919" ht="19" customHeight="1"/>
    <row r="920" ht="19" customHeight="1"/>
    <row r="921" ht="19" customHeight="1"/>
    <row r="922" ht="19" customHeight="1"/>
    <row r="923" ht="19" customHeight="1"/>
    <row r="924" ht="19" customHeight="1"/>
    <row r="925" ht="19" customHeight="1"/>
    <row r="926" ht="19" customHeight="1"/>
    <row r="927" ht="19" customHeight="1"/>
    <row r="928" ht="19" customHeight="1"/>
    <row r="929" ht="19" customHeight="1"/>
    <row r="930" ht="19" customHeight="1"/>
    <row r="931" ht="19" customHeight="1"/>
    <row r="932" ht="19" customHeight="1"/>
    <row r="933" ht="19" customHeight="1"/>
    <row r="934" ht="19" customHeight="1"/>
    <row r="935" ht="19" customHeight="1"/>
    <row r="936" ht="19" customHeight="1"/>
    <row r="937" ht="19" customHeight="1"/>
    <row r="938" ht="19" customHeight="1"/>
    <row r="939" ht="19" customHeight="1"/>
    <row r="940" ht="19" customHeight="1"/>
    <row r="941" ht="19" customHeight="1"/>
    <row r="942" ht="19" customHeight="1"/>
    <row r="943" ht="19" customHeight="1"/>
    <row r="944" ht="19" customHeight="1"/>
    <row r="945" ht="19" customHeight="1"/>
    <row r="946" ht="19" customHeight="1"/>
    <row r="947" ht="19" customHeight="1"/>
    <row r="948" ht="19" customHeight="1"/>
    <row r="949" ht="19" customHeight="1"/>
    <row r="950" ht="19" customHeight="1"/>
    <row r="951" ht="19" customHeight="1"/>
    <row r="952" ht="19" customHeight="1"/>
    <row r="953" ht="19" customHeight="1"/>
    <row r="954" ht="19" customHeight="1"/>
    <row r="955" ht="19" customHeight="1"/>
    <row r="956" ht="19" customHeight="1"/>
    <row r="957" ht="19" customHeight="1"/>
    <row r="958" ht="19" customHeight="1"/>
    <row r="959" ht="19" customHeight="1"/>
    <row r="960" ht="19" customHeight="1"/>
    <row r="961" ht="19" customHeight="1"/>
    <row r="962" ht="19" customHeight="1"/>
    <row r="963" ht="19" customHeight="1"/>
    <row r="964" ht="19" customHeight="1"/>
    <row r="965" ht="19" customHeight="1"/>
    <row r="966" ht="19" customHeight="1"/>
    <row r="967" ht="19" customHeight="1"/>
    <row r="968" ht="19" customHeight="1"/>
    <row r="969" ht="19" customHeight="1"/>
    <row r="970" ht="19" customHeight="1"/>
    <row r="971" ht="19" customHeight="1"/>
    <row r="972" ht="19" customHeight="1"/>
    <row r="973" ht="19" customHeight="1"/>
    <row r="974" ht="19" customHeight="1"/>
    <row r="975" ht="19" customHeight="1"/>
    <row r="976" ht="19" customHeight="1"/>
    <row r="977" ht="19" customHeight="1"/>
  </sheetData>
  <conditionalFormatting sqref="J2:J977">
    <cfRule type="containsText" dxfId="1" priority="1" operator="containsText" text="unresolved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24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31" customWidth="1"/>
    <col min="3" max="3" width="20" customWidth="1"/>
    <col min="4" max="4" width="48" customWidth="1"/>
    <col min="5" max="22" width="20" customWidth="1"/>
    <col min="23" max="24" width="40" customWidth="1"/>
    <col min="25" max="30" width="20" customWidth="1"/>
    <col min="31" max="32" width="40" customWidth="1"/>
    <col min="33" max="36" width="20" customWidth="1"/>
    <col min="37" max="38" width="55" customWidth="1"/>
    <col min="39" max="39" width="40" customWidth="1"/>
  </cols>
  <sheetData>
    <row r="1" spans="1:39" ht="58" customHeight="1">
      <c r="A1" s="11" t="s">
        <v>692</v>
      </c>
      <c r="B1" s="11" t="s">
        <v>693</v>
      </c>
      <c r="C1" s="11" t="s">
        <v>694</v>
      </c>
      <c r="D1" s="11" t="s">
        <v>695</v>
      </c>
      <c r="E1" s="11" t="s">
        <v>696</v>
      </c>
      <c r="F1" s="11" t="s">
        <v>697</v>
      </c>
      <c r="G1" s="11" t="s">
        <v>698</v>
      </c>
      <c r="H1" s="11" t="s">
        <v>699</v>
      </c>
      <c r="I1" s="11" t="s">
        <v>700</v>
      </c>
      <c r="J1" s="11" t="s">
        <v>701</v>
      </c>
      <c r="K1" s="11" t="s">
        <v>702</v>
      </c>
      <c r="L1" s="11" t="s">
        <v>703</v>
      </c>
      <c r="M1" s="11" t="s">
        <v>704</v>
      </c>
      <c r="N1" s="11" t="s">
        <v>705</v>
      </c>
      <c r="O1" s="12" t="s">
        <v>194</v>
      </c>
      <c r="P1" s="12" t="s">
        <v>706</v>
      </c>
      <c r="Q1" s="12" t="s">
        <v>707</v>
      </c>
      <c r="R1" s="12" t="s">
        <v>708</v>
      </c>
      <c r="S1" s="12" t="s">
        <v>709</v>
      </c>
      <c r="T1" s="12" t="s">
        <v>710</v>
      </c>
      <c r="U1" s="12" t="s">
        <v>711</v>
      </c>
      <c r="V1" s="12" t="s">
        <v>712</v>
      </c>
      <c r="W1" s="12" t="s">
        <v>713</v>
      </c>
      <c r="X1" s="12" t="s">
        <v>714</v>
      </c>
      <c r="Y1" s="12" t="s">
        <v>715</v>
      </c>
      <c r="Z1" s="12" t="s">
        <v>716</v>
      </c>
      <c r="AA1" s="12" t="s">
        <v>717</v>
      </c>
      <c r="AB1" s="12" t="s">
        <v>718</v>
      </c>
      <c r="AC1" s="12" t="s">
        <v>719</v>
      </c>
      <c r="AD1" s="12" t="s">
        <v>720</v>
      </c>
      <c r="AE1" s="12" t="s">
        <v>721</v>
      </c>
      <c r="AF1" s="12" t="s">
        <v>722</v>
      </c>
      <c r="AG1" s="12" t="s">
        <v>723</v>
      </c>
      <c r="AH1" s="12" t="s">
        <v>724</v>
      </c>
      <c r="AI1" s="12" t="s">
        <v>725</v>
      </c>
      <c r="AJ1" s="12" t="s">
        <v>726</v>
      </c>
      <c r="AK1" s="12" t="s">
        <v>727</v>
      </c>
      <c r="AL1" s="12" t="s">
        <v>728</v>
      </c>
      <c r="AM1" s="33" t="s">
        <v>2564</v>
      </c>
    </row>
    <row r="2" spans="1:39" ht="19" customHeight="1">
      <c r="A2" s="4">
        <v>20</v>
      </c>
      <c r="B2" s="4" t="s">
        <v>253</v>
      </c>
      <c r="C2" s="4">
        <v>1954</v>
      </c>
      <c r="D2" s="4" t="s">
        <v>729</v>
      </c>
      <c r="E2" s="4">
        <v>6.5</v>
      </c>
      <c r="F2" s="4">
        <v>27</v>
      </c>
      <c r="G2" s="4">
        <v>32.4</v>
      </c>
      <c r="H2" s="4">
        <v>2</v>
      </c>
      <c r="I2" s="4">
        <v>40.299999999999997</v>
      </c>
      <c r="J2" s="4">
        <v>19</v>
      </c>
      <c r="K2" s="4">
        <v>47</v>
      </c>
      <c r="L2" s="4">
        <v>0</v>
      </c>
      <c r="M2" s="4">
        <v>0</v>
      </c>
      <c r="N2" s="4" t="s">
        <v>730</v>
      </c>
      <c r="O2" s="1" t="s">
        <v>252</v>
      </c>
      <c r="P2" s="1" t="s">
        <v>2567</v>
      </c>
      <c r="Q2" s="1" t="s">
        <v>2568</v>
      </c>
      <c r="R2" s="1">
        <v>6.5</v>
      </c>
      <c r="S2" s="1" t="s">
        <v>2570</v>
      </c>
      <c r="T2" s="1">
        <v>40.816699999999997</v>
      </c>
      <c r="U2" s="1">
        <v>-124.083</v>
      </c>
      <c r="V2" s="1">
        <v>10</v>
      </c>
      <c r="W2" s="1" t="s">
        <v>730</v>
      </c>
      <c r="X2" s="1" t="s">
        <v>2571</v>
      </c>
      <c r="Y2" s="1">
        <v>65.599999999999994</v>
      </c>
      <c r="Z2" s="1">
        <v>90</v>
      </c>
      <c r="AA2" s="1">
        <v>0</v>
      </c>
      <c r="AB2" s="1"/>
      <c r="AC2" s="1"/>
      <c r="AD2" s="1"/>
      <c r="AE2" s="1" t="s">
        <v>2566</v>
      </c>
      <c r="AF2" s="1" t="s">
        <v>731</v>
      </c>
      <c r="AG2" s="1"/>
      <c r="AH2" s="1"/>
      <c r="AI2" s="1"/>
      <c r="AJ2" s="1"/>
      <c r="AK2" s="1"/>
      <c r="AL2" s="1" t="s">
        <v>167</v>
      </c>
      <c r="AM2" t="s">
        <v>2576</v>
      </c>
    </row>
    <row r="3" spans="1:39" ht="19" customHeight="1">
      <c r="A3" s="4">
        <v>77</v>
      </c>
      <c r="B3" s="4" t="s">
        <v>732</v>
      </c>
      <c r="C3" s="4">
        <v>1971</v>
      </c>
      <c r="D3" s="4" t="s">
        <v>733</v>
      </c>
      <c r="E3" s="4">
        <v>6.6</v>
      </c>
      <c r="F3" s="4">
        <v>1.8</v>
      </c>
      <c r="G3" s="4">
        <v>17.600000000000001</v>
      </c>
      <c r="H3" s="4">
        <v>1.64</v>
      </c>
      <c r="I3" s="4">
        <v>121.9</v>
      </c>
      <c r="J3" s="4">
        <v>189</v>
      </c>
      <c r="K3" s="4">
        <v>84</v>
      </c>
      <c r="L3" s="4">
        <v>1</v>
      </c>
      <c r="M3" s="4">
        <v>1</v>
      </c>
      <c r="N3" s="4" t="s">
        <v>734</v>
      </c>
      <c r="O3" s="1" t="s">
        <v>262</v>
      </c>
      <c r="P3" s="1" t="s">
        <v>2578</v>
      </c>
      <c r="Q3" s="1" t="s">
        <v>2579</v>
      </c>
      <c r="R3" s="1">
        <v>6.61</v>
      </c>
      <c r="S3" s="1" t="s">
        <v>1003</v>
      </c>
      <c r="T3" s="1">
        <v>34.44</v>
      </c>
      <c r="U3" s="1">
        <v>-118.41</v>
      </c>
      <c r="V3" s="1">
        <v>13</v>
      </c>
      <c r="W3" s="1" t="s">
        <v>734</v>
      </c>
      <c r="X3" s="1" t="s">
        <v>2571</v>
      </c>
      <c r="Y3" s="1">
        <v>288</v>
      </c>
      <c r="Z3" s="1">
        <v>50</v>
      </c>
      <c r="AA3" s="1">
        <v>83</v>
      </c>
      <c r="AB3" s="1"/>
      <c r="AC3" s="1"/>
      <c r="AD3" s="1"/>
      <c r="AE3" s="1" t="s">
        <v>2566</v>
      </c>
      <c r="AF3" s="1" t="s">
        <v>731</v>
      </c>
      <c r="AG3" s="1"/>
      <c r="AH3" s="1"/>
      <c r="AI3" s="1"/>
      <c r="AJ3" s="1"/>
      <c r="AK3" s="1"/>
      <c r="AL3" s="1" t="s">
        <v>167</v>
      </c>
      <c r="AM3" t="s">
        <v>2582</v>
      </c>
    </row>
    <row r="4" spans="1:39" ht="19" customHeight="1">
      <c r="A4" s="4">
        <v>143</v>
      </c>
      <c r="B4" s="4" t="s">
        <v>735</v>
      </c>
      <c r="C4" s="4">
        <v>1978</v>
      </c>
      <c r="D4" s="4" t="s">
        <v>736</v>
      </c>
      <c r="E4" s="4">
        <v>7.3</v>
      </c>
      <c r="F4" s="4">
        <v>2</v>
      </c>
      <c r="G4" s="4">
        <v>55.5</v>
      </c>
      <c r="H4" s="4">
        <v>6.19</v>
      </c>
      <c r="I4" s="4">
        <v>129.69999999999999</v>
      </c>
      <c r="J4" s="4">
        <v>0</v>
      </c>
      <c r="K4" s="4">
        <v>30</v>
      </c>
      <c r="L4" s="4">
        <v>0</v>
      </c>
      <c r="M4" s="4">
        <v>1</v>
      </c>
      <c r="N4" s="4" t="s">
        <v>734</v>
      </c>
      <c r="O4" s="1" t="s">
        <v>269</v>
      </c>
      <c r="P4" s="1" t="s">
        <v>2584</v>
      </c>
      <c r="Q4" s="1" t="s">
        <v>2585</v>
      </c>
      <c r="R4" s="1">
        <v>7.35</v>
      </c>
      <c r="S4" s="1" t="s">
        <v>1003</v>
      </c>
      <c r="T4" s="1">
        <v>33.215000000000003</v>
      </c>
      <c r="U4" s="1">
        <v>57.323</v>
      </c>
      <c r="V4" s="1">
        <v>5.75</v>
      </c>
      <c r="W4" s="1" t="s">
        <v>734</v>
      </c>
      <c r="X4" s="1" t="s">
        <v>2571</v>
      </c>
      <c r="Y4" s="1">
        <v>330</v>
      </c>
      <c r="Z4" s="1">
        <v>25</v>
      </c>
      <c r="AA4" s="1">
        <v>110</v>
      </c>
      <c r="AB4" s="1"/>
      <c r="AC4" s="1"/>
      <c r="AD4" s="1"/>
      <c r="AE4" s="1" t="s">
        <v>2566</v>
      </c>
      <c r="AF4" s="1" t="s">
        <v>731</v>
      </c>
      <c r="AG4" s="1"/>
      <c r="AH4" s="1"/>
      <c r="AI4" s="1"/>
      <c r="AJ4" s="1"/>
      <c r="AK4" s="1"/>
      <c r="AL4" s="1" t="s">
        <v>167</v>
      </c>
      <c r="AM4" t="s">
        <v>2587</v>
      </c>
    </row>
    <row r="5" spans="1:39" ht="19" customHeight="1">
      <c r="A5" s="4">
        <v>4451</v>
      </c>
      <c r="B5" s="4" t="s">
        <v>737</v>
      </c>
      <c r="C5" s="4">
        <v>1979</v>
      </c>
      <c r="D5" s="4" t="s">
        <v>738</v>
      </c>
      <c r="E5" s="4">
        <v>7.1</v>
      </c>
      <c r="F5" s="4">
        <v>7</v>
      </c>
      <c r="G5" s="4">
        <v>12.9</v>
      </c>
      <c r="H5" s="4">
        <v>1.44</v>
      </c>
      <c r="I5" s="4">
        <v>62.7</v>
      </c>
      <c r="J5" s="4">
        <v>309</v>
      </c>
      <c r="K5" s="4">
        <v>9</v>
      </c>
      <c r="L5" s="4">
        <v>0</v>
      </c>
      <c r="M5" s="4">
        <v>1</v>
      </c>
      <c r="N5" s="4" t="s">
        <v>734</v>
      </c>
      <c r="O5" s="1" t="s">
        <v>298</v>
      </c>
      <c r="P5" s="1" t="s">
        <v>2589</v>
      </c>
      <c r="Q5" s="1" t="s">
        <v>2590</v>
      </c>
      <c r="R5" s="1">
        <v>7.1</v>
      </c>
      <c r="S5" s="1" t="s">
        <v>1003</v>
      </c>
      <c r="T5" s="1">
        <v>42.04</v>
      </c>
      <c r="U5" s="1">
        <v>19.21</v>
      </c>
      <c r="V5" s="1">
        <v>7</v>
      </c>
      <c r="W5" s="1" t="s">
        <v>734</v>
      </c>
      <c r="X5" s="1" t="s">
        <v>2571</v>
      </c>
      <c r="Y5" s="1">
        <v>300</v>
      </c>
      <c r="Z5" s="1">
        <v>14</v>
      </c>
      <c r="AA5" s="1">
        <v>88</v>
      </c>
      <c r="AB5" s="1"/>
      <c r="AC5" s="1"/>
      <c r="AD5" s="1"/>
      <c r="AE5" s="1" t="s">
        <v>2566</v>
      </c>
      <c r="AF5" s="1" t="s">
        <v>731</v>
      </c>
      <c r="AG5" s="1"/>
      <c r="AH5" s="1"/>
      <c r="AI5" s="1"/>
      <c r="AJ5" s="1"/>
      <c r="AK5" s="1"/>
      <c r="AL5" s="1" t="s">
        <v>167</v>
      </c>
      <c r="AM5" t="s">
        <v>2592</v>
      </c>
    </row>
    <row r="6" spans="1:39" ht="19" customHeight="1">
      <c r="A6" s="4">
        <v>4458</v>
      </c>
      <c r="B6" s="4" t="s">
        <v>737</v>
      </c>
      <c r="C6" s="4">
        <v>1979</v>
      </c>
      <c r="D6" s="4" t="s">
        <v>739</v>
      </c>
      <c r="E6" s="4">
        <v>7.1</v>
      </c>
      <c r="F6" s="4">
        <v>5.8</v>
      </c>
      <c r="G6" s="4">
        <v>16.3</v>
      </c>
      <c r="H6" s="4">
        <v>1.97</v>
      </c>
      <c r="I6" s="4">
        <v>62.8</v>
      </c>
      <c r="J6" s="4">
        <v>301</v>
      </c>
      <c r="K6" s="4">
        <v>1</v>
      </c>
      <c r="L6" s="4">
        <v>0</v>
      </c>
      <c r="M6" s="4">
        <v>1</v>
      </c>
      <c r="N6" s="4" t="s">
        <v>734</v>
      </c>
      <c r="O6" s="1" t="s">
        <v>298</v>
      </c>
      <c r="P6" s="1" t="s">
        <v>2589</v>
      </c>
      <c r="Q6" s="1" t="s">
        <v>2590</v>
      </c>
      <c r="R6" s="1">
        <v>7.1</v>
      </c>
      <c r="S6" s="1" t="s">
        <v>1003</v>
      </c>
      <c r="T6" s="1">
        <v>42.04</v>
      </c>
      <c r="U6" s="1">
        <v>19.21</v>
      </c>
      <c r="V6" s="1">
        <v>7</v>
      </c>
      <c r="W6" s="1" t="s">
        <v>734</v>
      </c>
      <c r="X6" s="1" t="s">
        <v>2571</v>
      </c>
      <c r="Y6" s="1">
        <v>300</v>
      </c>
      <c r="Z6" s="1">
        <v>14</v>
      </c>
      <c r="AA6" s="1">
        <v>88</v>
      </c>
      <c r="AB6" s="1"/>
      <c r="AC6" s="1"/>
      <c r="AD6" s="1"/>
      <c r="AE6" s="1" t="s">
        <v>2566</v>
      </c>
      <c r="AF6" s="1" t="s">
        <v>731</v>
      </c>
      <c r="AG6" s="1"/>
      <c r="AH6" s="1"/>
      <c r="AI6" s="1"/>
      <c r="AJ6" s="1"/>
      <c r="AK6" s="1"/>
      <c r="AL6" s="1" t="s">
        <v>167</v>
      </c>
      <c r="AM6" t="s">
        <v>2592</v>
      </c>
    </row>
    <row r="7" spans="1:39" ht="19" customHeight="1">
      <c r="A7" s="4">
        <v>147</v>
      </c>
      <c r="B7" s="4" t="s">
        <v>740</v>
      </c>
      <c r="C7" s="4">
        <v>1979</v>
      </c>
      <c r="D7" s="4" t="s">
        <v>741</v>
      </c>
      <c r="E7" s="4">
        <v>5.7</v>
      </c>
      <c r="F7" s="4">
        <v>9</v>
      </c>
      <c r="G7" s="4">
        <v>13.6</v>
      </c>
      <c r="H7" s="4">
        <v>1.46</v>
      </c>
      <c r="I7" s="4">
        <v>32</v>
      </c>
      <c r="J7" s="4">
        <v>139</v>
      </c>
      <c r="K7" s="4">
        <v>17</v>
      </c>
      <c r="L7" s="4">
        <v>0</v>
      </c>
      <c r="M7" s="4">
        <v>1</v>
      </c>
      <c r="N7" s="4" t="s">
        <v>730</v>
      </c>
      <c r="O7" s="1" t="s">
        <v>277</v>
      </c>
      <c r="P7" s="1" t="s">
        <v>2594</v>
      </c>
      <c r="Q7" s="1" t="s">
        <v>2595</v>
      </c>
      <c r="R7" s="1">
        <v>5.74</v>
      </c>
      <c r="S7" s="1" t="s">
        <v>1003</v>
      </c>
      <c r="T7" s="1">
        <v>37.064999999999998</v>
      </c>
      <c r="U7" s="1">
        <v>-121.49</v>
      </c>
      <c r="V7" s="1">
        <v>8</v>
      </c>
      <c r="W7" s="1" t="s">
        <v>730</v>
      </c>
      <c r="X7" s="1" t="s">
        <v>2571</v>
      </c>
      <c r="Y7" s="1">
        <v>336</v>
      </c>
      <c r="Z7" s="1">
        <v>80</v>
      </c>
      <c r="AA7" s="1">
        <v>176</v>
      </c>
      <c r="AB7" s="1"/>
      <c r="AC7" s="1"/>
      <c r="AD7" s="1"/>
      <c r="AE7" s="1" t="s">
        <v>2566</v>
      </c>
      <c r="AF7" s="1" t="s">
        <v>731</v>
      </c>
      <c r="AG7" s="1"/>
      <c r="AH7" s="1"/>
      <c r="AI7" s="1"/>
      <c r="AJ7" s="1"/>
      <c r="AK7" s="1"/>
      <c r="AL7" s="1" t="s">
        <v>167</v>
      </c>
      <c r="AM7" t="s">
        <v>2598</v>
      </c>
    </row>
    <row r="8" spans="1:39" ht="19" customHeight="1">
      <c r="A8" s="4">
        <v>148</v>
      </c>
      <c r="B8" s="4" t="s">
        <v>740</v>
      </c>
      <c r="C8" s="4">
        <v>1979</v>
      </c>
      <c r="D8" s="4" t="s">
        <v>742</v>
      </c>
      <c r="E8" s="4">
        <v>5.7</v>
      </c>
      <c r="F8" s="4">
        <v>7.4</v>
      </c>
      <c r="G8" s="4">
        <v>12.5</v>
      </c>
      <c r="H8" s="4">
        <v>1.1599999999999999</v>
      </c>
      <c r="I8" s="4">
        <v>30.8</v>
      </c>
      <c r="J8" s="4">
        <v>354</v>
      </c>
      <c r="K8" s="4">
        <v>18</v>
      </c>
      <c r="L8" s="4">
        <v>0</v>
      </c>
      <c r="M8" s="4">
        <v>1</v>
      </c>
      <c r="N8" s="4" t="s">
        <v>730</v>
      </c>
      <c r="O8" s="1" t="s">
        <v>277</v>
      </c>
      <c r="P8" s="1" t="s">
        <v>2594</v>
      </c>
      <c r="Q8" s="1" t="s">
        <v>2595</v>
      </c>
      <c r="R8" s="1">
        <v>5.74</v>
      </c>
      <c r="S8" s="1" t="s">
        <v>1003</v>
      </c>
      <c r="T8" s="1">
        <v>37.064999999999998</v>
      </c>
      <c r="U8" s="1">
        <v>-121.49</v>
      </c>
      <c r="V8" s="1">
        <v>8</v>
      </c>
      <c r="W8" s="1" t="s">
        <v>730</v>
      </c>
      <c r="X8" s="1" t="s">
        <v>2571</v>
      </c>
      <c r="Y8" s="1">
        <v>336</v>
      </c>
      <c r="Z8" s="1">
        <v>80</v>
      </c>
      <c r="AA8" s="1">
        <v>176</v>
      </c>
      <c r="AB8" s="1"/>
      <c r="AC8" s="1"/>
      <c r="AD8" s="1"/>
      <c r="AE8" s="1" t="s">
        <v>2566</v>
      </c>
      <c r="AF8" s="1" t="s">
        <v>731</v>
      </c>
      <c r="AG8" s="1"/>
      <c r="AH8" s="1"/>
      <c r="AI8" s="1"/>
      <c r="AJ8" s="1"/>
      <c r="AK8" s="1"/>
      <c r="AL8" s="1" t="s">
        <v>167</v>
      </c>
      <c r="AM8" t="s">
        <v>2598</v>
      </c>
    </row>
    <row r="9" spans="1:39" ht="19" customHeight="1">
      <c r="A9" s="4">
        <v>149</v>
      </c>
      <c r="B9" s="4" t="s">
        <v>740</v>
      </c>
      <c r="C9" s="4">
        <v>1979</v>
      </c>
      <c r="D9" s="4" t="s">
        <v>743</v>
      </c>
      <c r="E9" s="4">
        <v>5.7</v>
      </c>
      <c r="F9" s="4">
        <v>5.7</v>
      </c>
      <c r="G9" s="4">
        <v>11.1</v>
      </c>
      <c r="H9" s="4">
        <v>1.35</v>
      </c>
      <c r="I9" s="4">
        <v>32.1</v>
      </c>
      <c r="J9" s="4">
        <v>350</v>
      </c>
      <c r="K9" s="4">
        <v>14</v>
      </c>
      <c r="L9" s="4">
        <v>0</v>
      </c>
      <c r="M9" s="4">
        <v>1</v>
      </c>
      <c r="N9" s="4" t="s">
        <v>730</v>
      </c>
      <c r="O9" s="1" t="s">
        <v>277</v>
      </c>
      <c r="P9" s="1" t="s">
        <v>2594</v>
      </c>
      <c r="Q9" s="1" t="s">
        <v>2595</v>
      </c>
      <c r="R9" s="1">
        <v>5.74</v>
      </c>
      <c r="S9" s="1" t="s">
        <v>1003</v>
      </c>
      <c r="T9" s="1">
        <v>37.064999999999998</v>
      </c>
      <c r="U9" s="1">
        <v>-121.49</v>
      </c>
      <c r="V9" s="1">
        <v>8</v>
      </c>
      <c r="W9" s="1" t="s">
        <v>730</v>
      </c>
      <c r="X9" s="1" t="s">
        <v>2571</v>
      </c>
      <c r="Y9" s="1">
        <v>336</v>
      </c>
      <c r="Z9" s="1">
        <v>80</v>
      </c>
      <c r="AA9" s="1">
        <v>176</v>
      </c>
      <c r="AB9" s="1"/>
      <c r="AC9" s="1"/>
      <c r="AD9" s="1"/>
      <c r="AE9" s="1" t="s">
        <v>2566</v>
      </c>
      <c r="AF9" s="1" t="s">
        <v>731</v>
      </c>
      <c r="AG9" s="1"/>
      <c r="AH9" s="1"/>
      <c r="AI9" s="1"/>
      <c r="AJ9" s="1"/>
      <c r="AK9" s="1"/>
      <c r="AL9" s="1" t="s">
        <v>167</v>
      </c>
      <c r="AM9" t="s">
        <v>2598</v>
      </c>
    </row>
    <row r="10" spans="1:39" ht="19" customHeight="1">
      <c r="A10" s="4">
        <v>150</v>
      </c>
      <c r="B10" s="4" t="s">
        <v>740</v>
      </c>
      <c r="C10" s="4">
        <v>1979</v>
      </c>
      <c r="D10" s="4" t="s">
        <v>744</v>
      </c>
      <c r="E10" s="4">
        <v>5.7</v>
      </c>
      <c r="F10" s="4">
        <v>3.1</v>
      </c>
      <c r="G10" s="4">
        <v>9.1</v>
      </c>
      <c r="H10" s="4">
        <v>1.23</v>
      </c>
      <c r="I10" s="4">
        <v>49.6</v>
      </c>
      <c r="J10" s="4">
        <v>246</v>
      </c>
      <c r="K10" s="4">
        <v>90</v>
      </c>
      <c r="L10" s="4">
        <v>1</v>
      </c>
      <c r="M10" s="4">
        <v>1</v>
      </c>
      <c r="N10" s="4" t="s">
        <v>730</v>
      </c>
      <c r="O10" s="1" t="s">
        <v>277</v>
      </c>
      <c r="P10" s="1" t="s">
        <v>2594</v>
      </c>
      <c r="Q10" s="1" t="s">
        <v>2595</v>
      </c>
      <c r="R10" s="1">
        <v>5.74</v>
      </c>
      <c r="S10" s="1" t="s">
        <v>1003</v>
      </c>
      <c r="T10" s="1">
        <v>37.064999999999998</v>
      </c>
      <c r="U10" s="1">
        <v>-121.49</v>
      </c>
      <c r="V10" s="1">
        <v>8</v>
      </c>
      <c r="W10" s="1" t="s">
        <v>730</v>
      </c>
      <c r="X10" s="1" t="s">
        <v>2571</v>
      </c>
      <c r="Y10" s="1">
        <v>336</v>
      </c>
      <c r="Z10" s="1">
        <v>80</v>
      </c>
      <c r="AA10" s="1">
        <v>176</v>
      </c>
      <c r="AB10" s="1"/>
      <c r="AC10" s="1"/>
      <c r="AD10" s="1"/>
      <c r="AE10" s="1" t="s">
        <v>2566</v>
      </c>
      <c r="AF10" s="1" t="s">
        <v>731</v>
      </c>
      <c r="AG10" s="1"/>
      <c r="AH10" s="1"/>
      <c r="AI10" s="1"/>
      <c r="AJ10" s="1"/>
      <c r="AK10" s="1"/>
      <c r="AL10" s="1" t="s">
        <v>167</v>
      </c>
      <c r="AM10" t="s">
        <v>2598</v>
      </c>
    </row>
    <row r="11" spans="1:39" ht="19" customHeight="1">
      <c r="A11" s="4">
        <v>159</v>
      </c>
      <c r="B11" s="4" t="s">
        <v>745</v>
      </c>
      <c r="C11" s="4">
        <v>1979</v>
      </c>
      <c r="D11" s="4" t="s">
        <v>746</v>
      </c>
      <c r="E11" s="4">
        <v>6.5</v>
      </c>
      <c r="F11" s="4">
        <v>0.7</v>
      </c>
      <c r="G11" s="4">
        <v>10.3</v>
      </c>
      <c r="H11" s="4">
        <v>2.34</v>
      </c>
      <c r="I11" s="4">
        <v>53.5</v>
      </c>
      <c r="J11" s="4">
        <v>53</v>
      </c>
      <c r="K11" s="4">
        <v>90</v>
      </c>
      <c r="L11" s="4">
        <v>1</v>
      </c>
      <c r="M11" s="4">
        <v>1</v>
      </c>
      <c r="N11" s="4" t="s">
        <v>730</v>
      </c>
      <c r="O11" s="1" t="s">
        <v>285</v>
      </c>
      <c r="P11" s="1" t="s">
        <v>2599</v>
      </c>
      <c r="Q11" s="1" t="s">
        <v>2600</v>
      </c>
      <c r="R11" s="1">
        <v>6.53</v>
      </c>
      <c r="S11" s="1" t="s">
        <v>1003</v>
      </c>
      <c r="T11" s="1">
        <v>32.643999999999998</v>
      </c>
      <c r="U11" s="1">
        <v>-115.307</v>
      </c>
      <c r="V11" s="1">
        <v>9.9600000000000009</v>
      </c>
      <c r="W11" s="1" t="s">
        <v>730</v>
      </c>
      <c r="X11" s="1" t="s">
        <v>2571</v>
      </c>
      <c r="Y11" s="1">
        <v>323</v>
      </c>
      <c r="Z11" s="1">
        <v>80</v>
      </c>
      <c r="AA11" s="1">
        <v>180</v>
      </c>
      <c r="AB11" s="1"/>
      <c r="AC11" s="1"/>
      <c r="AD11" s="1"/>
      <c r="AE11" s="1" t="s">
        <v>2566</v>
      </c>
      <c r="AF11" s="1" t="s">
        <v>731</v>
      </c>
      <c r="AG11" s="1"/>
      <c r="AH11" s="1"/>
      <c r="AI11" s="1"/>
      <c r="AJ11" s="1"/>
      <c r="AK11" s="1"/>
      <c r="AL11" s="1" t="s">
        <v>167</v>
      </c>
      <c r="AM11" t="s">
        <v>2603</v>
      </c>
    </row>
    <row r="12" spans="1:39" ht="19" customHeight="1">
      <c r="A12" s="4">
        <v>161</v>
      </c>
      <c r="B12" s="4" t="s">
        <v>745</v>
      </c>
      <c r="C12" s="4">
        <v>1979</v>
      </c>
      <c r="D12" s="4" t="s">
        <v>747</v>
      </c>
      <c r="E12" s="4">
        <v>6.5</v>
      </c>
      <c r="F12" s="4">
        <v>10.4</v>
      </c>
      <c r="G12" s="4">
        <v>44.3</v>
      </c>
      <c r="H12" s="4">
        <v>4.4000000000000004</v>
      </c>
      <c r="I12" s="4">
        <v>36.700000000000003</v>
      </c>
      <c r="J12" s="4">
        <v>226</v>
      </c>
      <c r="K12" s="4">
        <v>83</v>
      </c>
      <c r="L12" s="4">
        <v>1</v>
      </c>
      <c r="M12" s="4">
        <v>1</v>
      </c>
      <c r="N12" s="4" t="s">
        <v>730</v>
      </c>
      <c r="O12" s="1" t="s">
        <v>285</v>
      </c>
      <c r="P12" s="1" t="s">
        <v>2599</v>
      </c>
      <c r="Q12" s="1" t="s">
        <v>2600</v>
      </c>
      <c r="R12" s="1">
        <v>6.53</v>
      </c>
      <c r="S12" s="1" t="s">
        <v>1003</v>
      </c>
      <c r="T12" s="1">
        <v>32.643999999999998</v>
      </c>
      <c r="U12" s="1">
        <v>-115.307</v>
      </c>
      <c r="V12" s="1">
        <v>9.9600000000000009</v>
      </c>
      <c r="W12" s="1" t="s">
        <v>730</v>
      </c>
      <c r="X12" s="1" t="s">
        <v>2571</v>
      </c>
      <c r="Y12" s="1">
        <v>323</v>
      </c>
      <c r="Z12" s="1">
        <v>80</v>
      </c>
      <c r="AA12" s="1">
        <v>180</v>
      </c>
      <c r="AB12" s="1"/>
      <c r="AC12" s="1"/>
      <c r="AD12" s="1"/>
      <c r="AE12" s="1" t="s">
        <v>2566</v>
      </c>
      <c r="AF12" s="1" t="s">
        <v>731</v>
      </c>
      <c r="AG12" s="1"/>
      <c r="AH12" s="1"/>
      <c r="AI12" s="1"/>
      <c r="AJ12" s="1"/>
      <c r="AK12" s="1"/>
      <c r="AL12" s="1" t="s">
        <v>167</v>
      </c>
      <c r="AM12" t="s">
        <v>2603</v>
      </c>
    </row>
    <row r="13" spans="1:39" ht="19" customHeight="1">
      <c r="A13" s="4">
        <v>170</v>
      </c>
      <c r="B13" s="4" t="s">
        <v>745</v>
      </c>
      <c r="C13" s="4">
        <v>1979</v>
      </c>
      <c r="D13" s="4" t="s">
        <v>748</v>
      </c>
      <c r="E13" s="4">
        <v>6.5</v>
      </c>
      <c r="F13" s="4">
        <v>7.3</v>
      </c>
      <c r="G13" s="4">
        <v>30.7</v>
      </c>
      <c r="H13" s="4">
        <v>4.42</v>
      </c>
      <c r="I13" s="4">
        <v>70.8</v>
      </c>
      <c r="J13" s="4">
        <v>75</v>
      </c>
      <c r="K13" s="4">
        <v>68</v>
      </c>
      <c r="L13" s="4">
        <v>1</v>
      </c>
      <c r="M13" s="4">
        <v>1</v>
      </c>
      <c r="N13" s="4" t="s">
        <v>730</v>
      </c>
      <c r="O13" s="1" t="s">
        <v>285</v>
      </c>
      <c r="P13" s="1" t="s">
        <v>2599</v>
      </c>
      <c r="Q13" s="1" t="s">
        <v>2600</v>
      </c>
      <c r="R13" s="1">
        <v>6.53</v>
      </c>
      <c r="S13" s="1" t="s">
        <v>1003</v>
      </c>
      <c r="T13" s="1">
        <v>32.643999999999998</v>
      </c>
      <c r="U13" s="1">
        <v>-115.307</v>
      </c>
      <c r="V13" s="1">
        <v>9.9600000000000009</v>
      </c>
      <c r="W13" s="1" t="s">
        <v>730</v>
      </c>
      <c r="X13" s="1" t="s">
        <v>2571</v>
      </c>
      <c r="Y13" s="1">
        <v>323</v>
      </c>
      <c r="Z13" s="1">
        <v>80</v>
      </c>
      <c r="AA13" s="1">
        <v>180</v>
      </c>
      <c r="AB13" s="1"/>
      <c r="AC13" s="1"/>
      <c r="AD13" s="1"/>
      <c r="AE13" s="1" t="s">
        <v>2566</v>
      </c>
      <c r="AF13" s="1" t="s">
        <v>731</v>
      </c>
      <c r="AG13" s="1"/>
      <c r="AH13" s="1"/>
      <c r="AI13" s="1"/>
      <c r="AJ13" s="1"/>
      <c r="AK13" s="1"/>
      <c r="AL13" s="1" t="s">
        <v>167</v>
      </c>
      <c r="AM13" t="s">
        <v>2603</v>
      </c>
    </row>
    <row r="14" spans="1:39" ht="19" customHeight="1">
      <c r="A14" s="4">
        <v>171</v>
      </c>
      <c r="B14" s="4" t="s">
        <v>745</v>
      </c>
      <c r="C14" s="4">
        <v>1979</v>
      </c>
      <c r="D14" s="4" t="s">
        <v>749</v>
      </c>
      <c r="E14" s="4">
        <v>6.5</v>
      </c>
      <c r="F14" s="4">
        <v>0.1</v>
      </c>
      <c r="G14" s="4">
        <v>21.8</v>
      </c>
      <c r="H14" s="4">
        <v>3.42</v>
      </c>
      <c r="I14" s="4">
        <v>116.4</v>
      </c>
      <c r="J14" s="4">
        <v>59</v>
      </c>
      <c r="K14" s="4">
        <v>84</v>
      </c>
      <c r="L14" s="4">
        <v>1</v>
      </c>
      <c r="M14" s="4">
        <v>1</v>
      </c>
      <c r="N14" s="4" t="s">
        <v>730</v>
      </c>
      <c r="O14" s="1" t="s">
        <v>285</v>
      </c>
      <c r="P14" s="1" t="s">
        <v>2599</v>
      </c>
      <c r="Q14" s="1" t="s">
        <v>2600</v>
      </c>
      <c r="R14" s="1">
        <v>6.53</v>
      </c>
      <c r="S14" s="1" t="s">
        <v>1003</v>
      </c>
      <c r="T14" s="1">
        <v>32.643999999999998</v>
      </c>
      <c r="U14" s="1">
        <v>-115.307</v>
      </c>
      <c r="V14" s="1">
        <v>9.9600000000000009</v>
      </c>
      <c r="W14" s="1" t="s">
        <v>730</v>
      </c>
      <c r="X14" s="1" t="s">
        <v>2571</v>
      </c>
      <c r="Y14" s="1">
        <v>323</v>
      </c>
      <c r="Z14" s="1">
        <v>80</v>
      </c>
      <c r="AA14" s="1">
        <v>180</v>
      </c>
      <c r="AB14" s="1"/>
      <c r="AC14" s="1"/>
      <c r="AD14" s="1"/>
      <c r="AE14" s="1" t="s">
        <v>2566</v>
      </c>
      <c r="AF14" s="1" t="s">
        <v>731</v>
      </c>
      <c r="AG14" s="1"/>
      <c r="AH14" s="1"/>
      <c r="AI14" s="1"/>
      <c r="AJ14" s="1"/>
      <c r="AK14" s="1"/>
      <c r="AL14" s="1" t="s">
        <v>167</v>
      </c>
      <c r="AM14" t="s">
        <v>2603</v>
      </c>
    </row>
    <row r="15" spans="1:39" ht="19" customHeight="1">
      <c r="A15" s="4">
        <v>173</v>
      </c>
      <c r="B15" s="4" t="s">
        <v>745</v>
      </c>
      <c r="C15" s="4">
        <v>1979</v>
      </c>
      <c r="D15" s="4" t="s">
        <v>750</v>
      </c>
      <c r="E15" s="4">
        <v>6.5</v>
      </c>
      <c r="F15" s="4">
        <v>8.6</v>
      </c>
      <c r="G15" s="4">
        <v>30.5</v>
      </c>
      <c r="H15" s="4">
        <v>4.5199999999999996</v>
      </c>
      <c r="I15" s="4">
        <v>55.2</v>
      </c>
      <c r="J15" s="4">
        <v>79</v>
      </c>
      <c r="K15" s="4">
        <v>64</v>
      </c>
      <c r="L15" s="4">
        <v>1</v>
      </c>
      <c r="M15" s="4">
        <v>1</v>
      </c>
      <c r="N15" s="4" t="s">
        <v>730</v>
      </c>
      <c r="O15" s="1" t="s">
        <v>285</v>
      </c>
      <c r="P15" s="1" t="s">
        <v>2599</v>
      </c>
      <c r="Q15" s="1" t="s">
        <v>2600</v>
      </c>
      <c r="R15" s="1">
        <v>6.53</v>
      </c>
      <c r="S15" s="1" t="s">
        <v>1003</v>
      </c>
      <c r="T15" s="1">
        <v>32.643999999999998</v>
      </c>
      <c r="U15" s="1">
        <v>-115.307</v>
      </c>
      <c r="V15" s="1">
        <v>9.9600000000000009</v>
      </c>
      <c r="W15" s="1" t="s">
        <v>730</v>
      </c>
      <c r="X15" s="1" t="s">
        <v>2571</v>
      </c>
      <c r="Y15" s="1">
        <v>323</v>
      </c>
      <c r="Z15" s="1">
        <v>80</v>
      </c>
      <c r="AA15" s="1">
        <v>180</v>
      </c>
      <c r="AB15" s="1"/>
      <c r="AC15" s="1"/>
      <c r="AD15" s="1"/>
      <c r="AE15" s="1" t="s">
        <v>2566</v>
      </c>
      <c r="AF15" s="1" t="s">
        <v>731</v>
      </c>
      <c r="AG15" s="1"/>
      <c r="AH15" s="1"/>
      <c r="AI15" s="1"/>
      <c r="AJ15" s="1"/>
      <c r="AK15" s="1"/>
      <c r="AL15" s="1" t="s">
        <v>167</v>
      </c>
      <c r="AM15" t="s">
        <v>2603</v>
      </c>
    </row>
    <row r="16" spans="1:39" ht="19" customHeight="1">
      <c r="A16" s="4">
        <v>178</v>
      </c>
      <c r="B16" s="4" t="s">
        <v>745</v>
      </c>
      <c r="C16" s="4">
        <v>1979</v>
      </c>
      <c r="D16" s="4" t="s">
        <v>751</v>
      </c>
      <c r="E16" s="4">
        <v>6.5</v>
      </c>
      <c r="F16" s="4">
        <v>12.9</v>
      </c>
      <c r="G16" s="4">
        <v>30.3</v>
      </c>
      <c r="H16" s="4">
        <v>4.5</v>
      </c>
      <c r="I16" s="4">
        <v>55.8</v>
      </c>
      <c r="J16" s="4">
        <v>86</v>
      </c>
      <c r="K16" s="4">
        <v>57</v>
      </c>
      <c r="L16" s="4">
        <v>1</v>
      </c>
      <c r="M16" s="4">
        <v>1</v>
      </c>
      <c r="N16" s="4" t="s">
        <v>730</v>
      </c>
      <c r="O16" s="1" t="s">
        <v>285</v>
      </c>
      <c r="P16" s="1" t="s">
        <v>2599</v>
      </c>
      <c r="Q16" s="1" t="s">
        <v>2600</v>
      </c>
      <c r="R16" s="1">
        <v>6.53</v>
      </c>
      <c r="S16" s="1" t="s">
        <v>1003</v>
      </c>
      <c r="T16" s="1">
        <v>32.643999999999998</v>
      </c>
      <c r="U16" s="1">
        <v>-115.307</v>
      </c>
      <c r="V16" s="1">
        <v>9.9600000000000009</v>
      </c>
      <c r="W16" s="1" t="s">
        <v>730</v>
      </c>
      <c r="X16" s="1" t="s">
        <v>2571</v>
      </c>
      <c r="Y16" s="1">
        <v>323</v>
      </c>
      <c r="Z16" s="1">
        <v>80</v>
      </c>
      <c r="AA16" s="1">
        <v>180</v>
      </c>
      <c r="AB16" s="1"/>
      <c r="AC16" s="1"/>
      <c r="AD16" s="1"/>
      <c r="AE16" s="1" t="s">
        <v>2566</v>
      </c>
      <c r="AF16" s="1" t="s">
        <v>731</v>
      </c>
      <c r="AG16" s="1"/>
      <c r="AH16" s="1"/>
      <c r="AI16" s="1"/>
      <c r="AJ16" s="1"/>
      <c r="AK16" s="1"/>
      <c r="AL16" s="1" t="s">
        <v>167</v>
      </c>
      <c r="AM16" t="s">
        <v>2603</v>
      </c>
    </row>
    <row r="17" spans="1:39" ht="19" customHeight="1">
      <c r="A17" s="4">
        <v>179</v>
      </c>
      <c r="B17" s="4" t="s">
        <v>745</v>
      </c>
      <c r="C17" s="4">
        <v>1979</v>
      </c>
      <c r="D17" s="4" t="s">
        <v>752</v>
      </c>
      <c r="E17" s="4">
        <v>6.5</v>
      </c>
      <c r="F17" s="4">
        <v>7</v>
      </c>
      <c r="G17" s="4">
        <v>28.9</v>
      </c>
      <c r="H17" s="4">
        <v>4.79</v>
      </c>
      <c r="I17" s="4">
        <v>80.8</v>
      </c>
      <c r="J17" s="4">
        <v>229</v>
      </c>
      <c r="K17" s="4">
        <v>86</v>
      </c>
      <c r="L17" s="4">
        <v>1</v>
      </c>
      <c r="M17" s="4">
        <v>1</v>
      </c>
      <c r="N17" s="4" t="s">
        <v>730</v>
      </c>
      <c r="O17" s="1" t="s">
        <v>285</v>
      </c>
      <c r="P17" s="1" t="s">
        <v>2599</v>
      </c>
      <c r="Q17" s="1" t="s">
        <v>2600</v>
      </c>
      <c r="R17" s="1">
        <v>6.53</v>
      </c>
      <c r="S17" s="1" t="s">
        <v>1003</v>
      </c>
      <c r="T17" s="1">
        <v>32.643999999999998</v>
      </c>
      <c r="U17" s="1">
        <v>-115.307</v>
      </c>
      <c r="V17" s="1">
        <v>9.9600000000000009</v>
      </c>
      <c r="W17" s="1" t="s">
        <v>730</v>
      </c>
      <c r="X17" s="1" t="s">
        <v>2571</v>
      </c>
      <c r="Y17" s="1">
        <v>323</v>
      </c>
      <c r="Z17" s="1">
        <v>80</v>
      </c>
      <c r="AA17" s="1">
        <v>180</v>
      </c>
      <c r="AB17" s="1"/>
      <c r="AC17" s="1"/>
      <c r="AD17" s="1"/>
      <c r="AE17" s="1" t="s">
        <v>2566</v>
      </c>
      <c r="AF17" s="1" t="s">
        <v>731</v>
      </c>
      <c r="AG17" s="1"/>
      <c r="AH17" s="1"/>
      <c r="AI17" s="1"/>
      <c r="AJ17" s="1"/>
      <c r="AK17" s="1"/>
      <c r="AL17" s="1" t="s">
        <v>167</v>
      </c>
      <c r="AM17" t="s">
        <v>2603</v>
      </c>
    </row>
    <row r="18" spans="1:39" ht="19" customHeight="1">
      <c r="A18" s="4">
        <v>180</v>
      </c>
      <c r="B18" s="4" t="s">
        <v>745</v>
      </c>
      <c r="C18" s="4">
        <v>1979</v>
      </c>
      <c r="D18" s="4" t="s">
        <v>753</v>
      </c>
      <c r="E18" s="4">
        <v>6.5</v>
      </c>
      <c r="F18" s="4">
        <v>4</v>
      </c>
      <c r="G18" s="4">
        <v>29.5</v>
      </c>
      <c r="H18" s="4">
        <v>4.13</v>
      </c>
      <c r="I18" s="4">
        <v>96.5</v>
      </c>
      <c r="J18" s="4">
        <v>228</v>
      </c>
      <c r="K18" s="4">
        <v>85</v>
      </c>
      <c r="L18" s="4">
        <v>1</v>
      </c>
      <c r="M18" s="4">
        <v>1</v>
      </c>
      <c r="N18" s="4" t="s">
        <v>730</v>
      </c>
      <c r="O18" s="1" t="s">
        <v>285</v>
      </c>
      <c r="P18" s="1" t="s">
        <v>2599</v>
      </c>
      <c r="Q18" s="1" t="s">
        <v>2600</v>
      </c>
      <c r="R18" s="1">
        <v>6.53</v>
      </c>
      <c r="S18" s="1" t="s">
        <v>1003</v>
      </c>
      <c r="T18" s="1">
        <v>32.643999999999998</v>
      </c>
      <c r="U18" s="1">
        <v>-115.307</v>
      </c>
      <c r="V18" s="1">
        <v>9.9600000000000009</v>
      </c>
      <c r="W18" s="1" t="s">
        <v>730</v>
      </c>
      <c r="X18" s="1" t="s">
        <v>2571</v>
      </c>
      <c r="Y18" s="1">
        <v>323</v>
      </c>
      <c r="Z18" s="1">
        <v>80</v>
      </c>
      <c r="AA18" s="1">
        <v>180</v>
      </c>
      <c r="AB18" s="1"/>
      <c r="AC18" s="1"/>
      <c r="AD18" s="1"/>
      <c r="AE18" s="1" t="s">
        <v>2566</v>
      </c>
      <c r="AF18" s="1" t="s">
        <v>731</v>
      </c>
      <c r="AG18" s="1"/>
      <c r="AH18" s="1"/>
      <c r="AI18" s="1"/>
      <c r="AJ18" s="1"/>
      <c r="AK18" s="1"/>
      <c r="AL18" s="1" t="s">
        <v>167</v>
      </c>
      <c r="AM18" t="s">
        <v>2603</v>
      </c>
    </row>
    <row r="19" spans="1:39" ht="19" customHeight="1">
      <c r="A19" s="4">
        <v>181</v>
      </c>
      <c r="B19" s="4" t="s">
        <v>745</v>
      </c>
      <c r="C19" s="4">
        <v>1979</v>
      </c>
      <c r="D19" s="4" t="s">
        <v>754</v>
      </c>
      <c r="E19" s="4">
        <v>6.5</v>
      </c>
      <c r="F19" s="4">
        <v>1.4</v>
      </c>
      <c r="G19" s="4">
        <v>29.2</v>
      </c>
      <c r="H19" s="4">
        <v>3.77</v>
      </c>
      <c r="I19" s="4">
        <v>121.6</v>
      </c>
      <c r="J19" s="4">
        <v>71</v>
      </c>
      <c r="K19" s="4">
        <v>72</v>
      </c>
      <c r="L19" s="4">
        <v>1</v>
      </c>
      <c r="M19" s="4">
        <v>1</v>
      </c>
      <c r="N19" s="4" t="s">
        <v>730</v>
      </c>
      <c r="O19" s="1" t="s">
        <v>285</v>
      </c>
      <c r="P19" s="1" t="s">
        <v>2599</v>
      </c>
      <c r="Q19" s="1" t="s">
        <v>2600</v>
      </c>
      <c r="R19" s="1">
        <v>6.53</v>
      </c>
      <c r="S19" s="1" t="s">
        <v>1003</v>
      </c>
      <c r="T19" s="1">
        <v>32.643999999999998</v>
      </c>
      <c r="U19" s="1">
        <v>-115.307</v>
      </c>
      <c r="V19" s="1">
        <v>9.9600000000000009</v>
      </c>
      <c r="W19" s="1" t="s">
        <v>730</v>
      </c>
      <c r="X19" s="1" t="s">
        <v>2571</v>
      </c>
      <c r="Y19" s="1">
        <v>323</v>
      </c>
      <c r="Z19" s="1">
        <v>80</v>
      </c>
      <c r="AA19" s="1">
        <v>180</v>
      </c>
      <c r="AB19" s="1"/>
      <c r="AC19" s="1"/>
      <c r="AD19" s="1"/>
      <c r="AE19" s="1" t="s">
        <v>2566</v>
      </c>
      <c r="AF19" s="1" t="s">
        <v>731</v>
      </c>
      <c r="AG19" s="1"/>
      <c r="AH19" s="1"/>
      <c r="AI19" s="1"/>
      <c r="AJ19" s="1"/>
      <c r="AK19" s="1"/>
      <c r="AL19" s="1" t="s">
        <v>167</v>
      </c>
      <c r="AM19" t="s">
        <v>2603</v>
      </c>
    </row>
    <row r="20" spans="1:39" ht="19" customHeight="1">
      <c r="A20" s="4">
        <v>182</v>
      </c>
      <c r="B20" s="4" t="s">
        <v>745</v>
      </c>
      <c r="C20" s="4">
        <v>1979</v>
      </c>
      <c r="D20" s="4" t="s">
        <v>755</v>
      </c>
      <c r="E20" s="4">
        <v>6.5</v>
      </c>
      <c r="F20" s="4">
        <v>0.6</v>
      </c>
      <c r="G20" s="4">
        <v>29.4</v>
      </c>
      <c r="H20" s="4">
        <v>4.38</v>
      </c>
      <c r="I20" s="4">
        <v>111.9</v>
      </c>
      <c r="J20" s="4">
        <v>56</v>
      </c>
      <c r="K20" s="4">
        <v>87</v>
      </c>
      <c r="L20" s="4">
        <v>1</v>
      </c>
      <c r="M20" s="4">
        <v>1</v>
      </c>
      <c r="N20" s="4" t="s">
        <v>730</v>
      </c>
      <c r="O20" s="1" t="s">
        <v>285</v>
      </c>
      <c r="P20" s="1" t="s">
        <v>2599</v>
      </c>
      <c r="Q20" s="1" t="s">
        <v>2600</v>
      </c>
      <c r="R20" s="1">
        <v>6.53</v>
      </c>
      <c r="S20" s="1" t="s">
        <v>1003</v>
      </c>
      <c r="T20" s="1">
        <v>32.643999999999998</v>
      </c>
      <c r="U20" s="1">
        <v>-115.307</v>
      </c>
      <c r="V20" s="1">
        <v>9.9600000000000009</v>
      </c>
      <c r="W20" s="1" t="s">
        <v>730</v>
      </c>
      <c r="X20" s="1" t="s">
        <v>2571</v>
      </c>
      <c r="Y20" s="1">
        <v>323</v>
      </c>
      <c r="Z20" s="1">
        <v>80</v>
      </c>
      <c r="AA20" s="1">
        <v>180</v>
      </c>
      <c r="AB20" s="1"/>
      <c r="AC20" s="1"/>
      <c r="AD20" s="1"/>
      <c r="AE20" s="1" t="s">
        <v>2566</v>
      </c>
      <c r="AF20" s="1" t="s">
        <v>731</v>
      </c>
      <c r="AG20" s="1"/>
      <c r="AH20" s="1"/>
      <c r="AI20" s="1"/>
      <c r="AJ20" s="1"/>
      <c r="AK20" s="1"/>
      <c r="AL20" s="1" t="s">
        <v>167</v>
      </c>
      <c r="AM20" t="s">
        <v>2603</v>
      </c>
    </row>
    <row r="21" spans="1:39" ht="19" customHeight="1">
      <c r="A21" s="4">
        <v>184</v>
      </c>
      <c r="B21" s="4" t="s">
        <v>745</v>
      </c>
      <c r="C21" s="4">
        <v>1979</v>
      </c>
      <c r="D21" s="4" t="s">
        <v>756</v>
      </c>
      <c r="E21" s="4">
        <v>6.5</v>
      </c>
      <c r="F21" s="4">
        <v>5.0999999999999996</v>
      </c>
      <c r="G21" s="4">
        <v>29</v>
      </c>
      <c r="H21" s="4">
        <v>6.27</v>
      </c>
      <c r="I21" s="4">
        <v>73.5</v>
      </c>
      <c r="J21" s="4">
        <v>253</v>
      </c>
      <c r="K21" s="4">
        <v>70</v>
      </c>
      <c r="L21" s="4">
        <v>1</v>
      </c>
      <c r="M21" s="4">
        <v>1</v>
      </c>
      <c r="N21" s="4" t="s">
        <v>730</v>
      </c>
      <c r="O21" s="1" t="s">
        <v>285</v>
      </c>
      <c r="P21" s="1" t="s">
        <v>2599</v>
      </c>
      <c r="Q21" s="1" t="s">
        <v>2600</v>
      </c>
      <c r="R21" s="1">
        <v>6.53</v>
      </c>
      <c r="S21" s="1" t="s">
        <v>1003</v>
      </c>
      <c r="T21" s="1">
        <v>32.643999999999998</v>
      </c>
      <c r="U21" s="1">
        <v>-115.307</v>
      </c>
      <c r="V21" s="1">
        <v>9.9600000000000009</v>
      </c>
      <c r="W21" s="1" t="s">
        <v>730</v>
      </c>
      <c r="X21" s="1" t="s">
        <v>2571</v>
      </c>
      <c r="Y21" s="1">
        <v>323</v>
      </c>
      <c r="Z21" s="1">
        <v>80</v>
      </c>
      <c r="AA21" s="1">
        <v>180</v>
      </c>
      <c r="AB21" s="1"/>
      <c r="AC21" s="1"/>
      <c r="AD21" s="1"/>
      <c r="AE21" s="1" t="s">
        <v>2566</v>
      </c>
      <c r="AF21" s="1" t="s">
        <v>731</v>
      </c>
      <c r="AG21" s="1"/>
      <c r="AH21" s="1"/>
      <c r="AI21" s="1"/>
      <c r="AJ21" s="1"/>
      <c r="AK21" s="1"/>
      <c r="AL21" s="1" t="s">
        <v>167</v>
      </c>
      <c r="AM21" t="s">
        <v>2603</v>
      </c>
    </row>
    <row r="22" spans="1:39" ht="19" customHeight="1">
      <c r="A22" s="4">
        <v>185</v>
      </c>
      <c r="B22" s="4" t="s">
        <v>745</v>
      </c>
      <c r="C22" s="4">
        <v>1979</v>
      </c>
      <c r="D22" s="4" t="s">
        <v>757</v>
      </c>
      <c r="E22" s="4">
        <v>6.5</v>
      </c>
      <c r="F22" s="4">
        <v>7.5</v>
      </c>
      <c r="G22" s="4">
        <v>22.2</v>
      </c>
      <c r="H22" s="4">
        <v>4.82</v>
      </c>
      <c r="I22" s="4">
        <v>73.400000000000006</v>
      </c>
      <c r="J22" s="4">
        <v>263</v>
      </c>
      <c r="K22" s="4">
        <v>60</v>
      </c>
      <c r="L22" s="4">
        <v>1</v>
      </c>
      <c r="M22" s="4">
        <v>1</v>
      </c>
      <c r="N22" s="4" t="s">
        <v>730</v>
      </c>
      <c r="O22" s="1" t="s">
        <v>285</v>
      </c>
      <c r="P22" s="1" t="s">
        <v>2599</v>
      </c>
      <c r="Q22" s="1" t="s">
        <v>2600</v>
      </c>
      <c r="R22" s="1">
        <v>6.53</v>
      </c>
      <c r="S22" s="1" t="s">
        <v>1003</v>
      </c>
      <c r="T22" s="1">
        <v>32.643999999999998</v>
      </c>
      <c r="U22" s="1">
        <v>-115.307</v>
      </c>
      <c r="V22" s="1">
        <v>9.9600000000000009</v>
      </c>
      <c r="W22" s="1" t="s">
        <v>730</v>
      </c>
      <c r="X22" s="1" t="s">
        <v>2571</v>
      </c>
      <c r="Y22" s="1">
        <v>323</v>
      </c>
      <c r="Z22" s="1">
        <v>80</v>
      </c>
      <c r="AA22" s="1">
        <v>180</v>
      </c>
      <c r="AB22" s="1"/>
      <c r="AC22" s="1"/>
      <c r="AD22" s="1"/>
      <c r="AE22" s="1" t="s">
        <v>2566</v>
      </c>
      <c r="AF22" s="1" t="s">
        <v>731</v>
      </c>
      <c r="AG22" s="1"/>
      <c r="AH22" s="1"/>
      <c r="AI22" s="1"/>
      <c r="AJ22" s="1"/>
      <c r="AK22" s="1"/>
      <c r="AL22" s="1" t="s">
        <v>167</v>
      </c>
      <c r="AM22" t="s">
        <v>2603</v>
      </c>
    </row>
    <row r="23" spans="1:39" ht="19" customHeight="1">
      <c r="A23" s="4">
        <v>204</v>
      </c>
      <c r="B23" s="4" t="s">
        <v>293</v>
      </c>
      <c r="C23" s="4">
        <v>1979</v>
      </c>
      <c r="D23" s="4" t="s">
        <v>754</v>
      </c>
      <c r="E23" s="4">
        <v>5</v>
      </c>
      <c r="F23" s="4">
        <v>10.4</v>
      </c>
      <c r="G23" s="4">
        <v>13.2</v>
      </c>
      <c r="H23" s="4">
        <v>0.69</v>
      </c>
      <c r="I23" s="4">
        <v>26</v>
      </c>
      <c r="J23" s="4">
        <v>217</v>
      </c>
      <c r="K23" s="4">
        <v>77</v>
      </c>
      <c r="L23" s="4">
        <v>1</v>
      </c>
      <c r="M23" s="4">
        <v>0</v>
      </c>
      <c r="N23" s="4" t="s">
        <v>730</v>
      </c>
      <c r="O23" s="1" t="s">
        <v>292</v>
      </c>
      <c r="P23" s="1" t="s">
        <v>2599</v>
      </c>
      <c r="Q23" s="1" t="s">
        <v>2605</v>
      </c>
      <c r="R23" s="1">
        <v>5.01</v>
      </c>
      <c r="S23" s="1" t="s">
        <v>1003</v>
      </c>
      <c r="T23" s="1">
        <v>32.7667</v>
      </c>
      <c r="U23" s="1">
        <v>-115.4413</v>
      </c>
      <c r="V23" s="1">
        <v>9.5</v>
      </c>
      <c r="W23" s="1" t="s">
        <v>730</v>
      </c>
      <c r="X23" s="1" t="s">
        <v>2571</v>
      </c>
      <c r="Y23" s="1">
        <v>319.89999999999998</v>
      </c>
      <c r="Z23" s="1">
        <v>90</v>
      </c>
      <c r="AA23" s="1">
        <v>180</v>
      </c>
      <c r="AB23" s="1"/>
      <c r="AC23" s="1"/>
      <c r="AD23" s="1"/>
      <c r="AE23" s="1" t="s">
        <v>2566</v>
      </c>
      <c r="AF23" s="1" t="s">
        <v>731</v>
      </c>
      <c r="AG23" s="1"/>
      <c r="AH23" s="1"/>
      <c r="AI23" s="1"/>
      <c r="AJ23" s="1"/>
      <c r="AK23" s="1"/>
      <c r="AL23" s="1" t="s">
        <v>167</v>
      </c>
      <c r="AM23" t="s">
        <v>2607</v>
      </c>
    </row>
    <row r="24" spans="1:39" ht="19" customHeight="1">
      <c r="A24" s="4">
        <v>285</v>
      </c>
      <c r="B24" s="4" t="s">
        <v>758</v>
      </c>
      <c r="C24" s="4">
        <v>1980</v>
      </c>
      <c r="D24" s="4" t="s">
        <v>759</v>
      </c>
      <c r="E24" s="4">
        <v>6.9</v>
      </c>
      <c r="F24" s="4">
        <v>8.1999999999999993</v>
      </c>
      <c r="G24" s="4">
        <v>24.6</v>
      </c>
      <c r="H24" s="4">
        <v>1.71</v>
      </c>
      <c r="I24" s="4">
        <v>38.1</v>
      </c>
      <c r="J24" s="4">
        <v>72</v>
      </c>
      <c r="K24" s="4">
        <v>61</v>
      </c>
      <c r="L24" s="4">
        <v>1</v>
      </c>
      <c r="M24" s="4">
        <v>1</v>
      </c>
      <c r="N24" s="4" t="s">
        <v>760</v>
      </c>
      <c r="O24" s="1" t="s">
        <v>305</v>
      </c>
      <c r="P24" s="1" t="s">
        <v>2609</v>
      </c>
      <c r="Q24" s="1" t="s">
        <v>2610</v>
      </c>
      <c r="R24" s="1">
        <v>6.9</v>
      </c>
      <c r="S24" s="1" t="s">
        <v>1003</v>
      </c>
      <c r="T24" s="1">
        <v>40.805900000000001</v>
      </c>
      <c r="U24" s="1">
        <v>15.337199999999999</v>
      </c>
      <c r="V24" s="1">
        <v>9.5</v>
      </c>
      <c r="W24" s="1" t="s">
        <v>760</v>
      </c>
      <c r="X24" s="1" t="s">
        <v>2571</v>
      </c>
      <c r="Y24" s="1">
        <v>312.8</v>
      </c>
      <c r="Z24" s="1">
        <v>60</v>
      </c>
      <c r="AA24" s="1">
        <v>-90</v>
      </c>
      <c r="AB24" s="1"/>
      <c r="AC24" s="1"/>
      <c r="AD24" s="1"/>
      <c r="AE24" s="1" t="s">
        <v>2566</v>
      </c>
      <c r="AF24" s="1" t="s">
        <v>731</v>
      </c>
      <c r="AG24" s="1"/>
      <c r="AH24" s="1"/>
      <c r="AI24" s="1"/>
      <c r="AJ24" s="1"/>
      <c r="AK24" s="1"/>
      <c r="AL24" s="1" t="s">
        <v>167</v>
      </c>
      <c r="AM24" t="s">
        <v>2612</v>
      </c>
    </row>
    <row r="25" spans="1:39" ht="19" customHeight="1">
      <c r="A25" s="4">
        <v>292</v>
      </c>
      <c r="B25" s="4" t="s">
        <v>758</v>
      </c>
      <c r="C25" s="4">
        <v>1980</v>
      </c>
      <c r="D25" s="4" t="s">
        <v>761</v>
      </c>
      <c r="E25" s="4">
        <v>6.9</v>
      </c>
      <c r="F25" s="4">
        <v>10.8</v>
      </c>
      <c r="G25" s="4">
        <v>31.8</v>
      </c>
      <c r="H25" s="4">
        <v>3.27</v>
      </c>
      <c r="I25" s="4">
        <v>71.099999999999994</v>
      </c>
      <c r="J25" s="4">
        <v>87</v>
      </c>
      <c r="K25" s="4">
        <v>46</v>
      </c>
      <c r="L25" s="4">
        <v>0</v>
      </c>
      <c r="M25" s="4">
        <v>1</v>
      </c>
      <c r="N25" s="4" t="s">
        <v>760</v>
      </c>
      <c r="O25" s="1" t="s">
        <v>305</v>
      </c>
      <c r="P25" s="1" t="s">
        <v>2609</v>
      </c>
      <c r="Q25" s="1" t="s">
        <v>2610</v>
      </c>
      <c r="R25" s="1">
        <v>6.9</v>
      </c>
      <c r="S25" s="1" t="s">
        <v>1003</v>
      </c>
      <c r="T25" s="1">
        <v>40.805900000000001</v>
      </c>
      <c r="U25" s="1">
        <v>15.337199999999999</v>
      </c>
      <c r="V25" s="1">
        <v>9.5</v>
      </c>
      <c r="W25" s="1" t="s">
        <v>760</v>
      </c>
      <c r="X25" s="1" t="s">
        <v>2571</v>
      </c>
      <c r="Y25" s="1">
        <v>312.8</v>
      </c>
      <c r="Z25" s="1">
        <v>60</v>
      </c>
      <c r="AA25" s="1">
        <v>-90</v>
      </c>
      <c r="AB25" s="1"/>
      <c r="AC25" s="1"/>
      <c r="AD25" s="1"/>
      <c r="AE25" s="1" t="s">
        <v>2566</v>
      </c>
      <c r="AF25" s="1" t="s">
        <v>731</v>
      </c>
      <c r="AG25" s="1"/>
      <c r="AH25" s="1"/>
      <c r="AI25" s="1"/>
      <c r="AJ25" s="1"/>
      <c r="AK25" s="1"/>
      <c r="AL25" s="1" t="s">
        <v>167</v>
      </c>
      <c r="AM25" t="s">
        <v>2612</v>
      </c>
    </row>
    <row r="26" spans="1:39" ht="19" customHeight="1">
      <c r="A26" s="4">
        <v>250</v>
      </c>
      <c r="B26" s="4" t="s">
        <v>313</v>
      </c>
      <c r="C26" s="4">
        <v>1980</v>
      </c>
      <c r="D26" s="4" t="s">
        <v>762</v>
      </c>
      <c r="E26" s="4">
        <v>5.9</v>
      </c>
      <c r="F26" s="4">
        <v>16</v>
      </c>
      <c r="G26" s="4">
        <v>19.8</v>
      </c>
      <c r="H26" s="4">
        <v>1.01</v>
      </c>
      <c r="I26" s="4">
        <v>43.3</v>
      </c>
      <c r="J26" s="4">
        <v>65</v>
      </c>
      <c r="K26" s="4">
        <v>43</v>
      </c>
      <c r="L26" s="4">
        <v>1</v>
      </c>
      <c r="M26" s="4">
        <v>0</v>
      </c>
      <c r="N26" s="4" t="s">
        <v>730</v>
      </c>
      <c r="O26" s="1" t="s">
        <v>312</v>
      </c>
      <c r="P26" s="1" t="s">
        <v>2614</v>
      </c>
      <c r="Q26" s="1" t="s">
        <v>2615</v>
      </c>
      <c r="R26" s="1">
        <v>5.94</v>
      </c>
      <c r="S26" s="1" t="s">
        <v>1003</v>
      </c>
      <c r="T26" s="1">
        <v>37.506</v>
      </c>
      <c r="U26" s="1">
        <v>-118.82599999999999</v>
      </c>
      <c r="V26" s="1">
        <v>14</v>
      </c>
      <c r="W26" s="1" t="s">
        <v>730</v>
      </c>
      <c r="X26" s="1" t="s">
        <v>2571</v>
      </c>
      <c r="Y26" s="1">
        <v>22</v>
      </c>
      <c r="Z26" s="1">
        <v>50</v>
      </c>
      <c r="AA26" s="1">
        <v>-28</v>
      </c>
      <c r="AB26" s="1"/>
      <c r="AC26" s="1"/>
      <c r="AD26" s="1"/>
      <c r="AE26" s="1" t="s">
        <v>2566</v>
      </c>
      <c r="AF26" s="1" t="s">
        <v>731</v>
      </c>
      <c r="AG26" s="1"/>
      <c r="AH26" s="1"/>
      <c r="AI26" s="1"/>
      <c r="AJ26" s="1"/>
      <c r="AK26" s="1"/>
      <c r="AL26" s="1" t="s">
        <v>167</v>
      </c>
      <c r="AM26" t="s">
        <v>2617</v>
      </c>
    </row>
    <row r="27" spans="1:39" ht="19" customHeight="1">
      <c r="A27" s="4">
        <v>316</v>
      </c>
      <c r="B27" s="4" t="s">
        <v>763</v>
      </c>
      <c r="C27" s="4">
        <v>1981</v>
      </c>
      <c r="D27" s="4" t="s">
        <v>764</v>
      </c>
      <c r="E27" s="4">
        <v>5.9</v>
      </c>
      <c r="F27" s="4">
        <v>16.7</v>
      </c>
      <c r="G27" s="4">
        <v>20.6</v>
      </c>
      <c r="H27" s="4">
        <v>4.3899999999999997</v>
      </c>
      <c r="I27" s="4">
        <v>60.8</v>
      </c>
      <c r="J27" s="4">
        <v>204</v>
      </c>
      <c r="K27" s="4">
        <v>40</v>
      </c>
      <c r="L27" s="4">
        <v>1</v>
      </c>
      <c r="M27" s="4">
        <v>1</v>
      </c>
      <c r="N27" s="4" t="s">
        <v>730</v>
      </c>
      <c r="O27" s="1" t="s">
        <v>318</v>
      </c>
      <c r="P27" s="1" t="s">
        <v>2618</v>
      </c>
      <c r="Q27" s="1" t="s">
        <v>2619</v>
      </c>
      <c r="R27" s="1">
        <v>5.9</v>
      </c>
      <c r="S27" s="1" t="s">
        <v>1003</v>
      </c>
      <c r="T27" s="1">
        <v>33.1</v>
      </c>
      <c r="U27" s="1">
        <v>-115.62</v>
      </c>
      <c r="V27" s="1">
        <v>2.2999999999999998</v>
      </c>
      <c r="W27" s="1" t="s">
        <v>730</v>
      </c>
      <c r="X27" s="1" t="s">
        <v>2571</v>
      </c>
      <c r="Y27" s="1">
        <v>64</v>
      </c>
      <c r="Z27" s="1">
        <v>90</v>
      </c>
      <c r="AA27" s="1">
        <v>0</v>
      </c>
      <c r="AB27" s="1"/>
      <c r="AC27" s="1"/>
      <c r="AD27" s="1"/>
      <c r="AE27" s="1" t="s">
        <v>2566</v>
      </c>
      <c r="AF27" s="1" t="s">
        <v>731</v>
      </c>
      <c r="AG27" s="1"/>
      <c r="AH27" s="1"/>
      <c r="AI27" s="1"/>
      <c r="AJ27" s="1"/>
      <c r="AK27" s="1"/>
      <c r="AL27" s="1" t="s">
        <v>167</v>
      </c>
      <c r="AM27" t="s">
        <v>2621</v>
      </c>
    </row>
    <row r="28" spans="1:39" ht="19" customHeight="1">
      <c r="A28" s="4">
        <v>319</v>
      </c>
      <c r="B28" s="4" t="s">
        <v>763</v>
      </c>
      <c r="C28" s="4">
        <v>1981</v>
      </c>
      <c r="D28" s="4" t="s">
        <v>765</v>
      </c>
      <c r="E28" s="4">
        <v>5.9</v>
      </c>
      <c r="F28" s="4">
        <v>6.5</v>
      </c>
      <c r="G28" s="4">
        <v>7.4</v>
      </c>
      <c r="H28" s="4">
        <v>1.22</v>
      </c>
      <c r="I28" s="4">
        <v>52.9</v>
      </c>
      <c r="J28" s="4">
        <v>56</v>
      </c>
      <c r="K28" s="4">
        <v>8</v>
      </c>
      <c r="L28" s="4">
        <v>0</v>
      </c>
      <c r="M28" s="4">
        <v>0</v>
      </c>
      <c r="N28" s="4" t="s">
        <v>730</v>
      </c>
      <c r="O28" s="1" t="s">
        <v>318</v>
      </c>
      <c r="P28" s="1" t="s">
        <v>2618</v>
      </c>
      <c r="Q28" s="1" t="s">
        <v>2619</v>
      </c>
      <c r="R28" s="1">
        <v>5.9</v>
      </c>
      <c r="S28" s="1" t="s">
        <v>1003</v>
      </c>
      <c r="T28" s="1">
        <v>33.1</v>
      </c>
      <c r="U28" s="1">
        <v>-115.62</v>
      </c>
      <c r="V28" s="1">
        <v>2.2999999999999998</v>
      </c>
      <c r="W28" s="1" t="s">
        <v>730</v>
      </c>
      <c r="X28" s="1" t="s">
        <v>2571</v>
      </c>
      <c r="Y28" s="1">
        <v>64</v>
      </c>
      <c r="Z28" s="1">
        <v>90</v>
      </c>
      <c r="AA28" s="1">
        <v>0</v>
      </c>
      <c r="AB28" s="1"/>
      <c r="AC28" s="1"/>
      <c r="AD28" s="1"/>
      <c r="AE28" s="1" t="s">
        <v>2566</v>
      </c>
      <c r="AF28" s="1" t="s">
        <v>731</v>
      </c>
      <c r="AG28" s="1"/>
      <c r="AH28" s="1"/>
      <c r="AI28" s="1"/>
      <c r="AJ28" s="1"/>
      <c r="AK28" s="1"/>
      <c r="AL28" s="1" t="s">
        <v>167</v>
      </c>
      <c r="AM28" t="s">
        <v>2621</v>
      </c>
    </row>
    <row r="29" spans="1:39" ht="19" customHeight="1">
      <c r="A29" s="4">
        <v>372</v>
      </c>
      <c r="B29" s="4" t="s">
        <v>326</v>
      </c>
      <c r="C29" s="4">
        <v>1983</v>
      </c>
      <c r="D29" s="4" t="s">
        <v>766</v>
      </c>
      <c r="E29" s="4">
        <v>5.0999999999999996</v>
      </c>
      <c r="F29" s="4">
        <v>11.6</v>
      </c>
      <c r="G29" s="4">
        <v>12.5</v>
      </c>
      <c r="H29" s="4">
        <v>0.26</v>
      </c>
      <c r="I29" s="4">
        <v>26.3</v>
      </c>
      <c r="J29" s="4">
        <v>322</v>
      </c>
      <c r="K29" s="4">
        <v>6</v>
      </c>
      <c r="L29" s="4">
        <v>0</v>
      </c>
      <c r="M29" s="4">
        <v>0</v>
      </c>
      <c r="N29" s="4" t="s">
        <v>734</v>
      </c>
      <c r="O29" s="1" t="s">
        <v>325</v>
      </c>
      <c r="P29" s="1" t="s">
        <v>2623</v>
      </c>
      <c r="Q29" s="1" t="s">
        <v>2624</v>
      </c>
      <c r="R29" s="1">
        <v>5.09</v>
      </c>
      <c r="S29" s="1" t="s">
        <v>1003</v>
      </c>
      <c r="T29" s="1">
        <v>36.246000000000002</v>
      </c>
      <c r="U29" s="1">
        <v>-120.29900000000001</v>
      </c>
      <c r="V29" s="1">
        <v>12</v>
      </c>
      <c r="W29" s="1" t="s">
        <v>734</v>
      </c>
      <c r="X29" s="1" t="s">
        <v>2571</v>
      </c>
      <c r="Y29" s="1">
        <v>136</v>
      </c>
      <c r="Z29" s="1">
        <v>44</v>
      </c>
      <c r="AA29" s="1">
        <v>106</v>
      </c>
      <c r="AB29" s="1"/>
      <c r="AC29" s="1"/>
      <c r="AD29" s="1"/>
      <c r="AE29" s="1" t="s">
        <v>2566</v>
      </c>
      <c r="AF29" s="1" t="s">
        <v>731</v>
      </c>
      <c r="AG29" s="1"/>
      <c r="AH29" s="1"/>
      <c r="AI29" s="1"/>
      <c r="AJ29" s="1"/>
      <c r="AK29" s="1"/>
      <c r="AL29" s="1" t="s">
        <v>167</v>
      </c>
      <c r="AM29" t="s">
        <v>2626</v>
      </c>
    </row>
    <row r="30" spans="1:39" ht="19" customHeight="1">
      <c r="A30" s="4">
        <v>373</v>
      </c>
      <c r="B30" s="4" t="s">
        <v>326</v>
      </c>
      <c r="C30" s="4">
        <v>1983</v>
      </c>
      <c r="D30" s="4" t="s">
        <v>767</v>
      </c>
      <c r="E30" s="4">
        <v>5.0999999999999996</v>
      </c>
      <c r="F30" s="4">
        <v>11.6</v>
      </c>
      <c r="G30" s="4">
        <v>12.5</v>
      </c>
      <c r="H30" s="4">
        <v>0.27</v>
      </c>
      <c r="I30" s="4">
        <v>23.3</v>
      </c>
      <c r="J30" s="4">
        <v>311</v>
      </c>
      <c r="K30" s="4">
        <v>5</v>
      </c>
      <c r="L30" s="4">
        <v>0</v>
      </c>
      <c r="M30" s="4">
        <v>0</v>
      </c>
      <c r="N30" s="4" t="s">
        <v>734</v>
      </c>
      <c r="O30" s="1" t="s">
        <v>325</v>
      </c>
      <c r="P30" s="1" t="s">
        <v>2623</v>
      </c>
      <c r="Q30" s="1" t="s">
        <v>2624</v>
      </c>
      <c r="R30" s="1">
        <v>5.09</v>
      </c>
      <c r="S30" s="1" t="s">
        <v>1003</v>
      </c>
      <c r="T30" s="1">
        <v>36.246000000000002</v>
      </c>
      <c r="U30" s="1">
        <v>-120.29900000000001</v>
      </c>
      <c r="V30" s="1">
        <v>12</v>
      </c>
      <c r="W30" s="1" t="s">
        <v>734</v>
      </c>
      <c r="X30" s="1" t="s">
        <v>2571</v>
      </c>
      <c r="Y30" s="1">
        <v>136</v>
      </c>
      <c r="Z30" s="1">
        <v>44</v>
      </c>
      <c r="AA30" s="1">
        <v>106</v>
      </c>
      <c r="AB30" s="1"/>
      <c r="AC30" s="1"/>
      <c r="AD30" s="1"/>
      <c r="AE30" s="1" t="s">
        <v>2566</v>
      </c>
      <c r="AF30" s="1" t="s">
        <v>731</v>
      </c>
      <c r="AG30" s="1"/>
      <c r="AH30" s="1"/>
      <c r="AI30" s="1"/>
      <c r="AJ30" s="1"/>
      <c r="AK30" s="1"/>
      <c r="AL30" s="1" t="s">
        <v>167</v>
      </c>
      <c r="AM30" t="s">
        <v>2626</v>
      </c>
    </row>
    <row r="31" spans="1:39" ht="19" customHeight="1">
      <c r="A31" s="4">
        <v>415</v>
      </c>
      <c r="B31" s="4" t="s">
        <v>332</v>
      </c>
      <c r="C31" s="4">
        <v>1983</v>
      </c>
      <c r="D31" s="4" t="s">
        <v>768</v>
      </c>
      <c r="E31" s="4">
        <v>5.8</v>
      </c>
      <c r="F31" s="4">
        <v>9.5</v>
      </c>
      <c r="G31" s="4">
        <v>9.5</v>
      </c>
      <c r="H31" s="4">
        <v>0.88</v>
      </c>
      <c r="I31" s="4">
        <v>64.400000000000006</v>
      </c>
      <c r="J31" s="4">
        <v>242</v>
      </c>
      <c r="K31" s="4">
        <v>67</v>
      </c>
      <c r="L31" s="4">
        <v>1</v>
      </c>
      <c r="M31" s="4">
        <v>0</v>
      </c>
      <c r="N31" s="4" t="s">
        <v>734</v>
      </c>
      <c r="O31" s="1" t="s">
        <v>331</v>
      </c>
      <c r="P31" s="1" t="s">
        <v>2628</v>
      </c>
      <c r="Q31" s="1" t="s">
        <v>2629</v>
      </c>
      <c r="R31" s="1">
        <v>5.77</v>
      </c>
      <c r="S31" s="1" t="s">
        <v>1003</v>
      </c>
      <c r="T31" s="1">
        <v>36.241</v>
      </c>
      <c r="U31" s="1">
        <v>-120.40900000000001</v>
      </c>
      <c r="V31" s="1">
        <v>7.4</v>
      </c>
      <c r="W31" s="1" t="s">
        <v>734</v>
      </c>
      <c r="X31" s="1" t="s">
        <v>2571</v>
      </c>
      <c r="Y31" s="1">
        <v>355</v>
      </c>
      <c r="Z31" s="1">
        <v>38</v>
      </c>
      <c r="AA31" s="1">
        <v>102</v>
      </c>
      <c r="AB31" s="1"/>
      <c r="AC31" s="1"/>
      <c r="AD31" s="1"/>
      <c r="AE31" s="1" t="s">
        <v>2566</v>
      </c>
      <c r="AF31" s="1" t="s">
        <v>731</v>
      </c>
      <c r="AG31" s="1"/>
      <c r="AH31" s="1"/>
      <c r="AI31" s="1"/>
      <c r="AJ31" s="1"/>
      <c r="AK31" s="1"/>
      <c r="AL31" s="1" t="s">
        <v>167</v>
      </c>
      <c r="AM31" t="s">
        <v>2631</v>
      </c>
    </row>
    <row r="32" spans="1:39" ht="19" customHeight="1">
      <c r="A32" s="4">
        <v>418</v>
      </c>
      <c r="B32" s="4" t="s">
        <v>339</v>
      </c>
      <c r="C32" s="4">
        <v>1983</v>
      </c>
      <c r="D32" s="4" t="s">
        <v>769</v>
      </c>
      <c r="E32" s="4">
        <v>5.2</v>
      </c>
      <c r="F32" s="4">
        <v>10.9</v>
      </c>
      <c r="G32" s="4">
        <v>12.7</v>
      </c>
      <c r="H32" s="4">
        <v>0.44</v>
      </c>
      <c r="I32" s="4">
        <v>32.799999999999997</v>
      </c>
      <c r="J32" s="4">
        <v>284</v>
      </c>
      <c r="K32" s="4">
        <v>64</v>
      </c>
      <c r="L32" s="4">
        <v>1</v>
      </c>
      <c r="M32" s="4">
        <v>0</v>
      </c>
      <c r="N32" s="4" t="s">
        <v>734</v>
      </c>
      <c r="O32" s="1" t="s">
        <v>338</v>
      </c>
      <c r="P32" s="1" t="s">
        <v>2633</v>
      </c>
      <c r="Q32" s="1" t="s">
        <v>2634</v>
      </c>
      <c r="R32" s="1">
        <v>5.21</v>
      </c>
      <c r="S32" s="1" t="s">
        <v>1003</v>
      </c>
      <c r="T32" s="1">
        <v>36.228999999999999</v>
      </c>
      <c r="U32" s="1">
        <v>-120.398</v>
      </c>
      <c r="V32" s="1">
        <v>8.4</v>
      </c>
      <c r="W32" s="1" t="s">
        <v>734</v>
      </c>
      <c r="X32" s="1" t="s">
        <v>2571</v>
      </c>
      <c r="Y32" s="1">
        <v>348.1</v>
      </c>
      <c r="Z32" s="1">
        <v>38</v>
      </c>
      <c r="AA32" s="1">
        <v>90</v>
      </c>
      <c r="AB32" s="1"/>
      <c r="AC32" s="1"/>
      <c r="AD32" s="1"/>
      <c r="AE32" s="1" t="s">
        <v>2566</v>
      </c>
      <c r="AF32" s="1" t="s">
        <v>731</v>
      </c>
      <c r="AG32" s="1"/>
      <c r="AH32" s="1"/>
      <c r="AI32" s="1"/>
      <c r="AJ32" s="1"/>
      <c r="AK32" s="1"/>
      <c r="AL32" s="1" t="s">
        <v>167</v>
      </c>
      <c r="AM32" t="s">
        <v>2636</v>
      </c>
    </row>
    <row r="33" spans="1:39" ht="19" customHeight="1">
      <c r="A33" s="4">
        <v>451</v>
      </c>
      <c r="B33" s="4" t="s">
        <v>770</v>
      </c>
      <c r="C33" s="4">
        <v>1984</v>
      </c>
      <c r="D33" s="4" t="s">
        <v>771</v>
      </c>
      <c r="E33" s="4">
        <v>6.2</v>
      </c>
      <c r="F33" s="4">
        <v>0.5</v>
      </c>
      <c r="G33" s="4">
        <v>26</v>
      </c>
      <c r="H33" s="4">
        <v>1.07</v>
      </c>
      <c r="I33" s="4">
        <v>76.8</v>
      </c>
      <c r="J33" s="4">
        <v>114</v>
      </c>
      <c r="K33" s="4">
        <v>34</v>
      </c>
      <c r="L33" s="4">
        <v>1</v>
      </c>
      <c r="M33" s="4">
        <v>1</v>
      </c>
      <c r="N33" s="4" t="s">
        <v>730</v>
      </c>
      <c r="O33" s="1" t="s">
        <v>345</v>
      </c>
      <c r="P33" s="1" t="s">
        <v>2638</v>
      </c>
      <c r="Q33" s="1" t="s">
        <v>2639</v>
      </c>
      <c r="R33" s="1">
        <v>6.19</v>
      </c>
      <c r="S33" s="1" t="s">
        <v>1003</v>
      </c>
      <c r="T33" s="1">
        <v>37.305999999999997</v>
      </c>
      <c r="U33" s="1">
        <v>-121.69499999999999</v>
      </c>
      <c r="V33" s="1">
        <v>8.5</v>
      </c>
      <c r="W33" s="1" t="s">
        <v>730</v>
      </c>
      <c r="X33" s="1" t="s">
        <v>2571</v>
      </c>
      <c r="Y33" s="1">
        <v>148</v>
      </c>
      <c r="Z33" s="1">
        <v>90</v>
      </c>
      <c r="AA33" s="1">
        <v>180</v>
      </c>
      <c r="AB33" s="1"/>
      <c r="AC33" s="1"/>
      <c r="AD33" s="1"/>
      <c r="AE33" s="1" t="s">
        <v>2566</v>
      </c>
      <c r="AF33" s="1" t="s">
        <v>731</v>
      </c>
      <c r="AG33" s="1"/>
      <c r="AH33" s="1"/>
      <c r="AI33" s="1"/>
      <c r="AJ33" s="1"/>
      <c r="AK33" s="1"/>
      <c r="AL33" s="1" t="s">
        <v>167</v>
      </c>
      <c r="AM33" t="s">
        <v>2641</v>
      </c>
    </row>
    <row r="34" spans="1:39" ht="19" customHeight="1">
      <c r="A34" s="4">
        <v>459</v>
      </c>
      <c r="B34" s="4" t="s">
        <v>770</v>
      </c>
      <c r="C34" s="4">
        <v>1984</v>
      </c>
      <c r="D34" s="4" t="s">
        <v>744</v>
      </c>
      <c r="E34" s="4">
        <v>6.2</v>
      </c>
      <c r="F34" s="4">
        <v>9.9</v>
      </c>
      <c r="G34" s="4">
        <v>37.299999999999997</v>
      </c>
      <c r="H34" s="4">
        <v>1.23</v>
      </c>
      <c r="I34" s="4">
        <v>37.299999999999997</v>
      </c>
      <c r="J34" s="4">
        <v>78</v>
      </c>
      <c r="K34" s="4">
        <v>70</v>
      </c>
      <c r="L34" s="4">
        <v>1</v>
      </c>
      <c r="M34" s="4">
        <v>1</v>
      </c>
      <c r="N34" s="4" t="s">
        <v>730</v>
      </c>
      <c r="O34" s="1" t="s">
        <v>345</v>
      </c>
      <c r="P34" s="1" t="s">
        <v>2638</v>
      </c>
      <c r="Q34" s="1" t="s">
        <v>2639</v>
      </c>
      <c r="R34" s="1">
        <v>6.19</v>
      </c>
      <c r="S34" s="1" t="s">
        <v>1003</v>
      </c>
      <c r="T34" s="1">
        <v>37.305999999999997</v>
      </c>
      <c r="U34" s="1">
        <v>-121.69499999999999</v>
      </c>
      <c r="V34" s="1">
        <v>8.5</v>
      </c>
      <c r="W34" s="1" t="s">
        <v>730</v>
      </c>
      <c r="X34" s="1" t="s">
        <v>2571</v>
      </c>
      <c r="Y34" s="1">
        <v>148</v>
      </c>
      <c r="Z34" s="1">
        <v>90</v>
      </c>
      <c r="AA34" s="1">
        <v>180</v>
      </c>
      <c r="AB34" s="1"/>
      <c r="AC34" s="1"/>
      <c r="AD34" s="1"/>
      <c r="AE34" s="1" t="s">
        <v>2566</v>
      </c>
      <c r="AF34" s="1" t="s">
        <v>731</v>
      </c>
      <c r="AG34" s="1"/>
      <c r="AH34" s="1"/>
      <c r="AI34" s="1"/>
      <c r="AJ34" s="1"/>
      <c r="AK34" s="1"/>
      <c r="AL34" s="1" t="s">
        <v>167</v>
      </c>
      <c r="AM34" t="s">
        <v>2641</v>
      </c>
    </row>
    <row r="35" spans="1:39" ht="19" customHeight="1">
      <c r="A35" s="4">
        <v>566</v>
      </c>
      <c r="B35" s="4" t="s">
        <v>772</v>
      </c>
      <c r="C35" s="4">
        <v>1986</v>
      </c>
      <c r="D35" s="4" t="s">
        <v>773</v>
      </c>
      <c r="E35" s="4">
        <v>5.4</v>
      </c>
      <c r="F35" s="4">
        <v>5.6</v>
      </c>
      <c r="G35" s="4">
        <v>8.6999999999999993</v>
      </c>
      <c r="H35" s="4">
        <v>0.79</v>
      </c>
      <c r="I35" s="4">
        <v>27</v>
      </c>
      <c r="J35" s="4">
        <v>75</v>
      </c>
      <c r="K35" s="4">
        <v>77</v>
      </c>
      <c r="L35" s="4">
        <v>1</v>
      </c>
      <c r="M35" s="4">
        <v>1</v>
      </c>
      <c r="N35" s="4" t="s">
        <v>760</v>
      </c>
      <c r="O35" s="1" t="s">
        <v>352</v>
      </c>
      <c r="P35" s="1" t="s">
        <v>2643</v>
      </c>
      <c r="Q35" s="1" t="s">
        <v>2644</v>
      </c>
      <c r="R35" s="1">
        <v>5.4</v>
      </c>
      <c r="S35" s="1" t="s">
        <v>2645</v>
      </c>
      <c r="T35" s="1">
        <v>37.08</v>
      </c>
      <c r="U35" s="1">
        <v>22.07</v>
      </c>
      <c r="V35" s="1">
        <v>5</v>
      </c>
      <c r="W35" s="1" t="s">
        <v>760</v>
      </c>
      <c r="X35" s="1" t="s">
        <v>2571</v>
      </c>
      <c r="Y35" s="1">
        <v>332.3</v>
      </c>
      <c r="Z35" s="1">
        <v>55</v>
      </c>
      <c r="AA35" s="1">
        <v>-90</v>
      </c>
      <c r="AB35" s="1"/>
      <c r="AC35" s="1"/>
      <c r="AD35" s="1"/>
      <c r="AE35" s="1" t="s">
        <v>2566</v>
      </c>
      <c r="AF35" s="1" t="s">
        <v>731</v>
      </c>
      <c r="AG35" s="1"/>
      <c r="AH35" s="1"/>
      <c r="AI35" s="1"/>
      <c r="AJ35" s="1"/>
      <c r="AK35" s="1"/>
      <c r="AL35" s="1" t="s">
        <v>167</v>
      </c>
      <c r="AM35" t="s">
        <v>2647</v>
      </c>
    </row>
    <row r="36" spans="1:39" ht="19" customHeight="1">
      <c r="A36" s="4">
        <v>527</v>
      </c>
      <c r="B36" s="4" t="s">
        <v>361</v>
      </c>
      <c r="C36" s="4">
        <v>1986</v>
      </c>
      <c r="D36" s="4" t="s">
        <v>774</v>
      </c>
      <c r="E36" s="4">
        <v>6.1</v>
      </c>
      <c r="F36" s="4">
        <v>12</v>
      </c>
      <c r="G36" s="4">
        <v>12.6</v>
      </c>
      <c r="H36" s="4">
        <v>2.38</v>
      </c>
      <c r="I36" s="4">
        <v>39.4</v>
      </c>
      <c r="J36" s="4">
        <v>121</v>
      </c>
      <c r="K36" s="4">
        <v>14</v>
      </c>
      <c r="L36" s="4">
        <v>0</v>
      </c>
      <c r="M36" s="4">
        <v>0</v>
      </c>
      <c r="N36" s="4" t="s">
        <v>734</v>
      </c>
      <c r="O36" s="1" t="s">
        <v>360</v>
      </c>
      <c r="P36" s="1" t="s">
        <v>2649</v>
      </c>
      <c r="Q36" s="1" t="s">
        <v>2650</v>
      </c>
      <c r="R36" s="1">
        <v>6.06</v>
      </c>
      <c r="S36" s="1" t="s">
        <v>1003</v>
      </c>
      <c r="T36" s="1">
        <v>34</v>
      </c>
      <c r="U36" s="1">
        <v>-116.6117</v>
      </c>
      <c r="V36" s="1">
        <v>11</v>
      </c>
      <c r="W36" s="1" t="s">
        <v>734</v>
      </c>
      <c r="X36" s="1" t="s">
        <v>2571</v>
      </c>
      <c r="Y36" s="1">
        <v>287</v>
      </c>
      <c r="Z36" s="1">
        <v>46</v>
      </c>
      <c r="AA36" s="1">
        <v>150</v>
      </c>
      <c r="AB36" s="1"/>
      <c r="AC36" s="1"/>
      <c r="AD36" s="1"/>
      <c r="AE36" s="1" t="s">
        <v>2566</v>
      </c>
      <c r="AF36" s="1" t="s">
        <v>731</v>
      </c>
      <c r="AG36" s="1"/>
      <c r="AH36" s="1"/>
      <c r="AI36" s="1"/>
      <c r="AJ36" s="1"/>
      <c r="AK36" s="1"/>
      <c r="AL36" s="1" t="s">
        <v>167</v>
      </c>
      <c r="AM36" t="s">
        <v>2653</v>
      </c>
    </row>
    <row r="37" spans="1:39" ht="19" customHeight="1">
      <c r="A37" s="4">
        <v>503</v>
      </c>
      <c r="B37" s="4" t="s">
        <v>374</v>
      </c>
      <c r="C37" s="4">
        <v>1986</v>
      </c>
      <c r="D37" s="4" t="s">
        <v>775</v>
      </c>
      <c r="E37" s="4">
        <v>6.3</v>
      </c>
      <c r="F37" s="4">
        <v>59.9</v>
      </c>
      <c r="G37" s="4">
        <v>70</v>
      </c>
      <c r="H37" s="4">
        <v>1.57</v>
      </c>
      <c r="I37" s="4">
        <v>34.799999999999997</v>
      </c>
      <c r="J37" s="4">
        <v>117</v>
      </c>
      <c r="K37" s="4">
        <v>74</v>
      </c>
      <c r="L37" s="4">
        <v>1</v>
      </c>
      <c r="M37" s="4">
        <v>0</v>
      </c>
      <c r="N37" s="4" t="s">
        <v>734</v>
      </c>
      <c r="O37" s="1" t="s">
        <v>373</v>
      </c>
      <c r="P37" s="1" t="s">
        <v>2655</v>
      </c>
      <c r="Q37" s="1" t="s">
        <v>2656</v>
      </c>
      <c r="R37" s="1">
        <v>6.32</v>
      </c>
      <c r="S37" s="1" t="s">
        <v>1003</v>
      </c>
      <c r="T37" s="1">
        <v>24.081700000000001</v>
      </c>
      <c r="U37" s="1">
        <v>121.5915</v>
      </c>
      <c r="V37" s="1">
        <v>15.8</v>
      </c>
      <c r="W37" s="1" t="s">
        <v>734</v>
      </c>
      <c r="X37" s="1" t="s">
        <v>2571</v>
      </c>
      <c r="Y37" s="1">
        <v>43</v>
      </c>
      <c r="Z37" s="1">
        <v>57</v>
      </c>
      <c r="AA37" s="1">
        <v>100</v>
      </c>
      <c r="AB37" s="1"/>
      <c r="AC37" s="1"/>
      <c r="AD37" s="1"/>
      <c r="AE37" s="1" t="s">
        <v>2566</v>
      </c>
      <c r="AF37" s="1" t="s">
        <v>731</v>
      </c>
      <c r="AG37" s="1"/>
      <c r="AH37" s="1"/>
      <c r="AI37" s="1"/>
      <c r="AJ37" s="1"/>
      <c r="AK37" s="1"/>
      <c r="AL37" s="1" t="s">
        <v>167</v>
      </c>
      <c r="AM37" t="s">
        <v>2658</v>
      </c>
    </row>
    <row r="38" spans="1:39" ht="19" customHeight="1">
      <c r="A38" s="4">
        <v>504</v>
      </c>
      <c r="B38" s="4" t="s">
        <v>374</v>
      </c>
      <c r="C38" s="4">
        <v>1986</v>
      </c>
      <c r="D38" s="4" t="s">
        <v>776</v>
      </c>
      <c r="E38" s="4">
        <v>6.3</v>
      </c>
      <c r="F38" s="4">
        <v>57.3</v>
      </c>
      <c r="G38" s="4">
        <v>67.400000000000006</v>
      </c>
      <c r="H38" s="4">
        <v>1.39</v>
      </c>
      <c r="I38" s="4">
        <v>36.9</v>
      </c>
      <c r="J38" s="4">
        <v>104</v>
      </c>
      <c r="K38" s="4">
        <v>61</v>
      </c>
      <c r="L38" s="4">
        <v>1</v>
      </c>
      <c r="M38" s="4">
        <v>0</v>
      </c>
      <c r="N38" s="4" t="s">
        <v>734</v>
      </c>
      <c r="O38" s="1" t="s">
        <v>373</v>
      </c>
      <c r="P38" s="1" t="s">
        <v>2655</v>
      </c>
      <c r="Q38" s="1" t="s">
        <v>2656</v>
      </c>
      <c r="R38" s="1">
        <v>6.32</v>
      </c>
      <c r="S38" s="1" t="s">
        <v>1003</v>
      </c>
      <c r="T38" s="1">
        <v>24.081700000000001</v>
      </c>
      <c r="U38" s="1">
        <v>121.5915</v>
      </c>
      <c r="V38" s="1">
        <v>15.8</v>
      </c>
      <c r="W38" s="1" t="s">
        <v>734</v>
      </c>
      <c r="X38" s="1" t="s">
        <v>2571</v>
      </c>
      <c r="Y38" s="1">
        <v>43</v>
      </c>
      <c r="Z38" s="1">
        <v>57</v>
      </c>
      <c r="AA38" s="1">
        <v>100</v>
      </c>
      <c r="AB38" s="1"/>
      <c r="AC38" s="1"/>
      <c r="AD38" s="1"/>
      <c r="AE38" s="1" t="s">
        <v>2566</v>
      </c>
      <c r="AF38" s="1" t="s">
        <v>731</v>
      </c>
      <c r="AG38" s="1"/>
      <c r="AH38" s="1"/>
      <c r="AI38" s="1"/>
      <c r="AJ38" s="1"/>
      <c r="AK38" s="1"/>
      <c r="AL38" s="1" t="s">
        <v>167</v>
      </c>
      <c r="AM38" t="s">
        <v>2658</v>
      </c>
    </row>
    <row r="39" spans="1:39" ht="19" customHeight="1">
      <c r="A39" s="4">
        <v>505</v>
      </c>
      <c r="B39" s="4" t="s">
        <v>374</v>
      </c>
      <c r="C39" s="4">
        <v>1986</v>
      </c>
      <c r="D39" s="4" t="s">
        <v>777</v>
      </c>
      <c r="E39" s="4">
        <v>6.3</v>
      </c>
      <c r="F39" s="4">
        <v>60.1</v>
      </c>
      <c r="G39" s="4">
        <v>70.2</v>
      </c>
      <c r="H39" s="4">
        <v>1.57</v>
      </c>
      <c r="I39" s="4">
        <v>32.9</v>
      </c>
      <c r="J39" s="4">
        <v>113</v>
      </c>
      <c r="K39" s="4">
        <v>70</v>
      </c>
      <c r="L39" s="4">
        <v>1</v>
      </c>
      <c r="M39" s="4">
        <v>0</v>
      </c>
      <c r="N39" s="4" t="s">
        <v>734</v>
      </c>
      <c r="O39" s="1" t="s">
        <v>373</v>
      </c>
      <c r="P39" s="1" t="s">
        <v>2655</v>
      </c>
      <c r="Q39" s="1" t="s">
        <v>2656</v>
      </c>
      <c r="R39" s="1">
        <v>6.32</v>
      </c>
      <c r="S39" s="1" t="s">
        <v>1003</v>
      </c>
      <c r="T39" s="1">
        <v>24.081700000000001</v>
      </c>
      <c r="U39" s="1">
        <v>121.5915</v>
      </c>
      <c r="V39" s="1">
        <v>15.8</v>
      </c>
      <c r="W39" s="1" t="s">
        <v>734</v>
      </c>
      <c r="X39" s="1" t="s">
        <v>2571</v>
      </c>
      <c r="Y39" s="1">
        <v>43</v>
      </c>
      <c r="Z39" s="1">
        <v>57</v>
      </c>
      <c r="AA39" s="1">
        <v>100</v>
      </c>
      <c r="AB39" s="1"/>
      <c r="AC39" s="1"/>
      <c r="AD39" s="1"/>
      <c r="AE39" s="1" t="s">
        <v>2566</v>
      </c>
      <c r="AF39" s="1" t="s">
        <v>731</v>
      </c>
      <c r="AG39" s="1"/>
      <c r="AH39" s="1"/>
      <c r="AI39" s="1"/>
      <c r="AJ39" s="1"/>
      <c r="AK39" s="1"/>
      <c r="AL39" s="1" t="s">
        <v>167</v>
      </c>
      <c r="AM39" t="s">
        <v>2658</v>
      </c>
    </row>
    <row r="40" spans="1:39" ht="19" customHeight="1">
      <c r="A40" s="4">
        <v>506</v>
      </c>
      <c r="B40" s="4" t="s">
        <v>374</v>
      </c>
      <c r="C40" s="4">
        <v>1986</v>
      </c>
      <c r="D40" s="4" t="s">
        <v>778</v>
      </c>
      <c r="E40" s="4">
        <v>6.3</v>
      </c>
      <c r="F40" s="4">
        <v>59.7</v>
      </c>
      <c r="G40" s="4">
        <v>69.8</v>
      </c>
      <c r="H40" s="4">
        <v>1.67</v>
      </c>
      <c r="I40" s="4">
        <v>34</v>
      </c>
      <c r="J40" s="4">
        <v>113</v>
      </c>
      <c r="K40" s="4">
        <v>70</v>
      </c>
      <c r="L40" s="4">
        <v>1</v>
      </c>
      <c r="M40" s="4">
        <v>0</v>
      </c>
      <c r="N40" s="4" t="s">
        <v>734</v>
      </c>
      <c r="O40" s="1" t="s">
        <v>373</v>
      </c>
      <c r="P40" s="1" t="s">
        <v>2655</v>
      </c>
      <c r="Q40" s="1" t="s">
        <v>2656</v>
      </c>
      <c r="R40" s="1">
        <v>6.32</v>
      </c>
      <c r="S40" s="1" t="s">
        <v>1003</v>
      </c>
      <c r="T40" s="1">
        <v>24.081700000000001</v>
      </c>
      <c r="U40" s="1">
        <v>121.5915</v>
      </c>
      <c r="V40" s="1">
        <v>15.8</v>
      </c>
      <c r="W40" s="1" t="s">
        <v>734</v>
      </c>
      <c r="X40" s="1" t="s">
        <v>2571</v>
      </c>
      <c r="Y40" s="1">
        <v>43</v>
      </c>
      <c r="Z40" s="1">
        <v>57</v>
      </c>
      <c r="AA40" s="1">
        <v>100</v>
      </c>
      <c r="AB40" s="1"/>
      <c r="AC40" s="1"/>
      <c r="AD40" s="1"/>
      <c r="AE40" s="1" t="s">
        <v>2566</v>
      </c>
      <c r="AF40" s="1" t="s">
        <v>731</v>
      </c>
      <c r="AG40" s="1"/>
      <c r="AH40" s="1"/>
      <c r="AI40" s="1"/>
      <c r="AJ40" s="1"/>
      <c r="AK40" s="1"/>
      <c r="AL40" s="1" t="s">
        <v>167</v>
      </c>
      <c r="AM40" t="s">
        <v>2658</v>
      </c>
    </row>
    <row r="41" spans="1:39" ht="19" customHeight="1">
      <c r="A41" s="4">
        <v>507</v>
      </c>
      <c r="B41" s="4" t="s">
        <v>374</v>
      </c>
      <c r="C41" s="4">
        <v>1986</v>
      </c>
      <c r="D41" s="4" t="s">
        <v>779</v>
      </c>
      <c r="E41" s="4">
        <v>6.3</v>
      </c>
      <c r="F41" s="4">
        <v>60.9</v>
      </c>
      <c r="G41" s="4">
        <v>70.900000000000006</v>
      </c>
      <c r="H41" s="4">
        <v>1.39</v>
      </c>
      <c r="I41" s="4">
        <v>26.1</v>
      </c>
      <c r="J41" s="4">
        <v>111</v>
      </c>
      <c r="K41" s="4">
        <v>68</v>
      </c>
      <c r="L41" s="4">
        <v>0</v>
      </c>
      <c r="M41" s="4">
        <v>0</v>
      </c>
      <c r="N41" s="4" t="s">
        <v>734</v>
      </c>
      <c r="O41" s="1" t="s">
        <v>373</v>
      </c>
      <c r="P41" s="1" t="s">
        <v>2655</v>
      </c>
      <c r="Q41" s="1" t="s">
        <v>2656</v>
      </c>
      <c r="R41" s="1">
        <v>6.32</v>
      </c>
      <c r="S41" s="1" t="s">
        <v>1003</v>
      </c>
      <c r="T41" s="1">
        <v>24.081700000000001</v>
      </c>
      <c r="U41" s="1">
        <v>121.5915</v>
      </c>
      <c r="V41" s="1">
        <v>15.8</v>
      </c>
      <c r="W41" s="1" t="s">
        <v>734</v>
      </c>
      <c r="X41" s="1" t="s">
        <v>2571</v>
      </c>
      <c r="Y41" s="1">
        <v>43</v>
      </c>
      <c r="Z41" s="1">
        <v>57</v>
      </c>
      <c r="AA41" s="1">
        <v>100</v>
      </c>
      <c r="AB41" s="1"/>
      <c r="AC41" s="1"/>
      <c r="AD41" s="1"/>
      <c r="AE41" s="1" t="s">
        <v>2566</v>
      </c>
      <c r="AF41" s="1" t="s">
        <v>731</v>
      </c>
      <c r="AG41" s="1"/>
      <c r="AH41" s="1"/>
      <c r="AI41" s="1"/>
      <c r="AJ41" s="1"/>
      <c r="AK41" s="1"/>
      <c r="AL41" s="1" t="s">
        <v>167</v>
      </c>
      <c r="AM41" t="s">
        <v>2658</v>
      </c>
    </row>
    <row r="42" spans="1:39" ht="19" customHeight="1">
      <c r="A42" s="4">
        <v>508</v>
      </c>
      <c r="B42" s="4" t="s">
        <v>374</v>
      </c>
      <c r="C42" s="4">
        <v>1986</v>
      </c>
      <c r="D42" s="4" t="s">
        <v>780</v>
      </c>
      <c r="E42" s="4">
        <v>6.3</v>
      </c>
      <c r="F42" s="4">
        <v>58.9</v>
      </c>
      <c r="G42" s="4">
        <v>69</v>
      </c>
      <c r="H42" s="4">
        <v>1.54</v>
      </c>
      <c r="I42" s="4">
        <v>40.4</v>
      </c>
      <c r="J42" s="4">
        <v>114</v>
      </c>
      <c r="K42" s="4">
        <v>71</v>
      </c>
      <c r="L42" s="4">
        <v>1</v>
      </c>
      <c r="M42" s="4">
        <v>0</v>
      </c>
      <c r="N42" s="4" t="s">
        <v>734</v>
      </c>
      <c r="O42" s="1" t="s">
        <v>373</v>
      </c>
      <c r="P42" s="1" t="s">
        <v>2655</v>
      </c>
      <c r="Q42" s="1" t="s">
        <v>2656</v>
      </c>
      <c r="R42" s="1">
        <v>6.32</v>
      </c>
      <c r="S42" s="1" t="s">
        <v>1003</v>
      </c>
      <c r="T42" s="1">
        <v>24.081700000000001</v>
      </c>
      <c r="U42" s="1">
        <v>121.5915</v>
      </c>
      <c r="V42" s="1">
        <v>15.8</v>
      </c>
      <c r="W42" s="1" t="s">
        <v>734</v>
      </c>
      <c r="X42" s="1" t="s">
        <v>2571</v>
      </c>
      <c r="Y42" s="1">
        <v>43</v>
      </c>
      <c r="Z42" s="1">
        <v>57</v>
      </c>
      <c r="AA42" s="1">
        <v>100</v>
      </c>
      <c r="AB42" s="1"/>
      <c r="AC42" s="1"/>
      <c r="AD42" s="1"/>
      <c r="AE42" s="1" t="s">
        <v>2566</v>
      </c>
      <c r="AF42" s="1" t="s">
        <v>731</v>
      </c>
      <c r="AG42" s="1"/>
      <c r="AH42" s="1"/>
      <c r="AI42" s="1"/>
      <c r="AJ42" s="1"/>
      <c r="AK42" s="1"/>
      <c r="AL42" s="1" t="s">
        <v>167</v>
      </c>
      <c r="AM42" t="s">
        <v>2658</v>
      </c>
    </row>
    <row r="43" spans="1:39" ht="19" customHeight="1">
      <c r="A43" s="4">
        <v>510</v>
      </c>
      <c r="B43" s="4" t="s">
        <v>374</v>
      </c>
      <c r="C43" s="4">
        <v>1986</v>
      </c>
      <c r="D43" s="4" t="s">
        <v>781</v>
      </c>
      <c r="E43" s="4">
        <v>6.3</v>
      </c>
      <c r="F43" s="4">
        <v>58</v>
      </c>
      <c r="G43" s="4">
        <v>68.099999999999994</v>
      </c>
      <c r="H43" s="4">
        <v>1.53</v>
      </c>
      <c r="I43" s="4">
        <v>28.7</v>
      </c>
      <c r="J43" s="4">
        <v>106</v>
      </c>
      <c r="K43" s="4">
        <v>63</v>
      </c>
      <c r="L43" s="4">
        <v>1</v>
      </c>
      <c r="M43" s="4">
        <v>0</v>
      </c>
      <c r="N43" s="4" t="s">
        <v>734</v>
      </c>
      <c r="O43" s="1" t="s">
        <v>373</v>
      </c>
      <c r="P43" s="1" t="s">
        <v>2655</v>
      </c>
      <c r="Q43" s="1" t="s">
        <v>2656</v>
      </c>
      <c r="R43" s="1">
        <v>6.32</v>
      </c>
      <c r="S43" s="1" t="s">
        <v>1003</v>
      </c>
      <c r="T43" s="1">
        <v>24.081700000000001</v>
      </c>
      <c r="U43" s="1">
        <v>121.5915</v>
      </c>
      <c r="V43" s="1">
        <v>15.8</v>
      </c>
      <c r="W43" s="1" t="s">
        <v>734</v>
      </c>
      <c r="X43" s="1" t="s">
        <v>2571</v>
      </c>
      <c r="Y43" s="1">
        <v>43</v>
      </c>
      <c r="Z43" s="1">
        <v>57</v>
      </c>
      <c r="AA43" s="1">
        <v>100</v>
      </c>
      <c r="AB43" s="1"/>
      <c r="AC43" s="1"/>
      <c r="AD43" s="1"/>
      <c r="AE43" s="1" t="s">
        <v>2566</v>
      </c>
      <c r="AF43" s="1" t="s">
        <v>731</v>
      </c>
      <c r="AG43" s="1"/>
      <c r="AH43" s="1"/>
      <c r="AI43" s="1"/>
      <c r="AJ43" s="1"/>
      <c r="AK43" s="1"/>
      <c r="AL43" s="1" t="s">
        <v>167</v>
      </c>
      <c r="AM43" t="s">
        <v>2658</v>
      </c>
    </row>
    <row r="44" spans="1:39" ht="19" customHeight="1">
      <c r="A44" s="4">
        <v>3634</v>
      </c>
      <c r="B44" s="4" t="s">
        <v>374</v>
      </c>
      <c r="C44" s="4">
        <v>1986</v>
      </c>
      <c r="D44" s="4" t="s">
        <v>782</v>
      </c>
      <c r="E44" s="4">
        <v>6.3</v>
      </c>
      <c r="F44" s="4">
        <v>60.1</v>
      </c>
      <c r="G44" s="4">
        <v>70.2</v>
      </c>
      <c r="H44" s="4">
        <v>1.67</v>
      </c>
      <c r="I44" s="4">
        <v>38.9</v>
      </c>
      <c r="J44" s="4">
        <v>120</v>
      </c>
      <c r="K44" s="4">
        <v>77</v>
      </c>
      <c r="L44" s="4">
        <v>1</v>
      </c>
      <c r="M44" s="4">
        <v>0</v>
      </c>
      <c r="N44" s="4" t="s">
        <v>734</v>
      </c>
      <c r="O44" s="1" t="s">
        <v>373</v>
      </c>
      <c r="P44" s="1" t="s">
        <v>2655</v>
      </c>
      <c r="Q44" s="1" t="s">
        <v>2656</v>
      </c>
      <c r="R44" s="1">
        <v>6.32</v>
      </c>
      <c r="S44" s="1" t="s">
        <v>1003</v>
      </c>
      <c r="T44" s="1">
        <v>24.081700000000001</v>
      </c>
      <c r="U44" s="1">
        <v>121.5915</v>
      </c>
      <c r="V44" s="1">
        <v>15.8</v>
      </c>
      <c r="W44" s="1" t="s">
        <v>734</v>
      </c>
      <c r="X44" s="1" t="s">
        <v>2571</v>
      </c>
      <c r="Y44" s="1">
        <v>43</v>
      </c>
      <c r="Z44" s="1">
        <v>57</v>
      </c>
      <c r="AA44" s="1">
        <v>100</v>
      </c>
      <c r="AB44" s="1"/>
      <c r="AC44" s="1"/>
      <c r="AD44" s="1"/>
      <c r="AE44" s="1" t="s">
        <v>2566</v>
      </c>
      <c r="AF44" s="1" t="s">
        <v>731</v>
      </c>
      <c r="AG44" s="1"/>
      <c r="AH44" s="1"/>
      <c r="AI44" s="1"/>
      <c r="AJ44" s="1"/>
      <c r="AK44" s="1"/>
      <c r="AL44" s="1" t="s">
        <v>167</v>
      </c>
      <c r="AM44" t="s">
        <v>2658</v>
      </c>
    </row>
    <row r="45" spans="1:39" ht="19" customHeight="1">
      <c r="A45" s="4">
        <v>3635</v>
      </c>
      <c r="B45" s="4" t="s">
        <v>374</v>
      </c>
      <c r="C45" s="4">
        <v>1986</v>
      </c>
      <c r="D45" s="4" t="s">
        <v>783</v>
      </c>
      <c r="E45" s="4">
        <v>6.3</v>
      </c>
      <c r="F45" s="4">
        <v>60</v>
      </c>
      <c r="G45" s="4">
        <v>70.099999999999994</v>
      </c>
      <c r="H45" s="4">
        <v>1.67</v>
      </c>
      <c r="I45" s="4">
        <v>35.6</v>
      </c>
      <c r="J45" s="4">
        <v>116</v>
      </c>
      <c r="K45" s="4">
        <v>73</v>
      </c>
      <c r="L45" s="4">
        <v>1</v>
      </c>
      <c r="M45" s="4">
        <v>0</v>
      </c>
      <c r="N45" s="4" t="s">
        <v>734</v>
      </c>
      <c r="O45" s="1" t="s">
        <v>373</v>
      </c>
      <c r="P45" s="1" t="s">
        <v>2655</v>
      </c>
      <c r="Q45" s="1" t="s">
        <v>2656</v>
      </c>
      <c r="R45" s="1">
        <v>6.32</v>
      </c>
      <c r="S45" s="1" t="s">
        <v>1003</v>
      </c>
      <c r="T45" s="1">
        <v>24.081700000000001</v>
      </c>
      <c r="U45" s="1">
        <v>121.5915</v>
      </c>
      <c r="V45" s="1">
        <v>15.8</v>
      </c>
      <c r="W45" s="1" t="s">
        <v>734</v>
      </c>
      <c r="X45" s="1" t="s">
        <v>2571</v>
      </c>
      <c r="Y45" s="1">
        <v>43</v>
      </c>
      <c r="Z45" s="1">
        <v>57</v>
      </c>
      <c r="AA45" s="1">
        <v>100</v>
      </c>
      <c r="AB45" s="1"/>
      <c r="AC45" s="1"/>
      <c r="AD45" s="1"/>
      <c r="AE45" s="1" t="s">
        <v>2566</v>
      </c>
      <c r="AF45" s="1" t="s">
        <v>731</v>
      </c>
      <c r="AG45" s="1"/>
      <c r="AH45" s="1"/>
      <c r="AI45" s="1"/>
      <c r="AJ45" s="1"/>
      <c r="AK45" s="1"/>
      <c r="AL45" s="1" t="s">
        <v>167</v>
      </c>
      <c r="AM45" t="s">
        <v>2658</v>
      </c>
    </row>
    <row r="46" spans="1:39" ht="19" customHeight="1">
      <c r="A46" s="4">
        <v>3636</v>
      </c>
      <c r="B46" s="4" t="s">
        <v>374</v>
      </c>
      <c r="C46" s="4">
        <v>1986</v>
      </c>
      <c r="D46" s="4" t="s">
        <v>784</v>
      </c>
      <c r="E46" s="4">
        <v>6.3</v>
      </c>
      <c r="F46" s="4">
        <v>59.9</v>
      </c>
      <c r="G46" s="4">
        <v>70</v>
      </c>
      <c r="H46" s="4">
        <v>1.67</v>
      </c>
      <c r="I46" s="4">
        <v>34.1</v>
      </c>
      <c r="J46" s="4">
        <v>112</v>
      </c>
      <c r="K46" s="4">
        <v>69</v>
      </c>
      <c r="L46" s="4">
        <v>1</v>
      </c>
      <c r="M46" s="4">
        <v>0</v>
      </c>
      <c r="N46" s="4" t="s">
        <v>734</v>
      </c>
      <c r="O46" s="1" t="s">
        <v>373</v>
      </c>
      <c r="P46" s="1" t="s">
        <v>2655</v>
      </c>
      <c r="Q46" s="1" t="s">
        <v>2656</v>
      </c>
      <c r="R46" s="1">
        <v>6.32</v>
      </c>
      <c r="S46" s="1" t="s">
        <v>1003</v>
      </c>
      <c r="T46" s="1">
        <v>24.081700000000001</v>
      </c>
      <c r="U46" s="1">
        <v>121.5915</v>
      </c>
      <c r="V46" s="1">
        <v>15.8</v>
      </c>
      <c r="W46" s="1" t="s">
        <v>734</v>
      </c>
      <c r="X46" s="1" t="s">
        <v>2571</v>
      </c>
      <c r="Y46" s="1">
        <v>43</v>
      </c>
      <c r="Z46" s="1">
        <v>57</v>
      </c>
      <c r="AA46" s="1">
        <v>100</v>
      </c>
      <c r="AB46" s="1"/>
      <c r="AC46" s="1"/>
      <c r="AD46" s="1"/>
      <c r="AE46" s="1" t="s">
        <v>2566</v>
      </c>
      <c r="AF46" s="1" t="s">
        <v>731</v>
      </c>
      <c r="AG46" s="1"/>
      <c r="AH46" s="1"/>
      <c r="AI46" s="1"/>
      <c r="AJ46" s="1"/>
      <c r="AK46" s="1"/>
      <c r="AL46" s="1" t="s">
        <v>167</v>
      </c>
      <c r="AM46" t="s">
        <v>2658</v>
      </c>
    </row>
    <row r="47" spans="1:39" ht="19" customHeight="1">
      <c r="A47" s="4">
        <v>3637</v>
      </c>
      <c r="B47" s="4" t="s">
        <v>374</v>
      </c>
      <c r="C47" s="4">
        <v>1986</v>
      </c>
      <c r="D47" s="4" t="s">
        <v>785</v>
      </c>
      <c r="E47" s="4">
        <v>6.3</v>
      </c>
      <c r="F47" s="4">
        <v>59.8</v>
      </c>
      <c r="G47" s="4">
        <v>69.900000000000006</v>
      </c>
      <c r="H47" s="4">
        <v>1.69</v>
      </c>
      <c r="I47" s="4">
        <v>33.5</v>
      </c>
      <c r="J47" s="4">
        <v>120</v>
      </c>
      <c r="K47" s="4">
        <v>77</v>
      </c>
      <c r="L47" s="4">
        <v>1</v>
      </c>
      <c r="M47" s="4">
        <v>0</v>
      </c>
      <c r="N47" s="4" t="s">
        <v>734</v>
      </c>
      <c r="O47" s="1" t="s">
        <v>373</v>
      </c>
      <c r="P47" s="1" t="s">
        <v>2655</v>
      </c>
      <c r="Q47" s="1" t="s">
        <v>2656</v>
      </c>
      <c r="R47" s="1">
        <v>6.32</v>
      </c>
      <c r="S47" s="1" t="s">
        <v>1003</v>
      </c>
      <c r="T47" s="1">
        <v>24.081700000000001</v>
      </c>
      <c r="U47" s="1">
        <v>121.5915</v>
      </c>
      <c r="V47" s="1">
        <v>15.8</v>
      </c>
      <c r="W47" s="1" t="s">
        <v>734</v>
      </c>
      <c r="X47" s="1" t="s">
        <v>2571</v>
      </c>
      <c r="Y47" s="1">
        <v>43</v>
      </c>
      <c r="Z47" s="1">
        <v>57</v>
      </c>
      <c r="AA47" s="1">
        <v>100</v>
      </c>
      <c r="AB47" s="1"/>
      <c r="AC47" s="1"/>
      <c r="AD47" s="1"/>
      <c r="AE47" s="1" t="s">
        <v>2566</v>
      </c>
      <c r="AF47" s="1" t="s">
        <v>731</v>
      </c>
      <c r="AG47" s="1"/>
      <c r="AH47" s="1"/>
      <c r="AI47" s="1"/>
      <c r="AJ47" s="1"/>
      <c r="AK47" s="1"/>
      <c r="AL47" s="1" t="s">
        <v>167</v>
      </c>
      <c r="AM47" t="s">
        <v>2658</v>
      </c>
    </row>
    <row r="48" spans="1:39" ht="19" customHeight="1">
      <c r="A48" s="4">
        <v>3638</v>
      </c>
      <c r="B48" s="4" t="s">
        <v>374</v>
      </c>
      <c r="C48" s="4">
        <v>1986</v>
      </c>
      <c r="D48" s="4" t="s">
        <v>786</v>
      </c>
      <c r="E48" s="4">
        <v>6.3</v>
      </c>
      <c r="F48" s="4">
        <v>59.8</v>
      </c>
      <c r="G48" s="4">
        <v>69.8</v>
      </c>
      <c r="H48" s="4">
        <v>1.67</v>
      </c>
      <c r="I48" s="4">
        <v>33.5</v>
      </c>
      <c r="J48" s="4">
        <v>124</v>
      </c>
      <c r="K48" s="4">
        <v>81</v>
      </c>
      <c r="L48" s="4">
        <v>1</v>
      </c>
      <c r="M48" s="4">
        <v>0</v>
      </c>
      <c r="N48" s="4" t="s">
        <v>734</v>
      </c>
      <c r="O48" s="1" t="s">
        <v>373</v>
      </c>
      <c r="P48" s="1" t="s">
        <v>2655</v>
      </c>
      <c r="Q48" s="1" t="s">
        <v>2656</v>
      </c>
      <c r="R48" s="1">
        <v>6.32</v>
      </c>
      <c r="S48" s="1" t="s">
        <v>1003</v>
      </c>
      <c r="T48" s="1">
        <v>24.081700000000001</v>
      </c>
      <c r="U48" s="1">
        <v>121.5915</v>
      </c>
      <c r="V48" s="1">
        <v>15.8</v>
      </c>
      <c r="W48" s="1" t="s">
        <v>734</v>
      </c>
      <c r="X48" s="1" t="s">
        <v>2571</v>
      </c>
      <c r="Y48" s="1">
        <v>43</v>
      </c>
      <c r="Z48" s="1">
        <v>57</v>
      </c>
      <c r="AA48" s="1">
        <v>100</v>
      </c>
      <c r="AB48" s="1"/>
      <c r="AC48" s="1"/>
      <c r="AD48" s="1"/>
      <c r="AE48" s="1" t="s">
        <v>2566</v>
      </c>
      <c r="AF48" s="1" t="s">
        <v>731</v>
      </c>
      <c r="AG48" s="1"/>
      <c r="AH48" s="1"/>
      <c r="AI48" s="1"/>
      <c r="AJ48" s="1"/>
      <c r="AK48" s="1"/>
      <c r="AL48" s="1" t="s">
        <v>167</v>
      </c>
      <c r="AM48" t="s">
        <v>2658</v>
      </c>
    </row>
    <row r="49" spans="1:39" ht="19" customHeight="1">
      <c r="A49" s="4">
        <v>3639</v>
      </c>
      <c r="B49" s="4" t="s">
        <v>374</v>
      </c>
      <c r="C49" s="4">
        <v>1986</v>
      </c>
      <c r="D49" s="4" t="s">
        <v>787</v>
      </c>
      <c r="E49" s="4">
        <v>6.3</v>
      </c>
      <c r="F49" s="4">
        <v>59.8</v>
      </c>
      <c r="G49" s="4">
        <v>69.8</v>
      </c>
      <c r="H49" s="4">
        <v>1.67</v>
      </c>
      <c r="I49" s="4">
        <v>36.9</v>
      </c>
      <c r="J49" s="4">
        <v>117</v>
      </c>
      <c r="K49" s="4">
        <v>74</v>
      </c>
      <c r="L49" s="4">
        <v>1</v>
      </c>
      <c r="M49" s="4">
        <v>0</v>
      </c>
      <c r="N49" s="4" t="s">
        <v>734</v>
      </c>
      <c r="O49" s="1" t="s">
        <v>373</v>
      </c>
      <c r="P49" s="1" t="s">
        <v>2655</v>
      </c>
      <c r="Q49" s="1" t="s">
        <v>2656</v>
      </c>
      <c r="R49" s="1">
        <v>6.32</v>
      </c>
      <c r="S49" s="1" t="s">
        <v>1003</v>
      </c>
      <c r="T49" s="1">
        <v>24.081700000000001</v>
      </c>
      <c r="U49" s="1">
        <v>121.5915</v>
      </c>
      <c r="V49" s="1">
        <v>15.8</v>
      </c>
      <c r="W49" s="1" t="s">
        <v>734</v>
      </c>
      <c r="X49" s="1" t="s">
        <v>2571</v>
      </c>
      <c r="Y49" s="1">
        <v>43</v>
      </c>
      <c r="Z49" s="1">
        <v>57</v>
      </c>
      <c r="AA49" s="1">
        <v>100</v>
      </c>
      <c r="AB49" s="1"/>
      <c r="AC49" s="1"/>
      <c r="AD49" s="1"/>
      <c r="AE49" s="1" t="s">
        <v>2566</v>
      </c>
      <c r="AF49" s="1" t="s">
        <v>731</v>
      </c>
      <c r="AG49" s="1"/>
      <c r="AH49" s="1"/>
      <c r="AI49" s="1"/>
      <c r="AJ49" s="1"/>
      <c r="AK49" s="1"/>
      <c r="AL49" s="1" t="s">
        <v>167</v>
      </c>
      <c r="AM49" t="s">
        <v>2658</v>
      </c>
    </row>
    <row r="50" spans="1:39" ht="19" customHeight="1">
      <c r="A50" s="4">
        <v>3640</v>
      </c>
      <c r="B50" s="4" t="s">
        <v>374</v>
      </c>
      <c r="C50" s="4">
        <v>1986</v>
      </c>
      <c r="D50" s="4" t="s">
        <v>788</v>
      </c>
      <c r="E50" s="4">
        <v>6.3</v>
      </c>
      <c r="F50" s="4">
        <v>59.8</v>
      </c>
      <c r="G50" s="4">
        <v>69.900000000000006</v>
      </c>
      <c r="H50" s="4">
        <v>1.67</v>
      </c>
      <c r="I50" s="4">
        <v>34.799999999999997</v>
      </c>
      <c r="J50" s="4">
        <v>119</v>
      </c>
      <c r="K50" s="4">
        <v>76</v>
      </c>
      <c r="L50" s="4">
        <v>1</v>
      </c>
      <c r="M50" s="4">
        <v>0</v>
      </c>
      <c r="N50" s="4" t="s">
        <v>734</v>
      </c>
      <c r="O50" s="1" t="s">
        <v>373</v>
      </c>
      <c r="P50" s="1" t="s">
        <v>2655</v>
      </c>
      <c r="Q50" s="1" t="s">
        <v>2656</v>
      </c>
      <c r="R50" s="1">
        <v>6.32</v>
      </c>
      <c r="S50" s="1" t="s">
        <v>1003</v>
      </c>
      <c r="T50" s="1">
        <v>24.081700000000001</v>
      </c>
      <c r="U50" s="1">
        <v>121.5915</v>
      </c>
      <c r="V50" s="1">
        <v>15.8</v>
      </c>
      <c r="W50" s="1" t="s">
        <v>734</v>
      </c>
      <c r="X50" s="1" t="s">
        <v>2571</v>
      </c>
      <c r="Y50" s="1">
        <v>43</v>
      </c>
      <c r="Z50" s="1">
        <v>57</v>
      </c>
      <c r="AA50" s="1">
        <v>100</v>
      </c>
      <c r="AB50" s="1"/>
      <c r="AC50" s="1"/>
      <c r="AD50" s="1"/>
      <c r="AE50" s="1" t="s">
        <v>2566</v>
      </c>
      <c r="AF50" s="1" t="s">
        <v>731</v>
      </c>
      <c r="AG50" s="1"/>
      <c r="AH50" s="1"/>
      <c r="AI50" s="1"/>
      <c r="AJ50" s="1"/>
      <c r="AK50" s="1"/>
      <c r="AL50" s="1" t="s">
        <v>167</v>
      </c>
      <c r="AM50" t="s">
        <v>2658</v>
      </c>
    </row>
    <row r="51" spans="1:39" ht="19" customHeight="1">
      <c r="A51" s="4">
        <v>3641</v>
      </c>
      <c r="B51" s="4" t="s">
        <v>374</v>
      </c>
      <c r="C51" s="4">
        <v>1986</v>
      </c>
      <c r="D51" s="4" t="s">
        <v>789</v>
      </c>
      <c r="E51" s="4">
        <v>6.3</v>
      </c>
      <c r="F51" s="4">
        <v>60</v>
      </c>
      <c r="G51" s="4">
        <v>70.099999999999994</v>
      </c>
      <c r="H51" s="4">
        <v>1.57</v>
      </c>
      <c r="I51" s="4">
        <v>31.3</v>
      </c>
      <c r="J51" s="4">
        <v>121</v>
      </c>
      <c r="K51" s="4">
        <v>78</v>
      </c>
      <c r="L51" s="4">
        <v>1</v>
      </c>
      <c r="M51" s="4">
        <v>0</v>
      </c>
      <c r="N51" s="4" t="s">
        <v>734</v>
      </c>
      <c r="O51" s="1" t="s">
        <v>373</v>
      </c>
      <c r="P51" s="1" t="s">
        <v>2655</v>
      </c>
      <c r="Q51" s="1" t="s">
        <v>2656</v>
      </c>
      <c r="R51" s="1">
        <v>6.32</v>
      </c>
      <c r="S51" s="1" t="s">
        <v>1003</v>
      </c>
      <c r="T51" s="1">
        <v>24.081700000000001</v>
      </c>
      <c r="U51" s="1">
        <v>121.5915</v>
      </c>
      <c r="V51" s="1">
        <v>15.8</v>
      </c>
      <c r="W51" s="1" t="s">
        <v>734</v>
      </c>
      <c r="X51" s="1" t="s">
        <v>2571</v>
      </c>
      <c r="Y51" s="1">
        <v>43</v>
      </c>
      <c r="Z51" s="1">
        <v>57</v>
      </c>
      <c r="AA51" s="1">
        <v>100</v>
      </c>
      <c r="AB51" s="1"/>
      <c r="AC51" s="1"/>
      <c r="AD51" s="1"/>
      <c r="AE51" s="1" t="s">
        <v>2566</v>
      </c>
      <c r="AF51" s="1" t="s">
        <v>731</v>
      </c>
      <c r="AG51" s="1"/>
      <c r="AH51" s="1"/>
      <c r="AI51" s="1"/>
      <c r="AJ51" s="1"/>
      <c r="AK51" s="1"/>
      <c r="AL51" s="1" t="s">
        <v>167</v>
      </c>
      <c r="AM51" t="s">
        <v>2658</v>
      </c>
    </row>
    <row r="52" spans="1:39" ht="19" customHeight="1">
      <c r="A52" s="4">
        <v>3642</v>
      </c>
      <c r="B52" s="4" t="s">
        <v>374</v>
      </c>
      <c r="C52" s="4">
        <v>1986</v>
      </c>
      <c r="D52" s="4" t="s">
        <v>790</v>
      </c>
      <c r="E52" s="4">
        <v>6.3</v>
      </c>
      <c r="F52" s="4">
        <v>60.1</v>
      </c>
      <c r="G52" s="4">
        <v>70.2</v>
      </c>
      <c r="H52" s="4">
        <v>1.57</v>
      </c>
      <c r="I52" s="4">
        <v>32.700000000000003</v>
      </c>
      <c r="J52" s="4">
        <v>111</v>
      </c>
      <c r="K52" s="4">
        <v>68</v>
      </c>
      <c r="L52" s="4">
        <v>1</v>
      </c>
      <c r="M52" s="4">
        <v>0</v>
      </c>
      <c r="N52" s="4" t="s">
        <v>734</v>
      </c>
      <c r="O52" s="1" t="s">
        <v>373</v>
      </c>
      <c r="P52" s="1" t="s">
        <v>2655</v>
      </c>
      <c r="Q52" s="1" t="s">
        <v>2656</v>
      </c>
      <c r="R52" s="1">
        <v>6.32</v>
      </c>
      <c r="S52" s="1" t="s">
        <v>1003</v>
      </c>
      <c r="T52" s="1">
        <v>24.081700000000001</v>
      </c>
      <c r="U52" s="1">
        <v>121.5915</v>
      </c>
      <c r="V52" s="1">
        <v>15.8</v>
      </c>
      <c r="W52" s="1" t="s">
        <v>734</v>
      </c>
      <c r="X52" s="1" t="s">
        <v>2571</v>
      </c>
      <c r="Y52" s="1">
        <v>43</v>
      </c>
      <c r="Z52" s="1">
        <v>57</v>
      </c>
      <c r="AA52" s="1">
        <v>100</v>
      </c>
      <c r="AB52" s="1"/>
      <c r="AC52" s="1"/>
      <c r="AD52" s="1"/>
      <c r="AE52" s="1" t="s">
        <v>2566</v>
      </c>
      <c r="AF52" s="1" t="s">
        <v>731</v>
      </c>
      <c r="AG52" s="1"/>
      <c r="AH52" s="1"/>
      <c r="AI52" s="1"/>
      <c r="AJ52" s="1"/>
      <c r="AK52" s="1"/>
      <c r="AL52" s="1" t="s">
        <v>167</v>
      </c>
      <c r="AM52" t="s">
        <v>2658</v>
      </c>
    </row>
    <row r="53" spans="1:39" ht="19" customHeight="1">
      <c r="A53" s="4">
        <v>3643</v>
      </c>
      <c r="B53" s="4" t="s">
        <v>374</v>
      </c>
      <c r="C53" s="4">
        <v>1986</v>
      </c>
      <c r="D53" s="4" t="s">
        <v>791</v>
      </c>
      <c r="E53" s="4">
        <v>6.3</v>
      </c>
      <c r="F53" s="4">
        <v>60.9</v>
      </c>
      <c r="G53" s="4">
        <v>71</v>
      </c>
      <c r="H53" s="4">
        <v>1.48</v>
      </c>
      <c r="I53" s="4">
        <v>29.7</v>
      </c>
      <c r="J53" s="4">
        <v>117</v>
      </c>
      <c r="K53" s="4">
        <v>74</v>
      </c>
      <c r="L53" s="4">
        <v>1</v>
      </c>
      <c r="M53" s="4">
        <v>0</v>
      </c>
      <c r="N53" s="4" t="s">
        <v>734</v>
      </c>
      <c r="O53" s="1" t="s">
        <v>373</v>
      </c>
      <c r="P53" s="1" t="s">
        <v>2655</v>
      </c>
      <c r="Q53" s="1" t="s">
        <v>2656</v>
      </c>
      <c r="R53" s="1">
        <v>6.32</v>
      </c>
      <c r="S53" s="1" t="s">
        <v>1003</v>
      </c>
      <c r="T53" s="1">
        <v>24.081700000000001</v>
      </c>
      <c r="U53" s="1">
        <v>121.5915</v>
      </c>
      <c r="V53" s="1">
        <v>15.8</v>
      </c>
      <c r="W53" s="1" t="s">
        <v>734</v>
      </c>
      <c r="X53" s="1" t="s">
        <v>2571</v>
      </c>
      <c r="Y53" s="1">
        <v>43</v>
      </c>
      <c r="Z53" s="1">
        <v>57</v>
      </c>
      <c r="AA53" s="1">
        <v>100</v>
      </c>
      <c r="AB53" s="1"/>
      <c r="AC53" s="1"/>
      <c r="AD53" s="1"/>
      <c r="AE53" s="1" t="s">
        <v>2566</v>
      </c>
      <c r="AF53" s="1" t="s">
        <v>731</v>
      </c>
      <c r="AG53" s="1"/>
      <c r="AH53" s="1"/>
      <c r="AI53" s="1"/>
      <c r="AJ53" s="1"/>
      <c r="AK53" s="1"/>
      <c r="AL53" s="1" t="s">
        <v>167</v>
      </c>
      <c r="AM53" t="s">
        <v>2658</v>
      </c>
    </row>
    <row r="54" spans="1:39" ht="19" customHeight="1">
      <c r="A54" s="4">
        <v>3644</v>
      </c>
      <c r="B54" s="4" t="s">
        <v>374</v>
      </c>
      <c r="C54" s="4">
        <v>1986</v>
      </c>
      <c r="D54" s="4" t="s">
        <v>792</v>
      </c>
      <c r="E54" s="4">
        <v>6.3</v>
      </c>
      <c r="F54" s="4">
        <v>60.5</v>
      </c>
      <c r="G54" s="4">
        <v>70.5</v>
      </c>
      <c r="H54" s="4">
        <v>1.57</v>
      </c>
      <c r="I54" s="4">
        <v>34</v>
      </c>
      <c r="J54" s="4">
        <v>118</v>
      </c>
      <c r="K54" s="4">
        <v>75</v>
      </c>
      <c r="L54" s="4">
        <v>1</v>
      </c>
      <c r="M54" s="4">
        <v>0</v>
      </c>
      <c r="N54" s="4" t="s">
        <v>734</v>
      </c>
      <c r="O54" s="1" t="s">
        <v>373</v>
      </c>
      <c r="P54" s="1" t="s">
        <v>2655</v>
      </c>
      <c r="Q54" s="1" t="s">
        <v>2656</v>
      </c>
      <c r="R54" s="1">
        <v>6.32</v>
      </c>
      <c r="S54" s="1" t="s">
        <v>1003</v>
      </c>
      <c r="T54" s="1">
        <v>24.081700000000001</v>
      </c>
      <c r="U54" s="1">
        <v>121.5915</v>
      </c>
      <c r="V54" s="1">
        <v>15.8</v>
      </c>
      <c r="W54" s="1" t="s">
        <v>734</v>
      </c>
      <c r="X54" s="1" t="s">
        <v>2571</v>
      </c>
      <c r="Y54" s="1">
        <v>43</v>
      </c>
      <c r="Z54" s="1">
        <v>57</v>
      </c>
      <c r="AA54" s="1">
        <v>100</v>
      </c>
      <c r="AB54" s="1"/>
      <c r="AC54" s="1"/>
      <c r="AD54" s="1"/>
      <c r="AE54" s="1" t="s">
        <v>2566</v>
      </c>
      <c r="AF54" s="1" t="s">
        <v>731</v>
      </c>
      <c r="AG54" s="1"/>
      <c r="AH54" s="1"/>
      <c r="AI54" s="1"/>
      <c r="AJ54" s="1"/>
      <c r="AK54" s="1"/>
      <c r="AL54" s="1" t="s">
        <v>167</v>
      </c>
      <c r="AM54" t="s">
        <v>2658</v>
      </c>
    </row>
    <row r="55" spans="1:39" ht="19" customHeight="1">
      <c r="A55" s="4">
        <v>3645</v>
      </c>
      <c r="B55" s="4" t="s">
        <v>374</v>
      </c>
      <c r="C55" s="4">
        <v>1986</v>
      </c>
      <c r="D55" s="4" t="s">
        <v>793</v>
      </c>
      <c r="E55" s="4">
        <v>6.3</v>
      </c>
      <c r="F55" s="4">
        <v>59.9</v>
      </c>
      <c r="G55" s="4">
        <v>70</v>
      </c>
      <c r="H55" s="4">
        <v>1.51</v>
      </c>
      <c r="I55" s="4">
        <v>33.1</v>
      </c>
      <c r="J55" s="4">
        <v>108</v>
      </c>
      <c r="K55" s="4">
        <v>65</v>
      </c>
      <c r="L55" s="4">
        <v>1</v>
      </c>
      <c r="M55" s="4">
        <v>0</v>
      </c>
      <c r="N55" s="4" t="s">
        <v>734</v>
      </c>
      <c r="O55" s="1" t="s">
        <v>373</v>
      </c>
      <c r="P55" s="1" t="s">
        <v>2655</v>
      </c>
      <c r="Q55" s="1" t="s">
        <v>2656</v>
      </c>
      <c r="R55" s="1">
        <v>6.32</v>
      </c>
      <c r="S55" s="1" t="s">
        <v>1003</v>
      </c>
      <c r="T55" s="1">
        <v>24.081700000000001</v>
      </c>
      <c r="U55" s="1">
        <v>121.5915</v>
      </c>
      <c r="V55" s="1">
        <v>15.8</v>
      </c>
      <c r="W55" s="1" t="s">
        <v>734</v>
      </c>
      <c r="X55" s="1" t="s">
        <v>2571</v>
      </c>
      <c r="Y55" s="1">
        <v>43</v>
      </c>
      <c r="Z55" s="1">
        <v>57</v>
      </c>
      <c r="AA55" s="1">
        <v>100</v>
      </c>
      <c r="AB55" s="1"/>
      <c r="AC55" s="1"/>
      <c r="AD55" s="1"/>
      <c r="AE55" s="1" t="s">
        <v>2566</v>
      </c>
      <c r="AF55" s="1" t="s">
        <v>731</v>
      </c>
      <c r="AG55" s="1"/>
      <c r="AH55" s="1"/>
      <c r="AI55" s="1"/>
      <c r="AJ55" s="1"/>
      <c r="AK55" s="1"/>
      <c r="AL55" s="1" t="s">
        <v>167</v>
      </c>
      <c r="AM55" t="s">
        <v>2658</v>
      </c>
    </row>
    <row r="56" spans="1:39" ht="19" customHeight="1">
      <c r="A56" s="4">
        <v>3646</v>
      </c>
      <c r="B56" s="4" t="s">
        <v>374</v>
      </c>
      <c r="C56" s="4">
        <v>1986</v>
      </c>
      <c r="D56" s="4" t="s">
        <v>794</v>
      </c>
      <c r="E56" s="4">
        <v>6.3</v>
      </c>
      <c r="F56" s="4">
        <v>59.5</v>
      </c>
      <c r="G56" s="4">
        <v>69.599999999999994</v>
      </c>
      <c r="H56" s="4">
        <v>1.57</v>
      </c>
      <c r="I56" s="4">
        <v>36.200000000000003</v>
      </c>
      <c r="J56" s="4">
        <v>103</v>
      </c>
      <c r="K56" s="4">
        <v>60</v>
      </c>
      <c r="L56" s="4">
        <v>1</v>
      </c>
      <c r="M56" s="4">
        <v>0</v>
      </c>
      <c r="N56" s="4" t="s">
        <v>734</v>
      </c>
      <c r="O56" s="1" t="s">
        <v>373</v>
      </c>
      <c r="P56" s="1" t="s">
        <v>2655</v>
      </c>
      <c r="Q56" s="1" t="s">
        <v>2656</v>
      </c>
      <c r="R56" s="1">
        <v>6.32</v>
      </c>
      <c r="S56" s="1" t="s">
        <v>1003</v>
      </c>
      <c r="T56" s="1">
        <v>24.081700000000001</v>
      </c>
      <c r="U56" s="1">
        <v>121.5915</v>
      </c>
      <c r="V56" s="1">
        <v>15.8</v>
      </c>
      <c r="W56" s="1" t="s">
        <v>734</v>
      </c>
      <c r="X56" s="1" t="s">
        <v>2571</v>
      </c>
      <c r="Y56" s="1">
        <v>43</v>
      </c>
      <c r="Z56" s="1">
        <v>57</v>
      </c>
      <c r="AA56" s="1">
        <v>100</v>
      </c>
      <c r="AB56" s="1"/>
      <c r="AC56" s="1"/>
      <c r="AD56" s="1"/>
      <c r="AE56" s="1" t="s">
        <v>2566</v>
      </c>
      <c r="AF56" s="1" t="s">
        <v>731</v>
      </c>
      <c r="AG56" s="1"/>
      <c r="AH56" s="1"/>
      <c r="AI56" s="1"/>
      <c r="AJ56" s="1"/>
      <c r="AK56" s="1"/>
      <c r="AL56" s="1" t="s">
        <v>167</v>
      </c>
      <c r="AM56" t="s">
        <v>2658</v>
      </c>
    </row>
    <row r="57" spans="1:39" ht="19" customHeight="1">
      <c r="A57" s="4">
        <v>3647</v>
      </c>
      <c r="B57" s="4" t="s">
        <v>374</v>
      </c>
      <c r="C57" s="4">
        <v>1986</v>
      </c>
      <c r="D57" s="4" t="s">
        <v>795</v>
      </c>
      <c r="E57" s="4">
        <v>6.3</v>
      </c>
      <c r="F57" s="4">
        <v>59.1</v>
      </c>
      <c r="G57" s="4">
        <v>69.2</v>
      </c>
      <c r="H57" s="4">
        <v>1.51</v>
      </c>
      <c r="I57" s="4">
        <v>37.299999999999997</v>
      </c>
      <c r="J57" s="4">
        <v>105</v>
      </c>
      <c r="K57" s="4">
        <v>62</v>
      </c>
      <c r="L57" s="4">
        <v>1</v>
      </c>
      <c r="M57" s="4">
        <v>0</v>
      </c>
      <c r="N57" s="4" t="s">
        <v>734</v>
      </c>
      <c r="O57" s="1" t="s">
        <v>373</v>
      </c>
      <c r="P57" s="1" t="s">
        <v>2655</v>
      </c>
      <c r="Q57" s="1" t="s">
        <v>2656</v>
      </c>
      <c r="R57" s="1">
        <v>6.32</v>
      </c>
      <c r="S57" s="1" t="s">
        <v>1003</v>
      </c>
      <c r="T57" s="1">
        <v>24.081700000000001</v>
      </c>
      <c r="U57" s="1">
        <v>121.5915</v>
      </c>
      <c r="V57" s="1">
        <v>15.8</v>
      </c>
      <c r="W57" s="1" t="s">
        <v>734</v>
      </c>
      <c r="X57" s="1" t="s">
        <v>2571</v>
      </c>
      <c r="Y57" s="1">
        <v>43</v>
      </c>
      <c r="Z57" s="1">
        <v>57</v>
      </c>
      <c r="AA57" s="1">
        <v>100</v>
      </c>
      <c r="AB57" s="1"/>
      <c r="AC57" s="1"/>
      <c r="AD57" s="1"/>
      <c r="AE57" s="1" t="s">
        <v>2566</v>
      </c>
      <c r="AF57" s="1" t="s">
        <v>731</v>
      </c>
      <c r="AG57" s="1"/>
      <c r="AH57" s="1"/>
      <c r="AI57" s="1"/>
      <c r="AJ57" s="1"/>
      <c r="AK57" s="1"/>
      <c r="AL57" s="1" t="s">
        <v>167</v>
      </c>
      <c r="AM57" t="s">
        <v>2658</v>
      </c>
    </row>
    <row r="58" spans="1:39" ht="19" customHeight="1">
      <c r="A58" s="4">
        <v>3649</v>
      </c>
      <c r="B58" s="4" t="s">
        <v>374</v>
      </c>
      <c r="C58" s="4">
        <v>1986</v>
      </c>
      <c r="D58" s="4" t="s">
        <v>796</v>
      </c>
      <c r="E58" s="4">
        <v>6.3</v>
      </c>
      <c r="F58" s="4">
        <v>59.4</v>
      </c>
      <c r="G58" s="4">
        <v>69.400000000000006</v>
      </c>
      <c r="H58" s="4">
        <v>1.57</v>
      </c>
      <c r="I58" s="4">
        <v>30.8</v>
      </c>
      <c r="J58" s="4">
        <v>102</v>
      </c>
      <c r="K58" s="4">
        <v>59</v>
      </c>
      <c r="L58" s="4">
        <v>0</v>
      </c>
      <c r="M58" s="4">
        <v>0</v>
      </c>
      <c r="N58" s="4" t="s">
        <v>734</v>
      </c>
      <c r="O58" s="1" t="s">
        <v>373</v>
      </c>
      <c r="P58" s="1" t="s">
        <v>2655</v>
      </c>
      <c r="Q58" s="1" t="s">
        <v>2656</v>
      </c>
      <c r="R58" s="1">
        <v>6.32</v>
      </c>
      <c r="S58" s="1" t="s">
        <v>1003</v>
      </c>
      <c r="T58" s="1">
        <v>24.081700000000001</v>
      </c>
      <c r="U58" s="1">
        <v>121.5915</v>
      </c>
      <c r="V58" s="1">
        <v>15.8</v>
      </c>
      <c r="W58" s="1" t="s">
        <v>734</v>
      </c>
      <c r="X58" s="1" t="s">
        <v>2571</v>
      </c>
      <c r="Y58" s="1">
        <v>43</v>
      </c>
      <c r="Z58" s="1">
        <v>57</v>
      </c>
      <c r="AA58" s="1">
        <v>100</v>
      </c>
      <c r="AB58" s="1"/>
      <c r="AC58" s="1"/>
      <c r="AD58" s="1"/>
      <c r="AE58" s="1" t="s">
        <v>2566</v>
      </c>
      <c r="AF58" s="1" t="s">
        <v>731</v>
      </c>
      <c r="AG58" s="1"/>
      <c r="AH58" s="1"/>
      <c r="AI58" s="1"/>
      <c r="AJ58" s="1"/>
      <c r="AK58" s="1"/>
      <c r="AL58" s="1" t="s">
        <v>167</v>
      </c>
      <c r="AM58" t="s">
        <v>2658</v>
      </c>
    </row>
    <row r="59" spans="1:39" ht="19" customHeight="1">
      <c r="A59" s="4">
        <v>3650</v>
      </c>
      <c r="B59" s="4" t="s">
        <v>374</v>
      </c>
      <c r="C59" s="4">
        <v>1986</v>
      </c>
      <c r="D59" s="4" t="s">
        <v>797</v>
      </c>
      <c r="E59" s="4">
        <v>6.3</v>
      </c>
      <c r="F59" s="4">
        <v>59.9</v>
      </c>
      <c r="G59" s="4">
        <v>69.900000000000006</v>
      </c>
      <c r="H59" s="4">
        <v>1.6</v>
      </c>
      <c r="I59" s="4">
        <v>30.4</v>
      </c>
      <c r="J59" s="4">
        <v>111</v>
      </c>
      <c r="K59" s="4">
        <v>68</v>
      </c>
      <c r="L59" s="4">
        <v>0</v>
      </c>
      <c r="M59" s="4">
        <v>0</v>
      </c>
      <c r="N59" s="4" t="s">
        <v>734</v>
      </c>
      <c r="O59" s="1" t="s">
        <v>373</v>
      </c>
      <c r="P59" s="1" t="s">
        <v>2655</v>
      </c>
      <c r="Q59" s="1" t="s">
        <v>2656</v>
      </c>
      <c r="R59" s="1">
        <v>6.32</v>
      </c>
      <c r="S59" s="1" t="s">
        <v>1003</v>
      </c>
      <c r="T59" s="1">
        <v>24.081700000000001</v>
      </c>
      <c r="U59" s="1">
        <v>121.5915</v>
      </c>
      <c r="V59" s="1">
        <v>15.8</v>
      </c>
      <c r="W59" s="1" t="s">
        <v>734</v>
      </c>
      <c r="X59" s="1" t="s">
        <v>2571</v>
      </c>
      <c r="Y59" s="1">
        <v>43</v>
      </c>
      <c r="Z59" s="1">
        <v>57</v>
      </c>
      <c r="AA59" s="1">
        <v>100</v>
      </c>
      <c r="AB59" s="1"/>
      <c r="AC59" s="1"/>
      <c r="AD59" s="1"/>
      <c r="AE59" s="1" t="s">
        <v>2566</v>
      </c>
      <c r="AF59" s="1" t="s">
        <v>731</v>
      </c>
      <c r="AG59" s="1"/>
      <c r="AH59" s="1"/>
      <c r="AI59" s="1"/>
      <c r="AJ59" s="1"/>
      <c r="AK59" s="1"/>
      <c r="AL59" s="1" t="s">
        <v>167</v>
      </c>
      <c r="AM59" t="s">
        <v>2658</v>
      </c>
    </row>
    <row r="60" spans="1:39" ht="19" customHeight="1">
      <c r="A60" s="4">
        <v>3652</v>
      </c>
      <c r="B60" s="4" t="s">
        <v>374</v>
      </c>
      <c r="C60" s="4">
        <v>1986</v>
      </c>
      <c r="D60" s="4" t="s">
        <v>798</v>
      </c>
      <c r="E60" s="4">
        <v>6.3</v>
      </c>
      <c r="F60" s="4">
        <v>60.8</v>
      </c>
      <c r="G60" s="4">
        <v>70.8</v>
      </c>
      <c r="H60" s="4">
        <v>1.44</v>
      </c>
      <c r="I60" s="4">
        <v>25</v>
      </c>
      <c r="J60" s="4">
        <v>144</v>
      </c>
      <c r="K60" s="4">
        <v>79</v>
      </c>
      <c r="L60" s="4">
        <v>1</v>
      </c>
      <c r="M60" s="4">
        <v>0</v>
      </c>
      <c r="N60" s="4" t="s">
        <v>734</v>
      </c>
      <c r="O60" s="1" t="s">
        <v>373</v>
      </c>
      <c r="P60" s="1" t="s">
        <v>2655</v>
      </c>
      <c r="Q60" s="1" t="s">
        <v>2656</v>
      </c>
      <c r="R60" s="1">
        <v>6.32</v>
      </c>
      <c r="S60" s="1" t="s">
        <v>1003</v>
      </c>
      <c r="T60" s="1">
        <v>24.081700000000001</v>
      </c>
      <c r="U60" s="1">
        <v>121.5915</v>
      </c>
      <c r="V60" s="1">
        <v>15.8</v>
      </c>
      <c r="W60" s="1" t="s">
        <v>734</v>
      </c>
      <c r="X60" s="1" t="s">
        <v>2571</v>
      </c>
      <c r="Y60" s="1">
        <v>43</v>
      </c>
      <c r="Z60" s="1">
        <v>57</v>
      </c>
      <c r="AA60" s="1">
        <v>100</v>
      </c>
      <c r="AB60" s="1"/>
      <c r="AC60" s="1"/>
      <c r="AD60" s="1"/>
      <c r="AE60" s="1" t="s">
        <v>2566</v>
      </c>
      <c r="AF60" s="1" t="s">
        <v>731</v>
      </c>
      <c r="AG60" s="1"/>
      <c r="AH60" s="1"/>
      <c r="AI60" s="1"/>
      <c r="AJ60" s="1"/>
      <c r="AK60" s="1"/>
      <c r="AL60" s="1" t="s">
        <v>167</v>
      </c>
      <c r="AM60" t="s">
        <v>2658</v>
      </c>
    </row>
    <row r="61" spans="1:39" ht="19" customHeight="1">
      <c r="A61" s="4">
        <v>3655</v>
      </c>
      <c r="B61" s="4" t="s">
        <v>374</v>
      </c>
      <c r="C61" s="4">
        <v>1986</v>
      </c>
      <c r="D61" s="4" t="s">
        <v>799</v>
      </c>
      <c r="E61" s="4">
        <v>6.3</v>
      </c>
      <c r="F61" s="4">
        <v>60</v>
      </c>
      <c r="G61" s="4">
        <v>70.099999999999994</v>
      </c>
      <c r="H61" s="4">
        <v>1.44</v>
      </c>
      <c r="I61" s="4">
        <v>36.700000000000003</v>
      </c>
      <c r="J61" s="4">
        <v>98</v>
      </c>
      <c r="K61" s="4">
        <v>55</v>
      </c>
      <c r="L61" s="4">
        <v>1</v>
      </c>
      <c r="M61" s="4">
        <v>0</v>
      </c>
      <c r="N61" s="4" t="s">
        <v>734</v>
      </c>
      <c r="O61" s="1" t="s">
        <v>373</v>
      </c>
      <c r="P61" s="1" t="s">
        <v>2655</v>
      </c>
      <c r="Q61" s="1" t="s">
        <v>2656</v>
      </c>
      <c r="R61" s="1">
        <v>6.32</v>
      </c>
      <c r="S61" s="1" t="s">
        <v>1003</v>
      </c>
      <c r="T61" s="1">
        <v>24.081700000000001</v>
      </c>
      <c r="U61" s="1">
        <v>121.5915</v>
      </c>
      <c r="V61" s="1">
        <v>15.8</v>
      </c>
      <c r="W61" s="1" t="s">
        <v>734</v>
      </c>
      <c r="X61" s="1" t="s">
        <v>2571</v>
      </c>
      <c r="Y61" s="1">
        <v>43</v>
      </c>
      <c r="Z61" s="1">
        <v>57</v>
      </c>
      <c r="AA61" s="1">
        <v>100</v>
      </c>
      <c r="AB61" s="1"/>
      <c r="AC61" s="1"/>
      <c r="AD61" s="1"/>
      <c r="AE61" s="1" t="s">
        <v>2566</v>
      </c>
      <c r="AF61" s="1" t="s">
        <v>731</v>
      </c>
      <c r="AG61" s="1"/>
      <c r="AH61" s="1"/>
      <c r="AI61" s="1"/>
      <c r="AJ61" s="1"/>
      <c r="AK61" s="1"/>
      <c r="AL61" s="1" t="s">
        <v>167</v>
      </c>
      <c r="AM61" t="s">
        <v>2658</v>
      </c>
    </row>
    <row r="62" spans="1:39" ht="19" customHeight="1">
      <c r="A62" s="4">
        <v>3656</v>
      </c>
      <c r="B62" s="4" t="s">
        <v>374</v>
      </c>
      <c r="C62" s="4">
        <v>1986</v>
      </c>
      <c r="D62" s="4" t="s">
        <v>800</v>
      </c>
      <c r="E62" s="4">
        <v>6.3</v>
      </c>
      <c r="F62" s="4">
        <v>59</v>
      </c>
      <c r="G62" s="4">
        <v>69.2</v>
      </c>
      <c r="H62" s="4">
        <v>1.48</v>
      </c>
      <c r="I62" s="4">
        <v>33.4</v>
      </c>
      <c r="J62" s="4">
        <v>97</v>
      </c>
      <c r="K62" s="4">
        <v>54</v>
      </c>
      <c r="L62" s="4">
        <v>1</v>
      </c>
      <c r="M62" s="4">
        <v>0</v>
      </c>
      <c r="N62" s="4" t="s">
        <v>734</v>
      </c>
      <c r="O62" s="1" t="s">
        <v>373</v>
      </c>
      <c r="P62" s="1" t="s">
        <v>2655</v>
      </c>
      <c r="Q62" s="1" t="s">
        <v>2656</v>
      </c>
      <c r="R62" s="1">
        <v>6.32</v>
      </c>
      <c r="S62" s="1" t="s">
        <v>1003</v>
      </c>
      <c r="T62" s="1">
        <v>24.081700000000001</v>
      </c>
      <c r="U62" s="1">
        <v>121.5915</v>
      </c>
      <c r="V62" s="1">
        <v>15.8</v>
      </c>
      <c r="W62" s="1" t="s">
        <v>734</v>
      </c>
      <c r="X62" s="1" t="s">
        <v>2571</v>
      </c>
      <c r="Y62" s="1">
        <v>43</v>
      </c>
      <c r="Z62" s="1">
        <v>57</v>
      </c>
      <c r="AA62" s="1">
        <v>100</v>
      </c>
      <c r="AB62" s="1"/>
      <c r="AC62" s="1"/>
      <c r="AD62" s="1"/>
      <c r="AE62" s="1" t="s">
        <v>2566</v>
      </c>
      <c r="AF62" s="1" t="s">
        <v>731</v>
      </c>
      <c r="AG62" s="1"/>
      <c r="AH62" s="1"/>
      <c r="AI62" s="1"/>
      <c r="AJ62" s="1"/>
      <c r="AK62" s="1"/>
      <c r="AL62" s="1" t="s">
        <v>167</v>
      </c>
      <c r="AM62" t="s">
        <v>2658</v>
      </c>
    </row>
    <row r="63" spans="1:39" ht="19" customHeight="1">
      <c r="A63" s="4">
        <v>3657</v>
      </c>
      <c r="B63" s="4" t="s">
        <v>374</v>
      </c>
      <c r="C63" s="4">
        <v>1986</v>
      </c>
      <c r="D63" s="4" t="s">
        <v>801</v>
      </c>
      <c r="E63" s="4">
        <v>6.3</v>
      </c>
      <c r="F63" s="4">
        <v>58.2</v>
      </c>
      <c r="G63" s="4">
        <v>68.3</v>
      </c>
      <c r="H63" s="4">
        <v>1.6</v>
      </c>
      <c r="I63" s="4">
        <v>34.299999999999997</v>
      </c>
      <c r="J63" s="4">
        <v>105</v>
      </c>
      <c r="K63" s="4">
        <v>62</v>
      </c>
      <c r="L63" s="4">
        <v>1</v>
      </c>
      <c r="M63" s="4">
        <v>0</v>
      </c>
      <c r="N63" s="4" t="s">
        <v>734</v>
      </c>
      <c r="O63" s="1" t="s">
        <v>373</v>
      </c>
      <c r="P63" s="1" t="s">
        <v>2655</v>
      </c>
      <c r="Q63" s="1" t="s">
        <v>2656</v>
      </c>
      <c r="R63" s="1">
        <v>6.32</v>
      </c>
      <c r="S63" s="1" t="s">
        <v>1003</v>
      </c>
      <c r="T63" s="1">
        <v>24.081700000000001</v>
      </c>
      <c r="U63" s="1">
        <v>121.5915</v>
      </c>
      <c r="V63" s="1">
        <v>15.8</v>
      </c>
      <c r="W63" s="1" t="s">
        <v>734</v>
      </c>
      <c r="X63" s="1" t="s">
        <v>2571</v>
      </c>
      <c r="Y63" s="1">
        <v>43</v>
      </c>
      <c r="Z63" s="1">
        <v>57</v>
      </c>
      <c r="AA63" s="1">
        <v>100</v>
      </c>
      <c r="AB63" s="1"/>
      <c r="AC63" s="1"/>
      <c r="AD63" s="1"/>
      <c r="AE63" s="1" t="s">
        <v>2566</v>
      </c>
      <c r="AF63" s="1" t="s">
        <v>731</v>
      </c>
      <c r="AG63" s="1"/>
      <c r="AH63" s="1"/>
      <c r="AI63" s="1"/>
      <c r="AJ63" s="1"/>
      <c r="AK63" s="1"/>
      <c r="AL63" s="1" t="s">
        <v>167</v>
      </c>
      <c r="AM63" t="s">
        <v>2658</v>
      </c>
    </row>
    <row r="64" spans="1:39" ht="19" customHeight="1">
      <c r="A64" s="4">
        <v>3658</v>
      </c>
      <c r="B64" s="4" t="s">
        <v>374</v>
      </c>
      <c r="C64" s="4">
        <v>1986</v>
      </c>
      <c r="D64" s="4" t="s">
        <v>802</v>
      </c>
      <c r="E64" s="4">
        <v>6.3</v>
      </c>
      <c r="F64" s="4">
        <v>58.1</v>
      </c>
      <c r="G64" s="4">
        <v>68.2</v>
      </c>
      <c r="H64" s="4">
        <v>1.44</v>
      </c>
      <c r="I64" s="4">
        <v>31.9</v>
      </c>
      <c r="J64" s="4">
        <v>113</v>
      </c>
      <c r="K64" s="4">
        <v>70</v>
      </c>
      <c r="L64" s="4">
        <v>1</v>
      </c>
      <c r="M64" s="4">
        <v>0</v>
      </c>
      <c r="N64" s="4" t="s">
        <v>734</v>
      </c>
      <c r="O64" s="1" t="s">
        <v>373</v>
      </c>
      <c r="P64" s="1" t="s">
        <v>2655</v>
      </c>
      <c r="Q64" s="1" t="s">
        <v>2656</v>
      </c>
      <c r="R64" s="1">
        <v>6.32</v>
      </c>
      <c r="S64" s="1" t="s">
        <v>1003</v>
      </c>
      <c r="T64" s="1">
        <v>24.081700000000001</v>
      </c>
      <c r="U64" s="1">
        <v>121.5915</v>
      </c>
      <c r="V64" s="1">
        <v>15.8</v>
      </c>
      <c r="W64" s="1" t="s">
        <v>734</v>
      </c>
      <c r="X64" s="1" t="s">
        <v>2571</v>
      </c>
      <c r="Y64" s="1">
        <v>43</v>
      </c>
      <c r="Z64" s="1">
        <v>57</v>
      </c>
      <c r="AA64" s="1">
        <v>100</v>
      </c>
      <c r="AB64" s="1"/>
      <c r="AC64" s="1"/>
      <c r="AD64" s="1"/>
      <c r="AE64" s="1" t="s">
        <v>2566</v>
      </c>
      <c r="AF64" s="1" t="s">
        <v>731</v>
      </c>
      <c r="AG64" s="1"/>
      <c r="AH64" s="1"/>
      <c r="AI64" s="1"/>
      <c r="AJ64" s="1"/>
      <c r="AK64" s="1"/>
      <c r="AL64" s="1" t="s">
        <v>167</v>
      </c>
      <c r="AM64" t="s">
        <v>2658</v>
      </c>
    </row>
    <row r="65" spans="1:39" ht="19" customHeight="1">
      <c r="A65" s="4">
        <v>3660</v>
      </c>
      <c r="B65" s="4" t="s">
        <v>374</v>
      </c>
      <c r="C65" s="4">
        <v>1986</v>
      </c>
      <c r="D65" s="4" t="s">
        <v>803</v>
      </c>
      <c r="E65" s="4">
        <v>6.3</v>
      </c>
      <c r="F65" s="4">
        <v>60.9</v>
      </c>
      <c r="G65" s="4">
        <v>70.900000000000006</v>
      </c>
      <c r="H65" s="4">
        <v>1.23</v>
      </c>
      <c r="I65" s="4">
        <v>27.6</v>
      </c>
      <c r="J65" s="4">
        <v>69</v>
      </c>
      <c r="K65" s="4">
        <v>26</v>
      </c>
      <c r="L65" s="4">
        <v>0</v>
      </c>
      <c r="M65" s="4">
        <v>0</v>
      </c>
      <c r="N65" s="4" t="s">
        <v>734</v>
      </c>
      <c r="O65" s="1" t="s">
        <v>373</v>
      </c>
      <c r="P65" s="1" t="s">
        <v>2655</v>
      </c>
      <c r="Q65" s="1" t="s">
        <v>2656</v>
      </c>
      <c r="R65" s="1">
        <v>6.32</v>
      </c>
      <c r="S65" s="1" t="s">
        <v>1003</v>
      </c>
      <c r="T65" s="1">
        <v>24.081700000000001</v>
      </c>
      <c r="U65" s="1">
        <v>121.5915</v>
      </c>
      <c r="V65" s="1">
        <v>15.8</v>
      </c>
      <c r="W65" s="1" t="s">
        <v>734</v>
      </c>
      <c r="X65" s="1" t="s">
        <v>2571</v>
      </c>
      <c r="Y65" s="1">
        <v>43</v>
      </c>
      <c r="Z65" s="1">
        <v>57</v>
      </c>
      <c r="AA65" s="1">
        <v>100</v>
      </c>
      <c r="AB65" s="1"/>
      <c r="AC65" s="1"/>
      <c r="AD65" s="1"/>
      <c r="AE65" s="1" t="s">
        <v>2566</v>
      </c>
      <c r="AF65" s="1" t="s">
        <v>731</v>
      </c>
      <c r="AG65" s="1"/>
      <c r="AH65" s="1"/>
      <c r="AI65" s="1"/>
      <c r="AJ65" s="1"/>
      <c r="AK65" s="1"/>
      <c r="AL65" s="1" t="s">
        <v>167</v>
      </c>
      <c r="AM65" t="s">
        <v>2658</v>
      </c>
    </row>
    <row r="66" spans="1:39" ht="19" customHeight="1">
      <c r="A66" s="4">
        <v>568</v>
      </c>
      <c r="B66" s="4" t="s">
        <v>804</v>
      </c>
      <c r="C66" s="4">
        <v>1986</v>
      </c>
      <c r="D66" s="4" t="s">
        <v>805</v>
      </c>
      <c r="E66" s="4">
        <v>5.8</v>
      </c>
      <c r="F66" s="4">
        <v>6.3</v>
      </c>
      <c r="G66" s="4">
        <v>13.5</v>
      </c>
      <c r="H66" s="4">
        <v>0.81</v>
      </c>
      <c r="I66" s="4">
        <v>68.3</v>
      </c>
      <c r="J66" s="4">
        <v>121</v>
      </c>
      <c r="K66" s="4">
        <v>89</v>
      </c>
      <c r="L66" s="4">
        <v>1</v>
      </c>
      <c r="M66" s="4">
        <v>1</v>
      </c>
      <c r="N66" s="4" t="s">
        <v>730</v>
      </c>
      <c r="O66" s="1" t="s">
        <v>366</v>
      </c>
      <c r="P66" s="1" t="s">
        <v>2659</v>
      </c>
      <c r="Q66" s="1" t="s">
        <v>2660</v>
      </c>
      <c r="R66" s="1">
        <v>5.8</v>
      </c>
      <c r="S66" s="1" t="s">
        <v>1003</v>
      </c>
      <c r="T66" s="1">
        <v>13.632999999999999</v>
      </c>
      <c r="U66" s="1">
        <v>-89.2</v>
      </c>
      <c r="V66" s="1">
        <v>10.9</v>
      </c>
      <c r="W66" s="1" t="s">
        <v>730</v>
      </c>
      <c r="X66" s="1" t="s">
        <v>2571</v>
      </c>
      <c r="Y66" s="1">
        <v>32</v>
      </c>
      <c r="Z66" s="1">
        <v>85</v>
      </c>
      <c r="AA66" s="1">
        <v>0</v>
      </c>
      <c r="AB66" s="1"/>
      <c r="AC66" s="1"/>
      <c r="AD66" s="1"/>
      <c r="AE66" s="1" t="s">
        <v>2566</v>
      </c>
      <c r="AF66" s="1" t="s">
        <v>731</v>
      </c>
      <c r="AG66" s="1"/>
      <c r="AH66" s="1"/>
      <c r="AI66" s="1"/>
      <c r="AJ66" s="1"/>
      <c r="AK66" s="1"/>
      <c r="AL66" s="1" t="s">
        <v>167</v>
      </c>
      <c r="AM66" t="s">
        <v>2662</v>
      </c>
    </row>
    <row r="67" spans="1:39" ht="19" customHeight="1">
      <c r="A67" s="4">
        <v>569</v>
      </c>
      <c r="B67" s="4" t="s">
        <v>804</v>
      </c>
      <c r="C67" s="4">
        <v>1986</v>
      </c>
      <c r="D67" s="4" t="s">
        <v>806</v>
      </c>
      <c r="E67" s="4">
        <v>5.8</v>
      </c>
      <c r="F67" s="4">
        <v>7</v>
      </c>
      <c r="G67" s="4">
        <v>14.5</v>
      </c>
      <c r="H67" s="4">
        <v>1.1299999999999999</v>
      </c>
      <c r="I67" s="4">
        <v>92.2</v>
      </c>
      <c r="J67" s="4">
        <v>231</v>
      </c>
      <c r="K67" s="4">
        <v>19</v>
      </c>
      <c r="L67" s="4">
        <v>0</v>
      </c>
      <c r="M67" s="4">
        <v>1</v>
      </c>
      <c r="N67" s="4" t="s">
        <v>730</v>
      </c>
      <c r="O67" s="1" t="s">
        <v>366</v>
      </c>
      <c r="P67" s="1" t="s">
        <v>2659</v>
      </c>
      <c r="Q67" s="1" t="s">
        <v>2660</v>
      </c>
      <c r="R67" s="1">
        <v>5.8</v>
      </c>
      <c r="S67" s="1" t="s">
        <v>1003</v>
      </c>
      <c r="T67" s="1">
        <v>13.632999999999999</v>
      </c>
      <c r="U67" s="1">
        <v>-89.2</v>
      </c>
      <c r="V67" s="1">
        <v>10.9</v>
      </c>
      <c r="W67" s="1" t="s">
        <v>730</v>
      </c>
      <c r="X67" s="1" t="s">
        <v>2571</v>
      </c>
      <c r="Y67" s="1">
        <v>32</v>
      </c>
      <c r="Z67" s="1">
        <v>85</v>
      </c>
      <c r="AA67" s="1">
        <v>0</v>
      </c>
      <c r="AB67" s="1"/>
      <c r="AC67" s="1"/>
      <c r="AD67" s="1"/>
      <c r="AE67" s="1" t="s">
        <v>2566</v>
      </c>
      <c r="AF67" s="1" t="s">
        <v>731</v>
      </c>
      <c r="AG67" s="1"/>
      <c r="AH67" s="1"/>
      <c r="AI67" s="1"/>
      <c r="AJ67" s="1"/>
      <c r="AK67" s="1"/>
      <c r="AL67" s="1" t="s">
        <v>167</v>
      </c>
      <c r="AM67" t="s">
        <v>2662</v>
      </c>
    </row>
    <row r="68" spans="1:39" ht="19" customHeight="1">
      <c r="A68" s="4">
        <v>595</v>
      </c>
      <c r="B68" s="4" t="s">
        <v>387</v>
      </c>
      <c r="C68" s="4">
        <v>1987</v>
      </c>
      <c r="D68" s="4" t="s">
        <v>807</v>
      </c>
      <c r="E68" s="4">
        <v>6</v>
      </c>
      <c r="F68" s="4">
        <v>17.8</v>
      </c>
      <c r="G68" s="4">
        <v>18.8</v>
      </c>
      <c r="H68" s="4">
        <v>0.82</v>
      </c>
      <c r="I68" s="4">
        <v>30</v>
      </c>
      <c r="J68" s="4">
        <v>133</v>
      </c>
      <c r="K68" s="4">
        <v>33</v>
      </c>
      <c r="L68" s="4">
        <v>0</v>
      </c>
      <c r="M68" s="4">
        <v>0</v>
      </c>
      <c r="N68" s="4" t="s">
        <v>734</v>
      </c>
      <c r="O68" s="1" t="s">
        <v>386</v>
      </c>
      <c r="P68" s="1" t="s">
        <v>2664</v>
      </c>
      <c r="Q68" s="1" t="s">
        <v>2665</v>
      </c>
      <c r="R68" s="1">
        <v>5.99</v>
      </c>
      <c r="S68" s="1" t="s">
        <v>1003</v>
      </c>
      <c r="T68" s="1">
        <v>34.049300000000002</v>
      </c>
      <c r="U68" s="1">
        <v>-118.081</v>
      </c>
      <c r="V68" s="1">
        <v>14.6</v>
      </c>
      <c r="W68" s="1" t="s">
        <v>734</v>
      </c>
      <c r="X68" s="1" t="s">
        <v>2571</v>
      </c>
      <c r="Y68" s="1">
        <v>280</v>
      </c>
      <c r="Z68" s="1">
        <v>30</v>
      </c>
      <c r="AA68" s="1">
        <v>150</v>
      </c>
      <c r="AB68" s="1"/>
      <c r="AC68" s="1"/>
      <c r="AD68" s="1"/>
      <c r="AE68" s="1" t="s">
        <v>2566</v>
      </c>
      <c r="AF68" s="1" t="s">
        <v>731</v>
      </c>
      <c r="AG68" s="1"/>
      <c r="AH68" s="1"/>
      <c r="AI68" s="1"/>
      <c r="AJ68" s="1"/>
      <c r="AK68" s="1"/>
      <c r="AL68" s="1" t="s">
        <v>167</v>
      </c>
      <c r="AM68" t="s">
        <v>2668</v>
      </c>
    </row>
    <row r="69" spans="1:39" ht="19" customHeight="1">
      <c r="A69" s="4">
        <v>611</v>
      </c>
      <c r="B69" s="4" t="s">
        <v>387</v>
      </c>
      <c r="C69" s="4">
        <v>1987</v>
      </c>
      <c r="D69" s="4" t="s">
        <v>808</v>
      </c>
      <c r="E69" s="4">
        <v>6</v>
      </c>
      <c r="F69" s="4">
        <v>23.4</v>
      </c>
      <c r="G69" s="4">
        <v>24.6</v>
      </c>
      <c r="H69" s="4">
        <v>0.87</v>
      </c>
      <c r="I69" s="4">
        <v>32.799999999999997</v>
      </c>
      <c r="J69" s="4">
        <v>25</v>
      </c>
      <c r="K69" s="4">
        <v>75</v>
      </c>
      <c r="L69" s="4">
        <v>1</v>
      </c>
      <c r="M69" s="4">
        <v>0</v>
      </c>
      <c r="N69" s="4" t="s">
        <v>734</v>
      </c>
      <c r="O69" s="1" t="s">
        <v>386</v>
      </c>
      <c r="P69" s="1" t="s">
        <v>2664</v>
      </c>
      <c r="Q69" s="1" t="s">
        <v>2665</v>
      </c>
      <c r="R69" s="1">
        <v>5.99</v>
      </c>
      <c r="S69" s="1" t="s">
        <v>1003</v>
      </c>
      <c r="T69" s="1">
        <v>34.049300000000002</v>
      </c>
      <c r="U69" s="1">
        <v>-118.081</v>
      </c>
      <c r="V69" s="1">
        <v>14.6</v>
      </c>
      <c r="W69" s="1" t="s">
        <v>734</v>
      </c>
      <c r="X69" s="1" t="s">
        <v>2571</v>
      </c>
      <c r="Y69" s="1">
        <v>280</v>
      </c>
      <c r="Z69" s="1">
        <v>30</v>
      </c>
      <c r="AA69" s="1">
        <v>150</v>
      </c>
      <c r="AB69" s="1"/>
      <c r="AC69" s="1"/>
      <c r="AD69" s="1"/>
      <c r="AE69" s="1" t="s">
        <v>2566</v>
      </c>
      <c r="AF69" s="1" t="s">
        <v>731</v>
      </c>
      <c r="AG69" s="1"/>
      <c r="AH69" s="1"/>
      <c r="AI69" s="1"/>
      <c r="AJ69" s="1"/>
      <c r="AK69" s="1"/>
      <c r="AL69" s="1" t="s">
        <v>167</v>
      </c>
      <c r="AM69" t="s">
        <v>2668</v>
      </c>
    </row>
    <row r="70" spans="1:39" ht="19" customHeight="1">
      <c r="A70" s="4">
        <v>614</v>
      </c>
      <c r="B70" s="4" t="s">
        <v>387</v>
      </c>
      <c r="C70" s="4">
        <v>1987</v>
      </c>
      <c r="D70" s="4" t="s">
        <v>809</v>
      </c>
      <c r="E70" s="4">
        <v>6</v>
      </c>
      <c r="F70" s="4">
        <v>20.8</v>
      </c>
      <c r="G70" s="4">
        <v>21.1</v>
      </c>
      <c r="H70" s="4">
        <v>0.86</v>
      </c>
      <c r="I70" s="4">
        <v>40.1</v>
      </c>
      <c r="J70" s="4">
        <v>176</v>
      </c>
      <c r="K70" s="4">
        <v>76</v>
      </c>
      <c r="L70" s="4">
        <v>1</v>
      </c>
      <c r="M70" s="4">
        <v>0</v>
      </c>
      <c r="N70" s="4" t="s">
        <v>734</v>
      </c>
      <c r="O70" s="1" t="s">
        <v>386</v>
      </c>
      <c r="P70" s="1" t="s">
        <v>2664</v>
      </c>
      <c r="Q70" s="1" t="s">
        <v>2665</v>
      </c>
      <c r="R70" s="1">
        <v>5.99</v>
      </c>
      <c r="S70" s="1" t="s">
        <v>1003</v>
      </c>
      <c r="T70" s="1">
        <v>34.049300000000002</v>
      </c>
      <c r="U70" s="1">
        <v>-118.081</v>
      </c>
      <c r="V70" s="1">
        <v>14.6</v>
      </c>
      <c r="W70" s="1" t="s">
        <v>734</v>
      </c>
      <c r="X70" s="1" t="s">
        <v>2571</v>
      </c>
      <c r="Y70" s="1">
        <v>280</v>
      </c>
      <c r="Z70" s="1">
        <v>30</v>
      </c>
      <c r="AA70" s="1">
        <v>150</v>
      </c>
      <c r="AB70" s="1"/>
      <c r="AC70" s="1"/>
      <c r="AD70" s="1"/>
      <c r="AE70" s="1" t="s">
        <v>2566</v>
      </c>
      <c r="AF70" s="1" t="s">
        <v>731</v>
      </c>
      <c r="AG70" s="1"/>
      <c r="AH70" s="1"/>
      <c r="AI70" s="1"/>
      <c r="AJ70" s="1"/>
      <c r="AK70" s="1"/>
      <c r="AL70" s="1" t="s">
        <v>167</v>
      </c>
      <c r="AM70" t="s">
        <v>2668</v>
      </c>
    </row>
    <row r="71" spans="1:39" ht="19" customHeight="1">
      <c r="A71" s="4">
        <v>615</v>
      </c>
      <c r="B71" s="4" t="s">
        <v>387</v>
      </c>
      <c r="C71" s="4">
        <v>1987</v>
      </c>
      <c r="D71" s="4" t="s">
        <v>810</v>
      </c>
      <c r="E71" s="4">
        <v>6</v>
      </c>
      <c r="F71" s="4">
        <v>20.8</v>
      </c>
      <c r="G71" s="4">
        <v>21.7</v>
      </c>
      <c r="H71" s="4">
        <v>0.88</v>
      </c>
      <c r="I71" s="4">
        <v>33.1</v>
      </c>
      <c r="J71" s="4">
        <v>207</v>
      </c>
      <c r="K71" s="4">
        <v>73</v>
      </c>
      <c r="L71" s="4">
        <v>1</v>
      </c>
      <c r="M71" s="4">
        <v>0</v>
      </c>
      <c r="N71" s="4" t="s">
        <v>734</v>
      </c>
      <c r="O71" s="1" t="s">
        <v>386</v>
      </c>
      <c r="P71" s="1" t="s">
        <v>2664</v>
      </c>
      <c r="Q71" s="1" t="s">
        <v>2665</v>
      </c>
      <c r="R71" s="1">
        <v>5.99</v>
      </c>
      <c r="S71" s="1" t="s">
        <v>1003</v>
      </c>
      <c r="T71" s="1">
        <v>34.049300000000002</v>
      </c>
      <c r="U71" s="1">
        <v>-118.081</v>
      </c>
      <c r="V71" s="1">
        <v>14.6</v>
      </c>
      <c r="W71" s="1" t="s">
        <v>734</v>
      </c>
      <c r="X71" s="1" t="s">
        <v>2571</v>
      </c>
      <c r="Y71" s="1">
        <v>280</v>
      </c>
      <c r="Z71" s="1">
        <v>30</v>
      </c>
      <c r="AA71" s="1">
        <v>150</v>
      </c>
      <c r="AB71" s="1"/>
      <c r="AC71" s="1"/>
      <c r="AD71" s="1"/>
      <c r="AE71" s="1" t="s">
        <v>2566</v>
      </c>
      <c r="AF71" s="1" t="s">
        <v>731</v>
      </c>
      <c r="AG71" s="1"/>
      <c r="AH71" s="1"/>
      <c r="AI71" s="1"/>
      <c r="AJ71" s="1"/>
      <c r="AK71" s="1"/>
      <c r="AL71" s="1" t="s">
        <v>167</v>
      </c>
      <c r="AM71" t="s">
        <v>2668</v>
      </c>
    </row>
    <row r="72" spans="1:39" ht="19" customHeight="1">
      <c r="A72" s="4">
        <v>645</v>
      </c>
      <c r="B72" s="4" t="s">
        <v>387</v>
      </c>
      <c r="C72" s="4">
        <v>1987</v>
      </c>
      <c r="D72" s="4" t="s">
        <v>811</v>
      </c>
      <c r="E72" s="4">
        <v>6</v>
      </c>
      <c r="F72" s="4">
        <v>24.5</v>
      </c>
      <c r="G72" s="4">
        <v>25.3</v>
      </c>
      <c r="H72" s="4">
        <v>0.9</v>
      </c>
      <c r="I72" s="4">
        <v>31.2</v>
      </c>
      <c r="J72" s="4">
        <v>13</v>
      </c>
      <c r="K72" s="4">
        <v>87</v>
      </c>
      <c r="L72" s="4">
        <v>1</v>
      </c>
      <c r="M72" s="4">
        <v>0</v>
      </c>
      <c r="N72" s="4" t="s">
        <v>734</v>
      </c>
      <c r="O72" s="1" t="s">
        <v>386</v>
      </c>
      <c r="P72" s="1" t="s">
        <v>2664</v>
      </c>
      <c r="Q72" s="1" t="s">
        <v>2665</v>
      </c>
      <c r="R72" s="1">
        <v>5.99</v>
      </c>
      <c r="S72" s="1" t="s">
        <v>1003</v>
      </c>
      <c r="T72" s="1">
        <v>34.049300000000002</v>
      </c>
      <c r="U72" s="1">
        <v>-118.081</v>
      </c>
      <c r="V72" s="1">
        <v>14.6</v>
      </c>
      <c r="W72" s="1" t="s">
        <v>734</v>
      </c>
      <c r="X72" s="1" t="s">
        <v>2571</v>
      </c>
      <c r="Y72" s="1">
        <v>280</v>
      </c>
      <c r="Z72" s="1">
        <v>30</v>
      </c>
      <c r="AA72" s="1">
        <v>150</v>
      </c>
      <c r="AB72" s="1"/>
      <c r="AC72" s="1"/>
      <c r="AD72" s="1"/>
      <c r="AE72" s="1" t="s">
        <v>2566</v>
      </c>
      <c r="AF72" s="1" t="s">
        <v>731</v>
      </c>
      <c r="AG72" s="1"/>
      <c r="AH72" s="1"/>
      <c r="AI72" s="1"/>
      <c r="AJ72" s="1"/>
      <c r="AK72" s="1"/>
      <c r="AL72" s="1" t="s">
        <v>167</v>
      </c>
      <c r="AM72" t="s">
        <v>2668</v>
      </c>
    </row>
    <row r="73" spans="1:39" ht="19" customHeight="1">
      <c r="A73" s="4">
        <v>668</v>
      </c>
      <c r="B73" s="4" t="s">
        <v>387</v>
      </c>
      <c r="C73" s="4">
        <v>1987</v>
      </c>
      <c r="D73" s="4" t="s">
        <v>812</v>
      </c>
      <c r="E73" s="4">
        <v>6</v>
      </c>
      <c r="F73" s="4">
        <v>20.399999999999999</v>
      </c>
      <c r="G73" s="4">
        <v>20.9</v>
      </c>
      <c r="H73" s="4">
        <v>0.9</v>
      </c>
      <c r="I73" s="4">
        <v>28</v>
      </c>
      <c r="J73" s="4">
        <v>162</v>
      </c>
      <c r="K73" s="4">
        <v>62</v>
      </c>
      <c r="L73" s="4">
        <v>0</v>
      </c>
      <c r="M73" s="4">
        <v>0</v>
      </c>
      <c r="N73" s="4" t="s">
        <v>734</v>
      </c>
      <c r="O73" s="1" t="s">
        <v>386</v>
      </c>
      <c r="P73" s="1" t="s">
        <v>2664</v>
      </c>
      <c r="Q73" s="1" t="s">
        <v>2665</v>
      </c>
      <c r="R73" s="1">
        <v>5.99</v>
      </c>
      <c r="S73" s="1" t="s">
        <v>1003</v>
      </c>
      <c r="T73" s="1">
        <v>34.049300000000002</v>
      </c>
      <c r="U73" s="1">
        <v>-118.081</v>
      </c>
      <c r="V73" s="1">
        <v>14.6</v>
      </c>
      <c r="W73" s="1" t="s">
        <v>734</v>
      </c>
      <c r="X73" s="1" t="s">
        <v>2571</v>
      </c>
      <c r="Y73" s="1">
        <v>280</v>
      </c>
      <c r="Z73" s="1">
        <v>30</v>
      </c>
      <c r="AA73" s="1">
        <v>150</v>
      </c>
      <c r="AB73" s="1"/>
      <c r="AC73" s="1"/>
      <c r="AD73" s="1"/>
      <c r="AE73" s="1" t="s">
        <v>2566</v>
      </c>
      <c r="AF73" s="1" t="s">
        <v>731</v>
      </c>
      <c r="AG73" s="1"/>
      <c r="AH73" s="1"/>
      <c r="AI73" s="1"/>
      <c r="AJ73" s="1"/>
      <c r="AK73" s="1"/>
      <c r="AL73" s="1" t="s">
        <v>167</v>
      </c>
      <c r="AM73" t="s">
        <v>2668</v>
      </c>
    </row>
    <row r="74" spans="1:39" ht="19" customHeight="1">
      <c r="A74" s="4">
        <v>692</v>
      </c>
      <c r="B74" s="4" t="s">
        <v>387</v>
      </c>
      <c r="C74" s="4">
        <v>1987</v>
      </c>
      <c r="D74" s="4" t="s">
        <v>813</v>
      </c>
      <c r="E74" s="4">
        <v>6</v>
      </c>
      <c r="F74" s="4">
        <v>18.5</v>
      </c>
      <c r="G74" s="4">
        <v>18.7</v>
      </c>
      <c r="H74" s="4">
        <v>0.81</v>
      </c>
      <c r="I74" s="4">
        <v>44.3</v>
      </c>
      <c r="J74" s="4">
        <v>74</v>
      </c>
      <c r="K74" s="4">
        <v>26</v>
      </c>
      <c r="L74" s="4">
        <v>0</v>
      </c>
      <c r="M74" s="4">
        <v>0</v>
      </c>
      <c r="N74" s="4" t="s">
        <v>734</v>
      </c>
      <c r="O74" s="1" t="s">
        <v>386</v>
      </c>
      <c r="P74" s="1" t="s">
        <v>2664</v>
      </c>
      <c r="Q74" s="1" t="s">
        <v>2665</v>
      </c>
      <c r="R74" s="1">
        <v>5.99</v>
      </c>
      <c r="S74" s="1" t="s">
        <v>1003</v>
      </c>
      <c r="T74" s="1">
        <v>34.049300000000002</v>
      </c>
      <c r="U74" s="1">
        <v>-118.081</v>
      </c>
      <c r="V74" s="1">
        <v>14.6</v>
      </c>
      <c r="W74" s="1" t="s">
        <v>734</v>
      </c>
      <c r="X74" s="1" t="s">
        <v>2571</v>
      </c>
      <c r="Y74" s="1">
        <v>280</v>
      </c>
      <c r="Z74" s="1">
        <v>30</v>
      </c>
      <c r="AA74" s="1">
        <v>150</v>
      </c>
      <c r="AB74" s="1"/>
      <c r="AC74" s="1"/>
      <c r="AD74" s="1"/>
      <c r="AE74" s="1" t="s">
        <v>2566</v>
      </c>
      <c r="AF74" s="1" t="s">
        <v>731</v>
      </c>
      <c r="AG74" s="1"/>
      <c r="AH74" s="1"/>
      <c r="AI74" s="1"/>
      <c r="AJ74" s="1"/>
      <c r="AK74" s="1"/>
      <c r="AL74" s="1" t="s">
        <v>167</v>
      </c>
      <c r="AM74" t="s">
        <v>2668</v>
      </c>
    </row>
    <row r="75" spans="1:39" ht="19" customHeight="1">
      <c r="A75" s="4">
        <v>722</v>
      </c>
      <c r="B75" s="4" t="s">
        <v>814</v>
      </c>
      <c r="C75" s="4">
        <v>1987</v>
      </c>
      <c r="D75" s="4" t="s">
        <v>815</v>
      </c>
      <c r="E75" s="4">
        <v>6.5</v>
      </c>
      <c r="F75" s="4">
        <v>18.5</v>
      </c>
      <c r="G75" s="4">
        <v>21.3</v>
      </c>
      <c r="H75" s="4">
        <v>2.13</v>
      </c>
      <c r="I75" s="4">
        <v>33.1</v>
      </c>
      <c r="J75" s="4">
        <v>321</v>
      </c>
      <c r="K75" s="4">
        <v>14</v>
      </c>
      <c r="L75" s="4">
        <v>0</v>
      </c>
      <c r="M75" s="4">
        <v>1</v>
      </c>
      <c r="N75" s="4" t="s">
        <v>730</v>
      </c>
      <c r="O75" s="1" t="s">
        <v>379</v>
      </c>
      <c r="P75" s="1" t="s">
        <v>2669</v>
      </c>
      <c r="Q75" s="1" t="s">
        <v>2670</v>
      </c>
      <c r="R75" s="1">
        <v>6.54</v>
      </c>
      <c r="S75" s="1" t="s">
        <v>1003</v>
      </c>
      <c r="T75" s="1">
        <v>33.022199999999998</v>
      </c>
      <c r="U75" s="1">
        <v>-115.8314</v>
      </c>
      <c r="V75" s="1">
        <v>9</v>
      </c>
      <c r="W75" s="1" t="s">
        <v>730</v>
      </c>
      <c r="X75" s="1" t="s">
        <v>2571</v>
      </c>
      <c r="Y75" s="1">
        <v>127</v>
      </c>
      <c r="Z75" s="1">
        <v>90</v>
      </c>
      <c r="AA75" s="1">
        <v>180</v>
      </c>
      <c r="AB75" s="1"/>
      <c r="AC75" s="1"/>
      <c r="AD75" s="1"/>
      <c r="AE75" s="1" t="s">
        <v>2566</v>
      </c>
      <c r="AF75" s="1" t="s">
        <v>731</v>
      </c>
      <c r="AG75" s="1"/>
      <c r="AH75" s="1"/>
      <c r="AI75" s="1"/>
      <c r="AJ75" s="1"/>
      <c r="AK75" s="1"/>
      <c r="AL75" s="1" t="s">
        <v>167</v>
      </c>
      <c r="AM75" t="s">
        <v>2673</v>
      </c>
    </row>
    <row r="76" spans="1:39" ht="19" customHeight="1">
      <c r="A76" s="4">
        <v>723</v>
      </c>
      <c r="B76" s="4" t="s">
        <v>814</v>
      </c>
      <c r="C76" s="4">
        <v>1987</v>
      </c>
      <c r="D76" s="4" t="s">
        <v>764</v>
      </c>
      <c r="E76" s="4">
        <v>6.5</v>
      </c>
      <c r="F76" s="4">
        <v>0.9</v>
      </c>
      <c r="G76" s="4">
        <v>18.399999999999999</v>
      </c>
      <c r="H76" s="4">
        <v>2.39</v>
      </c>
      <c r="I76" s="4">
        <v>143.9</v>
      </c>
      <c r="J76" s="4">
        <v>242</v>
      </c>
      <c r="K76" s="4">
        <v>65</v>
      </c>
      <c r="L76" s="4">
        <v>1</v>
      </c>
      <c r="M76" s="4">
        <v>1</v>
      </c>
      <c r="N76" s="4" t="s">
        <v>730</v>
      </c>
      <c r="O76" s="1" t="s">
        <v>379</v>
      </c>
      <c r="P76" s="1" t="s">
        <v>2669</v>
      </c>
      <c r="Q76" s="1" t="s">
        <v>2670</v>
      </c>
      <c r="R76" s="1">
        <v>6.54</v>
      </c>
      <c r="S76" s="1" t="s">
        <v>1003</v>
      </c>
      <c r="T76" s="1">
        <v>33.022199999999998</v>
      </c>
      <c r="U76" s="1">
        <v>-115.8314</v>
      </c>
      <c r="V76" s="1">
        <v>9</v>
      </c>
      <c r="W76" s="1" t="s">
        <v>730</v>
      </c>
      <c r="X76" s="1" t="s">
        <v>2571</v>
      </c>
      <c r="Y76" s="1">
        <v>127</v>
      </c>
      <c r="Z76" s="1">
        <v>90</v>
      </c>
      <c r="AA76" s="1">
        <v>180</v>
      </c>
      <c r="AB76" s="1"/>
      <c r="AC76" s="1"/>
      <c r="AD76" s="1"/>
      <c r="AE76" s="1" t="s">
        <v>2566</v>
      </c>
      <c r="AF76" s="1" t="s">
        <v>731</v>
      </c>
      <c r="AG76" s="1"/>
      <c r="AH76" s="1"/>
      <c r="AI76" s="1"/>
      <c r="AJ76" s="1"/>
      <c r="AK76" s="1"/>
      <c r="AL76" s="1" t="s">
        <v>167</v>
      </c>
      <c r="AM76" t="s">
        <v>2673</v>
      </c>
    </row>
    <row r="77" spans="1:39" ht="19" customHeight="1">
      <c r="A77" s="4">
        <v>725</v>
      </c>
      <c r="B77" s="4" t="s">
        <v>814</v>
      </c>
      <c r="C77" s="4">
        <v>1987</v>
      </c>
      <c r="D77" s="4" t="s">
        <v>816</v>
      </c>
      <c r="E77" s="4">
        <v>6.5</v>
      </c>
      <c r="F77" s="4">
        <v>11.2</v>
      </c>
      <c r="G77" s="4">
        <v>14.4</v>
      </c>
      <c r="H77" s="4">
        <v>2.87</v>
      </c>
      <c r="I77" s="4">
        <v>42.1</v>
      </c>
      <c r="J77" s="4">
        <v>319</v>
      </c>
      <c r="K77" s="4">
        <v>12</v>
      </c>
      <c r="L77" s="4">
        <v>0</v>
      </c>
      <c r="M77" s="4">
        <v>0</v>
      </c>
      <c r="N77" s="4" t="s">
        <v>730</v>
      </c>
      <c r="O77" s="1" t="s">
        <v>379</v>
      </c>
      <c r="P77" s="1" t="s">
        <v>2669</v>
      </c>
      <c r="Q77" s="1" t="s">
        <v>2670</v>
      </c>
      <c r="R77" s="1">
        <v>6.54</v>
      </c>
      <c r="S77" s="1" t="s">
        <v>1003</v>
      </c>
      <c r="T77" s="1">
        <v>33.022199999999998</v>
      </c>
      <c r="U77" s="1">
        <v>-115.8314</v>
      </c>
      <c r="V77" s="1">
        <v>9</v>
      </c>
      <c r="W77" s="1" t="s">
        <v>730</v>
      </c>
      <c r="X77" s="1" t="s">
        <v>2571</v>
      </c>
      <c r="Y77" s="1">
        <v>127</v>
      </c>
      <c r="Z77" s="1">
        <v>90</v>
      </c>
      <c r="AA77" s="1">
        <v>180</v>
      </c>
      <c r="AB77" s="1"/>
      <c r="AC77" s="1"/>
      <c r="AD77" s="1"/>
      <c r="AE77" s="1" t="s">
        <v>2566</v>
      </c>
      <c r="AF77" s="1" t="s">
        <v>731</v>
      </c>
      <c r="AG77" s="1"/>
      <c r="AH77" s="1"/>
      <c r="AI77" s="1"/>
      <c r="AJ77" s="1"/>
      <c r="AK77" s="1"/>
      <c r="AL77" s="1" t="s">
        <v>167</v>
      </c>
      <c r="AM77" t="s">
        <v>2673</v>
      </c>
    </row>
    <row r="78" spans="1:39" ht="19" customHeight="1">
      <c r="A78" s="4">
        <v>738</v>
      </c>
      <c r="B78" s="4" t="s">
        <v>817</v>
      </c>
      <c r="C78" s="4">
        <v>1989</v>
      </c>
      <c r="D78" s="4" t="s">
        <v>818</v>
      </c>
      <c r="E78" s="4">
        <v>6.9</v>
      </c>
      <c r="F78" s="4">
        <v>71</v>
      </c>
      <c r="G78" s="4">
        <v>92.4</v>
      </c>
      <c r="H78" s="4">
        <v>2.1</v>
      </c>
      <c r="I78" s="4">
        <v>40.799999999999997</v>
      </c>
      <c r="J78" s="4">
        <v>254</v>
      </c>
      <c r="K78" s="4">
        <v>54</v>
      </c>
      <c r="L78" s="4">
        <v>0</v>
      </c>
      <c r="M78" s="4">
        <v>0</v>
      </c>
      <c r="N78" s="4" t="s">
        <v>734</v>
      </c>
      <c r="O78" s="1" t="s">
        <v>392</v>
      </c>
      <c r="P78" s="1" t="s">
        <v>2674</v>
      </c>
      <c r="Q78" s="1" t="s">
        <v>2675</v>
      </c>
      <c r="R78" s="1">
        <v>6.93</v>
      </c>
      <c r="S78" s="1" t="s">
        <v>1003</v>
      </c>
      <c r="T78" s="1">
        <v>37.040700000000001</v>
      </c>
      <c r="U78" s="1">
        <v>-121.88290000000001</v>
      </c>
      <c r="V78" s="1">
        <v>17.48</v>
      </c>
      <c r="W78" s="1" t="s">
        <v>734</v>
      </c>
      <c r="X78" s="1" t="s">
        <v>2571</v>
      </c>
      <c r="Y78" s="1">
        <v>128</v>
      </c>
      <c r="Z78" s="1">
        <v>70</v>
      </c>
      <c r="AA78" s="1">
        <v>140</v>
      </c>
      <c r="AB78" s="1"/>
      <c r="AC78" s="1"/>
      <c r="AD78" s="1"/>
      <c r="AE78" s="1" t="s">
        <v>2566</v>
      </c>
      <c r="AF78" s="1" t="s">
        <v>731</v>
      </c>
      <c r="AG78" s="1"/>
      <c r="AH78" s="1"/>
      <c r="AI78" s="1"/>
      <c r="AJ78" s="1"/>
      <c r="AK78" s="1"/>
      <c r="AL78" s="1" t="s">
        <v>167</v>
      </c>
      <c r="AM78" t="s">
        <v>2678</v>
      </c>
    </row>
    <row r="79" spans="1:39" ht="19" customHeight="1">
      <c r="A79" s="4">
        <v>758</v>
      </c>
      <c r="B79" s="4" t="s">
        <v>817</v>
      </c>
      <c r="C79" s="4">
        <v>1989</v>
      </c>
      <c r="D79" s="4" t="s">
        <v>819</v>
      </c>
      <c r="E79" s="4">
        <v>6.9</v>
      </c>
      <c r="F79" s="4">
        <v>77</v>
      </c>
      <c r="G79" s="4">
        <v>98.1</v>
      </c>
      <c r="H79" s="4">
        <v>1.67</v>
      </c>
      <c r="I79" s="4">
        <v>44</v>
      </c>
      <c r="J79" s="4">
        <v>264</v>
      </c>
      <c r="K79" s="4">
        <v>44</v>
      </c>
      <c r="L79" s="4">
        <v>0</v>
      </c>
      <c r="M79" s="4">
        <v>0</v>
      </c>
      <c r="N79" s="4" t="s">
        <v>734</v>
      </c>
      <c r="O79" s="1" t="s">
        <v>392</v>
      </c>
      <c r="P79" s="1" t="s">
        <v>2674</v>
      </c>
      <c r="Q79" s="1" t="s">
        <v>2675</v>
      </c>
      <c r="R79" s="1">
        <v>6.93</v>
      </c>
      <c r="S79" s="1" t="s">
        <v>1003</v>
      </c>
      <c r="T79" s="1">
        <v>37.040700000000001</v>
      </c>
      <c r="U79" s="1">
        <v>-121.88290000000001</v>
      </c>
      <c r="V79" s="1">
        <v>17.48</v>
      </c>
      <c r="W79" s="1" t="s">
        <v>734</v>
      </c>
      <c r="X79" s="1" t="s">
        <v>2571</v>
      </c>
      <c r="Y79" s="1">
        <v>128</v>
      </c>
      <c r="Z79" s="1">
        <v>70</v>
      </c>
      <c r="AA79" s="1">
        <v>140</v>
      </c>
      <c r="AB79" s="1"/>
      <c r="AC79" s="1"/>
      <c r="AD79" s="1"/>
      <c r="AE79" s="1" t="s">
        <v>2566</v>
      </c>
      <c r="AF79" s="1" t="s">
        <v>731</v>
      </c>
      <c r="AG79" s="1"/>
      <c r="AH79" s="1"/>
      <c r="AI79" s="1"/>
      <c r="AJ79" s="1"/>
      <c r="AK79" s="1"/>
      <c r="AL79" s="1" t="s">
        <v>167</v>
      </c>
      <c r="AM79" t="s">
        <v>2678</v>
      </c>
    </row>
    <row r="80" spans="1:39" ht="19" customHeight="1">
      <c r="A80" s="4">
        <v>764</v>
      </c>
      <c r="B80" s="4" t="s">
        <v>817</v>
      </c>
      <c r="C80" s="4">
        <v>1989</v>
      </c>
      <c r="D80" s="4" t="s">
        <v>820</v>
      </c>
      <c r="E80" s="4">
        <v>6.9</v>
      </c>
      <c r="F80" s="4">
        <v>11</v>
      </c>
      <c r="G80" s="4">
        <v>33.1</v>
      </c>
      <c r="H80" s="4">
        <v>1.64</v>
      </c>
      <c r="I80" s="4">
        <v>43.6</v>
      </c>
      <c r="J80" s="4">
        <v>147</v>
      </c>
      <c r="K80" s="4">
        <v>19</v>
      </c>
      <c r="L80" s="4">
        <v>0</v>
      </c>
      <c r="M80" s="4">
        <v>1</v>
      </c>
      <c r="N80" s="4" t="s">
        <v>734</v>
      </c>
      <c r="O80" s="1" t="s">
        <v>392</v>
      </c>
      <c r="P80" s="1" t="s">
        <v>2674</v>
      </c>
      <c r="Q80" s="1" t="s">
        <v>2675</v>
      </c>
      <c r="R80" s="1">
        <v>6.93</v>
      </c>
      <c r="S80" s="1" t="s">
        <v>1003</v>
      </c>
      <c r="T80" s="1">
        <v>37.040700000000001</v>
      </c>
      <c r="U80" s="1">
        <v>-121.88290000000001</v>
      </c>
      <c r="V80" s="1">
        <v>17.48</v>
      </c>
      <c r="W80" s="1" t="s">
        <v>734</v>
      </c>
      <c r="X80" s="1" t="s">
        <v>2571</v>
      </c>
      <c r="Y80" s="1">
        <v>128</v>
      </c>
      <c r="Z80" s="1">
        <v>70</v>
      </c>
      <c r="AA80" s="1">
        <v>140</v>
      </c>
      <c r="AB80" s="1"/>
      <c r="AC80" s="1"/>
      <c r="AD80" s="1"/>
      <c r="AE80" s="1" t="s">
        <v>2566</v>
      </c>
      <c r="AF80" s="1" t="s">
        <v>731</v>
      </c>
      <c r="AG80" s="1"/>
      <c r="AH80" s="1"/>
      <c r="AI80" s="1"/>
      <c r="AJ80" s="1"/>
      <c r="AK80" s="1"/>
      <c r="AL80" s="1" t="s">
        <v>167</v>
      </c>
      <c r="AM80" t="s">
        <v>2678</v>
      </c>
    </row>
    <row r="81" spans="1:39" ht="19" customHeight="1">
      <c r="A81" s="4">
        <v>766</v>
      </c>
      <c r="B81" s="4" t="s">
        <v>817</v>
      </c>
      <c r="C81" s="4">
        <v>1989</v>
      </c>
      <c r="D81" s="4" t="s">
        <v>741</v>
      </c>
      <c r="E81" s="4">
        <v>6.9</v>
      </c>
      <c r="F81" s="4">
        <v>11.1</v>
      </c>
      <c r="G81" s="4">
        <v>34.5</v>
      </c>
      <c r="H81" s="4">
        <v>1.73</v>
      </c>
      <c r="I81" s="4">
        <v>46.2</v>
      </c>
      <c r="J81" s="4">
        <v>66</v>
      </c>
      <c r="K81" s="4">
        <v>62</v>
      </c>
      <c r="L81" s="4">
        <v>1</v>
      </c>
      <c r="M81" s="4">
        <v>1</v>
      </c>
      <c r="N81" s="4" t="s">
        <v>734</v>
      </c>
      <c r="O81" s="1" t="s">
        <v>392</v>
      </c>
      <c r="P81" s="1" t="s">
        <v>2674</v>
      </c>
      <c r="Q81" s="1" t="s">
        <v>2675</v>
      </c>
      <c r="R81" s="1">
        <v>6.93</v>
      </c>
      <c r="S81" s="1" t="s">
        <v>1003</v>
      </c>
      <c r="T81" s="1">
        <v>37.040700000000001</v>
      </c>
      <c r="U81" s="1">
        <v>-121.88290000000001</v>
      </c>
      <c r="V81" s="1">
        <v>17.48</v>
      </c>
      <c r="W81" s="1" t="s">
        <v>734</v>
      </c>
      <c r="X81" s="1" t="s">
        <v>2571</v>
      </c>
      <c r="Y81" s="1">
        <v>128</v>
      </c>
      <c r="Z81" s="1">
        <v>70</v>
      </c>
      <c r="AA81" s="1">
        <v>140</v>
      </c>
      <c r="AB81" s="1"/>
      <c r="AC81" s="1"/>
      <c r="AD81" s="1"/>
      <c r="AE81" s="1" t="s">
        <v>2566</v>
      </c>
      <c r="AF81" s="1" t="s">
        <v>731</v>
      </c>
      <c r="AG81" s="1"/>
      <c r="AH81" s="1"/>
      <c r="AI81" s="1"/>
      <c r="AJ81" s="1"/>
      <c r="AK81" s="1"/>
      <c r="AL81" s="1" t="s">
        <v>167</v>
      </c>
      <c r="AM81" t="s">
        <v>2678</v>
      </c>
    </row>
    <row r="82" spans="1:39" ht="19" customHeight="1">
      <c r="A82" s="4">
        <v>767</v>
      </c>
      <c r="B82" s="4" t="s">
        <v>817</v>
      </c>
      <c r="C82" s="4">
        <v>1989</v>
      </c>
      <c r="D82" s="4" t="s">
        <v>742</v>
      </c>
      <c r="E82" s="4">
        <v>6.9</v>
      </c>
      <c r="F82" s="4">
        <v>12.8</v>
      </c>
      <c r="G82" s="4">
        <v>35.9</v>
      </c>
      <c r="H82" s="4">
        <v>2.64</v>
      </c>
      <c r="I82" s="4">
        <v>44.8</v>
      </c>
      <c r="J82" s="4">
        <v>277</v>
      </c>
      <c r="K82" s="4">
        <v>31</v>
      </c>
      <c r="L82" s="4">
        <v>0</v>
      </c>
      <c r="M82" s="4">
        <v>1</v>
      </c>
      <c r="N82" s="4" t="s">
        <v>734</v>
      </c>
      <c r="O82" s="1" t="s">
        <v>392</v>
      </c>
      <c r="P82" s="1" t="s">
        <v>2674</v>
      </c>
      <c r="Q82" s="1" t="s">
        <v>2675</v>
      </c>
      <c r="R82" s="1">
        <v>6.93</v>
      </c>
      <c r="S82" s="1" t="s">
        <v>1003</v>
      </c>
      <c r="T82" s="1">
        <v>37.040700000000001</v>
      </c>
      <c r="U82" s="1">
        <v>-121.88290000000001</v>
      </c>
      <c r="V82" s="1">
        <v>17.48</v>
      </c>
      <c r="W82" s="1" t="s">
        <v>734</v>
      </c>
      <c r="X82" s="1" t="s">
        <v>2571</v>
      </c>
      <c r="Y82" s="1">
        <v>128</v>
      </c>
      <c r="Z82" s="1">
        <v>70</v>
      </c>
      <c r="AA82" s="1">
        <v>140</v>
      </c>
      <c r="AB82" s="1"/>
      <c r="AC82" s="1"/>
      <c r="AD82" s="1"/>
      <c r="AE82" s="1" t="s">
        <v>2566</v>
      </c>
      <c r="AF82" s="1" t="s">
        <v>731</v>
      </c>
      <c r="AG82" s="1"/>
      <c r="AH82" s="1"/>
      <c r="AI82" s="1"/>
      <c r="AJ82" s="1"/>
      <c r="AK82" s="1"/>
      <c r="AL82" s="1" t="s">
        <v>167</v>
      </c>
      <c r="AM82" t="s">
        <v>2678</v>
      </c>
    </row>
    <row r="83" spans="1:39" ht="19" customHeight="1">
      <c r="A83" s="4">
        <v>783</v>
      </c>
      <c r="B83" s="4" t="s">
        <v>817</v>
      </c>
      <c r="C83" s="4">
        <v>1989</v>
      </c>
      <c r="D83" s="4" t="s">
        <v>821</v>
      </c>
      <c r="E83" s="4">
        <v>6.9</v>
      </c>
      <c r="F83" s="4">
        <v>74.3</v>
      </c>
      <c r="G83" s="4">
        <v>95.6</v>
      </c>
      <c r="H83" s="4">
        <v>1.83</v>
      </c>
      <c r="I83" s="4">
        <v>48.2</v>
      </c>
      <c r="J83" s="4">
        <v>37</v>
      </c>
      <c r="K83" s="4">
        <v>89</v>
      </c>
      <c r="L83" s="4">
        <v>1</v>
      </c>
      <c r="M83" s="4">
        <v>0</v>
      </c>
      <c r="N83" s="4" t="s">
        <v>734</v>
      </c>
      <c r="O83" s="1" t="s">
        <v>392</v>
      </c>
      <c r="P83" s="1" t="s">
        <v>2674</v>
      </c>
      <c r="Q83" s="1" t="s">
        <v>2675</v>
      </c>
      <c r="R83" s="1">
        <v>6.93</v>
      </c>
      <c r="S83" s="1" t="s">
        <v>1003</v>
      </c>
      <c r="T83" s="1">
        <v>37.040700000000001</v>
      </c>
      <c r="U83" s="1">
        <v>-121.88290000000001</v>
      </c>
      <c r="V83" s="1">
        <v>17.48</v>
      </c>
      <c r="W83" s="1" t="s">
        <v>734</v>
      </c>
      <c r="X83" s="1" t="s">
        <v>2571</v>
      </c>
      <c r="Y83" s="1">
        <v>128</v>
      </c>
      <c r="Z83" s="1">
        <v>70</v>
      </c>
      <c r="AA83" s="1">
        <v>140</v>
      </c>
      <c r="AB83" s="1"/>
      <c r="AC83" s="1"/>
      <c r="AD83" s="1"/>
      <c r="AE83" s="1" t="s">
        <v>2566</v>
      </c>
      <c r="AF83" s="1" t="s">
        <v>731</v>
      </c>
      <c r="AG83" s="1"/>
      <c r="AH83" s="1"/>
      <c r="AI83" s="1"/>
      <c r="AJ83" s="1"/>
      <c r="AK83" s="1"/>
      <c r="AL83" s="1" t="s">
        <v>167</v>
      </c>
      <c r="AM83" t="s">
        <v>2678</v>
      </c>
    </row>
    <row r="84" spans="1:39" ht="19" customHeight="1">
      <c r="A84" s="4">
        <v>784</v>
      </c>
      <c r="B84" s="4" t="s">
        <v>817</v>
      </c>
      <c r="C84" s="4">
        <v>1989</v>
      </c>
      <c r="D84" s="4" t="s">
        <v>822</v>
      </c>
      <c r="E84" s="4">
        <v>6.9</v>
      </c>
      <c r="F84" s="4">
        <v>72.2</v>
      </c>
      <c r="G84" s="4">
        <v>93.3</v>
      </c>
      <c r="H84" s="4">
        <v>1.39</v>
      </c>
      <c r="I84" s="4">
        <v>36.299999999999997</v>
      </c>
      <c r="J84" s="4">
        <v>261</v>
      </c>
      <c r="K84" s="4">
        <v>47</v>
      </c>
      <c r="L84" s="4">
        <v>0</v>
      </c>
      <c r="M84" s="4">
        <v>0</v>
      </c>
      <c r="N84" s="4" t="s">
        <v>734</v>
      </c>
      <c r="O84" s="1" t="s">
        <v>392</v>
      </c>
      <c r="P84" s="1" t="s">
        <v>2674</v>
      </c>
      <c r="Q84" s="1" t="s">
        <v>2675</v>
      </c>
      <c r="R84" s="1">
        <v>6.93</v>
      </c>
      <c r="S84" s="1" t="s">
        <v>1003</v>
      </c>
      <c r="T84" s="1">
        <v>37.040700000000001</v>
      </c>
      <c r="U84" s="1">
        <v>-121.88290000000001</v>
      </c>
      <c r="V84" s="1">
        <v>17.48</v>
      </c>
      <c r="W84" s="1" t="s">
        <v>734</v>
      </c>
      <c r="X84" s="1" t="s">
        <v>2571</v>
      </c>
      <c r="Y84" s="1">
        <v>128</v>
      </c>
      <c r="Z84" s="1">
        <v>70</v>
      </c>
      <c r="AA84" s="1">
        <v>140</v>
      </c>
      <c r="AB84" s="1"/>
      <c r="AC84" s="1"/>
      <c r="AD84" s="1"/>
      <c r="AE84" s="1" t="s">
        <v>2566</v>
      </c>
      <c r="AF84" s="1" t="s">
        <v>731</v>
      </c>
      <c r="AG84" s="1"/>
      <c r="AH84" s="1"/>
      <c r="AI84" s="1"/>
      <c r="AJ84" s="1"/>
      <c r="AK84" s="1"/>
      <c r="AL84" s="1" t="s">
        <v>167</v>
      </c>
      <c r="AM84" t="s">
        <v>2678</v>
      </c>
    </row>
    <row r="85" spans="1:39" ht="19" customHeight="1">
      <c r="A85" s="4">
        <v>796</v>
      </c>
      <c r="B85" s="4" t="s">
        <v>817</v>
      </c>
      <c r="C85" s="4">
        <v>1989</v>
      </c>
      <c r="D85" s="4" t="s">
        <v>823</v>
      </c>
      <c r="E85" s="4">
        <v>6.9</v>
      </c>
      <c r="F85" s="4">
        <v>77.400000000000006</v>
      </c>
      <c r="G85" s="4">
        <v>99.3</v>
      </c>
      <c r="H85" s="4">
        <v>1.32</v>
      </c>
      <c r="I85" s="4">
        <v>32.9</v>
      </c>
      <c r="J85" s="4">
        <v>68</v>
      </c>
      <c r="K85" s="4">
        <v>60</v>
      </c>
      <c r="L85" s="4">
        <v>0</v>
      </c>
      <c r="M85" s="4">
        <v>0</v>
      </c>
      <c r="N85" s="4" t="s">
        <v>734</v>
      </c>
      <c r="O85" s="1" t="s">
        <v>392</v>
      </c>
      <c r="P85" s="1" t="s">
        <v>2674</v>
      </c>
      <c r="Q85" s="1" t="s">
        <v>2675</v>
      </c>
      <c r="R85" s="1">
        <v>6.93</v>
      </c>
      <c r="S85" s="1" t="s">
        <v>1003</v>
      </c>
      <c r="T85" s="1">
        <v>37.040700000000001</v>
      </c>
      <c r="U85" s="1">
        <v>-121.88290000000001</v>
      </c>
      <c r="V85" s="1">
        <v>17.48</v>
      </c>
      <c r="W85" s="1" t="s">
        <v>734</v>
      </c>
      <c r="X85" s="1" t="s">
        <v>2571</v>
      </c>
      <c r="Y85" s="1">
        <v>128</v>
      </c>
      <c r="Z85" s="1">
        <v>70</v>
      </c>
      <c r="AA85" s="1">
        <v>140</v>
      </c>
      <c r="AB85" s="1"/>
      <c r="AC85" s="1"/>
      <c r="AD85" s="1"/>
      <c r="AE85" s="1" t="s">
        <v>2566</v>
      </c>
      <c r="AF85" s="1" t="s">
        <v>731</v>
      </c>
      <c r="AG85" s="1"/>
      <c r="AH85" s="1"/>
      <c r="AI85" s="1"/>
      <c r="AJ85" s="1"/>
      <c r="AK85" s="1"/>
      <c r="AL85" s="1" t="s">
        <v>167</v>
      </c>
      <c r="AM85" t="s">
        <v>2678</v>
      </c>
    </row>
    <row r="86" spans="1:39" ht="19" customHeight="1">
      <c r="A86" s="4">
        <v>802</v>
      </c>
      <c r="B86" s="4" t="s">
        <v>817</v>
      </c>
      <c r="C86" s="4">
        <v>1989</v>
      </c>
      <c r="D86" s="4" t="s">
        <v>824</v>
      </c>
      <c r="E86" s="4">
        <v>6.9</v>
      </c>
      <c r="F86" s="4">
        <v>8.5</v>
      </c>
      <c r="G86" s="4">
        <v>32.4</v>
      </c>
      <c r="H86" s="4">
        <v>4.57</v>
      </c>
      <c r="I86" s="4">
        <v>53.5</v>
      </c>
      <c r="J86" s="4">
        <v>70</v>
      </c>
      <c r="K86" s="4">
        <v>58</v>
      </c>
      <c r="L86" s="4">
        <v>0</v>
      </c>
      <c r="M86" s="4">
        <v>1</v>
      </c>
      <c r="N86" s="4" t="s">
        <v>734</v>
      </c>
      <c r="O86" s="1" t="s">
        <v>392</v>
      </c>
      <c r="P86" s="1" t="s">
        <v>2674</v>
      </c>
      <c r="Q86" s="1" t="s">
        <v>2675</v>
      </c>
      <c r="R86" s="1">
        <v>6.93</v>
      </c>
      <c r="S86" s="1" t="s">
        <v>1003</v>
      </c>
      <c r="T86" s="1">
        <v>37.040700000000001</v>
      </c>
      <c r="U86" s="1">
        <v>-121.88290000000001</v>
      </c>
      <c r="V86" s="1">
        <v>17.48</v>
      </c>
      <c r="W86" s="1" t="s">
        <v>734</v>
      </c>
      <c r="X86" s="1" t="s">
        <v>2571</v>
      </c>
      <c r="Y86" s="1">
        <v>128</v>
      </c>
      <c r="Z86" s="1">
        <v>70</v>
      </c>
      <c r="AA86" s="1">
        <v>140</v>
      </c>
      <c r="AB86" s="1"/>
      <c r="AC86" s="1"/>
      <c r="AD86" s="1"/>
      <c r="AE86" s="1" t="s">
        <v>2566</v>
      </c>
      <c r="AF86" s="1" t="s">
        <v>731</v>
      </c>
      <c r="AG86" s="1"/>
      <c r="AH86" s="1"/>
      <c r="AI86" s="1"/>
      <c r="AJ86" s="1"/>
      <c r="AK86" s="1"/>
      <c r="AL86" s="1" t="s">
        <v>167</v>
      </c>
      <c r="AM86" t="s">
        <v>2678</v>
      </c>
    </row>
    <row r="87" spans="1:39" ht="19" customHeight="1">
      <c r="A87" s="4">
        <v>803</v>
      </c>
      <c r="B87" s="4" t="s">
        <v>817</v>
      </c>
      <c r="C87" s="4">
        <v>1989</v>
      </c>
      <c r="D87" s="4" t="s">
        <v>825</v>
      </c>
      <c r="E87" s="4">
        <v>6.9</v>
      </c>
      <c r="F87" s="4">
        <v>9.3000000000000007</v>
      </c>
      <c r="G87" s="4">
        <v>32.200000000000003</v>
      </c>
      <c r="H87" s="4">
        <v>5.65</v>
      </c>
      <c r="I87" s="4">
        <v>62</v>
      </c>
      <c r="J87" s="4">
        <v>280</v>
      </c>
      <c r="K87" s="4">
        <v>28</v>
      </c>
      <c r="L87" s="4">
        <v>0</v>
      </c>
      <c r="M87" s="4">
        <v>1</v>
      </c>
      <c r="N87" s="4" t="s">
        <v>734</v>
      </c>
      <c r="O87" s="1" t="s">
        <v>392</v>
      </c>
      <c r="P87" s="1" t="s">
        <v>2674</v>
      </c>
      <c r="Q87" s="1" t="s">
        <v>2675</v>
      </c>
      <c r="R87" s="1">
        <v>6.93</v>
      </c>
      <c r="S87" s="1" t="s">
        <v>1003</v>
      </c>
      <c r="T87" s="1">
        <v>37.040700000000001</v>
      </c>
      <c r="U87" s="1">
        <v>-121.88290000000001</v>
      </c>
      <c r="V87" s="1">
        <v>17.48</v>
      </c>
      <c r="W87" s="1" t="s">
        <v>734</v>
      </c>
      <c r="X87" s="1" t="s">
        <v>2571</v>
      </c>
      <c r="Y87" s="1">
        <v>128</v>
      </c>
      <c r="Z87" s="1">
        <v>70</v>
      </c>
      <c r="AA87" s="1">
        <v>140</v>
      </c>
      <c r="AB87" s="1"/>
      <c r="AC87" s="1"/>
      <c r="AD87" s="1"/>
      <c r="AE87" s="1" t="s">
        <v>2566</v>
      </c>
      <c r="AF87" s="1" t="s">
        <v>731</v>
      </c>
      <c r="AG87" s="1"/>
      <c r="AH87" s="1"/>
      <c r="AI87" s="1"/>
      <c r="AJ87" s="1"/>
      <c r="AK87" s="1"/>
      <c r="AL87" s="1" t="s">
        <v>167</v>
      </c>
      <c r="AM87" t="s">
        <v>2678</v>
      </c>
    </row>
    <row r="88" spans="1:39" ht="19" customHeight="1">
      <c r="A88" s="4">
        <v>808</v>
      </c>
      <c r="B88" s="4" t="s">
        <v>817</v>
      </c>
      <c r="C88" s="4">
        <v>1989</v>
      </c>
      <c r="D88" s="4" t="s">
        <v>826</v>
      </c>
      <c r="E88" s="4">
        <v>6.9</v>
      </c>
      <c r="F88" s="4">
        <v>77.400000000000006</v>
      </c>
      <c r="G88" s="4">
        <v>99</v>
      </c>
      <c r="H88" s="4">
        <v>2.08</v>
      </c>
      <c r="I88" s="4">
        <v>33.4</v>
      </c>
      <c r="J88" s="4">
        <v>67</v>
      </c>
      <c r="K88" s="4">
        <v>61</v>
      </c>
      <c r="L88" s="4">
        <v>1</v>
      </c>
      <c r="M88" s="4">
        <v>0</v>
      </c>
      <c r="N88" s="4" t="s">
        <v>734</v>
      </c>
      <c r="O88" s="1" t="s">
        <v>392</v>
      </c>
      <c r="P88" s="1" t="s">
        <v>2674</v>
      </c>
      <c r="Q88" s="1" t="s">
        <v>2675</v>
      </c>
      <c r="R88" s="1">
        <v>6.93</v>
      </c>
      <c r="S88" s="1" t="s">
        <v>1003</v>
      </c>
      <c r="T88" s="1">
        <v>37.040700000000001</v>
      </c>
      <c r="U88" s="1">
        <v>-121.88290000000001</v>
      </c>
      <c r="V88" s="1">
        <v>17.48</v>
      </c>
      <c r="W88" s="1" t="s">
        <v>734</v>
      </c>
      <c r="X88" s="1" t="s">
        <v>2571</v>
      </c>
      <c r="Y88" s="1">
        <v>128</v>
      </c>
      <c r="Z88" s="1">
        <v>70</v>
      </c>
      <c r="AA88" s="1">
        <v>140</v>
      </c>
      <c r="AB88" s="1"/>
      <c r="AC88" s="1"/>
      <c r="AD88" s="1"/>
      <c r="AE88" s="1" t="s">
        <v>2566</v>
      </c>
      <c r="AF88" s="1" t="s">
        <v>731</v>
      </c>
      <c r="AG88" s="1"/>
      <c r="AH88" s="1"/>
      <c r="AI88" s="1"/>
      <c r="AJ88" s="1"/>
      <c r="AK88" s="1"/>
      <c r="AL88" s="1" t="s">
        <v>167</v>
      </c>
      <c r="AM88" t="s">
        <v>2678</v>
      </c>
    </row>
    <row r="89" spans="1:39" ht="19" customHeight="1">
      <c r="A89" s="4">
        <v>3548</v>
      </c>
      <c r="B89" s="4" t="s">
        <v>817</v>
      </c>
      <c r="C89" s="4">
        <v>1989</v>
      </c>
      <c r="D89" s="4" t="s">
        <v>827</v>
      </c>
      <c r="E89" s="4">
        <v>6.9</v>
      </c>
      <c r="F89" s="4">
        <v>5</v>
      </c>
      <c r="G89" s="4">
        <v>26.8</v>
      </c>
      <c r="H89" s="4">
        <v>1.57</v>
      </c>
      <c r="I89" s="4">
        <v>121.3</v>
      </c>
      <c r="J89" s="4">
        <v>49</v>
      </c>
      <c r="K89" s="4">
        <v>79</v>
      </c>
      <c r="L89" s="4">
        <v>1</v>
      </c>
      <c r="M89" s="4">
        <v>1</v>
      </c>
      <c r="N89" s="4" t="s">
        <v>734</v>
      </c>
      <c r="O89" s="1" t="s">
        <v>392</v>
      </c>
      <c r="P89" s="1" t="s">
        <v>2674</v>
      </c>
      <c r="Q89" s="1" t="s">
        <v>2675</v>
      </c>
      <c r="R89" s="1">
        <v>6.93</v>
      </c>
      <c r="S89" s="1" t="s">
        <v>1003</v>
      </c>
      <c r="T89" s="1">
        <v>37.040700000000001</v>
      </c>
      <c r="U89" s="1">
        <v>-121.88290000000001</v>
      </c>
      <c r="V89" s="1">
        <v>17.48</v>
      </c>
      <c r="W89" s="1" t="s">
        <v>734</v>
      </c>
      <c r="X89" s="1" t="s">
        <v>2571</v>
      </c>
      <c r="Y89" s="1">
        <v>128</v>
      </c>
      <c r="Z89" s="1">
        <v>70</v>
      </c>
      <c r="AA89" s="1">
        <v>140</v>
      </c>
      <c r="AB89" s="1"/>
      <c r="AC89" s="1"/>
      <c r="AD89" s="1"/>
      <c r="AE89" s="1" t="s">
        <v>2566</v>
      </c>
      <c r="AF89" s="1" t="s">
        <v>731</v>
      </c>
      <c r="AG89" s="1"/>
      <c r="AH89" s="1"/>
      <c r="AI89" s="1"/>
      <c r="AJ89" s="1"/>
      <c r="AK89" s="1"/>
      <c r="AL89" s="1" t="s">
        <v>167</v>
      </c>
      <c r="AM89" t="s">
        <v>2678</v>
      </c>
    </row>
    <row r="90" spans="1:39" ht="19" customHeight="1">
      <c r="A90" s="4">
        <v>825</v>
      </c>
      <c r="B90" s="4" t="s">
        <v>828</v>
      </c>
      <c r="C90" s="4">
        <v>1992</v>
      </c>
      <c r="D90" s="4" t="s">
        <v>828</v>
      </c>
      <c r="E90" s="4">
        <v>7</v>
      </c>
      <c r="F90" s="4">
        <v>7</v>
      </c>
      <c r="G90" s="4">
        <v>14.1</v>
      </c>
      <c r="H90" s="4">
        <v>4.84</v>
      </c>
      <c r="I90" s="4">
        <v>124.1</v>
      </c>
      <c r="J90" s="4">
        <v>2</v>
      </c>
      <c r="K90" s="4">
        <v>12</v>
      </c>
      <c r="L90" s="4">
        <v>0</v>
      </c>
      <c r="M90" s="4">
        <v>0</v>
      </c>
      <c r="N90" s="4" t="s">
        <v>734</v>
      </c>
      <c r="O90" s="1" t="s">
        <v>399</v>
      </c>
      <c r="P90" s="1" t="s">
        <v>2680</v>
      </c>
      <c r="Q90" s="1" t="s">
        <v>2681</v>
      </c>
      <c r="R90" s="1">
        <v>7.01</v>
      </c>
      <c r="S90" s="1" t="s">
        <v>1003</v>
      </c>
      <c r="T90" s="1">
        <v>40.326999999999998</v>
      </c>
      <c r="U90" s="1">
        <v>-124.233</v>
      </c>
      <c r="V90" s="1">
        <v>9.5</v>
      </c>
      <c r="W90" s="1" t="s">
        <v>734</v>
      </c>
      <c r="X90" s="1" t="s">
        <v>2571</v>
      </c>
      <c r="Y90" s="1">
        <v>350</v>
      </c>
      <c r="Z90" s="1">
        <v>14</v>
      </c>
      <c r="AA90" s="1">
        <v>105</v>
      </c>
      <c r="AB90" s="1"/>
      <c r="AC90" s="1"/>
      <c r="AD90" s="1"/>
      <c r="AE90" s="1" t="s">
        <v>2566</v>
      </c>
      <c r="AF90" s="1" t="s">
        <v>731</v>
      </c>
      <c r="AG90" s="1"/>
      <c r="AH90" s="1"/>
      <c r="AI90" s="1"/>
      <c r="AJ90" s="1"/>
      <c r="AK90" s="1"/>
      <c r="AL90" s="1" t="s">
        <v>167</v>
      </c>
      <c r="AM90" t="s">
        <v>2684</v>
      </c>
    </row>
    <row r="91" spans="1:39" ht="19" customHeight="1">
      <c r="A91" s="4">
        <v>828</v>
      </c>
      <c r="B91" s="4" t="s">
        <v>828</v>
      </c>
      <c r="C91" s="4">
        <v>1992</v>
      </c>
      <c r="D91" s="4" t="s">
        <v>829</v>
      </c>
      <c r="E91" s="4">
        <v>7</v>
      </c>
      <c r="F91" s="4">
        <v>8.1999999999999993</v>
      </c>
      <c r="G91" s="4">
        <v>10.5</v>
      </c>
      <c r="H91" s="4">
        <v>3</v>
      </c>
      <c r="I91" s="4">
        <v>96.7</v>
      </c>
      <c r="J91" s="4">
        <v>287</v>
      </c>
      <c r="K91" s="4">
        <v>63</v>
      </c>
      <c r="L91" s="4">
        <v>1</v>
      </c>
      <c r="M91" s="4">
        <v>1</v>
      </c>
      <c r="N91" s="4" t="s">
        <v>734</v>
      </c>
      <c r="O91" s="1" t="s">
        <v>399</v>
      </c>
      <c r="P91" s="1" t="s">
        <v>2680</v>
      </c>
      <c r="Q91" s="1" t="s">
        <v>2681</v>
      </c>
      <c r="R91" s="1">
        <v>7.01</v>
      </c>
      <c r="S91" s="1" t="s">
        <v>1003</v>
      </c>
      <c r="T91" s="1">
        <v>40.326999999999998</v>
      </c>
      <c r="U91" s="1">
        <v>-124.233</v>
      </c>
      <c r="V91" s="1">
        <v>9.5</v>
      </c>
      <c r="W91" s="1" t="s">
        <v>734</v>
      </c>
      <c r="X91" s="1" t="s">
        <v>2571</v>
      </c>
      <c r="Y91" s="1">
        <v>350</v>
      </c>
      <c r="Z91" s="1">
        <v>14</v>
      </c>
      <c r="AA91" s="1">
        <v>105</v>
      </c>
      <c r="AB91" s="1"/>
      <c r="AC91" s="1"/>
      <c r="AD91" s="1"/>
      <c r="AE91" s="1" t="s">
        <v>2566</v>
      </c>
      <c r="AF91" s="1" t="s">
        <v>731</v>
      </c>
      <c r="AG91" s="1"/>
      <c r="AH91" s="1"/>
      <c r="AI91" s="1"/>
      <c r="AJ91" s="1"/>
      <c r="AK91" s="1"/>
      <c r="AL91" s="1" t="s">
        <v>167</v>
      </c>
      <c r="AM91" t="s">
        <v>2684</v>
      </c>
    </row>
    <row r="92" spans="1:39" ht="19" customHeight="1">
      <c r="A92" s="4">
        <v>3744</v>
      </c>
      <c r="B92" s="4" t="s">
        <v>828</v>
      </c>
      <c r="C92" s="4">
        <v>1992</v>
      </c>
      <c r="D92" s="4" t="s">
        <v>830</v>
      </c>
      <c r="E92" s="4">
        <v>7</v>
      </c>
      <c r="F92" s="4">
        <v>12.2</v>
      </c>
      <c r="G92" s="4">
        <v>21.9</v>
      </c>
      <c r="H92" s="4">
        <v>5.36</v>
      </c>
      <c r="I92" s="4">
        <v>80.599999999999994</v>
      </c>
      <c r="J92" s="4">
        <v>245</v>
      </c>
      <c r="K92" s="4">
        <v>75</v>
      </c>
      <c r="L92" s="4">
        <v>1</v>
      </c>
      <c r="M92" s="4">
        <v>1</v>
      </c>
      <c r="N92" s="4" t="s">
        <v>734</v>
      </c>
      <c r="O92" s="1" t="s">
        <v>399</v>
      </c>
      <c r="P92" s="1" t="s">
        <v>2680</v>
      </c>
      <c r="Q92" s="1" t="s">
        <v>2681</v>
      </c>
      <c r="R92" s="1">
        <v>7.01</v>
      </c>
      <c r="S92" s="1" t="s">
        <v>1003</v>
      </c>
      <c r="T92" s="1">
        <v>40.326999999999998</v>
      </c>
      <c r="U92" s="1">
        <v>-124.233</v>
      </c>
      <c r="V92" s="1">
        <v>9.5</v>
      </c>
      <c r="W92" s="1" t="s">
        <v>734</v>
      </c>
      <c r="X92" s="1" t="s">
        <v>2571</v>
      </c>
      <c r="Y92" s="1">
        <v>350</v>
      </c>
      <c r="Z92" s="1">
        <v>14</v>
      </c>
      <c r="AA92" s="1">
        <v>105</v>
      </c>
      <c r="AB92" s="1"/>
      <c r="AC92" s="1"/>
      <c r="AD92" s="1"/>
      <c r="AE92" s="1" t="s">
        <v>2566</v>
      </c>
      <c r="AF92" s="1" t="s">
        <v>731</v>
      </c>
      <c r="AG92" s="1"/>
      <c r="AH92" s="1"/>
      <c r="AI92" s="1"/>
      <c r="AJ92" s="1"/>
      <c r="AK92" s="1"/>
      <c r="AL92" s="1" t="s">
        <v>167</v>
      </c>
      <c r="AM92" t="s">
        <v>2684</v>
      </c>
    </row>
    <row r="93" spans="1:39" ht="19" customHeight="1">
      <c r="A93" s="4">
        <v>3746</v>
      </c>
      <c r="B93" s="4" t="s">
        <v>828</v>
      </c>
      <c r="C93" s="4">
        <v>1992</v>
      </c>
      <c r="D93" s="4" t="s">
        <v>831</v>
      </c>
      <c r="E93" s="4">
        <v>7</v>
      </c>
      <c r="F93" s="4">
        <v>18.3</v>
      </c>
      <c r="G93" s="4">
        <v>29.6</v>
      </c>
      <c r="H93" s="4">
        <v>1.97</v>
      </c>
      <c r="I93" s="4">
        <v>57.5</v>
      </c>
      <c r="J93" s="4">
        <v>225</v>
      </c>
      <c r="K93" s="4">
        <v>55</v>
      </c>
      <c r="L93" s="4">
        <v>1</v>
      </c>
      <c r="M93" s="4">
        <v>1</v>
      </c>
      <c r="N93" s="4" t="s">
        <v>734</v>
      </c>
      <c r="O93" s="1" t="s">
        <v>399</v>
      </c>
      <c r="P93" s="1" t="s">
        <v>2680</v>
      </c>
      <c r="Q93" s="1" t="s">
        <v>2681</v>
      </c>
      <c r="R93" s="1">
        <v>7.01</v>
      </c>
      <c r="S93" s="1" t="s">
        <v>1003</v>
      </c>
      <c r="T93" s="1">
        <v>40.326999999999998</v>
      </c>
      <c r="U93" s="1">
        <v>-124.233</v>
      </c>
      <c r="V93" s="1">
        <v>9.5</v>
      </c>
      <c r="W93" s="1" t="s">
        <v>734</v>
      </c>
      <c r="X93" s="1" t="s">
        <v>2571</v>
      </c>
      <c r="Y93" s="1">
        <v>350</v>
      </c>
      <c r="Z93" s="1">
        <v>14</v>
      </c>
      <c r="AA93" s="1">
        <v>105</v>
      </c>
      <c r="AB93" s="1"/>
      <c r="AC93" s="1"/>
      <c r="AD93" s="1"/>
      <c r="AE93" s="1" t="s">
        <v>2566</v>
      </c>
      <c r="AF93" s="1" t="s">
        <v>731</v>
      </c>
      <c r="AG93" s="1"/>
      <c r="AH93" s="1"/>
      <c r="AI93" s="1"/>
      <c r="AJ93" s="1"/>
      <c r="AK93" s="1"/>
      <c r="AL93" s="1" t="s">
        <v>167</v>
      </c>
      <c r="AM93" t="s">
        <v>2684</v>
      </c>
    </row>
    <row r="94" spans="1:39" ht="19" customHeight="1">
      <c r="A94" s="4">
        <v>6877</v>
      </c>
      <c r="B94" s="4" t="s">
        <v>407</v>
      </c>
      <c r="C94" s="4">
        <v>1992</v>
      </c>
      <c r="D94" s="4" t="s">
        <v>832</v>
      </c>
      <c r="E94" s="4">
        <v>6.1</v>
      </c>
      <c r="F94" s="4">
        <v>25.5</v>
      </c>
      <c r="G94" s="4">
        <v>28.4</v>
      </c>
      <c r="H94" s="4">
        <v>1.1000000000000001</v>
      </c>
      <c r="I94" s="4">
        <v>53.3</v>
      </c>
      <c r="J94" s="4">
        <v>268</v>
      </c>
      <c r="K94" s="4">
        <v>72</v>
      </c>
      <c r="L94" s="4">
        <v>1</v>
      </c>
      <c r="M94" s="4">
        <v>0</v>
      </c>
      <c r="N94" s="4" t="s">
        <v>730</v>
      </c>
      <c r="O94" s="1" t="s">
        <v>406</v>
      </c>
      <c r="P94" s="1" t="s">
        <v>2685</v>
      </c>
      <c r="Q94" s="1" t="s">
        <v>2686</v>
      </c>
      <c r="R94" s="1">
        <v>6.1</v>
      </c>
      <c r="S94" s="1" t="s">
        <v>1003</v>
      </c>
      <c r="T94" s="1">
        <v>33.96</v>
      </c>
      <c r="U94" s="1">
        <v>-116.3167</v>
      </c>
      <c r="V94" s="1">
        <v>12.4</v>
      </c>
      <c r="W94" s="1" t="s">
        <v>730</v>
      </c>
      <c r="X94" s="1" t="s">
        <v>2571</v>
      </c>
      <c r="Y94" s="1">
        <v>340</v>
      </c>
      <c r="Z94" s="1">
        <v>90</v>
      </c>
      <c r="AA94" s="1">
        <v>180</v>
      </c>
      <c r="AB94" s="1"/>
      <c r="AC94" s="1"/>
      <c r="AD94" s="1"/>
      <c r="AE94" s="1" t="s">
        <v>2566</v>
      </c>
      <c r="AF94" s="1" t="s">
        <v>731</v>
      </c>
      <c r="AG94" s="1"/>
      <c r="AH94" s="1"/>
      <c r="AI94" s="1"/>
      <c r="AJ94" s="1"/>
      <c r="AK94" s="1"/>
      <c r="AL94" s="1" t="s">
        <v>167</v>
      </c>
      <c r="AM94" t="s">
        <v>2688</v>
      </c>
    </row>
    <row r="95" spans="1:39" ht="19" customHeight="1">
      <c r="A95" s="4">
        <v>838</v>
      </c>
      <c r="B95" s="4" t="s">
        <v>833</v>
      </c>
      <c r="C95" s="4">
        <v>1992</v>
      </c>
      <c r="D95" s="4" t="s">
        <v>834</v>
      </c>
      <c r="E95" s="4">
        <v>7.3</v>
      </c>
      <c r="F95" s="4">
        <v>34.9</v>
      </c>
      <c r="G95" s="4">
        <v>95</v>
      </c>
      <c r="H95" s="4">
        <v>9.1300000000000008</v>
      </c>
      <c r="I95" s="4">
        <v>28.8</v>
      </c>
      <c r="J95" s="4">
        <v>47</v>
      </c>
      <c r="K95" s="4">
        <v>88</v>
      </c>
      <c r="L95" s="4">
        <v>1</v>
      </c>
      <c r="M95" s="4">
        <v>1</v>
      </c>
      <c r="N95" s="4" t="s">
        <v>730</v>
      </c>
      <c r="O95" s="1" t="s">
        <v>412</v>
      </c>
      <c r="P95" s="1" t="s">
        <v>2690</v>
      </c>
      <c r="Q95" s="1" t="s">
        <v>2691</v>
      </c>
      <c r="R95" s="1">
        <v>7.28</v>
      </c>
      <c r="S95" s="1" t="s">
        <v>1003</v>
      </c>
      <c r="T95" s="1">
        <v>34.200000000000003</v>
      </c>
      <c r="U95" s="1">
        <v>-116.43600000000001</v>
      </c>
      <c r="V95" s="1">
        <v>7</v>
      </c>
      <c r="W95" s="1" t="s">
        <v>730</v>
      </c>
      <c r="X95" s="1" t="s">
        <v>2571</v>
      </c>
      <c r="Y95" s="1">
        <v>336</v>
      </c>
      <c r="Z95" s="1">
        <v>90</v>
      </c>
      <c r="AA95" s="1">
        <v>180</v>
      </c>
      <c r="AB95" s="1"/>
      <c r="AC95" s="1"/>
      <c r="AD95" s="1"/>
      <c r="AE95" s="1" t="s">
        <v>2566</v>
      </c>
      <c r="AF95" s="1" t="s">
        <v>731</v>
      </c>
      <c r="AG95" s="1"/>
      <c r="AH95" s="1"/>
      <c r="AI95" s="1"/>
      <c r="AJ95" s="1"/>
      <c r="AK95" s="1"/>
      <c r="AL95" s="1" t="s">
        <v>167</v>
      </c>
      <c r="AM95" t="s">
        <v>2694</v>
      </c>
    </row>
    <row r="96" spans="1:39" ht="19" customHeight="1">
      <c r="A96" s="4">
        <v>879</v>
      </c>
      <c r="B96" s="4" t="s">
        <v>833</v>
      </c>
      <c r="C96" s="4">
        <v>1992</v>
      </c>
      <c r="D96" s="4" t="s">
        <v>835</v>
      </c>
      <c r="E96" s="4">
        <v>7.3</v>
      </c>
      <c r="F96" s="4">
        <v>2.2000000000000002</v>
      </c>
      <c r="G96" s="4">
        <v>44.6</v>
      </c>
      <c r="H96" s="4">
        <v>5.12</v>
      </c>
      <c r="I96" s="4">
        <v>132.30000000000001</v>
      </c>
      <c r="J96" s="4">
        <v>270</v>
      </c>
      <c r="K96" s="4">
        <v>59</v>
      </c>
      <c r="L96" s="4">
        <v>1</v>
      </c>
      <c r="M96" s="4">
        <v>1</v>
      </c>
      <c r="N96" s="4" t="s">
        <v>730</v>
      </c>
      <c r="O96" s="1" t="s">
        <v>412</v>
      </c>
      <c r="P96" s="1" t="s">
        <v>2690</v>
      </c>
      <c r="Q96" s="1" t="s">
        <v>2691</v>
      </c>
      <c r="R96" s="1">
        <v>7.28</v>
      </c>
      <c r="S96" s="1" t="s">
        <v>1003</v>
      </c>
      <c r="T96" s="1">
        <v>34.200000000000003</v>
      </c>
      <c r="U96" s="1">
        <v>-116.43600000000001</v>
      </c>
      <c r="V96" s="1">
        <v>7</v>
      </c>
      <c r="W96" s="1" t="s">
        <v>730</v>
      </c>
      <c r="X96" s="1" t="s">
        <v>2571</v>
      </c>
      <c r="Y96" s="1">
        <v>336</v>
      </c>
      <c r="Z96" s="1">
        <v>90</v>
      </c>
      <c r="AA96" s="1">
        <v>180</v>
      </c>
      <c r="AB96" s="1"/>
      <c r="AC96" s="1"/>
      <c r="AD96" s="1"/>
      <c r="AE96" s="1" t="s">
        <v>2566</v>
      </c>
      <c r="AF96" s="1" t="s">
        <v>731</v>
      </c>
      <c r="AG96" s="1"/>
      <c r="AH96" s="1"/>
      <c r="AI96" s="1"/>
      <c r="AJ96" s="1"/>
      <c r="AK96" s="1"/>
      <c r="AL96" s="1" t="s">
        <v>167</v>
      </c>
      <c r="AM96" t="s">
        <v>2694</v>
      </c>
    </row>
    <row r="97" spans="1:39" ht="19" customHeight="1">
      <c r="A97" s="4">
        <v>900</v>
      </c>
      <c r="B97" s="4" t="s">
        <v>833</v>
      </c>
      <c r="C97" s="4">
        <v>1992</v>
      </c>
      <c r="D97" s="4" t="s">
        <v>836</v>
      </c>
      <c r="E97" s="4">
        <v>7.3</v>
      </c>
      <c r="F97" s="4">
        <v>23.6</v>
      </c>
      <c r="G97" s="4">
        <v>86.3</v>
      </c>
      <c r="H97" s="4">
        <v>7.5</v>
      </c>
      <c r="I97" s="4">
        <v>55.8</v>
      </c>
      <c r="J97" s="4">
        <v>238</v>
      </c>
      <c r="K97" s="4">
        <v>77</v>
      </c>
      <c r="L97" s="4">
        <v>1</v>
      </c>
      <c r="M97" s="4">
        <v>1</v>
      </c>
      <c r="N97" s="4" t="s">
        <v>730</v>
      </c>
      <c r="O97" s="1" t="s">
        <v>412</v>
      </c>
      <c r="P97" s="1" t="s">
        <v>2690</v>
      </c>
      <c r="Q97" s="1" t="s">
        <v>2691</v>
      </c>
      <c r="R97" s="1">
        <v>7.28</v>
      </c>
      <c r="S97" s="1" t="s">
        <v>1003</v>
      </c>
      <c r="T97" s="1">
        <v>34.200000000000003</v>
      </c>
      <c r="U97" s="1">
        <v>-116.43600000000001</v>
      </c>
      <c r="V97" s="1">
        <v>7</v>
      </c>
      <c r="W97" s="1" t="s">
        <v>730</v>
      </c>
      <c r="X97" s="1" t="s">
        <v>2571</v>
      </c>
      <c r="Y97" s="1">
        <v>336</v>
      </c>
      <c r="Z97" s="1">
        <v>90</v>
      </c>
      <c r="AA97" s="1">
        <v>180</v>
      </c>
      <c r="AB97" s="1"/>
      <c r="AC97" s="1"/>
      <c r="AD97" s="1"/>
      <c r="AE97" s="1" t="s">
        <v>2566</v>
      </c>
      <c r="AF97" s="1" t="s">
        <v>731</v>
      </c>
      <c r="AG97" s="1"/>
      <c r="AH97" s="1"/>
      <c r="AI97" s="1"/>
      <c r="AJ97" s="1"/>
      <c r="AK97" s="1"/>
      <c r="AL97" s="1" t="s">
        <v>167</v>
      </c>
      <c r="AM97" t="s">
        <v>2694</v>
      </c>
    </row>
    <row r="98" spans="1:39" ht="19" customHeight="1">
      <c r="A98" s="4">
        <v>982</v>
      </c>
      <c r="B98" s="4" t="s">
        <v>837</v>
      </c>
      <c r="C98" s="4">
        <v>1994</v>
      </c>
      <c r="D98" s="4" t="s">
        <v>838</v>
      </c>
      <c r="E98" s="4">
        <v>6.7</v>
      </c>
      <c r="F98" s="4">
        <v>5.4</v>
      </c>
      <c r="G98" s="4">
        <v>21.8</v>
      </c>
      <c r="H98" s="4">
        <v>3.16</v>
      </c>
      <c r="I98" s="4">
        <v>101.5</v>
      </c>
      <c r="J98" s="4">
        <v>49</v>
      </c>
      <c r="K98" s="4">
        <v>73</v>
      </c>
      <c r="L98" s="4">
        <v>1</v>
      </c>
      <c r="M98" s="4">
        <v>1</v>
      </c>
      <c r="N98" s="4" t="s">
        <v>734</v>
      </c>
      <c r="O98" s="1" t="s">
        <v>419</v>
      </c>
      <c r="P98" s="1" t="s">
        <v>2696</v>
      </c>
      <c r="Q98" s="1" t="s">
        <v>2697</v>
      </c>
      <c r="R98" s="1">
        <v>6.69</v>
      </c>
      <c r="S98" s="1" t="s">
        <v>1003</v>
      </c>
      <c r="T98" s="1">
        <v>34.2057</v>
      </c>
      <c r="U98" s="1">
        <v>-118.5539</v>
      </c>
      <c r="V98" s="1">
        <v>17.5</v>
      </c>
      <c r="W98" s="1" t="s">
        <v>734</v>
      </c>
      <c r="X98" s="1" t="s">
        <v>2571</v>
      </c>
      <c r="Y98" s="1">
        <v>122</v>
      </c>
      <c r="Z98" s="1">
        <v>40</v>
      </c>
      <c r="AA98" s="1">
        <v>103</v>
      </c>
      <c r="AB98" s="1"/>
      <c r="AC98" s="1"/>
      <c r="AD98" s="1"/>
      <c r="AE98" s="1" t="s">
        <v>2566</v>
      </c>
      <c r="AF98" s="1" t="s">
        <v>731</v>
      </c>
      <c r="AG98" s="1"/>
      <c r="AH98" s="1"/>
      <c r="AI98" s="1"/>
      <c r="AJ98" s="1"/>
      <c r="AK98" s="1"/>
      <c r="AL98" s="1" t="s">
        <v>167</v>
      </c>
      <c r="AM98" t="s">
        <v>2700</v>
      </c>
    </row>
    <row r="99" spans="1:39" ht="19" customHeight="1">
      <c r="A99" s="4">
        <v>983</v>
      </c>
      <c r="B99" s="4" t="s">
        <v>837</v>
      </c>
      <c r="C99" s="4">
        <v>1994</v>
      </c>
      <c r="D99" s="4" t="s">
        <v>839</v>
      </c>
      <c r="E99" s="4">
        <v>6.7</v>
      </c>
      <c r="F99" s="4">
        <v>5.4</v>
      </c>
      <c r="G99" s="4">
        <v>21.8</v>
      </c>
      <c r="H99" s="4">
        <v>3.54</v>
      </c>
      <c r="I99" s="4">
        <v>66.099999999999994</v>
      </c>
      <c r="J99" s="4">
        <v>34</v>
      </c>
      <c r="K99" s="4">
        <v>88</v>
      </c>
      <c r="L99" s="4">
        <v>1</v>
      </c>
      <c r="M99" s="4">
        <v>1</v>
      </c>
      <c r="N99" s="4" t="s">
        <v>734</v>
      </c>
      <c r="O99" s="1" t="s">
        <v>419</v>
      </c>
      <c r="P99" s="1" t="s">
        <v>2696</v>
      </c>
      <c r="Q99" s="1" t="s">
        <v>2697</v>
      </c>
      <c r="R99" s="1">
        <v>6.69</v>
      </c>
      <c r="S99" s="1" t="s">
        <v>1003</v>
      </c>
      <c r="T99" s="1">
        <v>34.2057</v>
      </c>
      <c r="U99" s="1">
        <v>-118.5539</v>
      </c>
      <c r="V99" s="1">
        <v>17.5</v>
      </c>
      <c r="W99" s="1" t="s">
        <v>734</v>
      </c>
      <c r="X99" s="1" t="s">
        <v>2571</v>
      </c>
      <c r="Y99" s="1">
        <v>122</v>
      </c>
      <c r="Z99" s="1">
        <v>40</v>
      </c>
      <c r="AA99" s="1">
        <v>103</v>
      </c>
      <c r="AB99" s="1"/>
      <c r="AC99" s="1"/>
      <c r="AD99" s="1"/>
      <c r="AE99" s="1" t="s">
        <v>2566</v>
      </c>
      <c r="AF99" s="1" t="s">
        <v>731</v>
      </c>
      <c r="AG99" s="1"/>
      <c r="AH99" s="1"/>
      <c r="AI99" s="1"/>
      <c r="AJ99" s="1"/>
      <c r="AK99" s="1"/>
      <c r="AL99" s="1" t="s">
        <v>167</v>
      </c>
      <c r="AM99" t="s">
        <v>2700</v>
      </c>
    </row>
    <row r="100" spans="1:39" ht="19" customHeight="1">
      <c r="A100" s="4">
        <v>1003</v>
      </c>
      <c r="B100" s="4" t="s">
        <v>837</v>
      </c>
      <c r="C100" s="4">
        <v>1994</v>
      </c>
      <c r="D100" s="4" t="s">
        <v>840</v>
      </c>
      <c r="E100" s="4">
        <v>6.7</v>
      </c>
      <c r="F100" s="4">
        <v>27</v>
      </c>
      <c r="G100" s="4">
        <v>30.9</v>
      </c>
      <c r="H100" s="4">
        <v>0.98</v>
      </c>
      <c r="I100" s="4">
        <v>41.6</v>
      </c>
      <c r="J100" s="4">
        <v>87</v>
      </c>
      <c r="K100" s="4">
        <v>35</v>
      </c>
      <c r="L100" s="4">
        <v>0</v>
      </c>
      <c r="M100" s="4">
        <v>0</v>
      </c>
      <c r="N100" s="4" t="s">
        <v>734</v>
      </c>
      <c r="O100" s="1" t="s">
        <v>419</v>
      </c>
      <c r="P100" s="1" t="s">
        <v>2696</v>
      </c>
      <c r="Q100" s="1" t="s">
        <v>2697</v>
      </c>
      <c r="R100" s="1">
        <v>6.69</v>
      </c>
      <c r="S100" s="1" t="s">
        <v>1003</v>
      </c>
      <c r="T100" s="1">
        <v>34.2057</v>
      </c>
      <c r="U100" s="1">
        <v>-118.5539</v>
      </c>
      <c r="V100" s="1">
        <v>17.5</v>
      </c>
      <c r="W100" s="1" t="s">
        <v>734</v>
      </c>
      <c r="X100" s="1" t="s">
        <v>2571</v>
      </c>
      <c r="Y100" s="1">
        <v>122</v>
      </c>
      <c r="Z100" s="1">
        <v>40</v>
      </c>
      <c r="AA100" s="1">
        <v>103</v>
      </c>
      <c r="AB100" s="1"/>
      <c r="AC100" s="1"/>
      <c r="AD100" s="1"/>
      <c r="AE100" s="1" t="s">
        <v>2566</v>
      </c>
      <c r="AF100" s="1" t="s">
        <v>731</v>
      </c>
      <c r="AG100" s="1"/>
      <c r="AH100" s="1"/>
      <c r="AI100" s="1"/>
      <c r="AJ100" s="1"/>
      <c r="AK100" s="1"/>
      <c r="AL100" s="1" t="s">
        <v>167</v>
      </c>
      <c r="AM100" t="s">
        <v>2700</v>
      </c>
    </row>
    <row r="101" spans="1:39" ht="19" customHeight="1">
      <c r="A101" s="4">
        <v>1004</v>
      </c>
      <c r="B101" s="4" t="s">
        <v>837</v>
      </c>
      <c r="C101" s="4">
        <v>1994</v>
      </c>
      <c r="D101" s="4" t="s">
        <v>841</v>
      </c>
      <c r="E101" s="4">
        <v>6.7</v>
      </c>
      <c r="F101" s="4">
        <v>8.4</v>
      </c>
      <c r="G101" s="4">
        <v>19.399999999999999</v>
      </c>
      <c r="H101" s="4">
        <v>0.93</v>
      </c>
      <c r="I101" s="4">
        <v>77.900000000000006</v>
      </c>
      <c r="J101" s="4">
        <v>271</v>
      </c>
      <c r="K101" s="4">
        <v>31</v>
      </c>
      <c r="L101" s="4">
        <v>0</v>
      </c>
      <c r="M101" s="4">
        <v>1</v>
      </c>
      <c r="N101" s="4" t="s">
        <v>734</v>
      </c>
      <c r="O101" s="1" t="s">
        <v>419</v>
      </c>
      <c r="P101" s="1" t="s">
        <v>2696</v>
      </c>
      <c r="Q101" s="1" t="s">
        <v>2697</v>
      </c>
      <c r="R101" s="1">
        <v>6.69</v>
      </c>
      <c r="S101" s="1" t="s">
        <v>1003</v>
      </c>
      <c r="T101" s="1">
        <v>34.2057</v>
      </c>
      <c r="U101" s="1">
        <v>-118.5539</v>
      </c>
      <c r="V101" s="1">
        <v>17.5</v>
      </c>
      <c r="W101" s="1" t="s">
        <v>734</v>
      </c>
      <c r="X101" s="1" t="s">
        <v>2571</v>
      </c>
      <c r="Y101" s="1">
        <v>122</v>
      </c>
      <c r="Z101" s="1">
        <v>40</v>
      </c>
      <c r="AA101" s="1">
        <v>103</v>
      </c>
      <c r="AB101" s="1"/>
      <c r="AC101" s="1"/>
      <c r="AD101" s="1"/>
      <c r="AE101" s="1" t="s">
        <v>2566</v>
      </c>
      <c r="AF101" s="1" t="s">
        <v>731</v>
      </c>
      <c r="AG101" s="1"/>
      <c r="AH101" s="1"/>
      <c r="AI101" s="1"/>
      <c r="AJ101" s="1"/>
      <c r="AK101" s="1"/>
      <c r="AL101" s="1" t="s">
        <v>167</v>
      </c>
      <c r="AM101" t="s">
        <v>2700</v>
      </c>
    </row>
    <row r="102" spans="1:39" ht="19" customHeight="1">
      <c r="A102" s="4">
        <v>1013</v>
      </c>
      <c r="B102" s="4" t="s">
        <v>837</v>
      </c>
      <c r="C102" s="4">
        <v>1994</v>
      </c>
      <c r="D102" s="4" t="s">
        <v>842</v>
      </c>
      <c r="E102" s="4">
        <v>6.7</v>
      </c>
      <c r="F102" s="4">
        <v>5.9</v>
      </c>
      <c r="G102" s="4">
        <v>21.1</v>
      </c>
      <c r="H102" s="4">
        <v>1.62</v>
      </c>
      <c r="I102" s="4">
        <v>86.3</v>
      </c>
      <c r="J102" s="4">
        <v>31</v>
      </c>
      <c r="K102" s="4">
        <v>89</v>
      </c>
      <c r="L102" s="4">
        <v>1</v>
      </c>
      <c r="M102" s="4">
        <v>1</v>
      </c>
      <c r="N102" s="4" t="s">
        <v>734</v>
      </c>
      <c r="O102" s="1" t="s">
        <v>419</v>
      </c>
      <c r="P102" s="1" t="s">
        <v>2696</v>
      </c>
      <c r="Q102" s="1" t="s">
        <v>2697</v>
      </c>
      <c r="R102" s="1">
        <v>6.69</v>
      </c>
      <c r="S102" s="1" t="s">
        <v>1003</v>
      </c>
      <c r="T102" s="1">
        <v>34.2057</v>
      </c>
      <c r="U102" s="1">
        <v>-118.5539</v>
      </c>
      <c r="V102" s="1">
        <v>17.5</v>
      </c>
      <c r="W102" s="1" t="s">
        <v>734</v>
      </c>
      <c r="X102" s="1" t="s">
        <v>2571</v>
      </c>
      <c r="Y102" s="1">
        <v>122</v>
      </c>
      <c r="Z102" s="1">
        <v>40</v>
      </c>
      <c r="AA102" s="1">
        <v>103</v>
      </c>
      <c r="AB102" s="1"/>
      <c r="AC102" s="1"/>
      <c r="AD102" s="1"/>
      <c r="AE102" s="1" t="s">
        <v>2566</v>
      </c>
      <c r="AF102" s="1" t="s">
        <v>731</v>
      </c>
      <c r="AG102" s="1"/>
      <c r="AH102" s="1"/>
      <c r="AI102" s="1"/>
      <c r="AJ102" s="1"/>
      <c r="AK102" s="1"/>
      <c r="AL102" s="1" t="s">
        <v>167</v>
      </c>
      <c r="AM102" t="s">
        <v>2700</v>
      </c>
    </row>
    <row r="103" spans="1:39" ht="19" customHeight="1">
      <c r="A103" s="4">
        <v>1044</v>
      </c>
      <c r="B103" s="4" t="s">
        <v>837</v>
      </c>
      <c r="C103" s="4">
        <v>1994</v>
      </c>
      <c r="D103" s="4" t="s">
        <v>843</v>
      </c>
      <c r="E103" s="4">
        <v>6.7</v>
      </c>
      <c r="F103" s="4">
        <v>5.9</v>
      </c>
      <c r="G103" s="4">
        <v>26.8</v>
      </c>
      <c r="H103" s="4">
        <v>1.37</v>
      </c>
      <c r="I103" s="4">
        <v>116.1</v>
      </c>
      <c r="J103" s="4">
        <v>21</v>
      </c>
      <c r="K103" s="4">
        <v>79</v>
      </c>
      <c r="L103" s="4">
        <v>0</v>
      </c>
      <c r="M103" s="4">
        <v>1</v>
      </c>
      <c r="N103" s="4" t="s">
        <v>734</v>
      </c>
      <c r="O103" s="1" t="s">
        <v>419</v>
      </c>
      <c r="P103" s="1" t="s">
        <v>2696</v>
      </c>
      <c r="Q103" s="1" t="s">
        <v>2697</v>
      </c>
      <c r="R103" s="1">
        <v>6.69</v>
      </c>
      <c r="S103" s="1" t="s">
        <v>1003</v>
      </c>
      <c r="T103" s="1">
        <v>34.2057</v>
      </c>
      <c r="U103" s="1">
        <v>-118.5539</v>
      </c>
      <c r="V103" s="1">
        <v>17.5</v>
      </c>
      <c r="W103" s="1" t="s">
        <v>734</v>
      </c>
      <c r="X103" s="1" t="s">
        <v>2571</v>
      </c>
      <c r="Y103" s="1">
        <v>122</v>
      </c>
      <c r="Z103" s="1">
        <v>40</v>
      </c>
      <c r="AA103" s="1">
        <v>103</v>
      </c>
      <c r="AB103" s="1"/>
      <c r="AC103" s="1"/>
      <c r="AD103" s="1"/>
      <c r="AE103" s="1" t="s">
        <v>2566</v>
      </c>
      <c r="AF103" s="1" t="s">
        <v>731</v>
      </c>
      <c r="AG103" s="1"/>
      <c r="AH103" s="1"/>
      <c r="AI103" s="1"/>
      <c r="AJ103" s="1"/>
      <c r="AK103" s="1"/>
      <c r="AL103" s="1" t="s">
        <v>167</v>
      </c>
      <c r="AM103" t="s">
        <v>2700</v>
      </c>
    </row>
    <row r="104" spans="1:39" ht="19" customHeight="1">
      <c r="A104" s="4">
        <v>1045</v>
      </c>
      <c r="B104" s="4" t="s">
        <v>837</v>
      </c>
      <c r="C104" s="4">
        <v>1994</v>
      </c>
      <c r="D104" s="4" t="s">
        <v>844</v>
      </c>
      <c r="E104" s="4">
        <v>6.7</v>
      </c>
      <c r="F104" s="4">
        <v>5.5</v>
      </c>
      <c r="G104" s="4">
        <v>27.8</v>
      </c>
      <c r="H104" s="4">
        <v>2.98</v>
      </c>
      <c r="I104" s="4">
        <v>118.3</v>
      </c>
      <c r="J104" s="4">
        <v>34</v>
      </c>
      <c r="K104" s="4">
        <v>88</v>
      </c>
      <c r="L104" s="4">
        <v>1</v>
      </c>
      <c r="M104" s="4">
        <v>1</v>
      </c>
      <c r="N104" s="4" t="s">
        <v>734</v>
      </c>
      <c r="O104" s="1" t="s">
        <v>419</v>
      </c>
      <c r="P104" s="1" t="s">
        <v>2696</v>
      </c>
      <c r="Q104" s="1" t="s">
        <v>2697</v>
      </c>
      <c r="R104" s="1">
        <v>6.69</v>
      </c>
      <c r="S104" s="1" t="s">
        <v>1003</v>
      </c>
      <c r="T104" s="1">
        <v>34.2057</v>
      </c>
      <c r="U104" s="1">
        <v>-118.5539</v>
      </c>
      <c r="V104" s="1">
        <v>17.5</v>
      </c>
      <c r="W104" s="1" t="s">
        <v>734</v>
      </c>
      <c r="X104" s="1" t="s">
        <v>2571</v>
      </c>
      <c r="Y104" s="1">
        <v>122</v>
      </c>
      <c r="Z104" s="1">
        <v>40</v>
      </c>
      <c r="AA104" s="1">
        <v>103</v>
      </c>
      <c r="AB104" s="1"/>
      <c r="AC104" s="1"/>
      <c r="AD104" s="1"/>
      <c r="AE104" s="1" t="s">
        <v>2566</v>
      </c>
      <c r="AF104" s="1" t="s">
        <v>731</v>
      </c>
      <c r="AG104" s="1"/>
      <c r="AH104" s="1"/>
      <c r="AI104" s="1"/>
      <c r="AJ104" s="1"/>
      <c r="AK104" s="1"/>
      <c r="AL104" s="1" t="s">
        <v>167</v>
      </c>
      <c r="AM104" t="s">
        <v>2700</v>
      </c>
    </row>
    <row r="105" spans="1:39" ht="19" customHeight="1">
      <c r="A105" s="4">
        <v>1050</v>
      </c>
      <c r="B105" s="4" t="s">
        <v>837</v>
      </c>
      <c r="C105" s="4">
        <v>1994</v>
      </c>
      <c r="D105" s="4" t="s">
        <v>845</v>
      </c>
      <c r="E105" s="4">
        <v>6.7</v>
      </c>
      <c r="F105" s="4">
        <v>7</v>
      </c>
      <c r="G105" s="4">
        <v>26.9</v>
      </c>
      <c r="H105" s="4">
        <v>0.59</v>
      </c>
      <c r="I105" s="4">
        <v>50.2</v>
      </c>
      <c r="J105" s="4">
        <v>205</v>
      </c>
      <c r="K105" s="4">
        <v>83</v>
      </c>
      <c r="L105" s="4">
        <v>0</v>
      </c>
      <c r="M105" s="4">
        <v>1</v>
      </c>
      <c r="N105" s="4" t="s">
        <v>734</v>
      </c>
      <c r="O105" s="1" t="s">
        <v>419</v>
      </c>
      <c r="P105" s="1" t="s">
        <v>2696</v>
      </c>
      <c r="Q105" s="1" t="s">
        <v>2697</v>
      </c>
      <c r="R105" s="1">
        <v>6.69</v>
      </c>
      <c r="S105" s="1" t="s">
        <v>1003</v>
      </c>
      <c r="T105" s="1">
        <v>34.2057</v>
      </c>
      <c r="U105" s="1">
        <v>-118.5539</v>
      </c>
      <c r="V105" s="1">
        <v>17.5</v>
      </c>
      <c r="W105" s="1" t="s">
        <v>734</v>
      </c>
      <c r="X105" s="1" t="s">
        <v>2571</v>
      </c>
      <c r="Y105" s="1">
        <v>122</v>
      </c>
      <c r="Z105" s="1">
        <v>40</v>
      </c>
      <c r="AA105" s="1">
        <v>103</v>
      </c>
      <c r="AB105" s="1"/>
      <c r="AC105" s="1"/>
      <c r="AD105" s="1"/>
      <c r="AE105" s="1" t="s">
        <v>2566</v>
      </c>
      <c r="AF105" s="1" t="s">
        <v>731</v>
      </c>
      <c r="AG105" s="1"/>
      <c r="AH105" s="1"/>
      <c r="AI105" s="1"/>
      <c r="AJ105" s="1"/>
      <c r="AK105" s="1"/>
      <c r="AL105" s="1" t="s">
        <v>167</v>
      </c>
      <c r="AM105" t="s">
        <v>2700</v>
      </c>
    </row>
    <row r="106" spans="1:39" ht="19" customHeight="1">
      <c r="A106" s="4">
        <v>1051</v>
      </c>
      <c r="B106" s="4" t="s">
        <v>837</v>
      </c>
      <c r="C106" s="4">
        <v>1994</v>
      </c>
      <c r="D106" s="4" t="s">
        <v>846</v>
      </c>
      <c r="E106" s="4">
        <v>6.7</v>
      </c>
      <c r="F106" s="4">
        <v>7</v>
      </c>
      <c r="G106" s="4">
        <v>26.9</v>
      </c>
      <c r="H106" s="4">
        <v>0.84</v>
      </c>
      <c r="I106" s="4">
        <v>106.1</v>
      </c>
      <c r="J106" s="4">
        <v>41</v>
      </c>
      <c r="K106" s="4">
        <v>81</v>
      </c>
      <c r="L106" s="4">
        <v>1</v>
      </c>
      <c r="M106" s="4">
        <v>1</v>
      </c>
      <c r="N106" s="4" t="s">
        <v>734</v>
      </c>
      <c r="O106" s="1" t="s">
        <v>419</v>
      </c>
      <c r="P106" s="1" t="s">
        <v>2696</v>
      </c>
      <c r="Q106" s="1" t="s">
        <v>2697</v>
      </c>
      <c r="R106" s="1">
        <v>6.69</v>
      </c>
      <c r="S106" s="1" t="s">
        <v>1003</v>
      </c>
      <c r="T106" s="1">
        <v>34.2057</v>
      </c>
      <c r="U106" s="1">
        <v>-118.5539</v>
      </c>
      <c r="V106" s="1">
        <v>17.5</v>
      </c>
      <c r="W106" s="1" t="s">
        <v>734</v>
      </c>
      <c r="X106" s="1" t="s">
        <v>2571</v>
      </c>
      <c r="Y106" s="1">
        <v>122</v>
      </c>
      <c r="Z106" s="1">
        <v>40</v>
      </c>
      <c r="AA106" s="1">
        <v>103</v>
      </c>
      <c r="AB106" s="1"/>
      <c r="AC106" s="1"/>
      <c r="AD106" s="1"/>
      <c r="AE106" s="1" t="s">
        <v>2566</v>
      </c>
      <c r="AF106" s="1" t="s">
        <v>731</v>
      </c>
      <c r="AG106" s="1"/>
      <c r="AH106" s="1"/>
      <c r="AI106" s="1"/>
      <c r="AJ106" s="1"/>
      <c r="AK106" s="1"/>
      <c r="AL106" s="1" t="s">
        <v>167</v>
      </c>
      <c r="AM106" t="s">
        <v>2700</v>
      </c>
    </row>
    <row r="107" spans="1:39" ht="19" customHeight="1">
      <c r="A107" s="4">
        <v>1052</v>
      </c>
      <c r="B107" s="4" t="s">
        <v>837</v>
      </c>
      <c r="C107" s="4">
        <v>1994</v>
      </c>
      <c r="D107" s="4" t="s">
        <v>847</v>
      </c>
      <c r="E107" s="4">
        <v>6.7</v>
      </c>
      <c r="F107" s="4">
        <v>7.3</v>
      </c>
      <c r="G107" s="4">
        <v>26</v>
      </c>
      <c r="H107" s="4">
        <v>0.73</v>
      </c>
      <c r="I107" s="4">
        <v>56.8</v>
      </c>
      <c r="J107" s="4">
        <v>33</v>
      </c>
      <c r="K107" s="4">
        <v>89</v>
      </c>
      <c r="L107" s="4">
        <v>0</v>
      </c>
      <c r="M107" s="4">
        <v>1</v>
      </c>
      <c r="N107" s="4" t="s">
        <v>734</v>
      </c>
      <c r="O107" s="1" t="s">
        <v>419</v>
      </c>
      <c r="P107" s="1" t="s">
        <v>2696</v>
      </c>
      <c r="Q107" s="1" t="s">
        <v>2697</v>
      </c>
      <c r="R107" s="1">
        <v>6.69</v>
      </c>
      <c r="S107" s="1" t="s">
        <v>1003</v>
      </c>
      <c r="T107" s="1">
        <v>34.2057</v>
      </c>
      <c r="U107" s="1">
        <v>-118.5539</v>
      </c>
      <c r="V107" s="1">
        <v>17.5</v>
      </c>
      <c r="W107" s="1" t="s">
        <v>734</v>
      </c>
      <c r="X107" s="1" t="s">
        <v>2571</v>
      </c>
      <c r="Y107" s="1">
        <v>122</v>
      </c>
      <c r="Z107" s="1">
        <v>40</v>
      </c>
      <c r="AA107" s="1">
        <v>103</v>
      </c>
      <c r="AB107" s="1"/>
      <c r="AC107" s="1"/>
      <c r="AD107" s="1"/>
      <c r="AE107" s="1" t="s">
        <v>2566</v>
      </c>
      <c r="AF107" s="1" t="s">
        <v>731</v>
      </c>
      <c r="AG107" s="1"/>
      <c r="AH107" s="1"/>
      <c r="AI107" s="1"/>
      <c r="AJ107" s="1"/>
      <c r="AK107" s="1"/>
      <c r="AL107" s="1" t="s">
        <v>167</v>
      </c>
      <c r="AM107" t="s">
        <v>2700</v>
      </c>
    </row>
    <row r="108" spans="1:39" ht="19" customHeight="1">
      <c r="A108" s="4">
        <v>1054</v>
      </c>
      <c r="B108" s="4" t="s">
        <v>837</v>
      </c>
      <c r="C108" s="4">
        <v>1994</v>
      </c>
      <c r="D108" s="4" t="s">
        <v>848</v>
      </c>
      <c r="E108" s="4">
        <v>6.7</v>
      </c>
      <c r="F108" s="4">
        <v>7.5</v>
      </c>
      <c r="G108" s="4">
        <v>31.1</v>
      </c>
      <c r="H108" s="4">
        <v>1.23</v>
      </c>
      <c r="I108" s="4">
        <v>76.3</v>
      </c>
      <c r="J108" s="4">
        <v>-999</v>
      </c>
      <c r="K108" s="4">
        <v>-999</v>
      </c>
      <c r="L108" s="4">
        <v>-999</v>
      </c>
      <c r="M108" s="4">
        <v>1</v>
      </c>
      <c r="N108" s="4" t="s">
        <v>734</v>
      </c>
      <c r="O108" s="1" t="s">
        <v>419</v>
      </c>
      <c r="P108" s="1" t="s">
        <v>2696</v>
      </c>
      <c r="Q108" s="1" t="s">
        <v>2697</v>
      </c>
      <c r="R108" s="1">
        <v>6.69</v>
      </c>
      <c r="S108" s="1" t="s">
        <v>1003</v>
      </c>
      <c r="T108" s="1">
        <v>34.2057</v>
      </c>
      <c r="U108" s="1">
        <v>-118.5539</v>
      </c>
      <c r="V108" s="1">
        <v>17.5</v>
      </c>
      <c r="W108" s="1" t="s">
        <v>734</v>
      </c>
      <c r="X108" s="1" t="s">
        <v>2571</v>
      </c>
      <c r="Y108" s="1">
        <v>122</v>
      </c>
      <c r="Z108" s="1">
        <v>40</v>
      </c>
      <c r="AA108" s="1">
        <v>103</v>
      </c>
      <c r="AB108" s="1"/>
      <c r="AC108" s="1"/>
      <c r="AD108" s="1"/>
      <c r="AE108" s="1" t="s">
        <v>2566</v>
      </c>
      <c r="AF108" s="1" t="s">
        <v>731</v>
      </c>
      <c r="AG108" s="1"/>
      <c r="AH108" s="1"/>
      <c r="AI108" s="1"/>
      <c r="AJ108" s="1"/>
      <c r="AK108" s="1"/>
      <c r="AL108" s="1" t="s">
        <v>167</v>
      </c>
      <c r="AM108" t="s">
        <v>2700</v>
      </c>
    </row>
    <row r="109" spans="1:39" ht="19" customHeight="1">
      <c r="A109" s="4">
        <v>1063</v>
      </c>
      <c r="B109" s="4" t="s">
        <v>837</v>
      </c>
      <c r="C109" s="4">
        <v>1994</v>
      </c>
      <c r="D109" s="4" t="s">
        <v>849</v>
      </c>
      <c r="E109" s="4">
        <v>6.7</v>
      </c>
      <c r="F109" s="4">
        <v>6.5</v>
      </c>
      <c r="G109" s="4">
        <v>20.6</v>
      </c>
      <c r="H109" s="4">
        <v>1.25</v>
      </c>
      <c r="I109" s="4">
        <v>149.1</v>
      </c>
      <c r="J109" s="4">
        <v>209</v>
      </c>
      <c r="K109" s="4">
        <v>87</v>
      </c>
      <c r="L109" s="4">
        <v>1</v>
      </c>
      <c r="M109" s="4">
        <v>1</v>
      </c>
      <c r="N109" s="4" t="s">
        <v>734</v>
      </c>
      <c r="O109" s="1" t="s">
        <v>419</v>
      </c>
      <c r="P109" s="1" t="s">
        <v>2696</v>
      </c>
      <c r="Q109" s="1" t="s">
        <v>2697</v>
      </c>
      <c r="R109" s="1">
        <v>6.69</v>
      </c>
      <c r="S109" s="1" t="s">
        <v>1003</v>
      </c>
      <c r="T109" s="1">
        <v>34.2057</v>
      </c>
      <c r="U109" s="1">
        <v>-118.5539</v>
      </c>
      <c r="V109" s="1">
        <v>17.5</v>
      </c>
      <c r="W109" s="1" t="s">
        <v>734</v>
      </c>
      <c r="X109" s="1" t="s">
        <v>2571</v>
      </c>
      <c r="Y109" s="1">
        <v>122</v>
      </c>
      <c r="Z109" s="1">
        <v>40</v>
      </c>
      <c r="AA109" s="1">
        <v>103</v>
      </c>
      <c r="AB109" s="1"/>
      <c r="AC109" s="1"/>
      <c r="AD109" s="1"/>
      <c r="AE109" s="1" t="s">
        <v>2566</v>
      </c>
      <c r="AF109" s="1" t="s">
        <v>731</v>
      </c>
      <c r="AG109" s="1"/>
      <c r="AH109" s="1"/>
      <c r="AI109" s="1"/>
      <c r="AJ109" s="1"/>
      <c r="AK109" s="1"/>
      <c r="AL109" s="1" t="s">
        <v>167</v>
      </c>
      <c r="AM109" t="s">
        <v>2700</v>
      </c>
    </row>
    <row r="110" spans="1:39" ht="19" customHeight="1">
      <c r="A110" s="4">
        <v>1084</v>
      </c>
      <c r="B110" s="4" t="s">
        <v>837</v>
      </c>
      <c r="C110" s="4">
        <v>1994</v>
      </c>
      <c r="D110" s="4" t="s">
        <v>850</v>
      </c>
      <c r="E110" s="4">
        <v>6.7</v>
      </c>
      <c r="F110" s="4">
        <v>5.3</v>
      </c>
      <c r="G110" s="4">
        <v>21.9</v>
      </c>
      <c r="H110" s="4">
        <v>2.98</v>
      </c>
      <c r="I110" s="4">
        <v>106.3</v>
      </c>
      <c r="J110" s="4">
        <v>63</v>
      </c>
      <c r="K110" s="4">
        <v>59</v>
      </c>
      <c r="L110" s="4">
        <v>0</v>
      </c>
      <c r="M110" s="4">
        <v>1</v>
      </c>
      <c r="N110" s="4" t="s">
        <v>734</v>
      </c>
      <c r="O110" s="1" t="s">
        <v>419</v>
      </c>
      <c r="P110" s="1" t="s">
        <v>2696</v>
      </c>
      <c r="Q110" s="1" t="s">
        <v>2697</v>
      </c>
      <c r="R110" s="1">
        <v>6.69</v>
      </c>
      <c r="S110" s="1" t="s">
        <v>1003</v>
      </c>
      <c r="T110" s="1">
        <v>34.2057</v>
      </c>
      <c r="U110" s="1">
        <v>-118.5539</v>
      </c>
      <c r="V110" s="1">
        <v>17.5</v>
      </c>
      <c r="W110" s="1" t="s">
        <v>734</v>
      </c>
      <c r="X110" s="1" t="s">
        <v>2571</v>
      </c>
      <c r="Y110" s="1">
        <v>122</v>
      </c>
      <c r="Z110" s="1">
        <v>40</v>
      </c>
      <c r="AA110" s="1">
        <v>103</v>
      </c>
      <c r="AB110" s="1"/>
      <c r="AC110" s="1"/>
      <c r="AD110" s="1"/>
      <c r="AE110" s="1" t="s">
        <v>2566</v>
      </c>
      <c r="AF110" s="1" t="s">
        <v>731</v>
      </c>
      <c r="AG110" s="1"/>
      <c r="AH110" s="1"/>
      <c r="AI110" s="1"/>
      <c r="AJ110" s="1"/>
      <c r="AK110" s="1"/>
      <c r="AL110" s="1" t="s">
        <v>167</v>
      </c>
      <c r="AM110" t="s">
        <v>2700</v>
      </c>
    </row>
    <row r="111" spans="1:39" ht="19" customHeight="1">
      <c r="A111" s="4">
        <v>1085</v>
      </c>
      <c r="B111" s="4" t="s">
        <v>837</v>
      </c>
      <c r="C111" s="4">
        <v>1994</v>
      </c>
      <c r="D111" s="4" t="s">
        <v>851</v>
      </c>
      <c r="E111" s="4">
        <v>6.7</v>
      </c>
      <c r="F111" s="4">
        <v>5.2</v>
      </c>
      <c r="G111" s="4">
        <v>22.2</v>
      </c>
      <c r="H111" s="4">
        <v>3.53</v>
      </c>
      <c r="I111" s="4">
        <v>114</v>
      </c>
      <c r="J111" s="4">
        <v>37</v>
      </c>
      <c r="K111" s="4">
        <v>85</v>
      </c>
      <c r="L111" s="4">
        <v>1</v>
      </c>
      <c r="M111" s="4">
        <v>1</v>
      </c>
      <c r="N111" s="4" t="s">
        <v>734</v>
      </c>
      <c r="O111" s="1" t="s">
        <v>419</v>
      </c>
      <c r="P111" s="1" t="s">
        <v>2696</v>
      </c>
      <c r="Q111" s="1" t="s">
        <v>2697</v>
      </c>
      <c r="R111" s="1">
        <v>6.69</v>
      </c>
      <c r="S111" s="1" t="s">
        <v>1003</v>
      </c>
      <c r="T111" s="1">
        <v>34.2057</v>
      </c>
      <c r="U111" s="1">
        <v>-118.5539</v>
      </c>
      <c r="V111" s="1">
        <v>17.5</v>
      </c>
      <c r="W111" s="1" t="s">
        <v>734</v>
      </c>
      <c r="X111" s="1" t="s">
        <v>2571</v>
      </c>
      <c r="Y111" s="1">
        <v>122</v>
      </c>
      <c r="Z111" s="1">
        <v>40</v>
      </c>
      <c r="AA111" s="1">
        <v>103</v>
      </c>
      <c r="AB111" s="1"/>
      <c r="AC111" s="1"/>
      <c r="AD111" s="1"/>
      <c r="AE111" s="1" t="s">
        <v>2566</v>
      </c>
      <c r="AF111" s="1" t="s">
        <v>731</v>
      </c>
      <c r="AG111" s="1"/>
      <c r="AH111" s="1"/>
      <c r="AI111" s="1"/>
      <c r="AJ111" s="1"/>
      <c r="AK111" s="1"/>
      <c r="AL111" s="1" t="s">
        <v>167</v>
      </c>
      <c r="AM111" t="s">
        <v>2700</v>
      </c>
    </row>
    <row r="112" spans="1:39" ht="19" customHeight="1">
      <c r="A112" s="4">
        <v>1086</v>
      </c>
      <c r="B112" s="4" t="s">
        <v>837</v>
      </c>
      <c r="C112" s="4">
        <v>1994</v>
      </c>
      <c r="D112" s="4" t="s">
        <v>852</v>
      </c>
      <c r="E112" s="4">
        <v>6.7</v>
      </c>
      <c r="F112" s="4">
        <v>5.3</v>
      </c>
      <c r="G112" s="4">
        <v>24.2</v>
      </c>
      <c r="H112" s="4">
        <v>2.44</v>
      </c>
      <c r="I112" s="4">
        <v>130.6</v>
      </c>
      <c r="J112" s="4">
        <v>20</v>
      </c>
      <c r="K112" s="4">
        <v>78</v>
      </c>
      <c r="L112" s="4">
        <v>1</v>
      </c>
      <c r="M112" s="4">
        <v>1</v>
      </c>
      <c r="N112" s="4" t="s">
        <v>734</v>
      </c>
      <c r="O112" s="1" t="s">
        <v>419</v>
      </c>
      <c r="P112" s="1" t="s">
        <v>2696</v>
      </c>
      <c r="Q112" s="1" t="s">
        <v>2697</v>
      </c>
      <c r="R112" s="1">
        <v>6.69</v>
      </c>
      <c r="S112" s="1" t="s">
        <v>1003</v>
      </c>
      <c r="T112" s="1">
        <v>34.2057</v>
      </c>
      <c r="U112" s="1">
        <v>-118.5539</v>
      </c>
      <c r="V112" s="1">
        <v>17.5</v>
      </c>
      <c r="W112" s="1" t="s">
        <v>734</v>
      </c>
      <c r="X112" s="1" t="s">
        <v>2571</v>
      </c>
      <c r="Y112" s="1">
        <v>122</v>
      </c>
      <c r="Z112" s="1">
        <v>40</v>
      </c>
      <c r="AA112" s="1">
        <v>103</v>
      </c>
      <c r="AB112" s="1"/>
      <c r="AC112" s="1"/>
      <c r="AD112" s="1"/>
      <c r="AE112" s="1" t="s">
        <v>2566</v>
      </c>
      <c r="AF112" s="1" t="s">
        <v>731</v>
      </c>
      <c r="AG112" s="1"/>
      <c r="AH112" s="1"/>
      <c r="AI112" s="1"/>
      <c r="AJ112" s="1"/>
      <c r="AK112" s="1"/>
      <c r="AL112" s="1" t="s">
        <v>167</v>
      </c>
      <c r="AM112" t="s">
        <v>2700</v>
      </c>
    </row>
    <row r="113" spans="1:39" ht="19" customHeight="1">
      <c r="A113" s="4">
        <v>1106</v>
      </c>
      <c r="B113" s="4" t="s">
        <v>853</v>
      </c>
      <c r="C113" s="4">
        <v>1995</v>
      </c>
      <c r="D113" s="4" t="s">
        <v>854</v>
      </c>
      <c r="E113" s="4">
        <v>6.9</v>
      </c>
      <c r="F113" s="4">
        <v>1</v>
      </c>
      <c r="G113" s="4">
        <v>25.6</v>
      </c>
      <c r="H113" s="4">
        <v>1.0900000000000001</v>
      </c>
      <c r="I113" s="4">
        <v>105.6</v>
      </c>
      <c r="J113" s="4">
        <v>318</v>
      </c>
      <c r="K113" s="4">
        <v>88</v>
      </c>
      <c r="L113" s="4">
        <v>1</v>
      </c>
      <c r="M113" s="4">
        <v>1</v>
      </c>
      <c r="N113" s="4" t="s">
        <v>730</v>
      </c>
      <c r="O113" s="1" t="s">
        <v>426</v>
      </c>
      <c r="P113" s="1" t="s">
        <v>2701</v>
      </c>
      <c r="Q113" s="1" t="s">
        <v>2702</v>
      </c>
      <c r="R113" s="1">
        <v>6.9</v>
      </c>
      <c r="S113" s="1" t="s">
        <v>1003</v>
      </c>
      <c r="T113" s="1">
        <v>34.595999999999997</v>
      </c>
      <c r="U113" s="1">
        <v>135.011</v>
      </c>
      <c r="V113" s="1">
        <v>17.899999999999999</v>
      </c>
      <c r="W113" s="1" t="s">
        <v>730</v>
      </c>
      <c r="X113" s="1" t="s">
        <v>2571</v>
      </c>
      <c r="Y113" s="1">
        <v>230</v>
      </c>
      <c r="Z113" s="1">
        <v>85</v>
      </c>
      <c r="AA113" s="1">
        <v>180</v>
      </c>
      <c r="AB113" s="1"/>
      <c r="AC113" s="1"/>
      <c r="AD113" s="1"/>
      <c r="AE113" s="1" t="s">
        <v>2566</v>
      </c>
      <c r="AF113" s="1" t="s">
        <v>731</v>
      </c>
      <c r="AG113" s="1"/>
      <c r="AH113" s="1"/>
      <c r="AI113" s="1"/>
      <c r="AJ113" s="1"/>
      <c r="AK113" s="1"/>
      <c r="AL113" s="1" t="s">
        <v>167</v>
      </c>
      <c r="AM113" t="s">
        <v>2704</v>
      </c>
    </row>
    <row r="114" spans="1:39" ht="19" customHeight="1">
      <c r="A114" s="4">
        <v>1114</v>
      </c>
      <c r="B114" s="4" t="s">
        <v>853</v>
      </c>
      <c r="C114" s="4">
        <v>1995</v>
      </c>
      <c r="D114" s="4" t="s">
        <v>855</v>
      </c>
      <c r="E114" s="4">
        <v>6.9</v>
      </c>
      <c r="F114" s="4">
        <v>3.3</v>
      </c>
      <c r="G114" s="4">
        <v>26.3</v>
      </c>
      <c r="H114" s="4">
        <v>2.83</v>
      </c>
      <c r="I114" s="4">
        <v>103</v>
      </c>
      <c r="J114" s="4">
        <v>332</v>
      </c>
      <c r="K114" s="4">
        <v>78</v>
      </c>
      <c r="L114" s="4">
        <v>1</v>
      </c>
      <c r="M114" s="4">
        <v>1</v>
      </c>
      <c r="N114" s="4" t="s">
        <v>730</v>
      </c>
      <c r="O114" s="1" t="s">
        <v>426</v>
      </c>
      <c r="P114" s="1" t="s">
        <v>2701</v>
      </c>
      <c r="Q114" s="1" t="s">
        <v>2702</v>
      </c>
      <c r="R114" s="1">
        <v>6.9</v>
      </c>
      <c r="S114" s="1" t="s">
        <v>1003</v>
      </c>
      <c r="T114" s="1">
        <v>34.595999999999997</v>
      </c>
      <c r="U114" s="1">
        <v>135.011</v>
      </c>
      <c r="V114" s="1">
        <v>17.899999999999999</v>
      </c>
      <c r="W114" s="1" t="s">
        <v>730</v>
      </c>
      <c r="X114" s="1" t="s">
        <v>2571</v>
      </c>
      <c r="Y114" s="1">
        <v>230</v>
      </c>
      <c r="Z114" s="1">
        <v>85</v>
      </c>
      <c r="AA114" s="1">
        <v>180</v>
      </c>
      <c r="AB114" s="1"/>
      <c r="AC114" s="1"/>
      <c r="AD114" s="1"/>
      <c r="AE114" s="1" t="s">
        <v>2566</v>
      </c>
      <c r="AF114" s="1" t="s">
        <v>731</v>
      </c>
      <c r="AG114" s="1"/>
      <c r="AH114" s="1"/>
      <c r="AI114" s="1"/>
      <c r="AJ114" s="1"/>
      <c r="AK114" s="1"/>
      <c r="AL114" s="1" t="s">
        <v>167</v>
      </c>
      <c r="AM114" t="s">
        <v>2704</v>
      </c>
    </row>
    <row r="115" spans="1:39" ht="19" customHeight="1">
      <c r="A115" s="4">
        <v>1119</v>
      </c>
      <c r="B115" s="4" t="s">
        <v>853</v>
      </c>
      <c r="C115" s="4">
        <v>1995</v>
      </c>
      <c r="D115" s="4" t="s">
        <v>856</v>
      </c>
      <c r="E115" s="4">
        <v>6.9</v>
      </c>
      <c r="F115" s="4">
        <v>0.3</v>
      </c>
      <c r="G115" s="4">
        <v>42.5</v>
      </c>
      <c r="H115" s="4">
        <v>1.81</v>
      </c>
      <c r="I115" s="4">
        <v>95.6</v>
      </c>
      <c r="J115" s="4">
        <v>301</v>
      </c>
      <c r="K115" s="4">
        <v>71</v>
      </c>
      <c r="L115" s="4">
        <v>1</v>
      </c>
      <c r="M115" s="4">
        <v>1</v>
      </c>
      <c r="N115" s="4" t="s">
        <v>730</v>
      </c>
      <c r="O115" s="1" t="s">
        <v>426</v>
      </c>
      <c r="P115" s="1" t="s">
        <v>2701</v>
      </c>
      <c r="Q115" s="1" t="s">
        <v>2702</v>
      </c>
      <c r="R115" s="1">
        <v>6.9</v>
      </c>
      <c r="S115" s="1" t="s">
        <v>1003</v>
      </c>
      <c r="T115" s="1">
        <v>34.595999999999997</v>
      </c>
      <c r="U115" s="1">
        <v>135.011</v>
      </c>
      <c r="V115" s="1">
        <v>17.899999999999999</v>
      </c>
      <c r="W115" s="1" t="s">
        <v>730</v>
      </c>
      <c r="X115" s="1" t="s">
        <v>2571</v>
      </c>
      <c r="Y115" s="1">
        <v>230</v>
      </c>
      <c r="Z115" s="1">
        <v>85</v>
      </c>
      <c r="AA115" s="1">
        <v>180</v>
      </c>
      <c r="AB115" s="1"/>
      <c r="AC115" s="1"/>
      <c r="AD115" s="1"/>
      <c r="AE115" s="1" t="s">
        <v>2566</v>
      </c>
      <c r="AF115" s="1" t="s">
        <v>731</v>
      </c>
      <c r="AG115" s="1"/>
      <c r="AH115" s="1"/>
      <c r="AI115" s="1"/>
      <c r="AJ115" s="1"/>
      <c r="AK115" s="1"/>
      <c r="AL115" s="1" t="s">
        <v>167</v>
      </c>
      <c r="AM115" t="s">
        <v>2704</v>
      </c>
    </row>
    <row r="116" spans="1:39" ht="19" customHeight="1">
      <c r="A116" s="4">
        <v>1120</v>
      </c>
      <c r="B116" s="4" t="s">
        <v>853</v>
      </c>
      <c r="C116" s="4">
        <v>1995</v>
      </c>
      <c r="D116" s="4" t="s">
        <v>857</v>
      </c>
      <c r="E116" s="4">
        <v>6.9</v>
      </c>
      <c r="F116" s="4">
        <v>1.5</v>
      </c>
      <c r="G116" s="4">
        <v>22.2</v>
      </c>
      <c r="H116" s="4">
        <v>1.55</v>
      </c>
      <c r="I116" s="4">
        <v>153.19999999999999</v>
      </c>
      <c r="J116" s="4">
        <v>318</v>
      </c>
      <c r="K116" s="4">
        <v>88</v>
      </c>
      <c r="L116" s="4">
        <v>1</v>
      </c>
      <c r="M116" s="4">
        <v>1</v>
      </c>
      <c r="N116" s="4" t="s">
        <v>730</v>
      </c>
      <c r="O116" s="1" t="s">
        <v>426</v>
      </c>
      <c r="P116" s="1" t="s">
        <v>2701</v>
      </c>
      <c r="Q116" s="1" t="s">
        <v>2702</v>
      </c>
      <c r="R116" s="1">
        <v>6.9</v>
      </c>
      <c r="S116" s="1" t="s">
        <v>1003</v>
      </c>
      <c r="T116" s="1">
        <v>34.595999999999997</v>
      </c>
      <c r="U116" s="1">
        <v>135.011</v>
      </c>
      <c r="V116" s="1">
        <v>17.899999999999999</v>
      </c>
      <c r="W116" s="1" t="s">
        <v>730</v>
      </c>
      <c r="X116" s="1" t="s">
        <v>2571</v>
      </c>
      <c r="Y116" s="1">
        <v>230</v>
      </c>
      <c r="Z116" s="1">
        <v>85</v>
      </c>
      <c r="AA116" s="1">
        <v>180</v>
      </c>
      <c r="AB116" s="1"/>
      <c r="AC116" s="1"/>
      <c r="AD116" s="1"/>
      <c r="AE116" s="1" t="s">
        <v>2566</v>
      </c>
      <c r="AF116" s="1" t="s">
        <v>731</v>
      </c>
      <c r="AG116" s="1"/>
      <c r="AH116" s="1"/>
      <c r="AI116" s="1"/>
      <c r="AJ116" s="1"/>
      <c r="AK116" s="1"/>
      <c r="AL116" s="1" t="s">
        <v>167</v>
      </c>
      <c r="AM116" t="s">
        <v>2704</v>
      </c>
    </row>
    <row r="117" spans="1:39" ht="19" customHeight="1">
      <c r="A117" s="4">
        <v>3763</v>
      </c>
      <c r="B117" s="4" t="s">
        <v>853</v>
      </c>
      <c r="C117" s="4">
        <v>1995</v>
      </c>
      <c r="D117" s="4" t="s">
        <v>858</v>
      </c>
      <c r="E117" s="4">
        <v>6.9</v>
      </c>
      <c r="F117" s="4">
        <v>3.3</v>
      </c>
      <c r="G117" s="4">
        <v>26.3</v>
      </c>
      <c r="H117" s="4">
        <v>2.5299999999999998</v>
      </c>
      <c r="I117" s="4">
        <v>71.599999999999994</v>
      </c>
      <c r="J117" s="4">
        <v>345</v>
      </c>
      <c r="K117" s="4">
        <v>65</v>
      </c>
      <c r="L117" s="4">
        <v>0</v>
      </c>
      <c r="M117" s="4">
        <v>1</v>
      </c>
      <c r="N117" s="4" t="s">
        <v>730</v>
      </c>
      <c r="O117" s="1" t="s">
        <v>426</v>
      </c>
      <c r="P117" s="1" t="s">
        <v>2701</v>
      </c>
      <c r="Q117" s="1" t="s">
        <v>2702</v>
      </c>
      <c r="R117" s="1">
        <v>6.9</v>
      </c>
      <c r="S117" s="1" t="s">
        <v>1003</v>
      </c>
      <c r="T117" s="1">
        <v>34.595999999999997</v>
      </c>
      <c r="U117" s="1">
        <v>135.011</v>
      </c>
      <c r="V117" s="1">
        <v>17.899999999999999</v>
      </c>
      <c r="W117" s="1" t="s">
        <v>730</v>
      </c>
      <c r="X117" s="1" t="s">
        <v>2571</v>
      </c>
      <c r="Y117" s="1">
        <v>230</v>
      </c>
      <c r="Z117" s="1">
        <v>85</v>
      </c>
      <c r="AA117" s="1">
        <v>180</v>
      </c>
      <c r="AB117" s="1"/>
      <c r="AC117" s="1"/>
      <c r="AD117" s="1"/>
      <c r="AE117" s="1" t="s">
        <v>2566</v>
      </c>
      <c r="AF117" s="1" t="s">
        <v>731</v>
      </c>
      <c r="AG117" s="1"/>
      <c r="AH117" s="1"/>
      <c r="AI117" s="1"/>
      <c r="AJ117" s="1"/>
      <c r="AK117" s="1"/>
      <c r="AL117" s="1" t="s">
        <v>167</v>
      </c>
      <c r="AM117" t="s">
        <v>2704</v>
      </c>
    </row>
    <row r="118" spans="1:39" ht="19" customHeight="1">
      <c r="A118" s="4">
        <v>1752</v>
      </c>
      <c r="B118" s="4" t="s">
        <v>434</v>
      </c>
      <c r="C118" s="4">
        <v>1997</v>
      </c>
      <c r="D118" s="4" t="s">
        <v>859</v>
      </c>
      <c r="E118" s="4">
        <v>6.1</v>
      </c>
      <c r="F118" s="4">
        <v>17.7</v>
      </c>
      <c r="G118" s="4">
        <v>27.7</v>
      </c>
      <c r="H118" s="4">
        <v>1.0900000000000001</v>
      </c>
      <c r="I118" s="4">
        <v>34.6</v>
      </c>
      <c r="J118" s="4">
        <v>85</v>
      </c>
      <c r="K118" s="4">
        <v>64</v>
      </c>
      <c r="L118" s="4">
        <v>1</v>
      </c>
      <c r="M118" s="4">
        <v>0</v>
      </c>
      <c r="N118" s="4" t="s">
        <v>760</v>
      </c>
      <c r="O118" s="1" t="s">
        <v>433</v>
      </c>
      <c r="P118" s="1" t="s">
        <v>2705</v>
      </c>
      <c r="Q118" s="1" t="s">
        <v>2706</v>
      </c>
      <c r="R118" s="1">
        <v>6.1</v>
      </c>
      <c r="S118" s="1" t="s">
        <v>1003</v>
      </c>
      <c r="T118" s="1">
        <v>39.555700000000002</v>
      </c>
      <c r="U118" s="1">
        <v>76.947699999999998</v>
      </c>
      <c r="V118" s="1">
        <v>20</v>
      </c>
      <c r="W118" s="1" t="s">
        <v>760</v>
      </c>
      <c r="X118" s="1" t="s">
        <v>2571</v>
      </c>
      <c r="Y118" s="1">
        <v>21</v>
      </c>
      <c r="Z118" s="1">
        <v>45</v>
      </c>
      <c r="AA118" s="1">
        <v>-89</v>
      </c>
      <c r="AB118" s="1"/>
      <c r="AC118" s="1"/>
      <c r="AD118" s="1"/>
      <c r="AE118" s="1" t="s">
        <v>2566</v>
      </c>
      <c r="AF118" s="1" t="s">
        <v>731</v>
      </c>
      <c r="AG118" s="1"/>
      <c r="AH118" s="1"/>
      <c r="AI118" s="1"/>
      <c r="AJ118" s="1"/>
      <c r="AK118" s="1"/>
      <c r="AL118" s="1" t="s">
        <v>167</v>
      </c>
      <c r="AM118" t="s">
        <v>2708</v>
      </c>
    </row>
    <row r="119" spans="1:39" ht="19" customHeight="1">
      <c r="A119" s="4">
        <v>1182</v>
      </c>
      <c r="B119" s="4" t="s">
        <v>860</v>
      </c>
      <c r="C119" s="4">
        <v>1999</v>
      </c>
      <c r="D119" s="4" t="s">
        <v>861</v>
      </c>
      <c r="E119" s="4">
        <v>7.6</v>
      </c>
      <c r="F119" s="4">
        <v>9.8000000000000007</v>
      </c>
      <c r="G119" s="4">
        <v>41.3</v>
      </c>
      <c r="H119" s="4">
        <v>2.57</v>
      </c>
      <c r="I119" s="4">
        <v>58.3</v>
      </c>
      <c r="J119" s="4">
        <v>291</v>
      </c>
      <c r="K119" s="4">
        <v>89</v>
      </c>
      <c r="L119" s="4">
        <v>1</v>
      </c>
      <c r="M119" s="4">
        <v>1</v>
      </c>
      <c r="N119" s="4" t="s">
        <v>734</v>
      </c>
      <c r="O119" s="1" t="s">
        <v>211</v>
      </c>
      <c r="P119" s="1" t="s">
        <v>2710</v>
      </c>
      <c r="Q119" s="1" t="s">
        <v>2711</v>
      </c>
      <c r="R119" s="1">
        <v>7.62</v>
      </c>
      <c r="S119" s="1" t="s">
        <v>1003</v>
      </c>
      <c r="T119" s="1">
        <v>23.85</v>
      </c>
      <c r="U119" s="1">
        <v>120.82</v>
      </c>
      <c r="V119" s="1">
        <v>8</v>
      </c>
      <c r="W119" s="1" t="s">
        <v>734</v>
      </c>
      <c r="X119" s="1" t="s">
        <v>2571</v>
      </c>
      <c r="Y119" s="1">
        <v>20</v>
      </c>
      <c r="Z119" s="1">
        <v>33</v>
      </c>
      <c r="AA119" s="1">
        <v>55</v>
      </c>
      <c r="AB119" s="1"/>
      <c r="AC119" s="1"/>
      <c r="AD119" s="1"/>
      <c r="AE119" s="1" t="s">
        <v>2566</v>
      </c>
      <c r="AF119" s="1" t="s">
        <v>862</v>
      </c>
      <c r="AG119" s="1">
        <v>1</v>
      </c>
      <c r="AH119" s="1">
        <v>7.58</v>
      </c>
      <c r="AI119" s="1">
        <v>5.6364999999999998</v>
      </c>
      <c r="AJ119" s="1">
        <v>7322.4000000000005</v>
      </c>
      <c r="AK119" s="1" t="s">
        <v>863</v>
      </c>
      <c r="AL119" s="1" t="s">
        <v>167</v>
      </c>
      <c r="AM119" t="s">
        <v>2716</v>
      </c>
    </row>
    <row r="120" spans="1:39" ht="19" customHeight="1">
      <c r="A120" s="4">
        <v>1193</v>
      </c>
      <c r="B120" s="4" t="s">
        <v>860</v>
      </c>
      <c r="C120" s="4">
        <v>1999</v>
      </c>
      <c r="D120" s="4" t="s">
        <v>864</v>
      </c>
      <c r="E120" s="4">
        <v>7.6</v>
      </c>
      <c r="F120" s="4">
        <v>9.6</v>
      </c>
      <c r="G120" s="4">
        <v>25.4</v>
      </c>
      <c r="H120" s="4">
        <v>6.65</v>
      </c>
      <c r="I120" s="4">
        <v>61.6</v>
      </c>
      <c r="J120" s="4">
        <v>144</v>
      </c>
      <c r="K120" s="4">
        <v>33</v>
      </c>
      <c r="L120" s="4">
        <v>0</v>
      </c>
      <c r="M120" s="4">
        <v>1</v>
      </c>
      <c r="N120" s="4" t="s">
        <v>734</v>
      </c>
      <c r="O120" s="1" t="s">
        <v>211</v>
      </c>
      <c r="P120" s="1" t="s">
        <v>2710</v>
      </c>
      <c r="Q120" s="1" t="s">
        <v>2711</v>
      </c>
      <c r="R120" s="1">
        <v>7.62</v>
      </c>
      <c r="S120" s="1" t="s">
        <v>1003</v>
      </c>
      <c r="T120" s="1">
        <v>23.85</v>
      </c>
      <c r="U120" s="1">
        <v>120.82</v>
      </c>
      <c r="V120" s="1">
        <v>8</v>
      </c>
      <c r="W120" s="1" t="s">
        <v>734</v>
      </c>
      <c r="X120" s="1" t="s">
        <v>2571</v>
      </c>
      <c r="Y120" s="1">
        <v>20</v>
      </c>
      <c r="Z120" s="1">
        <v>33</v>
      </c>
      <c r="AA120" s="1">
        <v>55</v>
      </c>
      <c r="AB120" s="1"/>
      <c r="AC120" s="1"/>
      <c r="AD120" s="1"/>
      <c r="AE120" s="1" t="s">
        <v>2566</v>
      </c>
      <c r="AF120" s="1" t="s">
        <v>862</v>
      </c>
      <c r="AG120" s="1">
        <v>1</v>
      </c>
      <c r="AH120" s="1">
        <v>7.58</v>
      </c>
      <c r="AI120" s="1">
        <v>5.6364999999999998</v>
      </c>
      <c r="AJ120" s="1">
        <v>7322.4000000000005</v>
      </c>
      <c r="AK120" s="1" t="s">
        <v>863</v>
      </c>
      <c r="AL120" s="1" t="s">
        <v>167</v>
      </c>
      <c r="AM120" t="s">
        <v>2716</v>
      </c>
    </row>
    <row r="121" spans="1:39" ht="19" customHeight="1">
      <c r="A121" s="4">
        <v>1244</v>
      </c>
      <c r="B121" s="4" t="s">
        <v>860</v>
      </c>
      <c r="C121" s="4">
        <v>1999</v>
      </c>
      <c r="D121" s="4" t="s">
        <v>865</v>
      </c>
      <c r="E121" s="4">
        <v>7.6</v>
      </c>
      <c r="F121" s="4">
        <v>9.9</v>
      </c>
      <c r="G121" s="4">
        <v>33</v>
      </c>
      <c r="H121" s="4">
        <v>5.34</v>
      </c>
      <c r="I121" s="4">
        <v>108.9</v>
      </c>
      <c r="J121" s="4">
        <v>6</v>
      </c>
      <c r="K121" s="4">
        <v>13</v>
      </c>
      <c r="L121" s="4">
        <v>1</v>
      </c>
      <c r="M121" s="4">
        <v>1</v>
      </c>
      <c r="N121" s="4" t="s">
        <v>734</v>
      </c>
      <c r="O121" s="1" t="s">
        <v>211</v>
      </c>
      <c r="P121" s="1" t="s">
        <v>2710</v>
      </c>
      <c r="Q121" s="1" t="s">
        <v>2711</v>
      </c>
      <c r="R121" s="1">
        <v>7.62</v>
      </c>
      <c r="S121" s="1" t="s">
        <v>1003</v>
      </c>
      <c r="T121" s="1">
        <v>23.85</v>
      </c>
      <c r="U121" s="1">
        <v>120.82</v>
      </c>
      <c r="V121" s="1">
        <v>8</v>
      </c>
      <c r="W121" s="1" t="s">
        <v>734</v>
      </c>
      <c r="X121" s="1" t="s">
        <v>2571</v>
      </c>
      <c r="Y121" s="1">
        <v>20</v>
      </c>
      <c r="Z121" s="1">
        <v>33</v>
      </c>
      <c r="AA121" s="1">
        <v>55</v>
      </c>
      <c r="AB121" s="1"/>
      <c r="AC121" s="1"/>
      <c r="AD121" s="1"/>
      <c r="AE121" s="1" t="s">
        <v>2566</v>
      </c>
      <c r="AF121" s="1" t="s">
        <v>862</v>
      </c>
      <c r="AG121" s="1">
        <v>1</v>
      </c>
      <c r="AH121" s="1">
        <v>7.58</v>
      </c>
      <c r="AI121" s="1">
        <v>5.6364999999999998</v>
      </c>
      <c r="AJ121" s="1">
        <v>7322.4000000000005</v>
      </c>
      <c r="AK121" s="1" t="s">
        <v>863</v>
      </c>
      <c r="AL121" s="1" t="s">
        <v>167</v>
      </c>
      <c r="AM121" t="s">
        <v>2716</v>
      </c>
    </row>
    <row r="122" spans="1:39" ht="19" customHeight="1">
      <c r="A122" s="4">
        <v>1402</v>
      </c>
      <c r="B122" s="4" t="s">
        <v>860</v>
      </c>
      <c r="C122" s="4">
        <v>1999</v>
      </c>
      <c r="D122" s="4" t="s">
        <v>866</v>
      </c>
      <c r="E122" s="4">
        <v>7.6</v>
      </c>
      <c r="F122" s="4">
        <v>38.4</v>
      </c>
      <c r="G122" s="4">
        <v>89.2</v>
      </c>
      <c r="H122" s="4">
        <v>7.88</v>
      </c>
      <c r="I122" s="4">
        <v>32.299999999999997</v>
      </c>
      <c r="J122" s="4">
        <v>48</v>
      </c>
      <c r="K122" s="4">
        <v>11</v>
      </c>
      <c r="L122" s="4">
        <v>0</v>
      </c>
      <c r="M122" s="4">
        <v>1</v>
      </c>
      <c r="N122" s="4" t="s">
        <v>734</v>
      </c>
      <c r="O122" s="1" t="s">
        <v>211</v>
      </c>
      <c r="P122" s="1" t="s">
        <v>2710</v>
      </c>
      <c r="Q122" s="1" t="s">
        <v>2711</v>
      </c>
      <c r="R122" s="1">
        <v>7.62</v>
      </c>
      <c r="S122" s="1" t="s">
        <v>1003</v>
      </c>
      <c r="T122" s="1">
        <v>23.85</v>
      </c>
      <c r="U122" s="1">
        <v>120.82</v>
      </c>
      <c r="V122" s="1">
        <v>8</v>
      </c>
      <c r="W122" s="1" t="s">
        <v>734</v>
      </c>
      <c r="X122" s="1" t="s">
        <v>2571</v>
      </c>
      <c r="Y122" s="1">
        <v>20</v>
      </c>
      <c r="Z122" s="1">
        <v>33</v>
      </c>
      <c r="AA122" s="1">
        <v>55</v>
      </c>
      <c r="AB122" s="1"/>
      <c r="AC122" s="1"/>
      <c r="AD122" s="1"/>
      <c r="AE122" s="1" t="s">
        <v>2566</v>
      </c>
      <c r="AF122" s="1" t="s">
        <v>862</v>
      </c>
      <c r="AG122" s="1">
        <v>1</v>
      </c>
      <c r="AH122" s="1">
        <v>7.58</v>
      </c>
      <c r="AI122" s="1">
        <v>5.6364999999999998</v>
      </c>
      <c r="AJ122" s="1">
        <v>7322.4000000000005</v>
      </c>
      <c r="AK122" s="1" t="s">
        <v>863</v>
      </c>
      <c r="AL122" s="1" t="s">
        <v>167</v>
      </c>
      <c r="AM122" t="s">
        <v>2716</v>
      </c>
    </row>
    <row r="123" spans="1:39" ht="19" customHeight="1">
      <c r="A123" s="4">
        <v>1403</v>
      </c>
      <c r="B123" s="4" t="s">
        <v>860</v>
      </c>
      <c r="C123" s="4">
        <v>1999</v>
      </c>
      <c r="D123" s="4" t="s">
        <v>867</v>
      </c>
      <c r="E123" s="4">
        <v>7.6</v>
      </c>
      <c r="F123" s="4">
        <v>13.1</v>
      </c>
      <c r="G123" s="4">
        <v>63.8</v>
      </c>
      <c r="H123" s="4">
        <v>9.16</v>
      </c>
      <c r="I123" s="4">
        <v>59.3</v>
      </c>
      <c r="J123" s="4">
        <v>89</v>
      </c>
      <c r="K123" s="4">
        <v>53</v>
      </c>
      <c r="L123" s="4">
        <v>1</v>
      </c>
      <c r="M123" s="4">
        <v>1</v>
      </c>
      <c r="N123" s="4" t="s">
        <v>734</v>
      </c>
      <c r="O123" s="1" t="s">
        <v>211</v>
      </c>
      <c r="P123" s="1" t="s">
        <v>2710</v>
      </c>
      <c r="Q123" s="1" t="s">
        <v>2711</v>
      </c>
      <c r="R123" s="1">
        <v>7.62</v>
      </c>
      <c r="S123" s="1" t="s">
        <v>1003</v>
      </c>
      <c r="T123" s="1">
        <v>23.85</v>
      </c>
      <c r="U123" s="1">
        <v>120.82</v>
      </c>
      <c r="V123" s="1">
        <v>8</v>
      </c>
      <c r="W123" s="1" t="s">
        <v>734</v>
      </c>
      <c r="X123" s="1" t="s">
        <v>2571</v>
      </c>
      <c r="Y123" s="1">
        <v>20</v>
      </c>
      <c r="Z123" s="1">
        <v>33</v>
      </c>
      <c r="AA123" s="1">
        <v>55</v>
      </c>
      <c r="AB123" s="1"/>
      <c r="AC123" s="1"/>
      <c r="AD123" s="1"/>
      <c r="AE123" s="1" t="s">
        <v>2566</v>
      </c>
      <c r="AF123" s="1" t="s">
        <v>862</v>
      </c>
      <c r="AG123" s="1">
        <v>1</v>
      </c>
      <c r="AH123" s="1">
        <v>7.58</v>
      </c>
      <c r="AI123" s="1">
        <v>5.6364999999999998</v>
      </c>
      <c r="AJ123" s="1">
        <v>7322.4000000000005</v>
      </c>
      <c r="AK123" s="1" t="s">
        <v>863</v>
      </c>
      <c r="AL123" s="1" t="s">
        <v>167</v>
      </c>
      <c r="AM123" t="s">
        <v>2716</v>
      </c>
    </row>
    <row r="124" spans="1:39" ht="19" customHeight="1">
      <c r="A124" s="4">
        <v>1462</v>
      </c>
      <c r="B124" s="4" t="s">
        <v>860</v>
      </c>
      <c r="C124" s="4">
        <v>1999</v>
      </c>
      <c r="D124" s="4" t="s">
        <v>868</v>
      </c>
      <c r="E124" s="4">
        <v>7.6</v>
      </c>
      <c r="F124" s="4">
        <v>5.2</v>
      </c>
      <c r="G124" s="4">
        <v>37.1</v>
      </c>
      <c r="H124" s="4">
        <v>4.51</v>
      </c>
      <c r="I124" s="4">
        <v>43.8</v>
      </c>
      <c r="J124" s="4">
        <v>56</v>
      </c>
      <c r="K124" s="4">
        <v>40</v>
      </c>
      <c r="L124" s="4">
        <v>0</v>
      </c>
      <c r="M124" s="4">
        <v>1</v>
      </c>
      <c r="N124" s="4" t="s">
        <v>734</v>
      </c>
      <c r="O124" s="1" t="s">
        <v>211</v>
      </c>
      <c r="P124" s="1" t="s">
        <v>2710</v>
      </c>
      <c r="Q124" s="1" t="s">
        <v>2711</v>
      </c>
      <c r="R124" s="1">
        <v>7.62</v>
      </c>
      <c r="S124" s="1" t="s">
        <v>1003</v>
      </c>
      <c r="T124" s="1">
        <v>23.85</v>
      </c>
      <c r="U124" s="1">
        <v>120.82</v>
      </c>
      <c r="V124" s="1">
        <v>8</v>
      </c>
      <c r="W124" s="1" t="s">
        <v>734</v>
      </c>
      <c r="X124" s="1" t="s">
        <v>2571</v>
      </c>
      <c r="Y124" s="1">
        <v>20</v>
      </c>
      <c r="Z124" s="1">
        <v>33</v>
      </c>
      <c r="AA124" s="1">
        <v>55</v>
      </c>
      <c r="AB124" s="1"/>
      <c r="AC124" s="1"/>
      <c r="AD124" s="1"/>
      <c r="AE124" s="1" t="s">
        <v>2566</v>
      </c>
      <c r="AF124" s="1" t="s">
        <v>862</v>
      </c>
      <c r="AG124" s="1">
        <v>1</v>
      </c>
      <c r="AH124" s="1">
        <v>7.58</v>
      </c>
      <c r="AI124" s="1">
        <v>5.6364999999999998</v>
      </c>
      <c r="AJ124" s="1">
        <v>7322.4000000000005</v>
      </c>
      <c r="AK124" s="1" t="s">
        <v>863</v>
      </c>
      <c r="AL124" s="1" t="s">
        <v>167</v>
      </c>
      <c r="AM124" t="s">
        <v>2716</v>
      </c>
    </row>
    <row r="125" spans="1:39" ht="19" customHeight="1">
      <c r="A125" s="4">
        <v>1464</v>
      </c>
      <c r="B125" s="4" t="s">
        <v>860</v>
      </c>
      <c r="C125" s="4">
        <v>1999</v>
      </c>
      <c r="D125" s="4" t="s">
        <v>869</v>
      </c>
      <c r="E125" s="4">
        <v>7.6</v>
      </c>
      <c r="F125" s="4">
        <v>72.599999999999994</v>
      </c>
      <c r="G125" s="4">
        <v>122.8</v>
      </c>
      <c r="H125" s="4">
        <v>10.88</v>
      </c>
      <c r="I125" s="4">
        <v>35.799999999999997</v>
      </c>
      <c r="J125" s="4">
        <v>76</v>
      </c>
      <c r="K125" s="4">
        <v>40</v>
      </c>
      <c r="L125" s="4">
        <v>0</v>
      </c>
      <c r="M125" s="4">
        <v>0</v>
      </c>
      <c r="N125" s="4" t="s">
        <v>734</v>
      </c>
      <c r="O125" s="1" t="s">
        <v>211</v>
      </c>
      <c r="P125" s="1" t="s">
        <v>2710</v>
      </c>
      <c r="Q125" s="1" t="s">
        <v>2711</v>
      </c>
      <c r="R125" s="1">
        <v>7.62</v>
      </c>
      <c r="S125" s="1" t="s">
        <v>1003</v>
      </c>
      <c r="T125" s="1">
        <v>23.85</v>
      </c>
      <c r="U125" s="1">
        <v>120.82</v>
      </c>
      <c r="V125" s="1">
        <v>8</v>
      </c>
      <c r="W125" s="1" t="s">
        <v>734</v>
      </c>
      <c r="X125" s="1" t="s">
        <v>2571</v>
      </c>
      <c r="Y125" s="1">
        <v>20</v>
      </c>
      <c r="Z125" s="1">
        <v>33</v>
      </c>
      <c r="AA125" s="1">
        <v>55</v>
      </c>
      <c r="AB125" s="1"/>
      <c r="AC125" s="1"/>
      <c r="AD125" s="1"/>
      <c r="AE125" s="1" t="s">
        <v>2566</v>
      </c>
      <c r="AF125" s="1" t="s">
        <v>862</v>
      </c>
      <c r="AG125" s="1">
        <v>1</v>
      </c>
      <c r="AH125" s="1">
        <v>7.58</v>
      </c>
      <c r="AI125" s="1">
        <v>5.6364999999999998</v>
      </c>
      <c r="AJ125" s="1">
        <v>7322.4000000000005</v>
      </c>
      <c r="AK125" s="1" t="s">
        <v>863</v>
      </c>
      <c r="AL125" s="1" t="s">
        <v>167</v>
      </c>
      <c r="AM125" t="s">
        <v>2716</v>
      </c>
    </row>
    <row r="126" spans="1:39" ht="19" customHeight="1">
      <c r="A126" s="4">
        <v>1470</v>
      </c>
      <c r="B126" s="4" t="s">
        <v>860</v>
      </c>
      <c r="C126" s="4">
        <v>1999</v>
      </c>
      <c r="D126" s="4" t="s">
        <v>870</v>
      </c>
      <c r="E126" s="4">
        <v>7.6</v>
      </c>
      <c r="F126" s="4">
        <v>92.7</v>
      </c>
      <c r="G126" s="4">
        <v>142.19999999999999</v>
      </c>
      <c r="H126" s="4">
        <v>10.37</v>
      </c>
      <c r="I126" s="4">
        <v>27.2</v>
      </c>
      <c r="J126" s="4">
        <v>80</v>
      </c>
      <c r="K126" s="4">
        <v>44</v>
      </c>
      <c r="L126" s="4">
        <v>0</v>
      </c>
      <c r="M126" s="4">
        <v>0</v>
      </c>
      <c r="N126" s="4" t="s">
        <v>734</v>
      </c>
      <c r="O126" s="1" t="s">
        <v>211</v>
      </c>
      <c r="P126" s="1" t="s">
        <v>2710</v>
      </c>
      <c r="Q126" s="1" t="s">
        <v>2711</v>
      </c>
      <c r="R126" s="1">
        <v>7.62</v>
      </c>
      <c r="S126" s="1" t="s">
        <v>1003</v>
      </c>
      <c r="T126" s="1">
        <v>23.85</v>
      </c>
      <c r="U126" s="1">
        <v>120.82</v>
      </c>
      <c r="V126" s="1">
        <v>8</v>
      </c>
      <c r="W126" s="1" t="s">
        <v>734</v>
      </c>
      <c r="X126" s="1" t="s">
        <v>2571</v>
      </c>
      <c r="Y126" s="1">
        <v>20</v>
      </c>
      <c r="Z126" s="1">
        <v>33</v>
      </c>
      <c r="AA126" s="1">
        <v>55</v>
      </c>
      <c r="AB126" s="1"/>
      <c r="AC126" s="1"/>
      <c r="AD126" s="1"/>
      <c r="AE126" s="1" t="s">
        <v>2566</v>
      </c>
      <c r="AF126" s="1" t="s">
        <v>862</v>
      </c>
      <c r="AG126" s="1">
        <v>1</v>
      </c>
      <c r="AH126" s="1">
        <v>7.58</v>
      </c>
      <c r="AI126" s="1">
        <v>5.6364999999999998</v>
      </c>
      <c r="AJ126" s="1">
        <v>7322.4000000000005</v>
      </c>
      <c r="AK126" s="1" t="s">
        <v>863</v>
      </c>
      <c r="AL126" s="1" t="s">
        <v>167</v>
      </c>
      <c r="AM126" t="s">
        <v>2716</v>
      </c>
    </row>
    <row r="127" spans="1:39" ht="19" customHeight="1">
      <c r="A127" s="4">
        <v>1471</v>
      </c>
      <c r="B127" s="4" t="s">
        <v>860</v>
      </c>
      <c r="C127" s="4">
        <v>1999</v>
      </c>
      <c r="D127" s="4" t="s">
        <v>871</v>
      </c>
      <c r="E127" s="4">
        <v>7.6</v>
      </c>
      <c r="F127" s="4">
        <v>49.8</v>
      </c>
      <c r="G127" s="4">
        <v>101.9</v>
      </c>
      <c r="H127" s="4">
        <v>9.11</v>
      </c>
      <c r="I127" s="4">
        <v>44</v>
      </c>
      <c r="J127" s="4">
        <v>68</v>
      </c>
      <c r="K127" s="4">
        <v>31</v>
      </c>
      <c r="L127" s="4">
        <v>0</v>
      </c>
      <c r="M127" s="4">
        <v>0</v>
      </c>
      <c r="N127" s="4" t="s">
        <v>734</v>
      </c>
      <c r="O127" s="1" t="s">
        <v>211</v>
      </c>
      <c r="P127" s="1" t="s">
        <v>2710</v>
      </c>
      <c r="Q127" s="1" t="s">
        <v>2711</v>
      </c>
      <c r="R127" s="1">
        <v>7.62</v>
      </c>
      <c r="S127" s="1" t="s">
        <v>1003</v>
      </c>
      <c r="T127" s="1">
        <v>23.85</v>
      </c>
      <c r="U127" s="1">
        <v>120.82</v>
      </c>
      <c r="V127" s="1">
        <v>8</v>
      </c>
      <c r="W127" s="1" t="s">
        <v>734</v>
      </c>
      <c r="X127" s="1" t="s">
        <v>2571</v>
      </c>
      <c r="Y127" s="1">
        <v>20</v>
      </c>
      <c r="Z127" s="1">
        <v>33</v>
      </c>
      <c r="AA127" s="1">
        <v>55</v>
      </c>
      <c r="AB127" s="1"/>
      <c r="AC127" s="1"/>
      <c r="AD127" s="1"/>
      <c r="AE127" s="1" t="s">
        <v>2566</v>
      </c>
      <c r="AF127" s="1" t="s">
        <v>862</v>
      </c>
      <c r="AG127" s="1">
        <v>1</v>
      </c>
      <c r="AH127" s="1">
        <v>7.58</v>
      </c>
      <c r="AI127" s="1">
        <v>5.6364999999999998</v>
      </c>
      <c r="AJ127" s="1">
        <v>7322.4000000000005</v>
      </c>
      <c r="AK127" s="1" t="s">
        <v>863</v>
      </c>
      <c r="AL127" s="1" t="s">
        <v>167</v>
      </c>
      <c r="AM127" t="s">
        <v>2716</v>
      </c>
    </row>
    <row r="128" spans="1:39" ht="19" customHeight="1">
      <c r="A128" s="4">
        <v>1472</v>
      </c>
      <c r="B128" s="4" t="s">
        <v>860</v>
      </c>
      <c r="C128" s="4">
        <v>1999</v>
      </c>
      <c r="D128" s="4" t="s">
        <v>872</v>
      </c>
      <c r="E128" s="4">
        <v>7.6</v>
      </c>
      <c r="F128" s="4">
        <v>54.3</v>
      </c>
      <c r="G128" s="4">
        <v>105.6</v>
      </c>
      <c r="H128" s="4">
        <v>8.67</v>
      </c>
      <c r="I128" s="4">
        <v>47.5</v>
      </c>
      <c r="J128" s="4">
        <v>59</v>
      </c>
      <c r="K128" s="4">
        <v>23</v>
      </c>
      <c r="L128" s="4">
        <v>0</v>
      </c>
      <c r="M128" s="4">
        <v>0</v>
      </c>
      <c r="N128" s="4" t="s">
        <v>734</v>
      </c>
      <c r="O128" s="1" t="s">
        <v>211</v>
      </c>
      <c r="P128" s="1" t="s">
        <v>2710</v>
      </c>
      <c r="Q128" s="1" t="s">
        <v>2711</v>
      </c>
      <c r="R128" s="1">
        <v>7.62</v>
      </c>
      <c r="S128" s="1" t="s">
        <v>1003</v>
      </c>
      <c r="T128" s="1">
        <v>23.85</v>
      </c>
      <c r="U128" s="1">
        <v>120.82</v>
      </c>
      <c r="V128" s="1">
        <v>8</v>
      </c>
      <c r="W128" s="1" t="s">
        <v>734</v>
      </c>
      <c r="X128" s="1" t="s">
        <v>2571</v>
      </c>
      <c r="Y128" s="1">
        <v>20</v>
      </c>
      <c r="Z128" s="1">
        <v>33</v>
      </c>
      <c r="AA128" s="1">
        <v>55</v>
      </c>
      <c r="AB128" s="1"/>
      <c r="AC128" s="1"/>
      <c r="AD128" s="1"/>
      <c r="AE128" s="1" t="s">
        <v>2566</v>
      </c>
      <c r="AF128" s="1" t="s">
        <v>862</v>
      </c>
      <c r="AG128" s="1">
        <v>1</v>
      </c>
      <c r="AH128" s="1">
        <v>7.58</v>
      </c>
      <c r="AI128" s="1">
        <v>5.6364999999999998</v>
      </c>
      <c r="AJ128" s="1">
        <v>7322.4000000000005</v>
      </c>
      <c r="AK128" s="1" t="s">
        <v>863</v>
      </c>
      <c r="AL128" s="1" t="s">
        <v>167</v>
      </c>
      <c r="AM128" t="s">
        <v>2716</v>
      </c>
    </row>
    <row r="129" spans="1:39" ht="19" customHeight="1">
      <c r="A129" s="4">
        <v>1473</v>
      </c>
      <c r="B129" s="4" t="s">
        <v>860</v>
      </c>
      <c r="C129" s="4">
        <v>1999</v>
      </c>
      <c r="D129" s="4" t="s">
        <v>873</v>
      </c>
      <c r="E129" s="4">
        <v>7.6</v>
      </c>
      <c r="F129" s="4">
        <v>66.3</v>
      </c>
      <c r="G129" s="4">
        <v>117.3</v>
      </c>
      <c r="H129" s="4">
        <v>10.23</v>
      </c>
      <c r="I129" s="4">
        <v>42.7</v>
      </c>
      <c r="J129" s="4">
        <v>69</v>
      </c>
      <c r="K129" s="4">
        <v>33</v>
      </c>
      <c r="L129" s="4">
        <v>0</v>
      </c>
      <c r="M129" s="4">
        <v>0</v>
      </c>
      <c r="N129" s="4" t="s">
        <v>734</v>
      </c>
      <c r="O129" s="1" t="s">
        <v>211</v>
      </c>
      <c r="P129" s="1" t="s">
        <v>2710</v>
      </c>
      <c r="Q129" s="1" t="s">
        <v>2711</v>
      </c>
      <c r="R129" s="1">
        <v>7.62</v>
      </c>
      <c r="S129" s="1" t="s">
        <v>1003</v>
      </c>
      <c r="T129" s="1">
        <v>23.85</v>
      </c>
      <c r="U129" s="1">
        <v>120.82</v>
      </c>
      <c r="V129" s="1">
        <v>8</v>
      </c>
      <c r="W129" s="1" t="s">
        <v>734</v>
      </c>
      <c r="X129" s="1" t="s">
        <v>2571</v>
      </c>
      <c r="Y129" s="1">
        <v>20</v>
      </c>
      <c r="Z129" s="1">
        <v>33</v>
      </c>
      <c r="AA129" s="1">
        <v>55</v>
      </c>
      <c r="AB129" s="1"/>
      <c r="AC129" s="1"/>
      <c r="AD129" s="1"/>
      <c r="AE129" s="1" t="s">
        <v>2566</v>
      </c>
      <c r="AF129" s="1" t="s">
        <v>862</v>
      </c>
      <c r="AG129" s="1">
        <v>1</v>
      </c>
      <c r="AH129" s="1">
        <v>7.58</v>
      </c>
      <c r="AI129" s="1">
        <v>5.6364999999999998</v>
      </c>
      <c r="AJ129" s="1">
        <v>7322.4000000000005</v>
      </c>
      <c r="AK129" s="1" t="s">
        <v>863</v>
      </c>
      <c r="AL129" s="1" t="s">
        <v>167</v>
      </c>
      <c r="AM129" t="s">
        <v>2716</v>
      </c>
    </row>
    <row r="130" spans="1:39" ht="19" customHeight="1">
      <c r="A130" s="4">
        <v>1475</v>
      </c>
      <c r="B130" s="4" t="s">
        <v>860</v>
      </c>
      <c r="C130" s="4">
        <v>1999</v>
      </c>
      <c r="D130" s="4" t="s">
        <v>874</v>
      </c>
      <c r="E130" s="4">
        <v>7.6</v>
      </c>
      <c r="F130" s="4">
        <v>56.1</v>
      </c>
      <c r="G130" s="4">
        <v>106.5</v>
      </c>
      <c r="H130" s="4">
        <v>8.3699999999999992</v>
      </c>
      <c r="I130" s="4">
        <v>45.7</v>
      </c>
      <c r="J130" s="4">
        <v>57</v>
      </c>
      <c r="K130" s="4">
        <v>21</v>
      </c>
      <c r="L130" s="4">
        <v>0</v>
      </c>
      <c r="M130" s="4">
        <v>1</v>
      </c>
      <c r="N130" s="4" t="s">
        <v>734</v>
      </c>
      <c r="O130" s="1" t="s">
        <v>211</v>
      </c>
      <c r="P130" s="1" t="s">
        <v>2710</v>
      </c>
      <c r="Q130" s="1" t="s">
        <v>2711</v>
      </c>
      <c r="R130" s="1">
        <v>7.62</v>
      </c>
      <c r="S130" s="1" t="s">
        <v>1003</v>
      </c>
      <c r="T130" s="1">
        <v>23.85</v>
      </c>
      <c r="U130" s="1">
        <v>120.82</v>
      </c>
      <c r="V130" s="1">
        <v>8</v>
      </c>
      <c r="W130" s="1" t="s">
        <v>734</v>
      </c>
      <c r="X130" s="1" t="s">
        <v>2571</v>
      </c>
      <c r="Y130" s="1">
        <v>20</v>
      </c>
      <c r="Z130" s="1">
        <v>33</v>
      </c>
      <c r="AA130" s="1">
        <v>55</v>
      </c>
      <c r="AB130" s="1"/>
      <c r="AC130" s="1"/>
      <c r="AD130" s="1"/>
      <c r="AE130" s="1" t="s">
        <v>2566</v>
      </c>
      <c r="AF130" s="1" t="s">
        <v>862</v>
      </c>
      <c r="AG130" s="1">
        <v>1</v>
      </c>
      <c r="AH130" s="1">
        <v>7.58</v>
      </c>
      <c r="AI130" s="1">
        <v>5.6364999999999998</v>
      </c>
      <c r="AJ130" s="1">
        <v>7322.4000000000005</v>
      </c>
      <c r="AK130" s="1" t="s">
        <v>863</v>
      </c>
      <c r="AL130" s="1" t="s">
        <v>167</v>
      </c>
      <c r="AM130" t="s">
        <v>2716</v>
      </c>
    </row>
    <row r="131" spans="1:39" ht="19" customHeight="1">
      <c r="A131" s="4">
        <v>1476</v>
      </c>
      <c r="B131" s="4" t="s">
        <v>860</v>
      </c>
      <c r="C131" s="4">
        <v>1999</v>
      </c>
      <c r="D131" s="4" t="s">
        <v>875</v>
      </c>
      <c r="E131" s="4">
        <v>7.6</v>
      </c>
      <c r="F131" s="4">
        <v>28</v>
      </c>
      <c r="G131" s="4">
        <v>79.599999999999994</v>
      </c>
      <c r="H131" s="4">
        <v>5.29</v>
      </c>
      <c r="I131" s="4">
        <v>62.7</v>
      </c>
      <c r="J131" s="4">
        <v>155</v>
      </c>
      <c r="K131" s="4">
        <v>61</v>
      </c>
      <c r="L131" s="4">
        <v>1</v>
      </c>
      <c r="M131" s="4">
        <v>1</v>
      </c>
      <c r="N131" s="4" t="s">
        <v>734</v>
      </c>
      <c r="O131" s="1" t="s">
        <v>211</v>
      </c>
      <c r="P131" s="1" t="s">
        <v>2710</v>
      </c>
      <c r="Q131" s="1" t="s">
        <v>2711</v>
      </c>
      <c r="R131" s="1">
        <v>7.62</v>
      </c>
      <c r="S131" s="1" t="s">
        <v>1003</v>
      </c>
      <c r="T131" s="1">
        <v>23.85</v>
      </c>
      <c r="U131" s="1">
        <v>120.82</v>
      </c>
      <c r="V131" s="1">
        <v>8</v>
      </c>
      <c r="W131" s="1" t="s">
        <v>734</v>
      </c>
      <c r="X131" s="1" t="s">
        <v>2571</v>
      </c>
      <c r="Y131" s="1">
        <v>20</v>
      </c>
      <c r="Z131" s="1">
        <v>33</v>
      </c>
      <c r="AA131" s="1">
        <v>55</v>
      </c>
      <c r="AB131" s="1"/>
      <c r="AC131" s="1"/>
      <c r="AD131" s="1"/>
      <c r="AE131" s="1" t="s">
        <v>2566</v>
      </c>
      <c r="AF131" s="1" t="s">
        <v>862</v>
      </c>
      <c r="AG131" s="1">
        <v>1</v>
      </c>
      <c r="AH131" s="1">
        <v>7.58</v>
      </c>
      <c r="AI131" s="1">
        <v>5.6364999999999998</v>
      </c>
      <c r="AJ131" s="1">
        <v>7322.4000000000005</v>
      </c>
      <c r="AK131" s="1" t="s">
        <v>863</v>
      </c>
      <c r="AL131" s="1" t="s">
        <v>167</v>
      </c>
      <c r="AM131" t="s">
        <v>2716</v>
      </c>
    </row>
    <row r="132" spans="1:39" ht="19" customHeight="1">
      <c r="A132" s="4">
        <v>1477</v>
      </c>
      <c r="B132" s="4" t="s">
        <v>860</v>
      </c>
      <c r="C132" s="4">
        <v>1999</v>
      </c>
      <c r="D132" s="4" t="s">
        <v>876</v>
      </c>
      <c r="E132" s="4">
        <v>7.6</v>
      </c>
      <c r="F132" s="4">
        <v>30.2</v>
      </c>
      <c r="G132" s="4">
        <v>80.5</v>
      </c>
      <c r="H132" s="4">
        <v>5.93</v>
      </c>
      <c r="I132" s="4">
        <v>63.3</v>
      </c>
      <c r="J132" s="4">
        <v>123</v>
      </c>
      <c r="K132" s="4">
        <v>87</v>
      </c>
      <c r="L132" s="4">
        <v>1</v>
      </c>
      <c r="M132" s="4">
        <v>1</v>
      </c>
      <c r="N132" s="4" t="s">
        <v>734</v>
      </c>
      <c r="O132" s="1" t="s">
        <v>211</v>
      </c>
      <c r="P132" s="1" t="s">
        <v>2710</v>
      </c>
      <c r="Q132" s="1" t="s">
        <v>2711</v>
      </c>
      <c r="R132" s="1">
        <v>7.62</v>
      </c>
      <c r="S132" s="1" t="s">
        <v>1003</v>
      </c>
      <c r="T132" s="1">
        <v>23.85</v>
      </c>
      <c r="U132" s="1">
        <v>120.82</v>
      </c>
      <c r="V132" s="1">
        <v>8</v>
      </c>
      <c r="W132" s="1" t="s">
        <v>734</v>
      </c>
      <c r="X132" s="1" t="s">
        <v>2571</v>
      </c>
      <c r="Y132" s="1">
        <v>20</v>
      </c>
      <c r="Z132" s="1">
        <v>33</v>
      </c>
      <c r="AA132" s="1">
        <v>55</v>
      </c>
      <c r="AB132" s="1"/>
      <c r="AC132" s="1"/>
      <c r="AD132" s="1"/>
      <c r="AE132" s="1" t="s">
        <v>2566</v>
      </c>
      <c r="AF132" s="1" t="s">
        <v>862</v>
      </c>
      <c r="AG132" s="1">
        <v>1</v>
      </c>
      <c r="AH132" s="1">
        <v>7.58</v>
      </c>
      <c r="AI132" s="1">
        <v>5.6364999999999998</v>
      </c>
      <c r="AJ132" s="1">
        <v>7322.4000000000005</v>
      </c>
      <c r="AK132" s="1" t="s">
        <v>863</v>
      </c>
      <c r="AL132" s="1" t="s">
        <v>167</v>
      </c>
      <c r="AM132" t="s">
        <v>2716</v>
      </c>
    </row>
    <row r="133" spans="1:39" ht="19" customHeight="1">
      <c r="A133" s="4">
        <v>1478</v>
      </c>
      <c r="B133" s="4" t="s">
        <v>860</v>
      </c>
      <c r="C133" s="4">
        <v>1999</v>
      </c>
      <c r="D133" s="4" t="s">
        <v>877</v>
      </c>
      <c r="E133" s="4">
        <v>7.6</v>
      </c>
      <c r="F133" s="4">
        <v>40.9</v>
      </c>
      <c r="G133" s="4">
        <v>93.4</v>
      </c>
      <c r="H133" s="4">
        <v>8.9700000000000006</v>
      </c>
      <c r="I133" s="4">
        <v>41.7</v>
      </c>
      <c r="J133" s="4">
        <v>71</v>
      </c>
      <c r="K133" s="4">
        <v>35</v>
      </c>
      <c r="L133" s="4">
        <v>0</v>
      </c>
      <c r="M133" s="4">
        <v>1</v>
      </c>
      <c r="N133" s="4" t="s">
        <v>734</v>
      </c>
      <c r="O133" s="1" t="s">
        <v>211</v>
      </c>
      <c r="P133" s="1" t="s">
        <v>2710</v>
      </c>
      <c r="Q133" s="1" t="s">
        <v>2711</v>
      </c>
      <c r="R133" s="1">
        <v>7.62</v>
      </c>
      <c r="S133" s="1" t="s">
        <v>1003</v>
      </c>
      <c r="T133" s="1">
        <v>23.85</v>
      </c>
      <c r="U133" s="1">
        <v>120.82</v>
      </c>
      <c r="V133" s="1">
        <v>8</v>
      </c>
      <c r="W133" s="1" t="s">
        <v>734</v>
      </c>
      <c r="X133" s="1" t="s">
        <v>2571</v>
      </c>
      <c r="Y133" s="1">
        <v>20</v>
      </c>
      <c r="Z133" s="1">
        <v>33</v>
      </c>
      <c r="AA133" s="1">
        <v>55</v>
      </c>
      <c r="AB133" s="1"/>
      <c r="AC133" s="1"/>
      <c r="AD133" s="1"/>
      <c r="AE133" s="1" t="s">
        <v>2566</v>
      </c>
      <c r="AF133" s="1" t="s">
        <v>862</v>
      </c>
      <c r="AG133" s="1">
        <v>1</v>
      </c>
      <c r="AH133" s="1">
        <v>7.58</v>
      </c>
      <c r="AI133" s="1">
        <v>5.6364999999999998</v>
      </c>
      <c r="AJ133" s="1">
        <v>7322.4000000000005</v>
      </c>
      <c r="AK133" s="1" t="s">
        <v>863</v>
      </c>
      <c r="AL133" s="1" t="s">
        <v>167</v>
      </c>
      <c r="AM133" t="s">
        <v>2716</v>
      </c>
    </row>
    <row r="134" spans="1:39" ht="19" customHeight="1">
      <c r="A134" s="4">
        <v>1479</v>
      </c>
      <c r="B134" s="4" t="s">
        <v>860</v>
      </c>
      <c r="C134" s="4">
        <v>1999</v>
      </c>
      <c r="D134" s="4" t="s">
        <v>878</v>
      </c>
      <c r="E134" s="4">
        <v>7.6</v>
      </c>
      <c r="F134" s="4">
        <v>35.700000000000003</v>
      </c>
      <c r="G134" s="4">
        <v>88.2</v>
      </c>
      <c r="H134" s="4">
        <v>8.8699999999999992</v>
      </c>
      <c r="I134" s="4">
        <v>45.2</v>
      </c>
      <c r="J134" s="4">
        <v>72</v>
      </c>
      <c r="K134" s="4">
        <v>36</v>
      </c>
      <c r="L134" s="4">
        <v>0</v>
      </c>
      <c r="M134" s="4">
        <v>1</v>
      </c>
      <c r="N134" s="4" t="s">
        <v>734</v>
      </c>
      <c r="O134" s="1" t="s">
        <v>211</v>
      </c>
      <c r="P134" s="1" t="s">
        <v>2710</v>
      </c>
      <c r="Q134" s="1" t="s">
        <v>2711</v>
      </c>
      <c r="R134" s="1">
        <v>7.62</v>
      </c>
      <c r="S134" s="1" t="s">
        <v>1003</v>
      </c>
      <c r="T134" s="1">
        <v>23.85</v>
      </c>
      <c r="U134" s="1">
        <v>120.82</v>
      </c>
      <c r="V134" s="1">
        <v>8</v>
      </c>
      <c r="W134" s="1" t="s">
        <v>734</v>
      </c>
      <c r="X134" s="1" t="s">
        <v>2571</v>
      </c>
      <c r="Y134" s="1">
        <v>20</v>
      </c>
      <c r="Z134" s="1">
        <v>33</v>
      </c>
      <c r="AA134" s="1">
        <v>55</v>
      </c>
      <c r="AB134" s="1"/>
      <c r="AC134" s="1"/>
      <c r="AD134" s="1"/>
      <c r="AE134" s="1" t="s">
        <v>2566</v>
      </c>
      <c r="AF134" s="1" t="s">
        <v>862</v>
      </c>
      <c r="AG134" s="1">
        <v>1</v>
      </c>
      <c r="AH134" s="1">
        <v>7.58</v>
      </c>
      <c r="AI134" s="1">
        <v>5.6364999999999998</v>
      </c>
      <c r="AJ134" s="1">
        <v>7322.4000000000005</v>
      </c>
      <c r="AK134" s="1" t="s">
        <v>863</v>
      </c>
      <c r="AL134" s="1" t="s">
        <v>167</v>
      </c>
      <c r="AM134" t="s">
        <v>2716</v>
      </c>
    </row>
    <row r="135" spans="1:39" ht="19" customHeight="1">
      <c r="A135" s="4">
        <v>1480</v>
      </c>
      <c r="B135" s="4" t="s">
        <v>860</v>
      </c>
      <c r="C135" s="4">
        <v>1999</v>
      </c>
      <c r="D135" s="4" t="s">
        <v>879</v>
      </c>
      <c r="E135" s="4">
        <v>7.6</v>
      </c>
      <c r="F135" s="4">
        <v>19.8</v>
      </c>
      <c r="G135" s="4">
        <v>68.3</v>
      </c>
      <c r="H135" s="4">
        <v>5.38</v>
      </c>
      <c r="I135" s="4">
        <v>63.2</v>
      </c>
      <c r="J135" s="4">
        <v>131</v>
      </c>
      <c r="K135" s="4">
        <v>56</v>
      </c>
      <c r="L135" s="4">
        <v>1</v>
      </c>
      <c r="M135" s="4">
        <v>1</v>
      </c>
      <c r="N135" s="4" t="s">
        <v>734</v>
      </c>
      <c r="O135" s="1" t="s">
        <v>211</v>
      </c>
      <c r="P135" s="1" t="s">
        <v>2710</v>
      </c>
      <c r="Q135" s="1" t="s">
        <v>2711</v>
      </c>
      <c r="R135" s="1">
        <v>7.62</v>
      </c>
      <c r="S135" s="1" t="s">
        <v>1003</v>
      </c>
      <c r="T135" s="1">
        <v>23.85</v>
      </c>
      <c r="U135" s="1">
        <v>120.82</v>
      </c>
      <c r="V135" s="1">
        <v>8</v>
      </c>
      <c r="W135" s="1" t="s">
        <v>734</v>
      </c>
      <c r="X135" s="1" t="s">
        <v>2571</v>
      </c>
      <c r="Y135" s="1">
        <v>20</v>
      </c>
      <c r="Z135" s="1">
        <v>33</v>
      </c>
      <c r="AA135" s="1">
        <v>55</v>
      </c>
      <c r="AB135" s="1"/>
      <c r="AC135" s="1"/>
      <c r="AD135" s="1"/>
      <c r="AE135" s="1" t="s">
        <v>2566</v>
      </c>
      <c r="AF135" s="1" t="s">
        <v>862</v>
      </c>
      <c r="AG135" s="1">
        <v>1</v>
      </c>
      <c r="AH135" s="1">
        <v>7.58</v>
      </c>
      <c r="AI135" s="1">
        <v>5.6364999999999998</v>
      </c>
      <c r="AJ135" s="1">
        <v>7322.4000000000005</v>
      </c>
      <c r="AK135" s="1" t="s">
        <v>863</v>
      </c>
      <c r="AL135" s="1" t="s">
        <v>167</v>
      </c>
      <c r="AM135" t="s">
        <v>2716</v>
      </c>
    </row>
    <row r="136" spans="1:39" ht="19" customHeight="1">
      <c r="A136" s="4">
        <v>1481</v>
      </c>
      <c r="B136" s="4" t="s">
        <v>860</v>
      </c>
      <c r="C136" s="4">
        <v>1999</v>
      </c>
      <c r="D136" s="4" t="s">
        <v>880</v>
      </c>
      <c r="E136" s="4">
        <v>7.6</v>
      </c>
      <c r="F136" s="4">
        <v>25.4</v>
      </c>
      <c r="G136" s="4">
        <v>73.5</v>
      </c>
      <c r="H136" s="4">
        <v>9.58</v>
      </c>
      <c r="I136" s="4">
        <v>54.9</v>
      </c>
      <c r="J136" s="4">
        <v>70</v>
      </c>
      <c r="K136" s="4">
        <v>62</v>
      </c>
      <c r="L136" s="4">
        <v>1</v>
      </c>
      <c r="M136" s="4">
        <v>1</v>
      </c>
      <c r="N136" s="4" t="s">
        <v>734</v>
      </c>
      <c r="O136" s="1" t="s">
        <v>211</v>
      </c>
      <c r="P136" s="1" t="s">
        <v>2710</v>
      </c>
      <c r="Q136" s="1" t="s">
        <v>2711</v>
      </c>
      <c r="R136" s="1">
        <v>7.62</v>
      </c>
      <c r="S136" s="1" t="s">
        <v>1003</v>
      </c>
      <c r="T136" s="1">
        <v>23.85</v>
      </c>
      <c r="U136" s="1">
        <v>120.82</v>
      </c>
      <c r="V136" s="1">
        <v>8</v>
      </c>
      <c r="W136" s="1" t="s">
        <v>734</v>
      </c>
      <c r="X136" s="1" t="s">
        <v>2571</v>
      </c>
      <c r="Y136" s="1">
        <v>20</v>
      </c>
      <c r="Z136" s="1">
        <v>33</v>
      </c>
      <c r="AA136" s="1">
        <v>55</v>
      </c>
      <c r="AB136" s="1"/>
      <c r="AC136" s="1"/>
      <c r="AD136" s="1"/>
      <c r="AE136" s="1" t="s">
        <v>2566</v>
      </c>
      <c r="AF136" s="1" t="s">
        <v>862</v>
      </c>
      <c r="AG136" s="1">
        <v>1</v>
      </c>
      <c r="AH136" s="1">
        <v>7.58</v>
      </c>
      <c r="AI136" s="1">
        <v>5.6364999999999998</v>
      </c>
      <c r="AJ136" s="1">
        <v>7322.4000000000005</v>
      </c>
      <c r="AK136" s="1" t="s">
        <v>863</v>
      </c>
      <c r="AL136" s="1" t="s">
        <v>167</v>
      </c>
      <c r="AM136" t="s">
        <v>2716</v>
      </c>
    </row>
    <row r="137" spans="1:39" ht="19" customHeight="1">
      <c r="A137" s="4">
        <v>1482</v>
      </c>
      <c r="B137" s="4" t="s">
        <v>860</v>
      </c>
      <c r="C137" s="4">
        <v>1999</v>
      </c>
      <c r="D137" s="4" t="s">
        <v>881</v>
      </c>
      <c r="E137" s="4">
        <v>7.6</v>
      </c>
      <c r="F137" s="4">
        <v>19.899999999999999</v>
      </c>
      <c r="G137" s="4">
        <v>72</v>
      </c>
      <c r="H137" s="4">
        <v>9.33</v>
      </c>
      <c r="I137" s="4">
        <v>57.8</v>
      </c>
      <c r="J137" s="4">
        <v>94</v>
      </c>
      <c r="K137" s="4">
        <v>58</v>
      </c>
      <c r="L137" s="4">
        <v>1</v>
      </c>
      <c r="M137" s="4">
        <v>1</v>
      </c>
      <c r="N137" s="4" t="s">
        <v>734</v>
      </c>
      <c r="O137" s="1" t="s">
        <v>211</v>
      </c>
      <c r="P137" s="1" t="s">
        <v>2710</v>
      </c>
      <c r="Q137" s="1" t="s">
        <v>2711</v>
      </c>
      <c r="R137" s="1">
        <v>7.62</v>
      </c>
      <c r="S137" s="1" t="s">
        <v>1003</v>
      </c>
      <c r="T137" s="1">
        <v>23.85</v>
      </c>
      <c r="U137" s="1">
        <v>120.82</v>
      </c>
      <c r="V137" s="1">
        <v>8</v>
      </c>
      <c r="W137" s="1" t="s">
        <v>734</v>
      </c>
      <c r="X137" s="1" t="s">
        <v>2571</v>
      </c>
      <c r="Y137" s="1">
        <v>20</v>
      </c>
      <c r="Z137" s="1">
        <v>33</v>
      </c>
      <c r="AA137" s="1">
        <v>55</v>
      </c>
      <c r="AB137" s="1"/>
      <c r="AC137" s="1"/>
      <c r="AD137" s="1"/>
      <c r="AE137" s="1" t="s">
        <v>2566</v>
      </c>
      <c r="AF137" s="1" t="s">
        <v>862</v>
      </c>
      <c r="AG137" s="1">
        <v>1</v>
      </c>
      <c r="AH137" s="1">
        <v>7.58</v>
      </c>
      <c r="AI137" s="1">
        <v>5.6364999999999998</v>
      </c>
      <c r="AJ137" s="1">
        <v>7322.4000000000005</v>
      </c>
      <c r="AK137" s="1" t="s">
        <v>863</v>
      </c>
      <c r="AL137" s="1" t="s">
        <v>167</v>
      </c>
      <c r="AM137" t="s">
        <v>2716</v>
      </c>
    </row>
    <row r="138" spans="1:39" ht="19" customHeight="1">
      <c r="A138" s="4">
        <v>1483</v>
      </c>
      <c r="B138" s="4" t="s">
        <v>860</v>
      </c>
      <c r="C138" s="4">
        <v>1999</v>
      </c>
      <c r="D138" s="4" t="s">
        <v>882</v>
      </c>
      <c r="E138" s="4">
        <v>7.6</v>
      </c>
      <c r="F138" s="4">
        <v>22.1</v>
      </c>
      <c r="G138" s="4">
        <v>69.5</v>
      </c>
      <c r="H138" s="4">
        <v>6.43</v>
      </c>
      <c r="I138" s="4">
        <v>47.6</v>
      </c>
      <c r="J138" s="4">
        <v>162</v>
      </c>
      <c r="K138" s="4">
        <v>25</v>
      </c>
      <c r="L138" s="4">
        <v>1</v>
      </c>
      <c r="M138" s="4">
        <v>1</v>
      </c>
      <c r="N138" s="4" t="s">
        <v>734</v>
      </c>
      <c r="O138" s="1" t="s">
        <v>211</v>
      </c>
      <c r="P138" s="1" t="s">
        <v>2710</v>
      </c>
      <c r="Q138" s="1" t="s">
        <v>2711</v>
      </c>
      <c r="R138" s="1">
        <v>7.62</v>
      </c>
      <c r="S138" s="1" t="s">
        <v>1003</v>
      </c>
      <c r="T138" s="1">
        <v>23.85</v>
      </c>
      <c r="U138" s="1">
        <v>120.82</v>
      </c>
      <c r="V138" s="1">
        <v>8</v>
      </c>
      <c r="W138" s="1" t="s">
        <v>734</v>
      </c>
      <c r="X138" s="1" t="s">
        <v>2571</v>
      </c>
      <c r="Y138" s="1">
        <v>20</v>
      </c>
      <c r="Z138" s="1">
        <v>33</v>
      </c>
      <c r="AA138" s="1">
        <v>55</v>
      </c>
      <c r="AB138" s="1"/>
      <c r="AC138" s="1"/>
      <c r="AD138" s="1"/>
      <c r="AE138" s="1" t="s">
        <v>2566</v>
      </c>
      <c r="AF138" s="1" t="s">
        <v>862</v>
      </c>
      <c r="AG138" s="1">
        <v>1</v>
      </c>
      <c r="AH138" s="1">
        <v>7.58</v>
      </c>
      <c r="AI138" s="1">
        <v>5.6364999999999998</v>
      </c>
      <c r="AJ138" s="1">
        <v>7322.4000000000005</v>
      </c>
      <c r="AK138" s="1" t="s">
        <v>863</v>
      </c>
      <c r="AL138" s="1" t="s">
        <v>167</v>
      </c>
      <c r="AM138" t="s">
        <v>2716</v>
      </c>
    </row>
    <row r="139" spans="1:39" ht="19" customHeight="1">
      <c r="A139" s="4">
        <v>1485</v>
      </c>
      <c r="B139" s="4" t="s">
        <v>860</v>
      </c>
      <c r="C139" s="4">
        <v>1999</v>
      </c>
      <c r="D139" s="4" t="s">
        <v>883</v>
      </c>
      <c r="E139" s="4">
        <v>7.6</v>
      </c>
      <c r="F139" s="4">
        <v>26</v>
      </c>
      <c r="G139" s="4">
        <v>77.900000000000006</v>
      </c>
      <c r="H139" s="4">
        <v>9.34</v>
      </c>
      <c r="I139" s="4">
        <v>43.7</v>
      </c>
      <c r="J139" s="4">
        <v>75</v>
      </c>
      <c r="K139" s="4">
        <v>39</v>
      </c>
      <c r="L139" s="4">
        <v>0</v>
      </c>
      <c r="M139" s="4">
        <v>1</v>
      </c>
      <c r="N139" s="4" t="s">
        <v>734</v>
      </c>
      <c r="O139" s="1" t="s">
        <v>211</v>
      </c>
      <c r="P139" s="1" t="s">
        <v>2710</v>
      </c>
      <c r="Q139" s="1" t="s">
        <v>2711</v>
      </c>
      <c r="R139" s="1">
        <v>7.62</v>
      </c>
      <c r="S139" s="1" t="s">
        <v>1003</v>
      </c>
      <c r="T139" s="1">
        <v>23.85</v>
      </c>
      <c r="U139" s="1">
        <v>120.82</v>
      </c>
      <c r="V139" s="1">
        <v>8</v>
      </c>
      <c r="W139" s="1" t="s">
        <v>734</v>
      </c>
      <c r="X139" s="1" t="s">
        <v>2571</v>
      </c>
      <c r="Y139" s="1">
        <v>20</v>
      </c>
      <c r="Z139" s="1">
        <v>33</v>
      </c>
      <c r="AA139" s="1">
        <v>55</v>
      </c>
      <c r="AB139" s="1"/>
      <c r="AC139" s="1"/>
      <c r="AD139" s="1"/>
      <c r="AE139" s="1" t="s">
        <v>2566</v>
      </c>
      <c r="AF139" s="1" t="s">
        <v>862</v>
      </c>
      <c r="AG139" s="1">
        <v>1</v>
      </c>
      <c r="AH139" s="1">
        <v>7.58</v>
      </c>
      <c r="AI139" s="1">
        <v>5.6364999999999998</v>
      </c>
      <c r="AJ139" s="1">
        <v>7322.4000000000005</v>
      </c>
      <c r="AK139" s="1" t="s">
        <v>863</v>
      </c>
      <c r="AL139" s="1" t="s">
        <v>167</v>
      </c>
      <c r="AM139" t="s">
        <v>2716</v>
      </c>
    </row>
    <row r="140" spans="1:39" ht="19" customHeight="1">
      <c r="A140" s="4">
        <v>1486</v>
      </c>
      <c r="B140" s="4" t="s">
        <v>860</v>
      </c>
      <c r="C140" s="4">
        <v>1999</v>
      </c>
      <c r="D140" s="4" t="s">
        <v>884</v>
      </c>
      <c r="E140" s="4">
        <v>7.6</v>
      </c>
      <c r="F140" s="4">
        <v>16.7</v>
      </c>
      <c r="G140" s="4">
        <v>69.3</v>
      </c>
      <c r="H140" s="4">
        <v>8.0399999999999991</v>
      </c>
      <c r="I140" s="4">
        <v>31.3</v>
      </c>
      <c r="J140" s="4">
        <v>112</v>
      </c>
      <c r="K140" s="4">
        <v>76</v>
      </c>
      <c r="L140" s="4">
        <v>1</v>
      </c>
      <c r="M140" s="4">
        <v>1</v>
      </c>
      <c r="N140" s="4" t="s">
        <v>734</v>
      </c>
      <c r="O140" s="1" t="s">
        <v>211</v>
      </c>
      <c r="P140" s="1" t="s">
        <v>2710</v>
      </c>
      <c r="Q140" s="1" t="s">
        <v>2711</v>
      </c>
      <c r="R140" s="1">
        <v>7.62</v>
      </c>
      <c r="S140" s="1" t="s">
        <v>1003</v>
      </c>
      <c r="T140" s="1">
        <v>23.85</v>
      </c>
      <c r="U140" s="1">
        <v>120.82</v>
      </c>
      <c r="V140" s="1">
        <v>8</v>
      </c>
      <c r="W140" s="1" t="s">
        <v>734</v>
      </c>
      <c r="X140" s="1" t="s">
        <v>2571</v>
      </c>
      <c r="Y140" s="1">
        <v>20</v>
      </c>
      <c r="Z140" s="1">
        <v>33</v>
      </c>
      <c r="AA140" s="1">
        <v>55</v>
      </c>
      <c r="AB140" s="1"/>
      <c r="AC140" s="1"/>
      <c r="AD140" s="1"/>
      <c r="AE140" s="1" t="s">
        <v>2566</v>
      </c>
      <c r="AF140" s="1" t="s">
        <v>862</v>
      </c>
      <c r="AG140" s="1">
        <v>1</v>
      </c>
      <c r="AH140" s="1">
        <v>7.58</v>
      </c>
      <c r="AI140" s="1">
        <v>5.6364999999999998</v>
      </c>
      <c r="AJ140" s="1">
        <v>7322.4000000000005</v>
      </c>
      <c r="AK140" s="1" t="s">
        <v>863</v>
      </c>
      <c r="AL140" s="1" t="s">
        <v>167</v>
      </c>
      <c r="AM140" t="s">
        <v>2716</v>
      </c>
    </row>
    <row r="141" spans="1:39" ht="19" customHeight="1">
      <c r="A141" s="4">
        <v>1487</v>
      </c>
      <c r="B141" s="4" t="s">
        <v>860</v>
      </c>
      <c r="C141" s="4">
        <v>1999</v>
      </c>
      <c r="D141" s="4" t="s">
        <v>885</v>
      </c>
      <c r="E141" s="4">
        <v>7.6</v>
      </c>
      <c r="F141" s="4">
        <v>35</v>
      </c>
      <c r="G141" s="4">
        <v>86.8</v>
      </c>
      <c r="H141" s="4">
        <v>12.31</v>
      </c>
      <c r="I141" s="4">
        <v>44.4</v>
      </c>
      <c r="J141" s="4">
        <v>55</v>
      </c>
      <c r="K141" s="4">
        <v>19</v>
      </c>
      <c r="L141" s="4">
        <v>0</v>
      </c>
      <c r="M141" s="4">
        <v>1</v>
      </c>
      <c r="N141" s="4" t="s">
        <v>734</v>
      </c>
      <c r="O141" s="1" t="s">
        <v>211</v>
      </c>
      <c r="P141" s="1" t="s">
        <v>2710</v>
      </c>
      <c r="Q141" s="1" t="s">
        <v>2711</v>
      </c>
      <c r="R141" s="1">
        <v>7.62</v>
      </c>
      <c r="S141" s="1" t="s">
        <v>1003</v>
      </c>
      <c r="T141" s="1">
        <v>23.85</v>
      </c>
      <c r="U141" s="1">
        <v>120.82</v>
      </c>
      <c r="V141" s="1">
        <v>8</v>
      </c>
      <c r="W141" s="1" t="s">
        <v>734</v>
      </c>
      <c r="X141" s="1" t="s">
        <v>2571</v>
      </c>
      <c r="Y141" s="1">
        <v>20</v>
      </c>
      <c r="Z141" s="1">
        <v>33</v>
      </c>
      <c r="AA141" s="1">
        <v>55</v>
      </c>
      <c r="AB141" s="1"/>
      <c r="AC141" s="1"/>
      <c r="AD141" s="1"/>
      <c r="AE141" s="1" t="s">
        <v>2566</v>
      </c>
      <c r="AF141" s="1" t="s">
        <v>862</v>
      </c>
      <c r="AG141" s="1">
        <v>1</v>
      </c>
      <c r="AH141" s="1">
        <v>7.58</v>
      </c>
      <c r="AI141" s="1">
        <v>5.6364999999999998</v>
      </c>
      <c r="AJ141" s="1">
        <v>7322.4000000000005</v>
      </c>
      <c r="AK141" s="1" t="s">
        <v>863</v>
      </c>
      <c r="AL141" s="1" t="s">
        <v>167</v>
      </c>
      <c r="AM141" t="s">
        <v>2716</v>
      </c>
    </row>
    <row r="142" spans="1:39" ht="19" customHeight="1">
      <c r="A142" s="4">
        <v>1489</v>
      </c>
      <c r="B142" s="4" t="s">
        <v>860</v>
      </c>
      <c r="C142" s="4">
        <v>1999</v>
      </c>
      <c r="D142" s="4" t="s">
        <v>886</v>
      </c>
      <c r="E142" s="4">
        <v>7.6</v>
      </c>
      <c r="F142" s="4">
        <v>3.8</v>
      </c>
      <c r="G142" s="4">
        <v>39.700000000000003</v>
      </c>
      <c r="H142" s="4">
        <v>10.220000000000001</v>
      </c>
      <c r="I142" s="4">
        <v>56.5</v>
      </c>
      <c r="J142" s="4">
        <v>76</v>
      </c>
      <c r="K142" s="4">
        <v>68</v>
      </c>
      <c r="L142" s="4">
        <v>1</v>
      </c>
      <c r="M142" s="4">
        <v>1</v>
      </c>
      <c r="N142" s="4" t="s">
        <v>734</v>
      </c>
      <c r="O142" s="1" t="s">
        <v>211</v>
      </c>
      <c r="P142" s="1" t="s">
        <v>2710</v>
      </c>
      <c r="Q142" s="1" t="s">
        <v>2711</v>
      </c>
      <c r="R142" s="1">
        <v>7.62</v>
      </c>
      <c r="S142" s="1" t="s">
        <v>1003</v>
      </c>
      <c r="T142" s="1">
        <v>23.85</v>
      </c>
      <c r="U142" s="1">
        <v>120.82</v>
      </c>
      <c r="V142" s="1">
        <v>8</v>
      </c>
      <c r="W142" s="1" t="s">
        <v>734</v>
      </c>
      <c r="X142" s="1" t="s">
        <v>2571</v>
      </c>
      <c r="Y142" s="1">
        <v>20</v>
      </c>
      <c r="Z142" s="1">
        <v>33</v>
      </c>
      <c r="AA142" s="1">
        <v>55</v>
      </c>
      <c r="AB142" s="1"/>
      <c r="AC142" s="1"/>
      <c r="AD142" s="1"/>
      <c r="AE142" s="1" t="s">
        <v>2566</v>
      </c>
      <c r="AF142" s="1" t="s">
        <v>862</v>
      </c>
      <c r="AG142" s="1">
        <v>1</v>
      </c>
      <c r="AH142" s="1">
        <v>7.58</v>
      </c>
      <c r="AI142" s="1">
        <v>5.6364999999999998</v>
      </c>
      <c r="AJ142" s="1">
        <v>7322.4000000000005</v>
      </c>
      <c r="AK142" s="1" t="s">
        <v>863</v>
      </c>
      <c r="AL142" s="1" t="s">
        <v>167</v>
      </c>
      <c r="AM142" t="s">
        <v>2716</v>
      </c>
    </row>
    <row r="143" spans="1:39" ht="19" customHeight="1">
      <c r="A143" s="4">
        <v>1491</v>
      </c>
      <c r="B143" s="4" t="s">
        <v>860</v>
      </c>
      <c r="C143" s="4">
        <v>1999</v>
      </c>
      <c r="D143" s="4" t="s">
        <v>887</v>
      </c>
      <c r="E143" s="4">
        <v>7.6</v>
      </c>
      <c r="F143" s="4">
        <v>7.6</v>
      </c>
      <c r="G143" s="4">
        <v>39.4</v>
      </c>
      <c r="H143" s="4">
        <v>10.38</v>
      </c>
      <c r="I143" s="4">
        <v>52.8</v>
      </c>
      <c r="J143" s="4">
        <v>100</v>
      </c>
      <c r="K143" s="4">
        <v>86</v>
      </c>
      <c r="L143" s="4">
        <v>1</v>
      </c>
      <c r="M143" s="4">
        <v>1</v>
      </c>
      <c r="N143" s="4" t="s">
        <v>734</v>
      </c>
      <c r="O143" s="1" t="s">
        <v>211</v>
      </c>
      <c r="P143" s="1" t="s">
        <v>2710</v>
      </c>
      <c r="Q143" s="1" t="s">
        <v>2711</v>
      </c>
      <c r="R143" s="1">
        <v>7.62</v>
      </c>
      <c r="S143" s="1" t="s">
        <v>1003</v>
      </c>
      <c r="T143" s="1">
        <v>23.85</v>
      </c>
      <c r="U143" s="1">
        <v>120.82</v>
      </c>
      <c r="V143" s="1">
        <v>8</v>
      </c>
      <c r="W143" s="1" t="s">
        <v>734</v>
      </c>
      <c r="X143" s="1" t="s">
        <v>2571</v>
      </c>
      <c r="Y143" s="1">
        <v>20</v>
      </c>
      <c r="Z143" s="1">
        <v>33</v>
      </c>
      <c r="AA143" s="1">
        <v>55</v>
      </c>
      <c r="AB143" s="1"/>
      <c r="AC143" s="1"/>
      <c r="AD143" s="1"/>
      <c r="AE143" s="1" t="s">
        <v>2566</v>
      </c>
      <c r="AF143" s="1" t="s">
        <v>862</v>
      </c>
      <c r="AG143" s="1">
        <v>1</v>
      </c>
      <c r="AH143" s="1">
        <v>7.58</v>
      </c>
      <c r="AI143" s="1">
        <v>5.6364999999999998</v>
      </c>
      <c r="AJ143" s="1">
        <v>7322.4000000000005</v>
      </c>
      <c r="AK143" s="1" t="s">
        <v>863</v>
      </c>
      <c r="AL143" s="1" t="s">
        <v>167</v>
      </c>
      <c r="AM143" t="s">
        <v>2716</v>
      </c>
    </row>
    <row r="144" spans="1:39" ht="19" customHeight="1">
      <c r="A144" s="4">
        <v>1492</v>
      </c>
      <c r="B144" s="4" t="s">
        <v>860</v>
      </c>
      <c r="C144" s="4">
        <v>1999</v>
      </c>
      <c r="D144" s="4" t="s">
        <v>888</v>
      </c>
      <c r="E144" s="4">
        <v>7.6</v>
      </c>
      <c r="F144" s="4">
        <v>0.7</v>
      </c>
      <c r="G144" s="4">
        <v>40.4</v>
      </c>
      <c r="H144" s="4">
        <v>11.96</v>
      </c>
      <c r="I144" s="4">
        <v>209.1</v>
      </c>
      <c r="J144" s="4">
        <v>142</v>
      </c>
      <c r="K144" s="4">
        <v>46</v>
      </c>
      <c r="L144" s="4">
        <v>1</v>
      </c>
      <c r="M144" s="4">
        <v>1</v>
      </c>
      <c r="N144" s="4" t="s">
        <v>734</v>
      </c>
      <c r="O144" s="1" t="s">
        <v>211</v>
      </c>
      <c r="P144" s="1" t="s">
        <v>2710</v>
      </c>
      <c r="Q144" s="1" t="s">
        <v>2711</v>
      </c>
      <c r="R144" s="1">
        <v>7.62</v>
      </c>
      <c r="S144" s="1" t="s">
        <v>1003</v>
      </c>
      <c r="T144" s="1">
        <v>23.85</v>
      </c>
      <c r="U144" s="1">
        <v>120.82</v>
      </c>
      <c r="V144" s="1">
        <v>8</v>
      </c>
      <c r="W144" s="1" t="s">
        <v>734</v>
      </c>
      <c r="X144" s="1" t="s">
        <v>2571</v>
      </c>
      <c r="Y144" s="1">
        <v>20</v>
      </c>
      <c r="Z144" s="1">
        <v>33</v>
      </c>
      <c r="AA144" s="1">
        <v>55</v>
      </c>
      <c r="AB144" s="1"/>
      <c r="AC144" s="1"/>
      <c r="AD144" s="1"/>
      <c r="AE144" s="1" t="s">
        <v>2566</v>
      </c>
      <c r="AF144" s="1" t="s">
        <v>862</v>
      </c>
      <c r="AG144" s="1">
        <v>1</v>
      </c>
      <c r="AH144" s="1">
        <v>7.58</v>
      </c>
      <c r="AI144" s="1">
        <v>5.6364999999999998</v>
      </c>
      <c r="AJ144" s="1">
        <v>7322.4000000000005</v>
      </c>
      <c r="AK144" s="1" t="s">
        <v>863</v>
      </c>
      <c r="AL144" s="1" t="s">
        <v>167</v>
      </c>
      <c r="AM144" t="s">
        <v>2716</v>
      </c>
    </row>
    <row r="145" spans="1:39" ht="19" customHeight="1">
      <c r="A145" s="4">
        <v>1493</v>
      </c>
      <c r="B145" s="4" t="s">
        <v>860</v>
      </c>
      <c r="C145" s="4">
        <v>1999</v>
      </c>
      <c r="D145" s="4" t="s">
        <v>889</v>
      </c>
      <c r="E145" s="4">
        <v>7.6</v>
      </c>
      <c r="F145" s="4">
        <v>6</v>
      </c>
      <c r="G145" s="4">
        <v>42</v>
      </c>
      <c r="H145" s="4">
        <v>13.12</v>
      </c>
      <c r="I145" s="4">
        <v>37.1</v>
      </c>
      <c r="J145" s="4">
        <v>83</v>
      </c>
      <c r="K145" s="4">
        <v>75</v>
      </c>
      <c r="L145" s="4">
        <v>1</v>
      </c>
      <c r="M145" s="4">
        <v>1</v>
      </c>
      <c r="N145" s="4" t="s">
        <v>734</v>
      </c>
      <c r="O145" s="1" t="s">
        <v>211</v>
      </c>
      <c r="P145" s="1" t="s">
        <v>2710</v>
      </c>
      <c r="Q145" s="1" t="s">
        <v>2711</v>
      </c>
      <c r="R145" s="1">
        <v>7.62</v>
      </c>
      <c r="S145" s="1" t="s">
        <v>1003</v>
      </c>
      <c r="T145" s="1">
        <v>23.85</v>
      </c>
      <c r="U145" s="1">
        <v>120.82</v>
      </c>
      <c r="V145" s="1">
        <v>8</v>
      </c>
      <c r="W145" s="1" t="s">
        <v>734</v>
      </c>
      <c r="X145" s="1" t="s">
        <v>2571</v>
      </c>
      <c r="Y145" s="1">
        <v>20</v>
      </c>
      <c r="Z145" s="1">
        <v>33</v>
      </c>
      <c r="AA145" s="1">
        <v>55</v>
      </c>
      <c r="AB145" s="1"/>
      <c r="AC145" s="1"/>
      <c r="AD145" s="1"/>
      <c r="AE145" s="1" t="s">
        <v>2566</v>
      </c>
      <c r="AF145" s="1" t="s">
        <v>862</v>
      </c>
      <c r="AG145" s="1">
        <v>1</v>
      </c>
      <c r="AH145" s="1">
        <v>7.58</v>
      </c>
      <c r="AI145" s="1">
        <v>5.6364999999999998</v>
      </c>
      <c r="AJ145" s="1">
        <v>7322.4000000000005</v>
      </c>
      <c r="AK145" s="1" t="s">
        <v>863</v>
      </c>
      <c r="AL145" s="1" t="s">
        <v>167</v>
      </c>
      <c r="AM145" t="s">
        <v>2716</v>
      </c>
    </row>
    <row r="146" spans="1:39" ht="19" customHeight="1">
      <c r="A146" s="4">
        <v>1496</v>
      </c>
      <c r="B146" s="4" t="s">
        <v>860</v>
      </c>
      <c r="C146" s="4">
        <v>1999</v>
      </c>
      <c r="D146" s="4" t="s">
        <v>890</v>
      </c>
      <c r="E146" s="4">
        <v>7.6</v>
      </c>
      <c r="F146" s="4">
        <v>10.5</v>
      </c>
      <c r="G146" s="4">
        <v>40.5</v>
      </c>
      <c r="H146" s="4">
        <v>8.94</v>
      </c>
      <c r="I146" s="4">
        <v>45.3</v>
      </c>
      <c r="J146" s="4">
        <v>77</v>
      </c>
      <c r="K146" s="4">
        <v>63</v>
      </c>
      <c r="L146" s="4">
        <v>0</v>
      </c>
      <c r="M146" s="4">
        <v>1</v>
      </c>
      <c r="N146" s="4" t="s">
        <v>734</v>
      </c>
      <c r="O146" s="1" t="s">
        <v>211</v>
      </c>
      <c r="P146" s="1" t="s">
        <v>2710</v>
      </c>
      <c r="Q146" s="1" t="s">
        <v>2711</v>
      </c>
      <c r="R146" s="1">
        <v>7.62</v>
      </c>
      <c r="S146" s="1" t="s">
        <v>1003</v>
      </c>
      <c r="T146" s="1">
        <v>23.85</v>
      </c>
      <c r="U146" s="1">
        <v>120.82</v>
      </c>
      <c r="V146" s="1">
        <v>8</v>
      </c>
      <c r="W146" s="1" t="s">
        <v>734</v>
      </c>
      <c r="X146" s="1" t="s">
        <v>2571</v>
      </c>
      <c r="Y146" s="1">
        <v>20</v>
      </c>
      <c r="Z146" s="1">
        <v>33</v>
      </c>
      <c r="AA146" s="1">
        <v>55</v>
      </c>
      <c r="AB146" s="1"/>
      <c r="AC146" s="1"/>
      <c r="AD146" s="1"/>
      <c r="AE146" s="1" t="s">
        <v>2566</v>
      </c>
      <c r="AF146" s="1" t="s">
        <v>862</v>
      </c>
      <c r="AG146" s="1">
        <v>1</v>
      </c>
      <c r="AH146" s="1">
        <v>7.58</v>
      </c>
      <c r="AI146" s="1">
        <v>5.6364999999999998</v>
      </c>
      <c r="AJ146" s="1">
        <v>7322.4000000000005</v>
      </c>
      <c r="AK146" s="1" t="s">
        <v>863</v>
      </c>
      <c r="AL146" s="1" t="s">
        <v>167</v>
      </c>
      <c r="AM146" t="s">
        <v>2716</v>
      </c>
    </row>
    <row r="147" spans="1:39" ht="19" customHeight="1">
      <c r="A147" s="4">
        <v>1498</v>
      </c>
      <c r="B147" s="4" t="s">
        <v>860</v>
      </c>
      <c r="C147" s="4">
        <v>1999</v>
      </c>
      <c r="D147" s="4" t="s">
        <v>891</v>
      </c>
      <c r="E147" s="4">
        <v>7.6</v>
      </c>
      <c r="F147" s="4">
        <v>17.100000000000001</v>
      </c>
      <c r="G147" s="4">
        <v>54</v>
      </c>
      <c r="H147" s="4">
        <v>7.78</v>
      </c>
      <c r="I147" s="4">
        <v>64.099999999999994</v>
      </c>
      <c r="J147" s="4">
        <v>45</v>
      </c>
      <c r="K147" s="4">
        <v>38</v>
      </c>
      <c r="L147" s="4">
        <v>0</v>
      </c>
      <c r="M147" s="4">
        <v>1</v>
      </c>
      <c r="N147" s="4" t="s">
        <v>734</v>
      </c>
      <c r="O147" s="1" t="s">
        <v>211</v>
      </c>
      <c r="P147" s="1" t="s">
        <v>2710</v>
      </c>
      <c r="Q147" s="1" t="s">
        <v>2711</v>
      </c>
      <c r="R147" s="1">
        <v>7.62</v>
      </c>
      <c r="S147" s="1" t="s">
        <v>1003</v>
      </c>
      <c r="T147" s="1">
        <v>23.85</v>
      </c>
      <c r="U147" s="1">
        <v>120.82</v>
      </c>
      <c r="V147" s="1">
        <v>8</v>
      </c>
      <c r="W147" s="1" t="s">
        <v>734</v>
      </c>
      <c r="X147" s="1" t="s">
        <v>2571</v>
      </c>
      <c r="Y147" s="1">
        <v>20</v>
      </c>
      <c r="Z147" s="1">
        <v>33</v>
      </c>
      <c r="AA147" s="1">
        <v>55</v>
      </c>
      <c r="AB147" s="1"/>
      <c r="AC147" s="1"/>
      <c r="AD147" s="1"/>
      <c r="AE147" s="1" t="s">
        <v>2566</v>
      </c>
      <c r="AF147" s="1" t="s">
        <v>862</v>
      </c>
      <c r="AG147" s="1">
        <v>1</v>
      </c>
      <c r="AH147" s="1">
        <v>7.58</v>
      </c>
      <c r="AI147" s="1">
        <v>5.6364999999999998</v>
      </c>
      <c r="AJ147" s="1">
        <v>7322.4000000000005</v>
      </c>
      <c r="AK147" s="1" t="s">
        <v>863</v>
      </c>
      <c r="AL147" s="1" t="s">
        <v>167</v>
      </c>
      <c r="AM147" t="s">
        <v>2716</v>
      </c>
    </row>
    <row r="148" spans="1:39" ht="19" customHeight="1">
      <c r="A148" s="4">
        <v>1501</v>
      </c>
      <c r="B148" s="4" t="s">
        <v>860</v>
      </c>
      <c r="C148" s="4">
        <v>1999</v>
      </c>
      <c r="D148" s="4" t="s">
        <v>892</v>
      </c>
      <c r="E148" s="4">
        <v>7.6</v>
      </c>
      <c r="F148" s="4">
        <v>9.8000000000000007</v>
      </c>
      <c r="G148" s="4">
        <v>36.4</v>
      </c>
      <c r="H148" s="4">
        <v>6.55</v>
      </c>
      <c r="I148" s="4">
        <v>78.900000000000006</v>
      </c>
      <c r="J148" s="4">
        <v>136</v>
      </c>
      <c r="K148" s="4">
        <v>43</v>
      </c>
      <c r="L148" s="4">
        <v>0</v>
      </c>
      <c r="M148" s="4">
        <v>1</v>
      </c>
      <c r="N148" s="4" t="s">
        <v>734</v>
      </c>
      <c r="O148" s="1" t="s">
        <v>211</v>
      </c>
      <c r="P148" s="1" t="s">
        <v>2710</v>
      </c>
      <c r="Q148" s="1" t="s">
        <v>2711</v>
      </c>
      <c r="R148" s="1">
        <v>7.62</v>
      </c>
      <c r="S148" s="1" t="s">
        <v>1003</v>
      </c>
      <c r="T148" s="1">
        <v>23.85</v>
      </c>
      <c r="U148" s="1">
        <v>120.82</v>
      </c>
      <c r="V148" s="1">
        <v>8</v>
      </c>
      <c r="W148" s="1" t="s">
        <v>734</v>
      </c>
      <c r="X148" s="1" t="s">
        <v>2571</v>
      </c>
      <c r="Y148" s="1">
        <v>20</v>
      </c>
      <c r="Z148" s="1">
        <v>33</v>
      </c>
      <c r="AA148" s="1">
        <v>55</v>
      </c>
      <c r="AB148" s="1"/>
      <c r="AC148" s="1"/>
      <c r="AD148" s="1"/>
      <c r="AE148" s="1" t="s">
        <v>2566</v>
      </c>
      <c r="AF148" s="1" t="s">
        <v>862</v>
      </c>
      <c r="AG148" s="1">
        <v>1</v>
      </c>
      <c r="AH148" s="1">
        <v>7.58</v>
      </c>
      <c r="AI148" s="1">
        <v>5.6364999999999998</v>
      </c>
      <c r="AJ148" s="1">
        <v>7322.4000000000005</v>
      </c>
      <c r="AK148" s="1" t="s">
        <v>863</v>
      </c>
      <c r="AL148" s="1" t="s">
        <v>167</v>
      </c>
      <c r="AM148" t="s">
        <v>2716</v>
      </c>
    </row>
    <row r="149" spans="1:39" ht="19" customHeight="1">
      <c r="A149" s="4">
        <v>1502</v>
      </c>
      <c r="B149" s="4" t="s">
        <v>860</v>
      </c>
      <c r="C149" s="4">
        <v>1999</v>
      </c>
      <c r="D149" s="4" t="s">
        <v>893</v>
      </c>
      <c r="E149" s="4">
        <v>7.6</v>
      </c>
      <c r="F149" s="4">
        <v>16.600000000000001</v>
      </c>
      <c r="G149" s="4">
        <v>59.7</v>
      </c>
      <c r="H149" s="4">
        <v>8.4600000000000009</v>
      </c>
      <c r="I149" s="4">
        <v>52.3</v>
      </c>
      <c r="J149" s="4">
        <v>34</v>
      </c>
      <c r="K149" s="4">
        <v>28</v>
      </c>
      <c r="L149" s="4">
        <v>1</v>
      </c>
      <c r="M149" s="4">
        <v>1</v>
      </c>
      <c r="N149" s="4" t="s">
        <v>734</v>
      </c>
      <c r="O149" s="1" t="s">
        <v>211</v>
      </c>
      <c r="P149" s="1" t="s">
        <v>2710</v>
      </c>
      <c r="Q149" s="1" t="s">
        <v>2711</v>
      </c>
      <c r="R149" s="1">
        <v>7.62</v>
      </c>
      <c r="S149" s="1" t="s">
        <v>1003</v>
      </c>
      <c r="T149" s="1">
        <v>23.85</v>
      </c>
      <c r="U149" s="1">
        <v>120.82</v>
      </c>
      <c r="V149" s="1">
        <v>8</v>
      </c>
      <c r="W149" s="1" t="s">
        <v>734</v>
      </c>
      <c r="X149" s="1" t="s">
        <v>2571</v>
      </c>
      <c r="Y149" s="1">
        <v>20</v>
      </c>
      <c r="Z149" s="1">
        <v>33</v>
      </c>
      <c r="AA149" s="1">
        <v>55</v>
      </c>
      <c r="AB149" s="1"/>
      <c r="AC149" s="1"/>
      <c r="AD149" s="1"/>
      <c r="AE149" s="1" t="s">
        <v>2566</v>
      </c>
      <c r="AF149" s="1" t="s">
        <v>862</v>
      </c>
      <c r="AG149" s="1">
        <v>1</v>
      </c>
      <c r="AH149" s="1">
        <v>7.58</v>
      </c>
      <c r="AI149" s="1">
        <v>5.6364999999999998</v>
      </c>
      <c r="AJ149" s="1">
        <v>7322.4000000000005</v>
      </c>
      <c r="AK149" s="1" t="s">
        <v>863</v>
      </c>
      <c r="AL149" s="1" t="s">
        <v>167</v>
      </c>
      <c r="AM149" t="s">
        <v>2716</v>
      </c>
    </row>
    <row r="150" spans="1:39" ht="19" customHeight="1">
      <c r="A150" s="4">
        <v>1503</v>
      </c>
      <c r="B150" s="4" t="s">
        <v>860</v>
      </c>
      <c r="C150" s="4">
        <v>1999</v>
      </c>
      <c r="D150" s="4" t="s">
        <v>894</v>
      </c>
      <c r="E150" s="4">
        <v>7.6</v>
      </c>
      <c r="F150" s="4">
        <v>0.6</v>
      </c>
      <c r="G150" s="4">
        <v>27.9</v>
      </c>
      <c r="H150" s="4">
        <v>5.74</v>
      </c>
      <c r="I150" s="4">
        <v>136.5</v>
      </c>
      <c r="J150" s="4">
        <v>113</v>
      </c>
      <c r="K150" s="4">
        <v>66</v>
      </c>
      <c r="L150" s="4">
        <v>1</v>
      </c>
      <c r="M150" s="4">
        <v>1</v>
      </c>
      <c r="N150" s="4" t="s">
        <v>734</v>
      </c>
      <c r="O150" s="1" t="s">
        <v>211</v>
      </c>
      <c r="P150" s="1" t="s">
        <v>2710</v>
      </c>
      <c r="Q150" s="1" t="s">
        <v>2711</v>
      </c>
      <c r="R150" s="1">
        <v>7.62</v>
      </c>
      <c r="S150" s="1" t="s">
        <v>1003</v>
      </c>
      <c r="T150" s="1">
        <v>23.85</v>
      </c>
      <c r="U150" s="1">
        <v>120.82</v>
      </c>
      <c r="V150" s="1">
        <v>8</v>
      </c>
      <c r="W150" s="1" t="s">
        <v>734</v>
      </c>
      <c r="X150" s="1" t="s">
        <v>2571</v>
      </c>
      <c r="Y150" s="1">
        <v>20</v>
      </c>
      <c r="Z150" s="1">
        <v>33</v>
      </c>
      <c r="AA150" s="1">
        <v>55</v>
      </c>
      <c r="AB150" s="1"/>
      <c r="AC150" s="1"/>
      <c r="AD150" s="1"/>
      <c r="AE150" s="1" t="s">
        <v>2566</v>
      </c>
      <c r="AF150" s="1" t="s">
        <v>862</v>
      </c>
      <c r="AG150" s="1">
        <v>1</v>
      </c>
      <c r="AH150" s="1">
        <v>7.58</v>
      </c>
      <c r="AI150" s="1">
        <v>5.6364999999999998</v>
      </c>
      <c r="AJ150" s="1">
        <v>7322.4000000000005</v>
      </c>
      <c r="AK150" s="1" t="s">
        <v>863</v>
      </c>
      <c r="AL150" s="1" t="s">
        <v>167</v>
      </c>
      <c r="AM150" t="s">
        <v>2716</v>
      </c>
    </row>
    <row r="151" spans="1:39" ht="19" customHeight="1">
      <c r="A151" s="4">
        <v>1505</v>
      </c>
      <c r="B151" s="4" t="s">
        <v>860</v>
      </c>
      <c r="C151" s="4">
        <v>1999</v>
      </c>
      <c r="D151" s="4" t="s">
        <v>895</v>
      </c>
      <c r="E151" s="4">
        <v>7.6</v>
      </c>
      <c r="F151" s="4">
        <v>0.3</v>
      </c>
      <c r="G151" s="4">
        <v>48.5</v>
      </c>
      <c r="H151" s="4">
        <v>12.29</v>
      </c>
      <c r="I151" s="4">
        <v>342.1</v>
      </c>
      <c r="J151" s="4">
        <v>144</v>
      </c>
      <c r="K151" s="4">
        <v>45</v>
      </c>
      <c r="L151" s="4">
        <v>1</v>
      </c>
      <c r="M151" s="4">
        <v>1</v>
      </c>
      <c r="N151" s="4" t="s">
        <v>734</v>
      </c>
      <c r="O151" s="1" t="s">
        <v>211</v>
      </c>
      <c r="P151" s="1" t="s">
        <v>2710</v>
      </c>
      <c r="Q151" s="1" t="s">
        <v>2711</v>
      </c>
      <c r="R151" s="1">
        <v>7.62</v>
      </c>
      <c r="S151" s="1" t="s">
        <v>1003</v>
      </c>
      <c r="T151" s="1">
        <v>23.85</v>
      </c>
      <c r="U151" s="1">
        <v>120.82</v>
      </c>
      <c r="V151" s="1">
        <v>8</v>
      </c>
      <c r="W151" s="1" t="s">
        <v>734</v>
      </c>
      <c r="X151" s="1" t="s">
        <v>2571</v>
      </c>
      <c r="Y151" s="1">
        <v>20</v>
      </c>
      <c r="Z151" s="1">
        <v>33</v>
      </c>
      <c r="AA151" s="1">
        <v>55</v>
      </c>
      <c r="AB151" s="1"/>
      <c r="AC151" s="1"/>
      <c r="AD151" s="1"/>
      <c r="AE151" s="1" t="s">
        <v>2566</v>
      </c>
      <c r="AF151" s="1" t="s">
        <v>862</v>
      </c>
      <c r="AG151" s="1">
        <v>1</v>
      </c>
      <c r="AH151" s="1">
        <v>7.58</v>
      </c>
      <c r="AI151" s="1">
        <v>5.6364999999999998</v>
      </c>
      <c r="AJ151" s="1">
        <v>7322.4000000000005</v>
      </c>
      <c r="AK151" s="1" t="s">
        <v>863</v>
      </c>
      <c r="AL151" s="1" t="s">
        <v>167</v>
      </c>
      <c r="AM151" t="s">
        <v>2716</v>
      </c>
    </row>
    <row r="152" spans="1:39" ht="19" customHeight="1">
      <c r="A152" s="4">
        <v>1510</v>
      </c>
      <c r="B152" s="4" t="s">
        <v>860</v>
      </c>
      <c r="C152" s="4">
        <v>1999</v>
      </c>
      <c r="D152" s="4" t="s">
        <v>896</v>
      </c>
      <c r="E152" s="4">
        <v>7.6</v>
      </c>
      <c r="F152" s="4">
        <v>0.9</v>
      </c>
      <c r="G152" s="4">
        <v>22.2</v>
      </c>
      <c r="H152" s="4">
        <v>5</v>
      </c>
      <c r="I152" s="4">
        <v>104.9</v>
      </c>
      <c r="J152" s="4">
        <v>109</v>
      </c>
      <c r="K152" s="4">
        <v>69</v>
      </c>
      <c r="L152" s="4">
        <v>1</v>
      </c>
      <c r="M152" s="4">
        <v>1</v>
      </c>
      <c r="N152" s="4" t="s">
        <v>734</v>
      </c>
      <c r="O152" s="1" t="s">
        <v>211</v>
      </c>
      <c r="P152" s="1" t="s">
        <v>2710</v>
      </c>
      <c r="Q152" s="1" t="s">
        <v>2711</v>
      </c>
      <c r="R152" s="1">
        <v>7.62</v>
      </c>
      <c r="S152" s="1" t="s">
        <v>1003</v>
      </c>
      <c r="T152" s="1">
        <v>23.85</v>
      </c>
      <c r="U152" s="1">
        <v>120.82</v>
      </c>
      <c r="V152" s="1">
        <v>8</v>
      </c>
      <c r="W152" s="1" t="s">
        <v>734</v>
      </c>
      <c r="X152" s="1" t="s">
        <v>2571</v>
      </c>
      <c r="Y152" s="1">
        <v>20</v>
      </c>
      <c r="Z152" s="1">
        <v>33</v>
      </c>
      <c r="AA152" s="1">
        <v>55</v>
      </c>
      <c r="AB152" s="1"/>
      <c r="AC152" s="1"/>
      <c r="AD152" s="1"/>
      <c r="AE152" s="1" t="s">
        <v>2566</v>
      </c>
      <c r="AF152" s="1" t="s">
        <v>862</v>
      </c>
      <c r="AG152" s="1">
        <v>1</v>
      </c>
      <c r="AH152" s="1">
        <v>7.58</v>
      </c>
      <c r="AI152" s="1">
        <v>5.6364999999999998</v>
      </c>
      <c r="AJ152" s="1">
        <v>7322.4000000000005</v>
      </c>
      <c r="AK152" s="1" t="s">
        <v>863</v>
      </c>
      <c r="AL152" s="1" t="s">
        <v>167</v>
      </c>
      <c r="AM152" t="s">
        <v>2716</v>
      </c>
    </row>
    <row r="153" spans="1:39" ht="19" customHeight="1">
      <c r="A153" s="4">
        <v>1511</v>
      </c>
      <c r="B153" s="4" t="s">
        <v>860</v>
      </c>
      <c r="C153" s="4">
        <v>1999</v>
      </c>
      <c r="D153" s="4" t="s">
        <v>897</v>
      </c>
      <c r="E153" s="4">
        <v>7.6</v>
      </c>
      <c r="F153" s="4">
        <v>2.7</v>
      </c>
      <c r="G153" s="4">
        <v>17.899999999999999</v>
      </c>
      <c r="H153" s="4">
        <v>4.7300000000000004</v>
      </c>
      <c r="I153" s="4">
        <v>71.2</v>
      </c>
      <c r="J153" s="4">
        <v>125</v>
      </c>
      <c r="K153" s="4">
        <v>56</v>
      </c>
      <c r="L153" s="4">
        <v>1</v>
      </c>
      <c r="M153" s="4">
        <v>1</v>
      </c>
      <c r="N153" s="4" t="s">
        <v>734</v>
      </c>
      <c r="O153" s="1" t="s">
        <v>211</v>
      </c>
      <c r="P153" s="1" t="s">
        <v>2710</v>
      </c>
      <c r="Q153" s="1" t="s">
        <v>2711</v>
      </c>
      <c r="R153" s="1">
        <v>7.62</v>
      </c>
      <c r="S153" s="1" t="s">
        <v>1003</v>
      </c>
      <c r="T153" s="1">
        <v>23.85</v>
      </c>
      <c r="U153" s="1">
        <v>120.82</v>
      </c>
      <c r="V153" s="1">
        <v>8</v>
      </c>
      <c r="W153" s="1" t="s">
        <v>734</v>
      </c>
      <c r="X153" s="1" t="s">
        <v>2571</v>
      </c>
      <c r="Y153" s="1">
        <v>20</v>
      </c>
      <c r="Z153" s="1">
        <v>33</v>
      </c>
      <c r="AA153" s="1">
        <v>55</v>
      </c>
      <c r="AB153" s="1"/>
      <c r="AC153" s="1"/>
      <c r="AD153" s="1"/>
      <c r="AE153" s="1" t="s">
        <v>2566</v>
      </c>
      <c r="AF153" s="1" t="s">
        <v>862</v>
      </c>
      <c r="AG153" s="1">
        <v>1</v>
      </c>
      <c r="AH153" s="1">
        <v>7.58</v>
      </c>
      <c r="AI153" s="1">
        <v>5.6364999999999998</v>
      </c>
      <c r="AJ153" s="1">
        <v>7322.4000000000005</v>
      </c>
      <c r="AK153" s="1" t="s">
        <v>863</v>
      </c>
      <c r="AL153" s="1" t="s">
        <v>167</v>
      </c>
      <c r="AM153" t="s">
        <v>2716</v>
      </c>
    </row>
    <row r="154" spans="1:39" ht="19" customHeight="1">
      <c r="A154" s="4">
        <v>1514</v>
      </c>
      <c r="B154" s="4" t="s">
        <v>860</v>
      </c>
      <c r="C154" s="4">
        <v>1999</v>
      </c>
      <c r="D154" s="4" t="s">
        <v>898</v>
      </c>
      <c r="E154" s="4">
        <v>7.6</v>
      </c>
      <c r="F154" s="4">
        <v>55.5</v>
      </c>
      <c r="G154" s="4">
        <v>107.3</v>
      </c>
      <c r="H154" s="4">
        <v>9.3800000000000008</v>
      </c>
      <c r="I154" s="4">
        <v>42.5</v>
      </c>
      <c r="J154" s="4">
        <v>65</v>
      </c>
      <c r="K154" s="4">
        <v>29</v>
      </c>
      <c r="L154" s="4">
        <v>0</v>
      </c>
      <c r="M154" s="4">
        <v>0</v>
      </c>
      <c r="N154" s="4" t="s">
        <v>734</v>
      </c>
      <c r="O154" s="1" t="s">
        <v>211</v>
      </c>
      <c r="P154" s="1" t="s">
        <v>2710</v>
      </c>
      <c r="Q154" s="1" t="s">
        <v>2711</v>
      </c>
      <c r="R154" s="1">
        <v>7.62</v>
      </c>
      <c r="S154" s="1" t="s">
        <v>1003</v>
      </c>
      <c r="T154" s="1">
        <v>23.85</v>
      </c>
      <c r="U154" s="1">
        <v>120.82</v>
      </c>
      <c r="V154" s="1">
        <v>8</v>
      </c>
      <c r="W154" s="1" t="s">
        <v>734</v>
      </c>
      <c r="X154" s="1" t="s">
        <v>2571</v>
      </c>
      <c r="Y154" s="1">
        <v>20</v>
      </c>
      <c r="Z154" s="1">
        <v>33</v>
      </c>
      <c r="AA154" s="1">
        <v>55</v>
      </c>
      <c r="AB154" s="1"/>
      <c r="AC154" s="1"/>
      <c r="AD154" s="1"/>
      <c r="AE154" s="1" t="s">
        <v>2566</v>
      </c>
      <c r="AF154" s="1" t="s">
        <v>862</v>
      </c>
      <c r="AG154" s="1">
        <v>1</v>
      </c>
      <c r="AH154" s="1">
        <v>7.58</v>
      </c>
      <c r="AI154" s="1">
        <v>5.6364999999999998</v>
      </c>
      <c r="AJ154" s="1">
        <v>7322.4000000000005</v>
      </c>
      <c r="AK154" s="1" t="s">
        <v>863</v>
      </c>
      <c r="AL154" s="1" t="s">
        <v>167</v>
      </c>
      <c r="AM154" t="s">
        <v>2716</v>
      </c>
    </row>
    <row r="155" spans="1:39" ht="19" customHeight="1">
      <c r="A155" s="4">
        <v>1515</v>
      </c>
      <c r="B155" s="4" t="s">
        <v>860</v>
      </c>
      <c r="C155" s="4">
        <v>1999</v>
      </c>
      <c r="D155" s="4" t="s">
        <v>899</v>
      </c>
      <c r="E155" s="4">
        <v>7.6</v>
      </c>
      <c r="F155" s="4">
        <v>5.2</v>
      </c>
      <c r="G155" s="4">
        <v>37.1</v>
      </c>
      <c r="H155" s="4">
        <v>8.1</v>
      </c>
      <c r="I155" s="4">
        <v>56.2</v>
      </c>
      <c r="J155" s="4">
        <v>85</v>
      </c>
      <c r="K155" s="4">
        <v>69</v>
      </c>
      <c r="L155" s="4">
        <v>0</v>
      </c>
      <c r="M155" s="4">
        <v>1</v>
      </c>
      <c r="N155" s="4" t="s">
        <v>734</v>
      </c>
      <c r="O155" s="1" t="s">
        <v>211</v>
      </c>
      <c r="P155" s="1" t="s">
        <v>2710</v>
      </c>
      <c r="Q155" s="1" t="s">
        <v>2711</v>
      </c>
      <c r="R155" s="1">
        <v>7.62</v>
      </c>
      <c r="S155" s="1" t="s">
        <v>1003</v>
      </c>
      <c r="T155" s="1">
        <v>23.85</v>
      </c>
      <c r="U155" s="1">
        <v>120.82</v>
      </c>
      <c r="V155" s="1">
        <v>8</v>
      </c>
      <c r="W155" s="1" t="s">
        <v>734</v>
      </c>
      <c r="X155" s="1" t="s">
        <v>2571</v>
      </c>
      <c r="Y155" s="1">
        <v>20</v>
      </c>
      <c r="Z155" s="1">
        <v>33</v>
      </c>
      <c r="AA155" s="1">
        <v>55</v>
      </c>
      <c r="AB155" s="1"/>
      <c r="AC155" s="1"/>
      <c r="AD155" s="1"/>
      <c r="AE155" s="1" t="s">
        <v>2566</v>
      </c>
      <c r="AF155" s="1" t="s">
        <v>862</v>
      </c>
      <c r="AG155" s="1">
        <v>1</v>
      </c>
      <c r="AH155" s="1">
        <v>7.58</v>
      </c>
      <c r="AI155" s="1">
        <v>5.6364999999999998</v>
      </c>
      <c r="AJ155" s="1">
        <v>7322.4000000000005</v>
      </c>
      <c r="AK155" s="1" t="s">
        <v>863</v>
      </c>
      <c r="AL155" s="1" t="s">
        <v>167</v>
      </c>
      <c r="AM155" t="s">
        <v>2716</v>
      </c>
    </row>
    <row r="156" spans="1:39" ht="19" customHeight="1">
      <c r="A156" s="4">
        <v>1519</v>
      </c>
      <c r="B156" s="4" t="s">
        <v>860</v>
      </c>
      <c r="C156" s="4">
        <v>1999</v>
      </c>
      <c r="D156" s="4" t="s">
        <v>900</v>
      </c>
      <c r="E156" s="4">
        <v>7.6</v>
      </c>
      <c r="F156" s="4">
        <v>7</v>
      </c>
      <c r="G156" s="4">
        <v>56.2</v>
      </c>
      <c r="H156" s="4">
        <v>10.4</v>
      </c>
      <c r="I156" s="4">
        <v>45.5</v>
      </c>
      <c r="J156" s="4">
        <v>91</v>
      </c>
      <c r="K156" s="4">
        <v>55</v>
      </c>
      <c r="L156" s="4">
        <v>1</v>
      </c>
      <c r="M156" s="4">
        <v>1</v>
      </c>
      <c r="N156" s="4" t="s">
        <v>734</v>
      </c>
      <c r="O156" s="1" t="s">
        <v>211</v>
      </c>
      <c r="P156" s="1" t="s">
        <v>2710</v>
      </c>
      <c r="Q156" s="1" t="s">
        <v>2711</v>
      </c>
      <c r="R156" s="1">
        <v>7.62</v>
      </c>
      <c r="S156" s="1" t="s">
        <v>1003</v>
      </c>
      <c r="T156" s="1">
        <v>23.85</v>
      </c>
      <c r="U156" s="1">
        <v>120.82</v>
      </c>
      <c r="V156" s="1">
        <v>8</v>
      </c>
      <c r="W156" s="1" t="s">
        <v>734</v>
      </c>
      <c r="X156" s="1" t="s">
        <v>2571</v>
      </c>
      <c r="Y156" s="1">
        <v>20</v>
      </c>
      <c r="Z156" s="1">
        <v>33</v>
      </c>
      <c r="AA156" s="1">
        <v>55</v>
      </c>
      <c r="AB156" s="1"/>
      <c r="AC156" s="1"/>
      <c r="AD156" s="1"/>
      <c r="AE156" s="1" t="s">
        <v>2566</v>
      </c>
      <c r="AF156" s="1" t="s">
        <v>862</v>
      </c>
      <c r="AG156" s="1">
        <v>1</v>
      </c>
      <c r="AH156" s="1">
        <v>7.58</v>
      </c>
      <c r="AI156" s="1">
        <v>5.6364999999999998</v>
      </c>
      <c r="AJ156" s="1">
        <v>7322.4000000000005</v>
      </c>
      <c r="AK156" s="1" t="s">
        <v>863</v>
      </c>
      <c r="AL156" s="1" t="s">
        <v>167</v>
      </c>
      <c r="AM156" t="s">
        <v>2716</v>
      </c>
    </row>
    <row r="157" spans="1:39" ht="19" customHeight="1">
      <c r="A157" s="4">
        <v>1520</v>
      </c>
      <c r="B157" s="4" t="s">
        <v>860</v>
      </c>
      <c r="C157" s="4">
        <v>1999</v>
      </c>
      <c r="D157" s="4" t="s">
        <v>901</v>
      </c>
      <c r="E157" s="4">
        <v>7.6</v>
      </c>
      <c r="F157" s="4">
        <v>18.2</v>
      </c>
      <c r="G157" s="4">
        <v>58.2</v>
      </c>
      <c r="H157" s="4">
        <v>11.14</v>
      </c>
      <c r="I157" s="4">
        <v>35.5</v>
      </c>
      <c r="J157" s="4">
        <v>5</v>
      </c>
      <c r="K157" s="4">
        <v>31</v>
      </c>
      <c r="L157" s="4">
        <v>0</v>
      </c>
      <c r="M157" s="4">
        <v>0</v>
      </c>
      <c r="N157" s="4" t="s">
        <v>734</v>
      </c>
      <c r="O157" s="1" t="s">
        <v>211</v>
      </c>
      <c r="P157" s="1" t="s">
        <v>2710</v>
      </c>
      <c r="Q157" s="1" t="s">
        <v>2711</v>
      </c>
      <c r="R157" s="1">
        <v>7.62</v>
      </c>
      <c r="S157" s="1" t="s">
        <v>1003</v>
      </c>
      <c r="T157" s="1">
        <v>23.85</v>
      </c>
      <c r="U157" s="1">
        <v>120.82</v>
      </c>
      <c r="V157" s="1">
        <v>8</v>
      </c>
      <c r="W157" s="1" t="s">
        <v>734</v>
      </c>
      <c r="X157" s="1" t="s">
        <v>2571</v>
      </c>
      <c r="Y157" s="1">
        <v>20</v>
      </c>
      <c r="Z157" s="1">
        <v>33</v>
      </c>
      <c r="AA157" s="1">
        <v>55</v>
      </c>
      <c r="AB157" s="1"/>
      <c r="AC157" s="1"/>
      <c r="AD157" s="1"/>
      <c r="AE157" s="1" t="s">
        <v>2566</v>
      </c>
      <c r="AF157" s="1" t="s">
        <v>862</v>
      </c>
      <c r="AG157" s="1">
        <v>1</v>
      </c>
      <c r="AH157" s="1">
        <v>7.58</v>
      </c>
      <c r="AI157" s="1">
        <v>5.6364999999999998</v>
      </c>
      <c r="AJ157" s="1">
        <v>7322.4000000000005</v>
      </c>
      <c r="AK157" s="1" t="s">
        <v>863</v>
      </c>
      <c r="AL157" s="1" t="s">
        <v>167</v>
      </c>
      <c r="AM157" t="s">
        <v>2716</v>
      </c>
    </row>
    <row r="158" spans="1:39" ht="19" customHeight="1">
      <c r="A158" s="4">
        <v>1523</v>
      </c>
      <c r="B158" s="4" t="s">
        <v>860</v>
      </c>
      <c r="C158" s="4">
        <v>1999</v>
      </c>
      <c r="D158" s="4" t="s">
        <v>902</v>
      </c>
      <c r="E158" s="4">
        <v>7.6</v>
      </c>
      <c r="F158" s="4">
        <v>54.5</v>
      </c>
      <c r="G158" s="4">
        <v>105.2</v>
      </c>
      <c r="H158" s="4">
        <v>8.3000000000000007</v>
      </c>
      <c r="I158" s="4">
        <v>39.6</v>
      </c>
      <c r="J158" s="4">
        <v>66</v>
      </c>
      <c r="K158" s="4">
        <v>30</v>
      </c>
      <c r="L158" s="4">
        <v>0</v>
      </c>
      <c r="M158" s="4">
        <v>0</v>
      </c>
      <c r="N158" s="4" t="s">
        <v>734</v>
      </c>
      <c r="O158" s="1" t="s">
        <v>211</v>
      </c>
      <c r="P158" s="1" t="s">
        <v>2710</v>
      </c>
      <c r="Q158" s="1" t="s">
        <v>2711</v>
      </c>
      <c r="R158" s="1">
        <v>7.62</v>
      </c>
      <c r="S158" s="1" t="s">
        <v>1003</v>
      </c>
      <c r="T158" s="1">
        <v>23.85</v>
      </c>
      <c r="U158" s="1">
        <v>120.82</v>
      </c>
      <c r="V158" s="1">
        <v>8</v>
      </c>
      <c r="W158" s="1" t="s">
        <v>734</v>
      </c>
      <c r="X158" s="1" t="s">
        <v>2571</v>
      </c>
      <c r="Y158" s="1">
        <v>20</v>
      </c>
      <c r="Z158" s="1">
        <v>33</v>
      </c>
      <c r="AA158" s="1">
        <v>55</v>
      </c>
      <c r="AB158" s="1"/>
      <c r="AC158" s="1"/>
      <c r="AD158" s="1"/>
      <c r="AE158" s="1" t="s">
        <v>2566</v>
      </c>
      <c r="AF158" s="1" t="s">
        <v>862</v>
      </c>
      <c r="AG158" s="1">
        <v>1</v>
      </c>
      <c r="AH158" s="1">
        <v>7.58</v>
      </c>
      <c r="AI158" s="1">
        <v>5.6364999999999998</v>
      </c>
      <c r="AJ158" s="1">
        <v>7322.4000000000005</v>
      </c>
      <c r="AK158" s="1" t="s">
        <v>863</v>
      </c>
      <c r="AL158" s="1" t="s">
        <v>167</v>
      </c>
      <c r="AM158" t="s">
        <v>2716</v>
      </c>
    </row>
    <row r="159" spans="1:39" ht="19" customHeight="1">
      <c r="A159" s="4">
        <v>1524</v>
      </c>
      <c r="B159" s="4" t="s">
        <v>860</v>
      </c>
      <c r="C159" s="4">
        <v>1999</v>
      </c>
      <c r="D159" s="4" t="s">
        <v>903</v>
      </c>
      <c r="E159" s="4">
        <v>7.6</v>
      </c>
      <c r="F159" s="4">
        <v>45.2</v>
      </c>
      <c r="G159" s="4">
        <v>96</v>
      </c>
      <c r="H159" s="4">
        <v>7.67</v>
      </c>
      <c r="I159" s="4">
        <v>42.8</v>
      </c>
      <c r="J159" s="4">
        <v>63</v>
      </c>
      <c r="K159" s="4">
        <v>26</v>
      </c>
      <c r="L159" s="4">
        <v>0</v>
      </c>
      <c r="M159" s="4">
        <v>0</v>
      </c>
      <c r="N159" s="4" t="s">
        <v>734</v>
      </c>
      <c r="O159" s="1" t="s">
        <v>211</v>
      </c>
      <c r="P159" s="1" t="s">
        <v>2710</v>
      </c>
      <c r="Q159" s="1" t="s">
        <v>2711</v>
      </c>
      <c r="R159" s="1">
        <v>7.62</v>
      </c>
      <c r="S159" s="1" t="s">
        <v>1003</v>
      </c>
      <c r="T159" s="1">
        <v>23.85</v>
      </c>
      <c r="U159" s="1">
        <v>120.82</v>
      </c>
      <c r="V159" s="1">
        <v>8</v>
      </c>
      <c r="W159" s="1" t="s">
        <v>734</v>
      </c>
      <c r="X159" s="1" t="s">
        <v>2571</v>
      </c>
      <c r="Y159" s="1">
        <v>20</v>
      </c>
      <c r="Z159" s="1">
        <v>33</v>
      </c>
      <c r="AA159" s="1">
        <v>55</v>
      </c>
      <c r="AB159" s="1"/>
      <c r="AC159" s="1"/>
      <c r="AD159" s="1"/>
      <c r="AE159" s="1" t="s">
        <v>2566</v>
      </c>
      <c r="AF159" s="1" t="s">
        <v>862</v>
      </c>
      <c r="AG159" s="1">
        <v>1</v>
      </c>
      <c r="AH159" s="1">
        <v>7.58</v>
      </c>
      <c r="AI159" s="1">
        <v>5.6364999999999998</v>
      </c>
      <c r="AJ159" s="1">
        <v>7322.4000000000005</v>
      </c>
      <c r="AK159" s="1" t="s">
        <v>863</v>
      </c>
      <c r="AL159" s="1" t="s">
        <v>167</v>
      </c>
      <c r="AM159" t="s">
        <v>2716</v>
      </c>
    </row>
    <row r="160" spans="1:39" ht="19" customHeight="1">
      <c r="A160" s="4">
        <v>1525</v>
      </c>
      <c r="B160" s="4" t="s">
        <v>860</v>
      </c>
      <c r="C160" s="4">
        <v>1999</v>
      </c>
      <c r="D160" s="4" t="s">
        <v>904</v>
      </c>
      <c r="E160" s="4">
        <v>7.6</v>
      </c>
      <c r="F160" s="4">
        <v>54.5</v>
      </c>
      <c r="G160" s="4">
        <v>106.4</v>
      </c>
      <c r="H160" s="4">
        <v>9.4600000000000009</v>
      </c>
      <c r="I160" s="4">
        <v>40.700000000000003</v>
      </c>
      <c r="J160" s="4">
        <v>60</v>
      </c>
      <c r="K160" s="4">
        <v>24</v>
      </c>
      <c r="L160" s="4">
        <v>0</v>
      </c>
      <c r="M160" s="4">
        <v>0</v>
      </c>
      <c r="N160" s="4" t="s">
        <v>734</v>
      </c>
      <c r="O160" s="1" t="s">
        <v>211</v>
      </c>
      <c r="P160" s="1" t="s">
        <v>2710</v>
      </c>
      <c r="Q160" s="1" t="s">
        <v>2711</v>
      </c>
      <c r="R160" s="1">
        <v>7.62</v>
      </c>
      <c r="S160" s="1" t="s">
        <v>1003</v>
      </c>
      <c r="T160" s="1">
        <v>23.85</v>
      </c>
      <c r="U160" s="1">
        <v>120.82</v>
      </c>
      <c r="V160" s="1">
        <v>8</v>
      </c>
      <c r="W160" s="1" t="s">
        <v>734</v>
      </c>
      <c r="X160" s="1" t="s">
        <v>2571</v>
      </c>
      <c r="Y160" s="1">
        <v>20</v>
      </c>
      <c r="Z160" s="1">
        <v>33</v>
      </c>
      <c r="AA160" s="1">
        <v>55</v>
      </c>
      <c r="AB160" s="1"/>
      <c r="AC160" s="1"/>
      <c r="AD160" s="1"/>
      <c r="AE160" s="1" t="s">
        <v>2566</v>
      </c>
      <c r="AF160" s="1" t="s">
        <v>862</v>
      </c>
      <c r="AG160" s="1">
        <v>1</v>
      </c>
      <c r="AH160" s="1">
        <v>7.58</v>
      </c>
      <c r="AI160" s="1">
        <v>5.6364999999999998</v>
      </c>
      <c r="AJ160" s="1">
        <v>7322.4000000000005</v>
      </c>
      <c r="AK160" s="1" t="s">
        <v>863</v>
      </c>
      <c r="AL160" s="1" t="s">
        <v>167</v>
      </c>
      <c r="AM160" t="s">
        <v>2716</v>
      </c>
    </row>
    <row r="161" spans="1:39" ht="19" customHeight="1">
      <c r="A161" s="4">
        <v>1526</v>
      </c>
      <c r="B161" s="4" t="s">
        <v>860</v>
      </c>
      <c r="C161" s="4">
        <v>1999</v>
      </c>
      <c r="D161" s="4" t="s">
        <v>905</v>
      </c>
      <c r="E161" s="4">
        <v>7.6</v>
      </c>
      <c r="F161" s="4">
        <v>47.7</v>
      </c>
      <c r="G161" s="4">
        <v>100.1</v>
      </c>
      <c r="H161" s="4">
        <v>9.2799999999999994</v>
      </c>
      <c r="I161" s="4">
        <v>46.8</v>
      </c>
      <c r="J161" s="4">
        <v>63</v>
      </c>
      <c r="K161" s="4">
        <v>27</v>
      </c>
      <c r="L161" s="4">
        <v>0</v>
      </c>
      <c r="M161" s="4">
        <v>0</v>
      </c>
      <c r="N161" s="4" t="s">
        <v>734</v>
      </c>
      <c r="O161" s="1" t="s">
        <v>211</v>
      </c>
      <c r="P161" s="1" t="s">
        <v>2710</v>
      </c>
      <c r="Q161" s="1" t="s">
        <v>2711</v>
      </c>
      <c r="R161" s="1">
        <v>7.62</v>
      </c>
      <c r="S161" s="1" t="s">
        <v>1003</v>
      </c>
      <c r="T161" s="1">
        <v>23.85</v>
      </c>
      <c r="U161" s="1">
        <v>120.82</v>
      </c>
      <c r="V161" s="1">
        <v>8</v>
      </c>
      <c r="W161" s="1" t="s">
        <v>734</v>
      </c>
      <c r="X161" s="1" t="s">
        <v>2571</v>
      </c>
      <c r="Y161" s="1">
        <v>20</v>
      </c>
      <c r="Z161" s="1">
        <v>33</v>
      </c>
      <c r="AA161" s="1">
        <v>55</v>
      </c>
      <c r="AB161" s="1"/>
      <c r="AC161" s="1"/>
      <c r="AD161" s="1"/>
      <c r="AE161" s="1" t="s">
        <v>2566</v>
      </c>
      <c r="AF161" s="1" t="s">
        <v>862</v>
      </c>
      <c r="AG161" s="1">
        <v>1</v>
      </c>
      <c r="AH161" s="1">
        <v>7.58</v>
      </c>
      <c r="AI161" s="1">
        <v>5.6364999999999998</v>
      </c>
      <c r="AJ161" s="1">
        <v>7322.4000000000005</v>
      </c>
      <c r="AK161" s="1" t="s">
        <v>863</v>
      </c>
      <c r="AL161" s="1" t="s">
        <v>167</v>
      </c>
      <c r="AM161" t="s">
        <v>2716</v>
      </c>
    </row>
    <row r="162" spans="1:39" ht="19" customHeight="1">
      <c r="A162" s="4">
        <v>1528</v>
      </c>
      <c r="B162" s="4" t="s">
        <v>860</v>
      </c>
      <c r="C162" s="4">
        <v>1999</v>
      </c>
      <c r="D162" s="4" t="s">
        <v>906</v>
      </c>
      <c r="E162" s="4">
        <v>7.6</v>
      </c>
      <c r="F162" s="4">
        <v>2.1</v>
      </c>
      <c r="G162" s="4">
        <v>45.8</v>
      </c>
      <c r="H162" s="4">
        <v>10.32</v>
      </c>
      <c r="I162" s="4">
        <v>76.7</v>
      </c>
      <c r="J162" s="4">
        <v>70</v>
      </c>
      <c r="K162" s="4">
        <v>62</v>
      </c>
      <c r="L162" s="4">
        <v>1</v>
      </c>
      <c r="M162" s="4">
        <v>1</v>
      </c>
      <c r="N162" s="4" t="s">
        <v>734</v>
      </c>
      <c r="O162" s="1" t="s">
        <v>211</v>
      </c>
      <c r="P162" s="1" t="s">
        <v>2710</v>
      </c>
      <c r="Q162" s="1" t="s">
        <v>2711</v>
      </c>
      <c r="R162" s="1">
        <v>7.62</v>
      </c>
      <c r="S162" s="1" t="s">
        <v>1003</v>
      </c>
      <c r="T162" s="1">
        <v>23.85</v>
      </c>
      <c r="U162" s="1">
        <v>120.82</v>
      </c>
      <c r="V162" s="1">
        <v>8</v>
      </c>
      <c r="W162" s="1" t="s">
        <v>734</v>
      </c>
      <c r="X162" s="1" t="s">
        <v>2571</v>
      </c>
      <c r="Y162" s="1">
        <v>20</v>
      </c>
      <c r="Z162" s="1">
        <v>33</v>
      </c>
      <c r="AA162" s="1">
        <v>55</v>
      </c>
      <c r="AB162" s="1"/>
      <c r="AC162" s="1"/>
      <c r="AD162" s="1"/>
      <c r="AE162" s="1" t="s">
        <v>2566</v>
      </c>
      <c r="AF162" s="1" t="s">
        <v>862</v>
      </c>
      <c r="AG162" s="1">
        <v>1</v>
      </c>
      <c r="AH162" s="1">
        <v>7.58</v>
      </c>
      <c r="AI162" s="1">
        <v>5.6364999999999998</v>
      </c>
      <c r="AJ162" s="1">
        <v>7322.4000000000005</v>
      </c>
      <c r="AK162" s="1" t="s">
        <v>863</v>
      </c>
      <c r="AL162" s="1" t="s">
        <v>167</v>
      </c>
      <c r="AM162" t="s">
        <v>2716</v>
      </c>
    </row>
    <row r="163" spans="1:39" ht="19" customHeight="1">
      <c r="A163" s="4">
        <v>1529</v>
      </c>
      <c r="B163" s="4" t="s">
        <v>860</v>
      </c>
      <c r="C163" s="4">
        <v>1999</v>
      </c>
      <c r="D163" s="4" t="s">
        <v>907</v>
      </c>
      <c r="E163" s="4">
        <v>7.6</v>
      </c>
      <c r="F163" s="4">
        <v>1.5</v>
      </c>
      <c r="G163" s="4">
        <v>46.3</v>
      </c>
      <c r="H163" s="4">
        <v>9.6300000000000008</v>
      </c>
      <c r="I163" s="4">
        <v>104.8</v>
      </c>
      <c r="J163" s="4">
        <v>76</v>
      </c>
      <c r="K163" s="4">
        <v>68</v>
      </c>
      <c r="L163" s="4">
        <v>1</v>
      </c>
      <c r="M163" s="4">
        <v>1</v>
      </c>
      <c r="N163" s="4" t="s">
        <v>734</v>
      </c>
      <c r="O163" s="1" t="s">
        <v>211</v>
      </c>
      <c r="P163" s="1" t="s">
        <v>2710</v>
      </c>
      <c r="Q163" s="1" t="s">
        <v>2711</v>
      </c>
      <c r="R163" s="1">
        <v>7.62</v>
      </c>
      <c r="S163" s="1" t="s">
        <v>1003</v>
      </c>
      <c r="T163" s="1">
        <v>23.85</v>
      </c>
      <c r="U163" s="1">
        <v>120.82</v>
      </c>
      <c r="V163" s="1">
        <v>8</v>
      </c>
      <c r="W163" s="1" t="s">
        <v>734</v>
      </c>
      <c r="X163" s="1" t="s">
        <v>2571</v>
      </c>
      <c r="Y163" s="1">
        <v>20</v>
      </c>
      <c r="Z163" s="1">
        <v>33</v>
      </c>
      <c r="AA163" s="1">
        <v>55</v>
      </c>
      <c r="AB163" s="1"/>
      <c r="AC163" s="1"/>
      <c r="AD163" s="1"/>
      <c r="AE163" s="1" t="s">
        <v>2566</v>
      </c>
      <c r="AF163" s="1" t="s">
        <v>862</v>
      </c>
      <c r="AG163" s="1">
        <v>1</v>
      </c>
      <c r="AH163" s="1">
        <v>7.58</v>
      </c>
      <c r="AI163" s="1">
        <v>5.6364999999999998</v>
      </c>
      <c r="AJ163" s="1">
        <v>7322.4000000000005</v>
      </c>
      <c r="AK163" s="1" t="s">
        <v>863</v>
      </c>
      <c r="AL163" s="1" t="s">
        <v>167</v>
      </c>
      <c r="AM163" t="s">
        <v>2716</v>
      </c>
    </row>
    <row r="164" spans="1:39" ht="19" customHeight="1">
      <c r="A164" s="4">
        <v>1530</v>
      </c>
      <c r="B164" s="4" t="s">
        <v>860</v>
      </c>
      <c r="C164" s="4">
        <v>1999</v>
      </c>
      <c r="D164" s="4" t="s">
        <v>908</v>
      </c>
      <c r="E164" s="4">
        <v>7.6</v>
      </c>
      <c r="F164" s="4">
        <v>6.1</v>
      </c>
      <c r="G164" s="4">
        <v>53</v>
      </c>
      <c r="H164" s="4">
        <v>8.69</v>
      </c>
      <c r="I164" s="4">
        <v>67.099999999999994</v>
      </c>
      <c r="J164" s="4">
        <v>75</v>
      </c>
      <c r="K164" s="4">
        <v>68</v>
      </c>
      <c r="L164" s="4">
        <v>1</v>
      </c>
      <c r="M164" s="4">
        <v>1</v>
      </c>
      <c r="N164" s="4" t="s">
        <v>734</v>
      </c>
      <c r="O164" s="1" t="s">
        <v>211</v>
      </c>
      <c r="P164" s="1" t="s">
        <v>2710</v>
      </c>
      <c r="Q164" s="1" t="s">
        <v>2711</v>
      </c>
      <c r="R164" s="1">
        <v>7.62</v>
      </c>
      <c r="S164" s="1" t="s">
        <v>1003</v>
      </c>
      <c r="T164" s="1">
        <v>23.85</v>
      </c>
      <c r="U164" s="1">
        <v>120.82</v>
      </c>
      <c r="V164" s="1">
        <v>8</v>
      </c>
      <c r="W164" s="1" t="s">
        <v>734</v>
      </c>
      <c r="X164" s="1" t="s">
        <v>2571</v>
      </c>
      <c r="Y164" s="1">
        <v>20</v>
      </c>
      <c r="Z164" s="1">
        <v>33</v>
      </c>
      <c r="AA164" s="1">
        <v>55</v>
      </c>
      <c r="AB164" s="1"/>
      <c r="AC164" s="1"/>
      <c r="AD164" s="1"/>
      <c r="AE164" s="1" t="s">
        <v>2566</v>
      </c>
      <c r="AF164" s="1" t="s">
        <v>862</v>
      </c>
      <c r="AG164" s="1">
        <v>1</v>
      </c>
      <c r="AH164" s="1">
        <v>7.58</v>
      </c>
      <c r="AI164" s="1">
        <v>5.6364999999999998</v>
      </c>
      <c r="AJ164" s="1">
        <v>7322.4000000000005</v>
      </c>
      <c r="AK164" s="1" t="s">
        <v>863</v>
      </c>
      <c r="AL164" s="1" t="s">
        <v>167</v>
      </c>
      <c r="AM164" t="s">
        <v>2716</v>
      </c>
    </row>
    <row r="165" spans="1:39" ht="19" customHeight="1">
      <c r="A165" s="4">
        <v>1531</v>
      </c>
      <c r="B165" s="4" t="s">
        <v>860</v>
      </c>
      <c r="C165" s="4">
        <v>1999</v>
      </c>
      <c r="D165" s="4" t="s">
        <v>909</v>
      </c>
      <c r="E165" s="4">
        <v>7.6</v>
      </c>
      <c r="F165" s="4">
        <v>12.9</v>
      </c>
      <c r="G165" s="4">
        <v>49.9</v>
      </c>
      <c r="H165" s="4">
        <v>7.19</v>
      </c>
      <c r="I165" s="4">
        <v>56.1</v>
      </c>
      <c r="J165" s="4">
        <v>34</v>
      </c>
      <c r="K165" s="4">
        <v>26</v>
      </c>
      <c r="L165" s="4">
        <v>0</v>
      </c>
      <c r="M165" s="4">
        <v>1</v>
      </c>
      <c r="N165" s="4" t="s">
        <v>734</v>
      </c>
      <c r="O165" s="1" t="s">
        <v>211</v>
      </c>
      <c r="P165" s="1" t="s">
        <v>2710</v>
      </c>
      <c r="Q165" s="1" t="s">
        <v>2711</v>
      </c>
      <c r="R165" s="1">
        <v>7.62</v>
      </c>
      <c r="S165" s="1" t="s">
        <v>1003</v>
      </c>
      <c r="T165" s="1">
        <v>23.85</v>
      </c>
      <c r="U165" s="1">
        <v>120.82</v>
      </c>
      <c r="V165" s="1">
        <v>8</v>
      </c>
      <c r="W165" s="1" t="s">
        <v>734</v>
      </c>
      <c r="X165" s="1" t="s">
        <v>2571</v>
      </c>
      <c r="Y165" s="1">
        <v>20</v>
      </c>
      <c r="Z165" s="1">
        <v>33</v>
      </c>
      <c r="AA165" s="1">
        <v>55</v>
      </c>
      <c r="AB165" s="1"/>
      <c r="AC165" s="1"/>
      <c r="AD165" s="1"/>
      <c r="AE165" s="1" t="s">
        <v>2566</v>
      </c>
      <c r="AF165" s="1" t="s">
        <v>862</v>
      </c>
      <c r="AG165" s="1">
        <v>1</v>
      </c>
      <c r="AH165" s="1">
        <v>7.58</v>
      </c>
      <c r="AI165" s="1">
        <v>5.6364999999999998</v>
      </c>
      <c r="AJ165" s="1">
        <v>7322.4000000000005</v>
      </c>
      <c r="AK165" s="1" t="s">
        <v>863</v>
      </c>
      <c r="AL165" s="1" t="s">
        <v>167</v>
      </c>
      <c r="AM165" t="s">
        <v>2716</v>
      </c>
    </row>
    <row r="166" spans="1:39" ht="19" customHeight="1">
      <c r="A166" s="4">
        <v>1548</v>
      </c>
      <c r="B166" s="4" t="s">
        <v>860</v>
      </c>
      <c r="C166" s="4">
        <v>1999</v>
      </c>
      <c r="D166" s="4" t="s">
        <v>910</v>
      </c>
      <c r="E166" s="4">
        <v>7.6</v>
      </c>
      <c r="F166" s="4">
        <v>13.1</v>
      </c>
      <c r="G166" s="4">
        <v>63.8</v>
      </c>
      <c r="H166" s="4">
        <v>9.02</v>
      </c>
      <c r="I166" s="4">
        <v>60.7</v>
      </c>
      <c r="J166" s="4">
        <v>84</v>
      </c>
      <c r="K166" s="4">
        <v>48</v>
      </c>
      <c r="L166" s="4">
        <v>1</v>
      </c>
      <c r="M166" s="4">
        <v>1</v>
      </c>
      <c r="N166" s="4" t="s">
        <v>734</v>
      </c>
      <c r="O166" s="1" t="s">
        <v>211</v>
      </c>
      <c r="P166" s="1" t="s">
        <v>2710</v>
      </c>
      <c r="Q166" s="1" t="s">
        <v>2711</v>
      </c>
      <c r="R166" s="1">
        <v>7.62</v>
      </c>
      <c r="S166" s="1" t="s">
        <v>1003</v>
      </c>
      <c r="T166" s="1">
        <v>23.85</v>
      </c>
      <c r="U166" s="1">
        <v>120.82</v>
      </c>
      <c r="V166" s="1">
        <v>8</v>
      </c>
      <c r="W166" s="1" t="s">
        <v>734</v>
      </c>
      <c r="X166" s="1" t="s">
        <v>2571</v>
      </c>
      <c r="Y166" s="1">
        <v>20</v>
      </c>
      <c r="Z166" s="1">
        <v>33</v>
      </c>
      <c r="AA166" s="1">
        <v>55</v>
      </c>
      <c r="AB166" s="1"/>
      <c r="AC166" s="1"/>
      <c r="AD166" s="1"/>
      <c r="AE166" s="1" t="s">
        <v>2566</v>
      </c>
      <c r="AF166" s="1" t="s">
        <v>862</v>
      </c>
      <c r="AG166" s="1">
        <v>1</v>
      </c>
      <c r="AH166" s="1">
        <v>7.58</v>
      </c>
      <c r="AI166" s="1">
        <v>5.6364999999999998</v>
      </c>
      <c r="AJ166" s="1">
        <v>7322.4000000000005</v>
      </c>
      <c r="AK166" s="1" t="s">
        <v>863</v>
      </c>
      <c r="AL166" s="1" t="s">
        <v>167</v>
      </c>
      <c r="AM166" t="s">
        <v>2716</v>
      </c>
    </row>
    <row r="167" spans="1:39" ht="19" customHeight="1">
      <c r="A167" s="4">
        <v>1550</v>
      </c>
      <c r="B167" s="4" t="s">
        <v>860</v>
      </c>
      <c r="C167" s="4">
        <v>1999</v>
      </c>
      <c r="D167" s="4" t="s">
        <v>911</v>
      </c>
      <c r="E167" s="4">
        <v>7.6</v>
      </c>
      <c r="F167" s="4">
        <v>8.3000000000000007</v>
      </c>
      <c r="G167" s="4">
        <v>49.4</v>
      </c>
      <c r="H167" s="4">
        <v>8.8800000000000008</v>
      </c>
      <c r="I167" s="4">
        <v>61.5</v>
      </c>
      <c r="J167" s="4">
        <v>49</v>
      </c>
      <c r="K167" s="4">
        <v>42</v>
      </c>
      <c r="L167" s="4">
        <v>0</v>
      </c>
      <c r="M167" s="4">
        <v>1</v>
      </c>
      <c r="N167" s="4" t="s">
        <v>734</v>
      </c>
      <c r="O167" s="1" t="s">
        <v>211</v>
      </c>
      <c r="P167" s="1" t="s">
        <v>2710</v>
      </c>
      <c r="Q167" s="1" t="s">
        <v>2711</v>
      </c>
      <c r="R167" s="1">
        <v>7.62</v>
      </c>
      <c r="S167" s="1" t="s">
        <v>1003</v>
      </c>
      <c r="T167" s="1">
        <v>23.85</v>
      </c>
      <c r="U167" s="1">
        <v>120.82</v>
      </c>
      <c r="V167" s="1">
        <v>8</v>
      </c>
      <c r="W167" s="1" t="s">
        <v>734</v>
      </c>
      <c r="X167" s="1" t="s">
        <v>2571</v>
      </c>
      <c r="Y167" s="1">
        <v>20</v>
      </c>
      <c r="Z167" s="1">
        <v>33</v>
      </c>
      <c r="AA167" s="1">
        <v>55</v>
      </c>
      <c r="AB167" s="1"/>
      <c r="AC167" s="1"/>
      <c r="AD167" s="1"/>
      <c r="AE167" s="1" t="s">
        <v>2566</v>
      </c>
      <c r="AF167" s="1" t="s">
        <v>862</v>
      </c>
      <c r="AG167" s="1">
        <v>1</v>
      </c>
      <c r="AH167" s="1">
        <v>7.58</v>
      </c>
      <c r="AI167" s="1">
        <v>5.6364999999999998</v>
      </c>
      <c r="AJ167" s="1">
        <v>7322.4000000000005</v>
      </c>
      <c r="AK167" s="1" t="s">
        <v>863</v>
      </c>
      <c r="AL167" s="1" t="s">
        <v>167</v>
      </c>
      <c r="AM167" t="s">
        <v>2716</v>
      </c>
    </row>
    <row r="168" spans="1:39" ht="19" customHeight="1">
      <c r="A168" s="4">
        <v>1595</v>
      </c>
      <c r="B168" s="4" t="s">
        <v>860</v>
      </c>
      <c r="C168" s="4">
        <v>1999</v>
      </c>
      <c r="D168" s="4" t="s">
        <v>912</v>
      </c>
      <c r="E168" s="4">
        <v>7.6</v>
      </c>
      <c r="F168" s="4">
        <v>9.9</v>
      </c>
      <c r="G168" s="4">
        <v>33</v>
      </c>
      <c r="H168" s="4">
        <v>5.74</v>
      </c>
      <c r="I168" s="4">
        <v>104.3</v>
      </c>
      <c r="J168" s="4">
        <v>174</v>
      </c>
      <c r="K168" s="4">
        <v>25</v>
      </c>
      <c r="L168" s="4">
        <v>1</v>
      </c>
      <c r="M168" s="4">
        <v>1</v>
      </c>
      <c r="N168" s="4" t="s">
        <v>734</v>
      </c>
      <c r="O168" s="1" t="s">
        <v>211</v>
      </c>
      <c r="P168" s="1" t="s">
        <v>2710</v>
      </c>
      <c r="Q168" s="1" t="s">
        <v>2711</v>
      </c>
      <c r="R168" s="1">
        <v>7.62</v>
      </c>
      <c r="S168" s="1" t="s">
        <v>1003</v>
      </c>
      <c r="T168" s="1">
        <v>23.85</v>
      </c>
      <c r="U168" s="1">
        <v>120.82</v>
      </c>
      <c r="V168" s="1">
        <v>8</v>
      </c>
      <c r="W168" s="1" t="s">
        <v>734</v>
      </c>
      <c r="X168" s="1" t="s">
        <v>2571</v>
      </c>
      <c r="Y168" s="1">
        <v>20</v>
      </c>
      <c r="Z168" s="1">
        <v>33</v>
      </c>
      <c r="AA168" s="1">
        <v>55</v>
      </c>
      <c r="AB168" s="1"/>
      <c r="AC168" s="1"/>
      <c r="AD168" s="1"/>
      <c r="AE168" s="1" t="s">
        <v>2566</v>
      </c>
      <c r="AF168" s="1" t="s">
        <v>862</v>
      </c>
      <c r="AG168" s="1">
        <v>1</v>
      </c>
      <c r="AH168" s="1">
        <v>7.58</v>
      </c>
      <c r="AI168" s="1">
        <v>5.6364999999999998</v>
      </c>
      <c r="AJ168" s="1">
        <v>7322.4000000000005</v>
      </c>
      <c r="AK168" s="1" t="s">
        <v>863</v>
      </c>
      <c r="AL168" s="1" t="s">
        <v>167</v>
      </c>
      <c r="AM168" t="s">
        <v>2716</v>
      </c>
    </row>
    <row r="169" spans="1:39" ht="19" customHeight="1">
      <c r="A169" s="4">
        <v>2457</v>
      </c>
      <c r="B169" s="4" t="s">
        <v>913</v>
      </c>
      <c r="C169" s="4">
        <v>1999</v>
      </c>
      <c r="D169" s="4" t="s">
        <v>864</v>
      </c>
      <c r="E169" s="4">
        <v>6.2</v>
      </c>
      <c r="F169" s="4">
        <v>19.600000000000001</v>
      </c>
      <c r="G169" s="4">
        <v>26.7</v>
      </c>
      <c r="H169" s="4">
        <v>3.19</v>
      </c>
      <c r="I169" s="4">
        <v>32.700000000000003</v>
      </c>
      <c r="J169" s="4">
        <v>274</v>
      </c>
      <c r="K169" s="4">
        <v>86</v>
      </c>
      <c r="L169" s="4">
        <v>1</v>
      </c>
      <c r="M169" s="4">
        <v>0</v>
      </c>
      <c r="N169" s="4" t="s">
        <v>734</v>
      </c>
      <c r="O169" s="1" t="s">
        <v>463</v>
      </c>
      <c r="P169" s="1" t="s">
        <v>2710</v>
      </c>
      <c r="Q169" s="1" t="s">
        <v>2718</v>
      </c>
      <c r="R169" s="1">
        <v>6.2</v>
      </c>
      <c r="S169" s="1" t="s">
        <v>1003</v>
      </c>
      <c r="T169" s="1">
        <v>23.81</v>
      </c>
      <c r="U169" s="1">
        <v>120.85</v>
      </c>
      <c r="V169" s="1">
        <v>7.8</v>
      </c>
      <c r="W169" s="1" t="s">
        <v>734</v>
      </c>
      <c r="X169" s="1" t="s">
        <v>2571</v>
      </c>
      <c r="Y169" s="1">
        <v>360</v>
      </c>
      <c r="Z169" s="1">
        <v>10</v>
      </c>
      <c r="AA169" s="1">
        <v>80</v>
      </c>
      <c r="AB169" s="1"/>
      <c r="AC169" s="1"/>
      <c r="AD169" s="1"/>
      <c r="AE169" s="1" t="s">
        <v>2566</v>
      </c>
      <c r="AF169" s="1" t="s">
        <v>731</v>
      </c>
      <c r="AG169" s="1"/>
      <c r="AH169" s="1"/>
      <c r="AI169" s="1"/>
      <c r="AJ169" s="1"/>
      <c r="AK169" s="1"/>
      <c r="AL169" s="1" t="s">
        <v>167</v>
      </c>
      <c r="AM169" t="s">
        <v>2720</v>
      </c>
    </row>
    <row r="170" spans="1:39" ht="19" customHeight="1">
      <c r="A170" s="4">
        <v>2466</v>
      </c>
      <c r="B170" s="4" t="s">
        <v>913</v>
      </c>
      <c r="C170" s="4">
        <v>1999</v>
      </c>
      <c r="D170" s="4" t="s">
        <v>914</v>
      </c>
      <c r="E170" s="4">
        <v>6.2</v>
      </c>
      <c r="F170" s="4">
        <v>34.5</v>
      </c>
      <c r="G170" s="4">
        <v>42.9</v>
      </c>
      <c r="H170" s="4">
        <v>1.06</v>
      </c>
      <c r="I170" s="4">
        <v>30.1</v>
      </c>
      <c r="J170" s="4">
        <v>74</v>
      </c>
      <c r="K170" s="4">
        <v>74</v>
      </c>
      <c r="L170" s="4">
        <v>0</v>
      </c>
      <c r="M170" s="4">
        <v>0</v>
      </c>
      <c r="N170" s="4" t="s">
        <v>734</v>
      </c>
      <c r="O170" s="1" t="s">
        <v>463</v>
      </c>
      <c r="P170" s="1" t="s">
        <v>2710</v>
      </c>
      <c r="Q170" s="1" t="s">
        <v>2718</v>
      </c>
      <c r="R170" s="1">
        <v>6.2</v>
      </c>
      <c r="S170" s="1" t="s">
        <v>1003</v>
      </c>
      <c r="T170" s="1">
        <v>23.81</v>
      </c>
      <c r="U170" s="1">
        <v>120.85</v>
      </c>
      <c r="V170" s="1">
        <v>7.8</v>
      </c>
      <c r="W170" s="1" t="s">
        <v>734</v>
      </c>
      <c r="X170" s="1" t="s">
        <v>2571</v>
      </c>
      <c r="Y170" s="1">
        <v>360</v>
      </c>
      <c r="Z170" s="1">
        <v>10</v>
      </c>
      <c r="AA170" s="1">
        <v>80</v>
      </c>
      <c r="AB170" s="1"/>
      <c r="AC170" s="1"/>
      <c r="AD170" s="1"/>
      <c r="AE170" s="1" t="s">
        <v>2566</v>
      </c>
      <c r="AF170" s="1" t="s">
        <v>731</v>
      </c>
      <c r="AG170" s="1"/>
      <c r="AH170" s="1"/>
      <c r="AI170" s="1"/>
      <c r="AJ170" s="1"/>
      <c r="AK170" s="1"/>
      <c r="AL170" s="1" t="s">
        <v>167</v>
      </c>
      <c r="AM170" t="s">
        <v>2720</v>
      </c>
    </row>
    <row r="171" spans="1:39" ht="19" customHeight="1">
      <c r="A171" s="4">
        <v>2495</v>
      </c>
      <c r="B171" s="4" t="s">
        <v>913</v>
      </c>
      <c r="C171" s="4">
        <v>1999</v>
      </c>
      <c r="D171" s="4" t="s">
        <v>915</v>
      </c>
      <c r="E171" s="4">
        <v>6.2</v>
      </c>
      <c r="F171" s="4">
        <v>22.4</v>
      </c>
      <c r="G171" s="4">
        <v>30.5</v>
      </c>
      <c r="H171" s="4">
        <v>1.38</v>
      </c>
      <c r="I171" s="4">
        <v>69.8</v>
      </c>
      <c r="J171" s="4">
        <v>272</v>
      </c>
      <c r="K171" s="4">
        <v>88</v>
      </c>
      <c r="L171" s="4">
        <v>1</v>
      </c>
      <c r="M171" s="4">
        <v>0</v>
      </c>
      <c r="N171" s="4" t="s">
        <v>734</v>
      </c>
      <c r="O171" s="1" t="s">
        <v>463</v>
      </c>
      <c r="P171" s="1" t="s">
        <v>2710</v>
      </c>
      <c r="Q171" s="1" t="s">
        <v>2718</v>
      </c>
      <c r="R171" s="1">
        <v>6.2</v>
      </c>
      <c r="S171" s="1" t="s">
        <v>1003</v>
      </c>
      <c r="T171" s="1">
        <v>23.81</v>
      </c>
      <c r="U171" s="1">
        <v>120.85</v>
      </c>
      <c r="V171" s="1">
        <v>7.8</v>
      </c>
      <c r="W171" s="1" t="s">
        <v>734</v>
      </c>
      <c r="X171" s="1" t="s">
        <v>2571</v>
      </c>
      <c r="Y171" s="1">
        <v>360</v>
      </c>
      <c r="Z171" s="1">
        <v>10</v>
      </c>
      <c r="AA171" s="1">
        <v>80</v>
      </c>
      <c r="AB171" s="1"/>
      <c r="AC171" s="1"/>
      <c r="AD171" s="1"/>
      <c r="AE171" s="1" t="s">
        <v>2566</v>
      </c>
      <c r="AF171" s="1" t="s">
        <v>731</v>
      </c>
      <c r="AG171" s="1"/>
      <c r="AH171" s="1"/>
      <c r="AI171" s="1"/>
      <c r="AJ171" s="1"/>
      <c r="AK171" s="1"/>
      <c r="AL171" s="1" t="s">
        <v>167</v>
      </c>
      <c r="AM171" t="s">
        <v>2720</v>
      </c>
    </row>
    <row r="172" spans="1:39" ht="19" customHeight="1">
      <c r="A172" s="4">
        <v>2618</v>
      </c>
      <c r="B172" s="4" t="s">
        <v>913</v>
      </c>
      <c r="C172" s="4">
        <v>1999</v>
      </c>
      <c r="D172" s="4" t="s">
        <v>894</v>
      </c>
      <c r="E172" s="4">
        <v>6.2</v>
      </c>
      <c r="F172" s="4">
        <v>26.1</v>
      </c>
      <c r="G172" s="4">
        <v>33</v>
      </c>
      <c r="H172" s="4">
        <v>1.53</v>
      </c>
      <c r="I172" s="4">
        <v>35.4</v>
      </c>
      <c r="J172" s="4">
        <v>305</v>
      </c>
      <c r="K172" s="4">
        <v>55</v>
      </c>
      <c r="L172" s="4">
        <v>0</v>
      </c>
      <c r="M172" s="4">
        <v>0</v>
      </c>
      <c r="N172" s="4" t="s">
        <v>734</v>
      </c>
      <c r="O172" s="1" t="s">
        <v>463</v>
      </c>
      <c r="P172" s="1" t="s">
        <v>2710</v>
      </c>
      <c r="Q172" s="1" t="s">
        <v>2718</v>
      </c>
      <c r="R172" s="1">
        <v>6.2</v>
      </c>
      <c r="S172" s="1" t="s">
        <v>1003</v>
      </c>
      <c r="T172" s="1">
        <v>23.81</v>
      </c>
      <c r="U172" s="1">
        <v>120.85</v>
      </c>
      <c r="V172" s="1">
        <v>7.8</v>
      </c>
      <c r="W172" s="1" t="s">
        <v>734</v>
      </c>
      <c r="X172" s="1" t="s">
        <v>2571</v>
      </c>
      <c r="Y172" s="1">
        <v>360</v>
      </c>
      <c r="Z172" s="1">
        <v>10</v>
      </c>
      <c r="AA172" s="1">
        <v>80</v>
      </c>
      <c r="AB172" s="1"/>
      <c r="AC172" s="1"/>
      <c r="AD172" s="1"/>
      <c r="AE172" s="1" t="s">
        <v>2566</v>
      </c>
      <c r="AF172" s="1" t="s">
        <v>731</v>
      </c>
      <c r="AG172" s="1"/>
      <c r="AH172" s="1"/>
      <c r="AI172" s="1"/>
      <c r="AJ172" s="1"/>
      <c r="AK172" s="1"/>
      <c r="AL172" s="1" t="s">
        <v>167</v>
      </c>
      <c r="AM172" t="s">
        <v>2720</v>
      </c>
    </row>
    <row r="173" spans="1:39" ht="19" customHeight="1">
      <c r="A173" s="4">
        <v>2627</v>
      </c>
      <c r="B173" s="4" t="s">
        <v>913</v>
      </c>
      <c r="C173" s="4">
        <v>1999</v>
      </c>
      <c r="D173" s="4" t="s">
        <v>897</v>
      </c>
      <c r="E173" s="4">
        <v>6.2</v>
      </c>
      <c r="F173" s="4">
        <v>14.7</v>
      </c>
      <c r="G173" s="4">
        <v>22.2</v>
      </c>
      <c r="H173" s="4">
        <v>0.92</v>
      </c>
      <c r="I173" s="4">
        <v>61.5</v>
      </c>
      <c r="J173" s="4">
        <v>280</v>
      </c>
      <c r="K173" s="4">
        <v>80</v>
      </c>
      <c r="L173" s="4">
        <v>1</v>
      </c>
      <c r="M173" s="4">
        <v>0</v>
      </c>
      <c r="N173" s="4" t="s">
        <v>734</v>
      </c>
      <c r="O173" s="1" t="s">
        <v>463</v>
      </c>
      <c r="P173" s="1" t="s">
        <v>2710</v>
      </c>
      <c r="Q173" s="1" t="s">
        <v>2718</v>
      </c>
      <c r="R173" s="1">
        <v>6.2</v>
      </c>
      <c r="S173" s="1" t="s">
        <v>1003</v>
      </c>
      <c r="T173" s="1">
        <v>23.81</v>
      </c>
      <c r="U173" s="1">
        <v>120.85</v>
      </c>
      <c r="V173" s="1">
        <v>7.8</v>
      </c>
      <c r="W173" s="1" t="s">
        <v>734</v>
      </c>
      <c r="X173" s="1" t="s">
        <v>2571</v>
      </c>
      <c r="Y173" s="1">
        <v>360</v>
      </c>
      <c r="Z173" s="1">
        <v>10</v>
      </c>
      <c r="AA173" s="1">
        <v>80</v>
      </c>
      <c r="AB173" s="1"/>
      <c r="AC173" s="1"/>
      <c r="AD173" s="1"/>
      <c r="AE173" s="1" t="s">
        <v>2566</v>
      </c>
      <c r="AF173" s="1" t="s">
        <v>731</v>
      </c>
      <c r="AG173" s="1"/>
      <c r="AH173" s="1"/>
      <c r="AI173" s="1"/>
      <c r="AJ173" s="1"/>
      <c r="AK173" s="1"/>
      <c r="AL173" s="1" t="s">
        <v>167</v>
      </c>
      <c r="AM173" t="s">
        <v>2720</v>
      </c>
    </row>
    <row r="174" spans="1:39" ht="19" customHeight="1">
      <c r="A174" s="4">
        <v>2628</v>
      </c>
      <c r="B174" s="4" t="s">
        <v>913</v>
      </c>
      <c r="C174" s="4">
        <v>1999</v>
      </c>
      <c r="D174" s="4" t="s">
        <v>916</v>
      </c>
      <c r="E174" s="4">
        <v>6.2</v>
      </c>
      <c r="F174" s="4">
        <v>7.6</v>
      </c>
      <c r="G174" s="4">
        <v>7.8</v>
      </c>
      <c r="H174" s="4">
        <v>3.86</v>
      </c>
      <c r="I174" s="4">
        <v>56.3</v>
      </c>
      <c r="J174" s="4">
        <v>280</v>
      </c>
      <c r="K174" s="4">
        <v>80</v>
      </c>
      <c r="L174" s="4">
        <v>0</v>
      </c>
      <c r="M174" s="4">
        <v>0</v>
      </c>
      <c r="N174" s="4" t="s">
        <v>734</v>
      </c>
      <c r="O174" s="1" t="s">
        <v>463</v>
      </c>
      <c r="P174" s="1" t="s">
        <v>2710</v>
      </c>
      <c r="Q174" s="1" t="s">
        <v>2718</v>
      </c>
      <c r="R174" s="1">
        <v>6.2</v>
      </c>
      <c r="S174" s="1" t="s">
        <v>1003</v>
      </c>
      <c r="T174" s="1">
        <v>23.81</v>
      </c>
      <c r="U174" s="1">
        <v>120.85</v>
      </c>
      <c r="V174" s="1">
        <v>7.8</v>
      </c>
      <c r="W174" s="1" t="s">
        <v>734</v>
      </c>
      <c r="X174" s="1" t="s">
        <v>2571</v>
      </c>
      <c r="Y174" s="1">
        <v>360</v>
      </c>
      <c r="Z174" s="1">
        <v>10</v>
      </c>
      <c r="AA174" s="1">
        <v>80</v>
      </c>
      <c r="AB174" s="1"/>
      <c r="AC174" s="1"/>
      <c r="AD174" s="1"/>
      <c r="AE174" s="1" t="s">
        <v>2566</v>
      </c>
      <c r="AF174" s="1" t="s">
        <v>731</v>
      </c>
      <c r="AG174" s="1"/>
      <c r="AH174" s="1"/>
      <c r="AI174" s="1"/>
      <c r="AJ174" s="1"/>
      <c r="AK174" s="1"/>
      <c r="AL174" s="1" t="s">
        <v>167</v>
      </c>
      <c r="AM174" t="s">
        <v>2720</v>
      </c>
    </row>
    <row r="175" spans="1:39" ht="19" customHeight="1">
      <c r="A175" s="4">
        <v>3317</v>
      </c>
      <c r="B175" s="4" t="s">
        <v>917</v>
      </c>
      <c r="C175" s="4">
        <v>1999</v>
      </c>
      <c r="D175" s="4" t="s">
        <v>865</v>
      </c>
      <c r="E175" s="4">
        <v>6.3</v>
      </c>
      <c r="F175" s="4">
        <v>36</v>
      </c>
      <c r="G175" s="4">
        <v>52.5</v>
      </c>
      <c r="H175" s="4">
        <v>3.26</v>
      </c>
      <c r="I175" s="4">
        <v>34.1</v>
      </c>
      <c r="J175" s="4">
        <v>275</v>
      </c>
      <c r="K175" s="4">
        <v>90</v>
      </c>
      <c r="L175" s="4">
        <v>1</v>
      </c>
      <c r="M175" s="4">
        <v>0</v>
      </c>
      <c r="N175" s="4" t="s">
        <v>734</v>
      </c>
      <c r="O175" s="1" t="s">
        <v>484</v>
      </c>
      <c r="P175" s="1" t="s">
        <v>2722</v>
      </c>
      <c r="Q175" s="1" t="s">
        <v>2723</v>
      </c>
      <c r="R175" s="1">
        <v>6.3</v>
      </c>
      <c r="S175" s="1" t="s">
        <v>1003</v>
      </c>
      <c r="T175" s="1">
        <v>23.87</v>
      </c>
      <c r="U175" s="1">
        <v>121.01</v>
      </c>
      <c r="V175" s="1">
        <v>16</v>
      </c>
      <c r="W175" s="1" t="s">
        <v>734</v>
      </c>
      <c r="X175" s="1" t="s">
        <v>2571</v>
      </c>
      <c r="Y175" s="1">
        <v>5</v>
      </c>
      <c r="Z175" s="1">
        <v>30</v>
      </c>
      <c r="AA175" s="1">
        <v>100</v>
      </c>
      <c r="AB175" s="1"/>
      <c r="AC175" s="1"/>
      <c r="AD175" s="1"/>
      <c r="AE175" s="1" t="s">
        <v>2566</v>
      </c>
      <c r="AF175" s="1" t="s">
        <v>731</v>
      </c>
      <c r="AG175" s="1"/>
      <c r="AH175" s="1"/>
      <c r="AI175" s="1"/>
      <c r="AJ175" s="1"/>
      <c r="AK175" s="1"/>
      <c r="AL175" s="1" t="s">
        <v>167</v>
      </c>
      <c r="AM175" t="s">
        <v>2725</v>
      </c>
    </row>
    <row r="176" spans="1:39" ht="19" customHeight="1">
      <c r="A176" s="4">
        <v>3473</v>
      </c>
      <c r="B176" s="4" t="s">
        <v>917</v>
      </c>
      <c r="C176" s="4">
        <v>1999</v>
      </c>
      <c r="D176" s="4" t="s">
        <v>916</v>
      </c>
      <c r="E176" s="4">
        <v>6.3</v>
      </c>
      <c r="F176" s="4">
        <v>11.5</v>
      </c>
      <c r="G176" s="4">
        <v>24</v>
      </c>
      <c r="H176" s="4">
        <v>4.1500000000000004</v>
      </c>
      <c r="I176" s="4">
        <v>38.4</v>
      </c>
      <c r="J176" s="4">
        <v>288</v>
      </c>
      <c r="K176" s="4">
        <v>77</v>
      </c>
      <c r="L176" s="4">
        <v>0</v>
      </c>
      <c r="M176" s="4">
        <v>1</v>
      </c>
      <c r="N176" s="4" t="s">
        <v>734</v>
      </c>
      <c r="O176" s="1" t="s">
        <v>484</v>
      </c>
      <c r="P176" s="1" t="s">
        <v>2722</v>
      </c>
      <c r="Q176" s="1" t="s">
        <v>2723</v>
      </c>
      <c r="R176" s="1">
        <v>6.3</v>
      </c>
      <c r="S176" s="1" t="s">
        <v>1003</v>
      </c>
      <c r="T176" s="1">
        <v>23.87</v>
      </c>
      <c r="U176" s="1">
        <v>121.01</v>
      </c>
      <c r="V176" s="1">
        <v>16</v>
      </c>
      <c r="W176" s="1" t="s">
        <v>734</v>
      </c>
      <c r="X176" s="1" t="s">
        <v>2571</v>
      </c>
      <c r="Y176" s="1">
        <v>5</v>
      </c>
      <c r="Z176" s="1">
        <v>30</v>
      </c>
      <c r="AA176" s="1">
        <v>100</v>
      </c>
      <c r="AB176" s="1"/>
      <c r="AC176" s="1"/>
      <c r="AD176" s="1"/>
      <c r="AE176" s="1" t="s">
        <v>2566</v>
      </c>
      <c r="AF176" s="1" t="s">
        <v>731</v>
      </c>
      <c r="AG176" s="1"/>
      <c r="AH176" s="1"/>
      <c r="AI176" s="1"/>
      <c r="AJ176" s="1"/>
      <c r="AK176" s="1"/>
      <c r="AL176" s="1" t="s">
        <v>167</v>
      </c>
      <c r="AM176" t="s">
        <v>2725</v>
      </c>
    </row>
    <row r="177" spans="1:39" ht="19" customHeight="1">
      <c r="A177" s="4">
        <v>3475</v>
      </c>
      <c r="B177" s="4" t="s">
        <v>917</v>
      </c>
      <c r="C177" s="4">
        <v>1999</v>
      </c>
      <c r="D177" s="4" t="s">
        <v>918</v>
      </c>
      <c r="E177" s="4">
        <v>6.3</v>
      </c>
      <c r="F177" s="4">
        <v>10.199999999999999</v>
      </c>
      <c r="G177" s="4">
        <v>18.3</v>
      </c>
      <c r="H177" s="4">
        <v>1.02</v>
      </c>
      <c r="I177" s="4">
        <v>39.299999999999997</v>
      </c>
      <c r="J177" s="4">
        <v>50</v>
      </c>
      <c r="K177" s="4">
        <v>45</v>
      </c>
      <c r="L177" s="4">
        <v>0</v>
      </c>
      <c r="M177" s="4">
        <v>1</v>
      </c>
      <c r="N177" s="4" t="s">
        <v>734</v>
      </c>
      <c r="O177" s="1" t="s">
        <v>484</v>
      </c>
      <c r="P177" s="1" t="s">
        <v>2722</v>
      </c>
      <c r="Q177" s="1" t="s">
        <v>2723</v>
      </c>
      <c r="R177" s="1">
        <v>6.3</v>
      </c>
      <c r="S177" s="1" t="s">
        <v>1003</v>
      </c>
      <c r="T177" s="1">
        <v>23.87</v>
      </c>
      <c r="U177" s="1">
        <v>121.01</v>
      </c>
      <c r="V177" s="1">
        <v>16</v>
      </c>
      <c r="W177" s="1" t="s">
        <v>734</v>
      </c>
      <c r="X177" s="1" t="s">
        <v>2571</v>
      </c>
      <c r="Y177" s="1">
        <v>5</v>
      </c>
      <c r="Z177" s="1">
        <v>30</v>
      </c>
      <c r="AA177" s="1">
        <v>100</v>
      </c>
      <c r="AB177" s="1"/>
      <c r="AC177" s="1"/>
      <c r="AD177" s="1"/>
      <c r="AE177" s="1" t="s">
        <v>2566</v>
      </c>
      <c r="AF177" s="1" t="s">
        <v>731</v>
      </c>
      <c r="AG177" s="1"/>
      <c r="AH177" s="1"/>
      <c r="AI177" s="1"/>
      <c r="AJ177" s="1"/>
      <c r="AK177" s="1"/>
      <c r="AL177" s="1" t="s">
        <v>167</v>
      </c>
      <c r="AM177" t="s">
        <v>2725</v>
      </c>
    </row>
    <row r="178" spans="1:39" ht="19" customHeight="1">
      <c r="A178" s="4">
        <v>2734</v>
      </c>
      <c r="B178" s="4" t="s">
        <v>919</v>
      </c>
      <c r="C178" s="4">
        <v>1999</v>
      </c>
      <c r="D178" s="4" t="s">
        <v>920</v>
      </c>
      <c r="E178" s="4">
        <v>6.2</v>
      </c>
      <c r="F178" s="4">
        <v>6.2</v>
      </c>
      <c r="G178" s="4">
        <v>20.6</v>
      </c>
      <c r="H178" s="4">
        <v>2.44</v>
      </c>
      <c r="I178" s="4">
        <v>44</v>
      </c>
      <c r="J178" s="4">
        <v>355</v>
      </c>
      <c r="K178" s="4">
        <v>25</v>
      </c>
      <c r="L178" s="4">
        <v>0</v>
      </c>
      <c r="M178" s="4">
        <v>1</v>
      </c>
      <c r="N178" s="4" t="s">
        <v>730</v>
      </c>
      <c r="O178" s="1" t="s">
        <v>469</v>
      </c>
      <c r="P178" s="1" t="s">
        <v>2710</v>
      </c>
      <c r="Q178" s="1" t="s">
        <v>2727</v>
      </c>
      <c r="R178" s="1">
        <v>6.2</v>
      </c>
      <c r="S178" s="1" t="s">
        <v>1003</v>
      </c>
      <c r="T178" s="1">
        <v>23.6</v>
      </c>
      <c r="U178" s="1">
        <v>120.82</v>
      </c>
      <c r="V178" s="1">
        <v>18</v>
      </c>
      <c r="W178" s="1" t="s">
        <v>730</v>
      </c>
      <c r="X178" s="1" t="s">
        <v>2571</v>
      </c>
      <c r="Y178" s="1">
        <v>330</v>
      </c>
      <c r="Z178" s="1">
        <v>89</v>
      </c>
      <c r="AA178" s="1">
        <v>15</v>
      </c>
      <c r="AB178" s="1"/>
      <c r="AC178" s="1"/>
      <c r="AD178" s="1"/>
      <c r="AE178" s="1" t="s">
        <v>2566</v>
      </c>
      <c r="AF178" s="1" t="s">
        <v>731</v>
      </c>
      <c r="AG178" s="1"/>
      <c r="AH178" s="1"/>
      <c r="AI178" s="1"/>
      <c r="AJ178" s="1"/>
      <c r="AK178" s="1"/>
      <c r="AL178" s="1" t="s">
        <v>167</v>
      </c>
      <c r="AM178" t="s">
        <v>2729</v>
      </c>
    </row>
    <row r="179" spans="1:39" ht="19" customHeight="1">
      <c r="A179" s="4">
        <v>1602</v>
      </c>
      <c r="B179" s="4" t="s">
        <v>921</v>
      </c>
      <c r="C179" s="4">
        <v>1999</v>
      </c>
      <c r="D179" s="4" t="s">
        <v>922</v>
      </c>
      <c r="E179" s="4">
        <v>7.1</v>
      </c>
      <c r="F179" s="4">
        <v>12</v>
      </c>
      <c r="G179" s="4">
        <v>43.6</v>
      </c>
      <c r="H179" s="4">
        <v>0.88</v>
      </c>
      <c r="I179" s="4">
        <v>65.8</v>
      </c>
      <c r="J179" s="4">
        <v>88</v>
      </c>
      <c r="K179" s="4">
        <v>10</v>
      </c>
      <c r="L179" s="4">
        <v>0</v>
      </c>
      <c r="M179" s="4">
        <v>1</v>
      </c>
      <c r="N179" s="4" t="s">
        <v>730</v>
      </c>
      <c r="O179" s="1" t="s">
        <v>491</v>
      </c>
      <c r="P179" s="1" t="s">
        <v>2730</v>
      </c>
      <c r="Q179" s="1" t="s">
        <v>2731</v>
      </c>
      <c r="R179" s="1">
        <v>7.14</v>
      </c>
      <c r="S179" s="1" t="s">
        <v>1003</v>
      </c>
      <c r="T179" s="1">
        <v>40.834499999999998</v>
      </c>
      <c r="U179" s="1">
        <v>31.134599999999999</v>
      </c>
      <c r="V179" s="1">
        <v>14</v>
      </c>
      <c r="W179" s="1" t="s">
        <v>730</v>
      </c>
      <c r="X179" s="1" t="s">
        <v>2571</v>
      </c>
      <c r="Y179" s="1">
        <v>270</v>
      </c>
      <c r="Z179" s="1">
        <v>65</v>
      </c>
      <c r="AA179" s="1">
        <v>-178</v>
      </c>
      <c r="AB179" s="1"/>
      <c r="AC179" s="1"/>
      <c r="AD179" s="1"/>
      <c r="AE179" s="1" t="s">
        <v>2566</v>
      </c>
      <c r="AF179" s="1" t="s">
        <v>731</v>
      </c>
      <c r="AG179" s="1"/>
      <c r="AH179" s="1"/>
      <c r="AI179" s="1"/>
      <c r="AJ179" s="1"/>
      <c r="AK179" s="1"/>
      <c r="AL179" s="1" t="s">
        <v>167</v>
      </c>
      <c r="AM179" t="s">
        <v>2733</v>
      </c>
    </row>
    <row r="180" spans="1:39" ht="19" customHeight="1">
      <c r="A180" s="4">
        <v>1605</v>
      </c>
      <c r="B180" s="4" t="s">
        <v>921</v>
      </c>
      <c r="C180" s="4">
        <v>1999</v>
      </c>
      <c r="D180" s="4" t="s">
        <v>685</v>
      </c>
      <c r="E180" s="4">
        <v>7.1</v>
      </c>
      <c r="F180" s="4">
        <v>6.6</v>
      </c>
      <c r="G180" s="4">
        <v>14.1</v>
      </c>
      <c r="H180" s="4">
        <v>5.94</v>
      </c>
      <c r="I180" s="4">
        <v>78.900000000000006</v>
      </c>
      <c r="J180" s="4">
        <v>131</v>
      </c>
      <c r="K180" s="4">
        <v>49</v>
      </c>
      <c r="L180" s="4">
        <v>1</v>
      </c>
      <c r="M180" s="4">
        <v>0</v>
      </c>
      <c r="N180" s="4" t="s">
        <v>730</v>
      </c>
      <c r="O180" s="1" t="s">
        <v>491</v>
      </c>
      <c r="P180" s="1" t="s">
        <v>2730</v>
      </c>
      <c r="Q180" s="1" t="s">
        <v>2731</v>
      </c>
      <c r="R180" s="1">
        <v>7.14</v>
      </c>
      <c r="S180" s="1" t="s">
        <v>1003</v>
      </c>
      <c r="T180" s="1">
        <v>40.834499999999998</v>
      </c>
      <c r="U180" s="1">
        <v>31.134599999999999</v>
      </c>
      <c r="V180" s="1">
        <v>14</v>
      </c>
      <c r="W180" s="1" t="s">
        <v>730</v>
      </c>
      <c r="X180" s="1" t="s">
        <v>2571</v>
      </c>
      <c r="Y180" s="1">
        <v>270</v>
      </c>
      <c r="Z180" s="1">
        <v>65</v>
      </c>
      <c r="AA180" s="1">
        <v>-178</v>
      </c>
      <c r="AB180" s="1"/>
      <c r="AC180" s="1"/>
      <c r="AD180" s="1"/>
      <c r="AE180" s="1" t="s">
        <v>2566</v>
      </c>
      <c r="AF180" s="1" t="s">
        <v>731</v>
      </c>
      <c r="AG180" s="1"/>
      <c r="AH180" s="1"/>
      <c r="AI180" s="1"/>
      <c r="AJ180" s="1"/>
      <c r="AK180" s="1"/>
      <c r="AL180" s="1" t="s">
        <v>167</v>
      </c>
      <c r="AM180" t="s">
        <v>2733</v>
      </c>
    </row>
    <row r="181" spans="1:39" ht="19" customHeight="1">
      <c r="A181" s="4">
        <v>8164</v>
      </c>
      <c r="B181" s="4" t="s">
        <v>921</v>
      </c>
      <c r="C181" s="4">
        <v>1999</v>
      </c>
      <c r="D181" s="4" t="s">
        <v>923</v>
      </c>
      <c r="E181" s="4">
        <v>7.1</v>
      </c>
      <c r="F181" s="4">
        <v>2.6</v>
      </c>
      <c r="G181" s="4">
        <v>26.7</v>
      </c>
      <c r="H181" s="4">
        <v>10.050000000000001</v>
      </c>
      <c r="I181" s="4">
        <v>39.200000000000003</v>
      </c>
      <c r="J181" s="4">
        <v>329</v>
      </c>
      <c r="K181" s="4">
        <v>66</v>
      </c>
      <c r="L181" s="4">
        <v>0</v>
      </c>
      <c r="M181" s="4">
        <v>1</v>
      </c>
      <c r="N181" s="4" t="s">
        <v>730</v>
      </c>
      <c r="O181" s="1" t="s">
        <v>491</v>
      </c>
      <c r="P181" s="1" t="s">
        <v>2730</v>
      </c>
      <c r="Q181" s="1" t="s">
        <v>2731</v>
      </c>
      <c r="R181" s="1">
        <v>7.14</v>
      </c>
      <c r="S181" s="1" t="s">
        <v>1003</v>
      </c>
      <c r="T181" s="1">
        <v>40.834499999999998</v>
      </c>
      <c r="U181" s="1">
        <v>31.134599999999999</v>
      </c>
      <c r="V181" s="1">
        <v>14</v>
      </c>
      <c r="W181" s="1" t="s">
        <v>730</v>
      </c>
      <c r="X181" s="1" t="s">
        <v>2571</v>
      </c>
      <c r="Y181" s="1">
        <v>270</v>
      </c>
      <c r="Z181" s="1">
        <v>65</v>
      </c>
      <c r="AA181" s="1">
        <v>-178</v>
      </c>
      <c r="AB181" s="1"/>
      <c r="AC181" s="1"/>
      <c r="AD181" s="1"/>
      <c r="AE181" s="1" t="s">
        <v>2566</v>
      </c>
      <c r="AF181" s="1" t="s">
        <v>731</v>
      </c>
      <c r="AG181" s="1"/>
      <c r="AH181" s="1"/>
      <c r="AI181" s="1"/>
      <c r="AJ181" s="1"/>
      <c r="AK181" s="1"/>
      <c r="AL181" s="1" t="s">
        <v>167</v>
      </c>
      <c r="AM181" t="s">
        <v>2733</v>
      </c>
    </row>
    <row r="182" spans="1:39" ht="19" customHeight="1">
      <c r="A182" s="4">
        <v>1148</v>
      </c>
      <c r="B182" s="4" t="s">
        <v>924</v>
      </c>
      <c r="C182" s="4">
        <v>1999</v>
      </c>
      <c r="D182" s="4" t="s">
        <v>925</v>
      </c>
      <c r="E182" s="4">
        <v>7.5</v>
      </c>
      <c r="F182" s="4">
        <v>13.5</v>
      </c>
      <c r="G182" s="4">
        <v>56</v>
      </c>
      <c r="H182" s="4">
        <v>7.79</v>
      </c>
      <c r="I182" s="4">
        <v>40.299999999999997</v>
      </c>
      <c r="J182" s="4">
        <v>80</v>
      </c>
      <c r="K182" s="4">
        <v>14</v>
      </c>
      <c r="L182" s="4">
        <v>0</v>
      </c>
      <c r="M182" s="4">
        <v>1</v>
      </c>
      <c r="N182" s="4" t="s">
        <v>730</v>
      </c>
      <c r="O182" s="1" t="s">
        <v>208</v>
      </c>
      <c r="P182" s="1" t="s">
        <v>2735</v>
      </c>
      <c r="Q182" s="1" t="s">
        <v>2736</v>
      </c>
      <c r="R182" s="1">
        <v>7.51</v>
      </c>
      <c r="S182" s="1" t="s">
        <v>1003</v>
      </c>
      <c r="T182" s="1">
        <v>40.747999999999998</v>
      </c>
      <c r="U182" s="1">
        <v>29.99</v>
      </c>
      <c r="V182" s="1">
        <v>16</v>
      </c>
      <c r="W182" s="1" t="s">
        <v>730</v>
      </c>
      <c r="X182" s="1" t="s">
        <v>2571</v>
      </c>
      <c r="Y182" s="1">
        <v>271</v>
      </c>
      <c r="Z182" s="1">
        <v>80</v>
      </c>
      <c r="AA182" s="1">
        <v>180</v>
      </c>
      <c r="AB182" s="1"/>
      <c r="AC182" s="1"/>
      <c r="AD182" s="1"/>
      <c r="AE182" s="1" t="s">
        <v>2566</v>
      </c>
      <c r="AF182" s="1" t="s">
        <v>862</v>
      </c>
      <c r="AG182" s="1">
        <v>1</v>
      </c>
      <c r="AH182" s="1">
        <v>7.53</v>
      </c>
      <c r="AI182" s="1">
        <v>7.2274000000000003</v>
      </c>
      <c r="AJ182" s="1">
        <v>5880</v>
      </c>
      <c r="AK182" s="1" t="s">
        <v>926</v>
      </c>
      <c r="AL182" s="1" t="s">
        <v>167</v>
      </c>
      <c r="AM182" t="s">
        <v>2740</v>
      </c>
    </row>
    <row r="183" spans="1:39" ht="19" customHeight="1">
      <c r="A183" s="4">
        <v>1161</v>
      </c>
      <c r="B183" s="4" t="s">
        <v>924</v>
      </c>
      <c r="C183" s="4">
        <v>1999</v>
      </c>
      <c r="D183" s="4" t="s">
        <v>927</v>
      </c>
      <c r="E183" s="4">
        <v>7.5</v>
      </c>
      <c r="F183" s="4">
        <v>10.9</v>
      </c>
      <c r="G183" s="4">
        <v>49.7</v>
      </c>
      <c r="H183" s="4">
        <v>5.99</v>
      </c>
      <c r="I183" s="4">
        <v>53</v>
      </c>
      <c r="J183" s="4">
        <v>33</v>
      </c>
      <c r="K183" s="4">
        <v>61</v>
      </c>
      <c r="L183" s="4">
        <v>1</v>
      </c>
      <c r="M183" s="4">
        <v>1</v>
      </c>
      <c r="N183" s="4" t="s">
        <v>730</v>
      </c>
      <c r="O183" s="1" t="s">
        <v>208</v>
      </c>
      <c r="P183" s="1" t="s">
        <v>2735</v>
      </c>
      <c r="Q183" s="1" t="s">
        <v>2736</v>
      </c>
      <c r="R183" s="1">
        <v>7.51</v>
      </c>
      <c r="S183" s="1" t="s">
        <v>1003</v>
      </c>
      <c r="T183" s="1">
        <v>40.747999999999998</v>
      </c>
      <c r="U183" s="1">
        <v>29.99</v>
      </c>
      <c r="V183" s="1">
        <v>16</v>
      </c>
      <c r="W183" s="1" t="s">
        <v>730</v>
      </c>
      <c r="X183" s="1" t="s">
        <v>2571</v>
      </c>
      <c r="Y183" s="1">
        <v>271</v>
      </c>
      <c r="Z183" s="1">
        <v>80</v>
      </c>
      <c r="AA183" s="1">
        <v>180</v>
      </c>
      <c r="AB183" s="1"/>
      <c r="AC183" s="1"/>
      <c r="AD183" s="1"/>
      <c r="AE183" s="1" t="s">
        <v>2566</v>
      </c>
      <c r="AF183" s="1" t="s">
        <v>862</v>
      </c>
      <c r="AG183" s="1">
        <v>1</v>
      </c>
      <c r="AH183" s="1">
        <v>7.53</v>
      </c>
      <c r="AI183" s="1">
        <v>7.2274000000000003</v>
      </c>
      <c r="AJ183" s="1">
        <v>5880</v>
      </c>
      <c r="AK183" s="1" t="s">
        <v>926</v>
      </c>
      <c r="AL183" s="1" t="s">
        <v>167</v>
      </c>
      <c r="AM183" t="s">
        <v>2740</v>
      </c>
    </row>
    <row r="184" spans="1:39" ht="19" customHeight="1">
      <c r="A184" s="4">
        <v>1165</v>
      </c>
      <c r="B184" s="4" t="s">
        <v>924</v>
      </c>
      <c r="C184" s="4">
        <v>1999</v>
      </c>
      <c r="D184" s="4" t="s">
        <v>928</v>
      </c>
      <c r="E184" s="4">
        <v>7.5</v>
      </c>
      <c r="F184" s="4">
        <v>7.2</v>
      </c>
      <c r="G184" s="4">
        <v>16.899999999999999</v>
      </c>
      <c r="H184" s="4">
        <v>5.37</v>
      </c>
      <c r="I184" s="4">
        <v>38.1</v>
      </c>
      <c r="J184" s="4">
        <v>265</v>
      </c>
      <c r="K184" s="4">
        <v>5</v>
      </c>
      <c r="L184" s="4">
        <v>0</v>
      </c>
      <c r="M184" s="4">
        <v>1</v>
      </c>
      <c r="N184" s="4" t="s">
        <v>730</v>
      </c>
      <c r="O184" s="1" t="s">
        <v>208</v>
      </c>
      <c r="P184" s="1" t="s">
        <v>2735</v>
      </c>
      <c r="Q184" s="1" t="s">
        <v>2736</v>
      </c>
      <c r="R184" s="1">
        <v>7.51</v>
      </c>
      <c r="S184" s="1" t="s">
        <v>1003</v>
      </c>
      <c r="T184" s="1">
        <v>40.747999999999998</v>
      </c>
      <c r="U184" s="1">
        <v>29.99</v>
      </c>
      <c r="V184" s="1">
        <v>16</v>
      </c>
      <c r="W184" s="1" t="s">
        <v>730</v>
      </c>
      <c r="X184" s="1" t="s">
        <v>2571</v>
      </c>
      <c r="Y184" s="1">
        <v>271</v>
      </c>
      <c r="Z184" s="1">
        <v>80</v>
      </c>
      <c r="AA184" s="1">
        <v>180</v>
      </c>
      <c r="AB184" s="1"/>
      <c r="AC184" s="1"/>
      <c r="AD184" s="1"/>
      <c r="AE184" s="1" t="s">
        <v>2566</v>
      </c>
      <c r="AF184" s="1" t="s">
        <v>862</v>
      </c>
      <c r="AG184" s="1">
        <v>1</v>
      </c>
      <c r="AH184" s="1">
        <v>7.53</v>
      </c>
      <c r="AI184" s="1">
        <v>7.2274000000000003</v>
      </c>
      <c r="AJ184" s="1">
        <v>5880</v>
      </c>
      <c r="AK184" s="1" t="s">
        <v>926</v>
      </c>
      <c r="AL184" s="1" t="s">
        <v>167</v>
      </c>
      <c r="AM184" t="s">
        <v>2740</v>
      </c>
    </row>
    <row r="185" spans="1:39" ht="19" customHeight="1">
      <c r="A185" s="4">
        <v>1176</v>
      </c>
      <c r="B185" s="4" t="s">
        <v>924</v>
      </c>
      <c r="C185" s="4">
        <v>1999</v>
      </c>
      <c r="D185" s="4" t="s">
        <v>929</v>
      </c>
      <c r="E185" s="4">
        <v>7.5</v>
      </c>
      <c r="F185" s="4">
        <v>4.8</v>
      </c>
      <c r="G185" s="4">
        <v>25.1</v>
      </c>
      <c r="H185" s="4">
        <v>4.95</v>
      </c>
      <c r="I185" s="4">
        <v>90.6</v>
      </c>
      <c r="J185" s="4">
        <v>25</v>
      </c>
      <c r="K185" s="4">
        <v>64</v>
      </c>
      <c r="L185" s="4">
        <v>1</v>
      </c>
      <c r="M185" s="4">
        <v>1</v>
      </c>
      <c r="N185" s="4" t="s">
        <v>730</v>
      </c>
      <c r="O185" s="1" t="s">
        <v>208</v>
      </c>
      <c r="P185" s="1" t="s">
        <v>2735</v>
      </c>
      <c r="Q185" s="1" t="s">
        <v>2736</v>
      </c>
      <c r="R185" s="1">
        <v>7.51</v>
      </c>
      <c r="S185" s="1" t="s">
        <v>1003</v>
      </c>
      <c r="T185" s="1">
        <v>40.747999999999998</v>
      </c>
      <c r="U185" s="1">
        <v>29.99</v>
      </c>
      <c r="V185" s="1">
        <v>16</v>
      </c>
      <c r="W185" s="1" t="s">
        <v>730</v>
      </c>
      <c r="X185" s="1" t="s">
        <v>2571</v>
      </c>
      <c r="Y185" s="1">
        <v>271</v>
      </c>
      <c r="Z185" s="1">
        <v>80</v>
      </c>
      <c r="AA185" s="1">
        <v>180</v>
      </c>
      <c r="AB185" s="1"/>
      <c r="AC185" s="1"/>
      <c r="AD185" s="1"/>
      <c r="AE185" s="1" t="s">
        <v>2566</v>
      </c>
      <c r="AF185" s="1" t="s">
        <v>862</v>
      </c>
      <c r="AG185" s="1">
        <v>1</v>
      </c>
      <c r="AH185" s="1">
        <v>7.53</v>
      </c>
      <c r="AI185" s="1">
        <v>7.2274000000000003</v>
      </c>
      <c r="AJ185" s="1">
        <v>5880</v>
      </c>
      <c r="AK185" s="1" t="s">
        <v>926</v>
      </c>
      <c r="AL185" s="1" t="s">
        <v>167</v>
      </c>
      <c r="AM185" t="s">
        <v>2740</v>
      </c>
    </row>
    <row r="186" spans="1:39" ht="19" customHeight="1">
      <c r="A186" s="4">
        <v>3965</v>
      </c>
      <c r="B186" s="4" t="s">
        <v>930</v>
      </c>
      <c r="C186" s="4">
        <v>2000</v>
      </c>
      <c r="D186" s="4" t="s">
        <v>931</v>
      </c>
      <c r="E186" s="4">
        <v>6.6</v>
      </c>
      <c r="F186" s="4">
        <v>6.9</v>
      </c>
      <c r="G186" s="4">
        <v>20.7</v>
      </c>
      <c r="H186" s="4">
        <v>1.54</v>
      </c>
      <c r="I186" s="4">
        <v>53.2</v>
      </c>
      <c r="J186" s="4">
        <v>276</v>
      </c>
      <c r="K186" s="4">
        <v>54</v>
      </c>
      <c r="L186" s="4">
        <v>0</v>
      </c>
      <c r="M186" s="4">
        <v>1</v>
      </c>
      <c r="N186" s="4" t="s">
        <v>730</v>
      </c>
      <c r="O186" s="1" t="s">
        <v>506</v>
      </c>
      <c r="P186" s="1" t="s">
        <v>2741</v>
      </c>
      <c r="Q186" s="1" t="s">
        <v>2742</v>
      </c>
      <c r="R186" s="1">
        <v>6.61</v>
      </c>
      <c r="S186" s="1" t="s">
        <v>1003</v>
      </c>
      <c r="T186" s="1">
        <v>35.274999999999999</v>
      </c>
      <c r="U186" s="1">
        <v>133.35</v>
      </c>
      <c r="V186" s="1">
        <v>12.5</v>
      </c>
      <c r="W186" s="1" t="s">
        <v>730</v>
      </c>
      <c r="X186" s="1" t="s">
        <v>2571</v>
      </c>
      <c r="Y186" s="1">
        <v>330</v>
      </c>
      <c r="Z186" s="1">
        <v>90</v>
      </c>
      <c r="AA186" s="1">
        <v>0</v>
      </c>
      <c r="AB186" s="1"/>
      <c r="AC186" s="1"/>
      <c r="AD186" s="1"/>
      <c r="AE186" s="1" t="s">
        <v>2566</v>
      </c>
      <c r="AF186" s="1" t="s">
        <v>731</v>
      </c>
      <c r="AG186" s="1"/>
      <c r="AH186" s="1"/>
      <c r="AI186" s="1"/>
      <c r="AJ186" s="1"/>
      <c r="AK186" s="1"/>
      <c r="AL186" s="1" t="s">
        <v>167</v>
      </c>
      <c r="AM186" t="s">
        <v>2744</v>
      </c>
    </row>
    <row r="187" spans="1:39" ht="19" customHeight="1">
      <c r="A187" s="4">
        <v>1853</v>
      </c>
      <c r="B187" s="4" t="s">
        <v>514</v>
      </c>
      <c r="C187" s="4">
        <v>2000</v>
      </c>
      <c r="D187" s="4" t="s">
        <v>932</v>
      </c>
      <c r="E187" s="4">
        <v>5</v>
      </c>
      <c r="F187" s="4">
        <v>11.5</v>
      </c>
      <c r="G187" s="4">
        <v>14.2</v>
      </c>
      <c r="H187" s="4">
        <v>0.73</v>
      </c>
      <c r="I187" s="4">
        <v>42.4</v>
      </c>
      <c r="J187" s="4">
        <v>66</v>
      </c>
      <c r="K187" s="4">
        <v>84</v>
      </c>
      <c r="L187" s="4">
        <v>1</v>
      </c>
      <c r="M187" s="4">
        <v>0</v>
      </c>
      <c r="N187" s="4" t="s">
        <v>730</v>
      </c>
      <c r="O187" s="1" t="s">
        <v>513</v>
      </c>
      <c r="P187" s="1" t="s">
        <v>2745</v>
      </c>
      <c r="Q187" s="1" t="s">
        <v>2746</v>
      </c>
      <c r="R187" s="1">
        <v>5</v>
      </c>
      <c r="S187" s="1" t="s">
        <v>1003</v>
      </c>
      <c r="T187" s="1">
        <v>38.378799999999998</v>
      </c>
      <c r="U187" s="1">
        <v>-122.4127</v>
      </c>
      <c r="V187" s="1">
        <v>10.119999999999999</v>
      </c>
      <c r="W187" s="1" t="s">
        <v>730</v>
      </c>
      <c r="X187" s="1" t="s">
        <v>2571</v>
      </c>
      <c r="Y187" s="1">
        <v>150</v>
      </c>
      <c r="Z187" s="1">
        <v>90</v>
      </c>
      <c r="AA187" s="1">
        <v>170</v>
      </c>
      <c r="AB187" s="1"/>
      <c r="AC187" s="1"/>
      <c r="AD187" s="1"/>
      <c r="AE187" s="1" t="s">
        <v>2566</v>
      </c>
      <c r="AF187" s="1" t="s">
        <v>731</v>
      </c>
      <c r="AG187" s="1"/>
      <c r="AH187" s="1"/>
      <c r="AI187" s="1"/>
      <c r="AJ187" s="1"/>
      <c r="AK187" s="1"/>
      <c r="AL187" s="1" t="s">
        <v>167</v>
      </c>
      <c r="AM187" t="s">
        <v>2748</v>
      </c>
    </row>
    <row r="188" spans="1:39" ht="19" customHeight="1">
      <c r="A188" s="4">
        <v>2114</v>
      </c>
      <c r="B188" s="4" t="s">
        <v>933</v>
      </c>
      <c r="C188" s="4">
        <v>2002</v>
      </c>
      <c r="D188" s="4" t="s">
        <v>934</v>
      </c>
      <c r="E188" s="4">
        <v>7.9</v>
      </c>
      <c r="F188" s="4">
        <v>2.7</v>
      </c>
      <c r="G188" s="4">
        <v>84.9</v>
      </c>
      <c r="H188" s="4">
        <v>3.16</v>
      </c>
      <c r="I188" s="4">
        <v>121.4</v>
      </c>
      <c r="J188" s="4">
        <v>56</v>
      </c>
      <c r="K188" s="4">
        <v>13</v>
      </c>
      <c r="L188" s="4">
        <v>0</v>
      </c>
      <c r="M188" s="4">
        <v>1</v>
      </c>
      <c r="N188" s="4" t="s">
        <v>730</v>
      </c>
      <c r="O188" s="1" t="s">
        <v>214</v>
      </c>
      <c r="P188" s="1" t="s">
        <v>2750</v>
      </c>
      <c r="Q188" s="1" t="s">
        <v>2751</v>
      </c>
      <c r="R188" s="1">
        <v>7.9</v>
      </c>
      <c r="S188" s="1" t="s">
        <v>1003</v>
      </c>
      <c r="T188" s="1">
        <v>63.542000000000002</v>
      </c>
      <c r="U188" s="1">
        <v>-147.4444</v>
      </c>
      <c r="V188" s="1">
        <v>8.9026999999999994</v>
      </c>
      <c r="W188" s="1" t="s">
        <v>730</v>
      </c>
      <c r="X188" s="1" t="s">
        <v>2571</v>
      </c>
      <c r="Y188" s="1">
        <v>298</v>
      </c>
      <c r="Z188" s="1">
        <v>82</v>
      </c>
      <c r="AA188" s="1">
        <v>171</v>
      </c>
      <c r="AB188" s="1"/>
      <c r="AC188" s="1"/>
      <c r="AD188" s="1"/>
      <c r="AE188" s="1" t="s">
        <v>2566</v>
      </c>
      <c r="AF188" s="1" t="s">
        <v>862</v>
      </c>
      <c r="AG188" s="1">
        <v>5</v>
      </c>
      <c r="AH188" s="1">
        <v>7.97</v>
      </c>
      <c r="AI188" s="1">
        <v>14.9975</v>
      </c>
      <c r="AJ188" s="1">
        <v>11760</v>
      </c>
      <c r="AK188" s="1" t="s">
        <v>935</v>
      </c>
      <c r="AL188" s="1" t="s">
        <v>167</v>
      </c>
      <c r="AM188" t="s">
        <v>2756</v>
      </c>
    </row>
    <row r="189" spans="1:39" ht="19" customHeight="1">
      <c r="A189" s="4">
        <v>4040</v>
      </c>
      <c r="B189" s="4" t="s">
        <v>936</v>
      </c>
      <c r="C189" s="4">
        <v>2003</v>
      </c>
      <c r="D189" s="4" t="s">
        <v>937</v>
      </c>
      <c r="E189" s="4">
        <v>6.6</v>
      </c>
      <c r="F189" s="4">
        <v>1.7</v>
      </c>
      <c r="G189" s="4">
        <v>13.9</v>
      </c>
      <c r="H189" s="4">
        <v>2.02</v>
      </c>
      <c r="I189" s="4">
        <v>124.2</v>
      </c>
      <c r="J189" s="4">
        <v>277</v>
      </c>
      <c r="K189" s="4">
        <v>78</v>
      </c>
      <c r="L189" s="4">
        <v>1</v>
      </c>
      <c r="M189" s="4">
        <v>1</v>
      </c>
      <c r="N189" s="4" t="s">
        <v>730</v>
      </c>
      <c r="O189" s="1" t="s">
        <v>533</v>
      </c>
      <c r="P189" s="1" t="s">
        <v>2757</v>
      </c>
      <c r="Q189" s="1" t="s">
        <v>2758</v>
      </c>
      <c r="R189" s="1">
        <v>6.6</v>
      </c>
      <c r="S189" s="1" t="s">
        <v>1003</v>
      </c>
      <c r="T189" s="1">
        <v>28.984000000000002</v>
      </c>
      <c r="U189" s="1">
        <v>58.359000000000002</v>
      </c>
      <c r="V189" s="1">
        <v>6</v>
      </c>
      <c r="W189" s="1" t="s">
        <v>730</v>
      </c>
      <c r="X189" s="1" t="s">
        <v>2571</v>
      </c>
      <c r="Y189" s="1">
        <v>354.6</v>
      </c>
      <c r="Z189" s="1">
        <v>85.5</v>
      </c>
      <c r="AA189" s="1">
        <v>-177</v>
      </c>
      <c r="AB189" s="1"/>
      <c r="AC189" s="1"/>
      <c r="AD189" s="1"/>
      <c r="AE189" s="1" t="s">
        <v>2566</v>
      </c>
      <c r="AF189" s="1" t="s">
        <v>731</v>
      </c>
      <c r="AG189" s="1"/>
      <c r="AH189" s="1"/>
      <c r="AI189" s="1"/>
      <c r="AJ189" s="1"/>
      <c r="AK189" s="1"/>
      <c r="AL189" s="1" t="s">
        <v>167</v>
      </c>
      <c r="AM189" t="s">
        <v>2761</v>
      </c>
    </row>
    <row r="190" spans="1:39" ht="19" customHeight="1">
      <c r="A190" s="4">
        <v>4211</v>
      </c>
      <c r="B190" s="4" t="s">
        <v>938</v>
      </c>
      <c r="C190" s="4">
        <v>2004</v>
      </c>
      <c r="D190" s="4" t="s">
        <v>939</v>
      </c>
      <c r="E190" s="4">
        <v>6.6</v>
      </c>
      <c r="F190" s="4">
        <v>11.3</v>
      </c>
      <c r="G190" s="4">
        <v>24</v>
      </c>
      <c r="H190" s="4">
        <v>0.32</v>
      </c>
      <c r="I190" s="4">
        <v>66.900000000000006</v>
      </c>
      <c r="J190" s="4">
        <v>40</v>
      </c>
      <c r="K190" s="4">
        <v>8</v>
      </c>
      <c r="L190" s="4">
        <v>0</v>
      </c>
      <c r="M190" s="4">
        <v>1</v>
      </c>
      <c r="N190" s="4" t="s">
        <v>734</v>
      </c>
      <c r="O190" s="1" t="s">
        <v>540</v>
      </c>
      <c r="P190" s="1" t="s">
        <v>2762</v>
      </c>
      <c r="Q190" s="1" t="s">
        <v>2763</v>
      </c>
      <c r="R190" s="1">
        <v>6.63</v>
      </c>
      <c r="S190" s="1" t="s">
        <v>1003</v>
      </c>
      <c r="T190" s="1">
        <v>37.307000000000002</v>
      </c>
      <c r="U190" s="1">
        <v>138.839</v>
      </c>
      <c r="V190" s="1">
        <v>10.6</v>
      </c>
      <c r="W190" s="1" t="s">
        <v>734</v>
      </c>
      <c r="X190" s="1" t="s">
        <v>2571</v>
      </c>
      <c r="Y190" s="1">
        <v>212</v>
      </c>
      <c r="Z190" s="1">
        <v>47</v>
      </c>
      <c r="AA190" s="1">
        <v>93</v>
      </c>
      <c r="AB190" s="1"/>
      <c r="AC190" s="1"/>
      <c r="AD190" s="1"/>
      <c r="AE190" s="1" t="s">
        <v>2566</v>
      </c>
      <c r="AF190" s="1" t="s">
        <v>731</v>
      </c>
      <c r="AG190" s="1"/>
      <c r="AH190" s="1"/>
      <c r="AI190" s="1"/>
      <c r="AJ190" s="1"/>
      <c r="AK190" s="1"/>
      <c r="AL190" s="1" t="s">
        <v>167</v>
      </c>
      <c r="AM190" t="s">
        <v>2766</v>
      </c>
    </row>
    <row r="191" spans="1:39" ht="19" customHeight="1">
      <c r="A191" s="4">
        <v>4228</v>
      </c>
      <c r="B191" s="4" t="s">
        <v>938</v>
      </c>
      <c r="C191" s="4">
        <v>2004</v>
      </c>
      <c r="D191" s="4" t="s">
        <v>940</v>
      </c>
      <c r="E191" s="4">
        <v>6.6</v>
      </c>
      <c r="F191" s="4">
        <v>8.9</v>
      </c>
      <c r="G191" s="4">
        <v>20.3</v>
      </c>
      <c r="H191" s="4">
        <v>1.8</v>
      </c>
      <c r="I191" s="4">
        <v>65.599999999999994</v>
      </c>
      <c r="J191" s="4">
        <v>43</v>
      </c>
      <c r="K191" s="4">
        <v>11</v>
      </c>
      <c r="L191" s="4">
        <v>0</v>
      </c>
      <c r="M191" s="4">
        <v>1</v>
      </c>
      <c r="N191" s="4" t="s">
        <v>734</v>
      </c>
      <c r="O191" s="1" t="s">
        <v>540</v>
      </c>
      <c r="P191" s="1" t="s">
        <v>2762</v>
      </c>
      <c r="Q191" s="1" t="s">
        <v>2763</v>
      </c>
      <c r="R191" s="1">
        <v>6.63</v>
      </c>
      <c r="S191" s="1" t="s">
        <v>1003</v>
      </c>
      <c r="T191" s="1">
        <v>37.307000000000002</v>
      </c>
      <c r="U191" s="1">
        <v>138.839</v>
      </c>
      <c r="V191" s="1">
        <v>10.6</v>
      </c>
      <c r="W191" s="1" t="s">
        <v>734</v>
      </c>
      <c r="X191" s="1" t="s">
        <v>2571</v>
      </c>
      <c r="Y191" s="1">
        <v>212</v>
      </c>
      <c r="Z191" s="1">
        <v>47</v>
      </c>
      <c r="AA191" s="1">
        <v>93</v>
      </c>
      <c r="AB191" s="1"/>
      <c r="AC191" s="1"/>
      <c r="AD191" s="1"/>
      <c r="AE191" s="1" t="s">
        <v>2566</v>
      </c>
      <c r="AF191" s="1" t="s">
        <v>731</v>
      </c>
      <c r="AG191" s="1"/>
      <c r="AH191" s="1"/>
      <c r="AI191" s="1"/>
      <c r="AJ191" s="1"/>
      <c r="AK191" s="1"/>
      <c r="AL191" s="1" t="s">
        <v>167</v>
      </c>
      <c r="AM191" t="s">
        <v>2766</v>
      </c>
    </row>
    <row r="192" spans="1:39" ht="19" customHeight="1">
      <c r="A192" s="4">
        <v>4065</v>
      </c>
      <c r="B192" s="4" t="s">
        <v>941</v>
      </c>
      <c r="C192" s="4">
        <v>2004</v>
      </c>
      <c r="D192" s="4" t="s">
        <v>942</v>
      </c>
      <c r="E192" s="4">
        <v>6</v>
      </c>
      <c r="F192" s="4">
        <v>2.9</v>
      </c>
      <c r="G192" s="4">
        <v>12.8</v>
      </c>
      <c r="H192" s="4">
        <v>1.22</v>
      </c>
      <c r="I192" s="4">
        <v>35.799999999999997</v>
      </c>
      <c r="J192" s="4">
        <v>41</v>
      </c>
      <c r="K192" s="4">
        <v>80</v>
      </c>
      <c r="L192" s="4">
        <v>1</v>
      </c>
      <c r="M192" s="4">
        <v>1</v>
      </c>
      <c r="N192" s="4" t="s">
        <v>730</v>
      </c>
      <c r="O192" s="1" t="s">
        <v>547</v>
      </c>
      <c r="P192" s="1" t="s">
        <v>2767</v>
      </c>
      <c r="Q192" s="1" t="s">
        <v>2768</v>
      </c>
      <c r="R192" s="1">
        <v>6</v>
      </c>
      <c r="S192" s="1" t="s">
        <v>1003</v>
      </c>
      <c r="T192" s="1">
        <v>35.817</v>
      </c>
      <c r="U192" s="1">
        <v>-120.36499999999999</v>
      </c>
      <c r="V192" s="1">
        <v>8.1</v>
      </c>
      <c r="W192" s="1" t="s">
        <v>730</v>
      </c>
      <c r="X192" s="1" t="s">
        <v>2571</v>
      </c>
      <c r="Y192" s="1">
        <v>141</v>
      </c>
      <c r="Z192" s="1">
        <v>89</v>
      </c>
      <c r="AA192" s="1">
        <v>-175</v>
      </c>
      <c r="AB192" s="1"/>
      <c r="AC192" s="1"/>
      <c r="AD192" s="1"/>
      <c r="AE192" s="1" t="s">
        <v>2566</v>
      </c>
      <c r="AF192" s="1" t="s">
        <v>731</v>
      </c>
      <c r="AG192" s="1"/>
      <c r="AH192" s="1"/>
      <c r="AI192" s="1"/>
      <c r="AJ192" s="1"/>
      <c r="AK192" s="1"/>
      <c r="AL192" s="1" t="s">
        <v>167</v>
      </c>
      <c r="AM192" t="s">
        <v>2771</v>
      </c>
    </row>
    <row r="193" spans="1:39" ht="19" customHeight="1">
      <c r="A193" s="4">
        <v>4097</v>
      </c>
      <c r="B193" s="4" t="s">
        <v>941</v>
      </c>
      <c r="C193" s="4">
        <v>2004</v>
      </c>
      <c r="D193" s="4" t="s">
        <v>943</v>
      </c>
      <c r="E193" s="4">
        <v>6</v>
      </c>
      <c r="F193" s="4">
        <v>3</v>
      </c>
      <c r="G193" s="4">
        <v>32.5</v>
      </c>
      <c r="H193" s="4">
        <v>0.85</v>
      </c>
      <c r="I193" s="4">
        <v>53.2</v>
      </c>
      <c r="J193" s="4">
        <v>0</v>
      </c>
      <c r="K193" s="4">
        <v>39</v>
      </c>
      <c r="L193" s="4">
        <v>0</v>
      </c>
      <c r="M193" s="4">
        <v>1</v>
      </c>
      <c r="N193" s="4" t="s">
        <v>730</v>
      </c>
      <c r="O193" s="1" t="s">
        <v>547</v>
      </c>
      <c r="P193" s="1" t="s">
        <v>2767</v>
      </c>
      <c r="Q193" s="1" t="s">
        <v>2768</v>
      </c>
      <c r="R193" s="1">
        <v>6</v>
      </c>
      <c r="S193" s="1" t="s">
        <v>1003</v>
      </c>
      <c r="T193" s="1">
        <v>35.817</v>
      </c>
      <c r="U193" s="1">
        <v>-120.36499999999999</v>
      </c>
      <c r="V193" s="1">
        <v>8.1</v>
      </c>
      <c r="W193" s="1" t="s">
        <v>730</v>
      </c>
      <c r="X193" s="1" t="s">
        <v>2571</v>
      </c>
      <c r="Y193" s="1">
        <v>141</v>
      </c>
      <c r="Z193" s="1">
        <v>89</v>
      </c>
      <c r="AA193" s="1">
        <v>-175</v>
      </c>
      <c r="AB193" s="1"/>
      <c r="AC193" s="1"/>
      <c r="AD193" s="1"/>
      <c r="AE193" s="1" t="s">
        <v>2566</v>
      </c>
      <c r="AF193" s="1" t="s">
        <v>731</v>
      </c>
      <c r="AG193" s="1"/>
      <c r="AH193" s="1"/>
      <c r="AI193" s="1"/>
      <c r="AJ193" s="1"/>
      <c r="AK193" s="1"/>
      <c r="AL193" s="1" t="s">
        <v>167</v>
      </c>
      <c r="AM193" t="s">
        <v>2771</v>
      </c>
    </row>
    <row r="194" spans="1:39" ht="19" customHeight="1">
      <c r="A194" s="4">
        <v>4098</v>
      </c>
      <c r="B194" s="4" t="s">
        <v>941</v>
      </c>
      <c r="C194" s="4">
        <v>2004</v>
      </c>
      <c r="D194" s="4" t="s">
        <v>944</v>
      </c>
      <c r="E194" s="4">
        <v>6</v>
      </c>
      <c r="F194" s="4">
        <v>3</v>
      </c>
      <c r="G194" s="4">
        <v>14</v>
      </c>
      <c r="H194" s="4">
        <v>1.33</v>
      </c>
      <c r="I194" s="4">
        <v>51.6</v>
      </c>
      <c r="J194" s="4">
        <v>58</v>
      </c>
      <c r="K194" s="4">
        <v>83</v>
      </c>
      <c r="L194" s="4">
        <v>1</v>
      </c>
      <c r="M194" s="4">
        <v>1</v>
      </c>
      <c r="N194" s="4" t="s">
        <v>730</v>
      </c>
      <c r="O194" s="1" t="s">
        <v>547</v>
      </c>
      <c r="P194" s="1" t="s">
        <v>2767</v>
      </c>
      <c r="Q194" s="1" t="s">
        <v>2768</v>
      </c>
      <c r="R194" s="1">
        <v>6</v>
      </c>
      <c r="S194" s="1" t="s">
        <v>1003</v>
      </c>
      <c r="T194" s="1">
        <v>35.817</v>
      </c>
      <c r="U194" s="1">
        <v>-120.36499999999999</v>
      </c>
      <c r="V194" s="1">
        <v>8.1</v>
      </c>
      <c r="W194" s="1" t="s">
        <v>730</v>
      </c>
      <c r="X194" s="1" t="s">
        <v>2571</v>
      </c>
      <c r="Y194" s="1">
        <v>141</v>
      </c>
      <c r="Z194" s="1">
        <v>89</v>
      </c>
      <c r="AA194" s="1">
        <v>-175</v>
      </c>
      <c r="AB194" s="1"/>
      <c r="AC194" s="1"/>
      <c r="AD194" s="1"/>
      <c r="AE194" s="1" t="s">
        <v>2566</v>
      </c>
      <c r="AF194" s="1" t="s">
        <v>731</v>
      </c>
      <c r="AG194" s="1"/>
      <c r="AH194" s="1"/>
      <c r="AI194" s="1"/>
      <c r="AJ194" s="1"/>
      <c r="AK194" s="1"/>
      <c r="AL194" s="1" t="s">
        <v>167</v>
      </c>
      <c r="AM194" t="s">
        <v>2771</v>
      </c>
    </row>
    <row r="195" spans="1:39" ht="19" customHeight="1">
      <c r="A195" s="4">
        <v>4100</v>
      </c>
      <c r="B195" s="4" t="s">
        <v>941</v>
      </c>
      <c r="C195" s="4">
        <v>2004</v>
      </c>
      <c r="D195" s="4" t="s">
        <v>945</v>
      </c>
      <c r="E195" s="4">
        <v>6</v>
      </c>
      <c r="F195" s="4">
        <v>3</v>
      </c>
      <c r="G195" s="4">
        <v>14.1</v>
      </c>
      <c r="H195" s="4">
        <v>1.08</v>
      </c>
      <c r="I195" s="4">
        <v>57.9</v>
      </c>
      <c r="J195" s="4">
        <v>67</v>
      </c>
      <c r="K195" s="4">
        <v>74</v>
      </c>
      <c r="L195" s="4">
        <v>1</v>
      </c>
      <c r="M195" s="4">
        <v>1</v>
      </c>
      <c r="N195" s="4" t="s">
        <v>730</v>
      </c>
      <c r="O195" s="1" t="s">
        <v>547</v>
      </c>
      <c r="P195" s="1" t="s">
        <v>2767</v>
      </c>
      <c r="Q195" s="1" t="s">
        <v>2768</v>
      </c>
      <c r="R195" s="1">
        <v>6</v>
      </c>
      <c r="S195" s="1" t="s">
        <v>1003</v>
      </c>
      <c r="T195" s="1">
        <v>35.817</v>
      </c>
      <c r="U195" s="1">
        <v>-120.36499999999999</v>
      </c>
      <c r="V195" s="1">
        <v>8.1</v>
      </c>
      <c r="W195" s="1" t="s">
        <v>730</v>
      </c>
      <c r="X195" s="1" t="s">
        <v>2571</v>
      </c>
      <c r="Y195" s="1">
        <v>141</v>
      </c>
      <c r="Z195" s="1">
        <v>89</v>
      </c>
      <c r="AA195" s="1">
        <v>-175</v>
      </c>
      <c r="AB195" s="1"/>
      <c r="AC195" s="1"/>
      <c r="AD195" s="1"/>
      <c r="AE195" s="1" t="s">
        <v>2566</v>
      </c>
      <c r="AF195" s="1" t="s">
        <v>731</v>
      </c>
      <c r="AG195" s="1"/>
      <c r="AH195" s="1"/>
      <c r="AI195" s="1"/>
      <c r="AJ195" s="1"/>
      <c r="AK195" s="1"/>
      <c r="AL195" s="1" t="s">
        <v>167</v>
      </c>
      <c r="AM195" t="s">
        <v>2771</v>
      </c>
    </row>
    <row r="196" spans="1:39" ht="19" customHeight="1">
      <c r="A196" s="4">
        <v>4101</v>
      </c>
      <c r="B196" s="4" t="s">
        <v>941</v>
      </c>
      <c r="C196" s="4">
        <v>2004</v>
      </c>
      <c r="D196" s="4" t="s">
        <v>946</v>
      </c>
      <c r="E196" s="4">
        <v>6</v>
      </c>
      <c r="F196" s="4">
        <v>5.5</v>
      </c>
      <c r="G196" s="4">
        <v>14.4</v>
      </c>
      <c r="H196" s="4">
        <v>0.52</v>
      </c>
      <c r="I196" s="4">
        <v>31</v>
      </c>
      <c r="J196" s="4">
        <v>66</v>
      </c>
      <c r="K196" s="4">
        <v>75</v>
      </c>
      <c r="L196" s="4">
        <v>1</v>
      </c>
      <c r="M196" s="4">
        <v>1</v>
      </c>
      <c r="N196" s="4" t="s">
        <v>730</v>
      </c>
      <c r="O196" s="1" t="s">
        <v>547</v>
      </c>
      <c r="P196" s="1" t="s">
        <v>2767</v>
      </c>
      <c r="Q196" s="1" t="s">
        <v>2768</v>
      </c>
      <c r="R196" s="1">
        <v>6</v>
      </c>
      <c r="S196" s="1" t="s">
        <v>1003</v>
      </c>
      <c r="T196" s="1">
        <v>35.817</v>
      </c>
      <c r="U196" s="1">
        <v>-120.36499999999999</v>
      </c>
      <c r="V196" s="1">
        <v>8.1</v>
      </c>
      <c r="W196" s="1" t="s">
        <v>730</v>
      </c>
      <c r="X196" s="1" t="s">
        <v>2571</v>
      </c>
      <c r="Y196" s="1">
        <v>141</v>
      </c>
      <c r="Z196" s="1">
        <v>89</v>
      </c>
      <c r="AA196" s="1">
        <v>-175</v>
      </c>
      <c r="AB196" s="1"/>
      <c r="AC196" s="1"/>
      <c r="AD196" s="1"/>
      <c r="AE196" s="1" t="s">
        <v>2566</v>
      </c>
      <c r="AF196" s="1" t="s">
        <v>731</v>
      </c>
      <c r="AG196" s="1"/>
      <c r="AH196" s="1"/>
      <c r="AI196" s="1"/>
      <c r="AJ196" s="1"/>
      <c r="AK196" s="1"/>
      <c r="AL196" s="1" t="s">
        <v>167</v>
      </c>
      <c r="AM196" t="s">
        <v>2771</v>
      </c>
    </row>
    <row r="197" spans="1:39" ht="19" customHeight="1">
      <c r="A197" s="4">
        <v>4102</v>
      </c>
      <c r="B197" s="4" t="s">
        <v>941</v>
      </c>
      <c r="C197" s="4">
        <v>2004</v>
      </c>
      <c r="D197" s="4" t="s">
        <v>947</v>
      </c>
      <c r="E197" s="4">
        <v>6</v>
      </c>
      <c r="F197" s="4">
        <v>3.6</v>
      </c>
      <c r="G197" s="4">
        <v>14.6</v>
      </c>
      <c r="H197" s="4">
        <v>1.02</v>
      </c>
      <c r="I197" s="4">
        <v>43.5</v>
      </c>
      <c r="J197" s="4">
        <v>27</v>
      </c>
      <c r="K197" s="4">
        <v>66</v>
      </c>
      <c r="L197" s="4">
        <v>1</v>
      </c>
      <c r="M197" s="4">
        <v>1</v>
      </c>
      <c r="N197" s="4" t="s">
        <v>730</v>
      </c>
      <c r="O197" s="1" t="s">
        <v>547</v>
      </c>
      <c r="P197" s="1" t="s">
        <v>2767</v>
      </c>
      <c r="Q197" s="1" t="s">
        <v>2768</v>
      </c>
      <c r="R197" s="1">
        <v>6</v>
      </c>
      <c r="S197" s="1" t="s">
        <v>1003</v>
      </c>
      <c r="T197" s="1">
        <v>35.817</v>
      </c>
      <c r="U197" s="1">
        <v>-120.36499999999999</v>
      </c>
      <c r="V197" s="1">
        <v>8.1</v>
      </c>
      <c r="W197" s="1" t="s">
        <v>730</v>
      </c>
      <c r="X197" s="1" t="s">
        <v>2571</v>
      </c>
      <c r="Y197" s="1">
        <v>141</v>
      </c>
      <c r="Z197" s="1">
        <v>89</v>
      </c>
      <c r="AA197" s="1">
        <v>-175</v>
      </c>
      <c r="AB197" s="1"/>
      <c r="AC197" s="1"/>
      <c r="AD197" s="1"/>
      <c r="AE197" s="1" t="s">
        <v>2566</v>
      </c>
      <c r="AF197" s="1" t="s">
        <v>731</v>
      </c>
      <c r="AG197" s="1"/>
      <c r="AH197" s="1"/>
      <c r="AI197" s="1"/>
      <c r="AJ197" s="1"/>
      <c r="AK197" s="1"/>
      <c r="AL197" s="1" t="s">
        <v>167</v>
      </c>
      <c r="AM197" t="s">
        <v>2771</v>
      </c>
    </row>
    <row r="198" spans="1:39" ht="19" customHeight="1">
      <c r="A198" s="4">
        <v>4103</v>
      </c>
      <c r="B198" s="4" t="s">
        <v>941</v>
      </c>
      <c r="C198" s="4">
        <v>2004</v>
      </c>
      <c r="D198" s="4" t="s">
        <v>948</v>
      </c>
      <c r="E198" s="4">
        <v>6</v>
      </c>
      <c r="F198" s="4">
        <v>4.2</v>
      </c>
      <c r="G198" s="4">
        <v>14.7</v>
      </c>
      <c r="H198" s="4">
        <v>0.7</v>
      </c>
      <c r="I198" s="4">
        <v>38.299999999999997</v>
      </c>
      <c r="J198" s="4">
        <v>43</v>
      </c>
      <c r="K198" s="4">
        <v>82</v>
      </c>
      <c r="L198" s="4">
        <v>1</v>
      </c>
      <c r="M198" s="4">
        <v>1</v>
      </c>
      <c r="N198" s="4" t="s">
        <v>730</v>
      </c>
      <c r="O198" s="1" t="s">
        <v>547</v>
      </c>
      <c r="P198" s="1" t="s">
        <v>2767</v>
      </c>
      <c r="Q198" s="1" t="s">
        <v>2768</v>
      </c>
      <c r="R198" s="1">
        <v>6</v>
      </c>
      <c r="S198" s="1" t="s">
        <v>1003</v>
      </c>
      <c r="T198" s="1">
        <v>35.817</v>
      </c>
      <c r="U198" s="1">
        <v>-120.36499999999999</v>
      </c>
      <c r="V198" s="1">
        <v>8.1</v>
      </c>
      <c r="W198" s="1" t="s">
        <v>730</v>
      </c>
      <c r="X198" s="1" t="s">
        <v>2571</v>
      </c>
      <c r="Y198" s="1">
        <v>141</v>
      </c>
      <c r="Z198" s="1">
        <v>89</v>
      </c>
      <c r="AA198" s="1">
        <v>-175</v>
      </c>
      <c r="AB198" s="1"/>
      <c r="AC198" s="1"/>
      <c r="AD198" s="1"/>
      <c r="AE198" s="1" t="s">
        <v>2566</v>
      </c>
      <c r="AF198" s="1" t="s">
        <v>731</v>
      </c>
      <c r="AG198" s="1"/>
      <c r="AH198" s="1"/>
      <c r="AI198" s="1"/>
      <c r="AJ198" s="1"/>
      <c r="AK198" s="1"/>
      <c r="AL198" s="1" t="s">
        <v>167</v>
      </c>
      <c r="AM198" t="s">
        <v>2771</v>
      </c>
    </row>
    <row r="199" spans="1:39" ht="19" customHeight="1">
      <c r="A199" s="4">
        <v>4107</v>
      </c>
      <c r="B199" s="4" t="s">
        <v>941</v>
      </c>
      <c r="C199" s="4">
        <v>2004</v>
      </c>
      <c r="D199" s="4" t="s">
        <v>949</v>
      </c>
      <c r="E199" s="4">
        <v>6</v>
      </c>
      <c r="F199" s="4">
        <v>2.5</v>
      </c>
      <c r="G199" s="4">
        <v>11.7</v>
      </c>
      <c r="H199" s="4">
        <v>1.19</v>
      </c>
      <c r="I199" s="4">
        <v>81.900000000000006</v>
      </c>
      <c r="J199" s="4">
        <v>13</v>
      </c>
      <c r="K199" s="4">
        <v>52</v>
      </c>
      <c r="L199" s="4">
        <v>1</v>
      </c>
      <c r="M199" s="4">
        <v>1</v>
      </c>
      <c r="N199" s="4" t="s">
        <v>730</v>
      </c>
      <c r="O199" s="1" t="s">
        <v>547</v>
      </c>
      <c r="P199" s="1" t="s">
        <v>2767</v>
      </c>
      <c r="Q199" s="1" t="s">
        <v>2768</v>
      </c>
      <c r="R199" s="1">
        <v>6</v>
      </c>
      <c r="S199" s="1" t="s">
        <v>1003</v>
      </c>
      <c r="T199" s="1">
        <v>35.817</v>
      </c>
      <c r="U199" s="1">
        <v>-120.36499999999999</v>
      </c>
      <c r="V199" s="1">
        <v>8.1</v>
      </c>
      <c r="W199" s="1" t="s">
        <v>730</v>
      </c>
      <c r="X199" s="1" t="s">
        <v>2571</v>
      </c>
      <c r="Y199" s="1">
        <v>141</v>
      </c>
      <c r="Z199" s="1">
        <v>89</v>
      </c>
      <c r="AA199" s="1">
        <v>-175</v>
      </c>
      <c r="AB199" s="1"/>
      <c r="AC199" s="1"/>
      <c r="AD199" s="1"/>
      <c r="AE199" s="1" t="s">
        <v>2566</v>
      </c>
      <c r="AF199" s="1" t="s">
        <v>731</v>
      </c>
      <c r="AG199" s="1"/>
      <c r="AH199" s="1"/>
      <c r="AI199" s="1"/>
      <c r="AJ199" s="1"/>
      <c r="AK199" s="1"/>
      <c r="AL199" s="1" t="s">
        <v>167</v>
      </c>
      <c r="AM199" t="s">
        <v>2771</v>
      </c>
    </row>
    <row r="200" spans="1:39" ht="19" customHeight="1">
      <c r="A200" s="4">
        <v>4113</v>
      </c>
      <c r="B200" s="4" t="s">
        <v>941</v>
      </c>
      <c r="C200" s="4">
        <v>2004</v>
      </c>
      <c r="D200" s="4" t="s">
        <v>950</v>
      </c>
      <c r="E200" s="4">
        <v>6</v>
      </c>
      <c r="F200" s="4">
        <v>2.9</v>
      </c>
      <c r="G200" s="4">
        <v>12.9</v>
      </c>
      <c r="H200" s="4">
        <v>1.1299999999999999</v>
      </c>
      <c r="I200" s="4">
        <v>27</v>
      </c>
      <c r="J200" s="4">
        <v>63</v>
      </c>
      <c r="K200" s="4">
        <v>78</v>
      </c>
      <c r="L200" s="4">
        <v>1</v>
      </c>
      <c r="M200" s="4">
        <v>1</v>
      </c>
      <c r="N200" s="4" t="s">
        <v>730</v>
      </c>
      <c r="O200" s="1" t="s">
        <v>547</v>
      </c>
      <c r="P200" s="1" t="s">
        <v>2767</v>
      </c>
      <c r="Q200" s="1" t="s">
        <v>2768</v>
      </c>
      <c r="R200" s="1">
        <v>6</v>
      </c>
      <c r="S200" s="1" t="s">
        <v>1003</v>
      </c>
      <c r="T200" s="1">
        <v>35.817</v>
      </c>
      <c r="U200" s="1">
        <v>-120.36499999999999</v>
      </c>
      <c r="V200" s="1">
        <v>8.1</v>
      </c>
      <c r="W200" s="1" t="s">
        <v>730</v>
      </c>
      <c r="X200" s="1" t="s">
        <v>2571</v>
      </c>
      <c r="Y200" s="1">
        <v>141</v>
      </c>
      <c r="Z200" s="1">
        <v>89</v>
      </c>
      <c r="AA200" s="1">
        <v>-175</v>
      </c>
      <c r="AB200" s="1"/>
      <c r="AC200" s="1"/>
      <c r="AD200" s="1"/>
      <c r="AE200" s="1" t="s">
        <v>2566</v>
      </c>
      <c r="AF200" s="1" t="s">
        <v>731</v>
      </c>
      <c r="AG200" s="1"/>
      <c r="AH200" s="1"/>
      <c r="AI200" s="1"/>
      <c r="AJ200" s="1"/>
      <c r="AK200" s="1"/>
      <c r="AL200" s="1" t="s">
        <v>167</v>
      </c>
      <c r="AM200" t="s">
        <v>2771</v>
      </c>
    </row>
    <row r="201" spans="1:39" ht="19" customHeight="1">
      <c r="A201" s="4">
        <v>4115</v>
      </c>
      <c r="B201" s="4" t="s">
        <v>941</v>
      </c>
      <c r="C201" s="4">
        <v>2004</v>
      </c>
      <c r="D201" s="4" t="s">
        <v>951</v>
      </c>
      <c r="E201" s="4">
        <v>6</v>
      </c>
      <c r="F201" s="4">
        <v>2.6</v>
      </c>
      <c r="G201" s="4">
        <v>13.7</v>
      </c>
      <c r="H201" s="4">
        <v>1.19</v>
      </c>
      <c r="I201" s="4">
        <v>56.5</v>
      </c>
      <c r="J201" s="4">
        <v>49</v>
      </c>
      <c r="K201" s="4">
        <v>88</v>
      </c>
      <c r="L201" s="4">
        <v>1</v>
      </c>
      <c r="M201" s="4">
        <v>1</v>
      </c>
      <c r="N201" s="4" t="s">
        <v>730</v>
      </c>
      <c r="O201" s="1" t="s">
        <v>547</v>
      </c>
      <c r="P201" s="1" t="s">
        <v>2767</v>
      </c>
      <c r="Q201" s="1" t="s">
        <v>2768</v>
      </c>
      <c r="R201" s="1">
        <v>6</v>
      </c>
      <c r="S201" s="1" t="s">
        <v>1003</v>
      </c>
      <c r="T201" s="1">
        <v>35.817</v>
      </c>
      <c r="U201" s="1">
        <v>-120.36499999999999</v>
      </c>
      <c r="V201" s="1">
        <v>8.1</v>
      </c>
      <c r="W201" s="1" t="s">
        <v>730</v>
      </c>
      <c r="X201" s="1" t="s">
        <v>2571</v>
      </c>
      <c r="Y201" s="1">
        <v>141</v>
      </c>
      <c r="Z201" s="1">
        <v>89</v>
      </c>
      <c r="AA201" s="1">
        <v>-175</v>
      </c>
      <c r="AB201" s="1"/>
      <c r="AC201" s="1"/>
      <c r="AD201" s="1"/>
      <c r="AE201" s="1" t="s">
        <v>2566</v>
      </c>
      <c r="AF201" s="1" t="s">
        <v>731</v>
      </c>
      <c r="AG201" s="1"/>
      <c r="AH201" s="1"/>
      <c r="AI201" s="1"/>
      <c r="AJ201" s="1"/>
      <c r="AK201" s="1"/>
      <c r="AL201" s="1" t="s">
        <v>167</v>
      </c>
      <c r="AM201" t="s">
        <v>2771</v>
      </c>
    </row>
    <row r="202" spans="1:39" ht="19" customHeight="1">
      <c r="A202" s="4">
        <v>4116</v>
      </c>
      <c r="B202" s="4" t="s">
        <v>941</v>
      </c>
      <c r="C202" s="4">
        <v>2004</v>
      </c>
      <c r="D202" s="4" t="s">
        <v>952</v>
      </c>
      <c r="E202" s="4">
        <v>6</v>
      </c>
      <c r="F202" s="4">
        <v>8.8000000000000007</v>
      </c>
      <c r="G202" s="4">
        <v>11.9</v>
      </c>
      <c r="H202" s="4">
        <v>0.6</v>
      </c>
      <c r="I202" s="4">
        <v>84.3</v>
      </c>
      <c r="J202" s="4">
        <v>64</v>
      </c>
      <c r="K202" s="4">
        <v>77</v>
      </c>
      <c r="L202" s="4">
        <v>1</v>
      </c>
      <c r="M202" s="4">
        <v>0</v>
      </c>
      <c r="N202" s="4" t="s">
        <v>730</v>
      </c>
      <c r="O202" s="1" t="s">
        <v>547</v>
      </c>
      <c r="P202" s="1" t="s">
        <v>2767</v>
      </c>
      <c r="Q202" s="1" t="s">
        <v>2768</v>
      </c>
      <c r="R202" s="1">
        <v>6</v>
      </c>
      <c r="S202" s="1" t="s">
        <v>1003</v>
      </c>
      <c r="T202" s="1">
        <v>35.817</v>
      </c>
      <c r="U202" s="1">
        <v>-120.36499999999999</v>
      </c>
      <c r="V202" s="1">
        <v>8.1</v>
      </c>
      <c r="W202" s="1" t="s">
        <v>730</v>
      </c>
      <c r="X202" s="1" t="s">
        <v>2571</v>
      </c>
      <c r="Y202" s="1">
        <v>141</v>
      </c>
      <c r="Z202" s="1">
        <v>89</v>
      </c>
      <c r="AA202" s="1">
        <v>-175</v>
      </c>
      <c r="AB202" s="1"/>
      <c r="AC202" s="1"/>
      <c r="AD202" s="1"/>
      <c r="AE202" s="1" t="s">
        <v>2566</v>
      </c>
      <c r="AF202" s="1" t="s">
        <v>731</v>
      </c>
      <c r="AG202" s="1"/>
      <c r="AH202" s="1"/>
      <c r="AI202" s="1"/>
      <c r="AJ202" s="1"/>
      <c r="AK202" s="1"/>
      <c r="AL202" s="1" t="s">
        <v>167</v>
      </c>
      <c r="AM202" t="s">
        <v>2771</v>
      </c>
    </row>
    <row r="203" spans="1:39" ht="19" customHeight="1">
      <c r="A203" s="4">
        <v>4126</v>
      </c>
      <c r="B203" s="4" t="s">
        <v>941</v>
      </c>
      <c r="C203" s="4">
        <v>2004</v>
      </c>
      <c r="D203" s="4" t="s">
        <v>953</v>
      </c>
      <c r="E203" s="4">
        <v>6</v>
      </c>
      <c r="F203" s="4">
        <v>3.8</v>
      </c>
      <c r="G203" s="4">
        <v>10.8</v>
      </c>
      <c r="H203" s="4">
        <v>0.56999999999999995</v>
      </c>
      <c r="I203" s="4">
        <v>43.4</v>
      </c>
      <c r="J203" s="4">
        <v>56</v>
      </c>
      <c r="K203" s="4">
        <v>85</v>
      </c>
      <c r="L203" s="4">
        <v>1</v>
      </c>
      <c r="M203" s="4">
        <v>1</v>
      </c>
      <c r="N203" s="4" t="s">
        <v>730</v>
      </c>
      <c r="O203" s="1" t="s">
        <v>547</v>
      </c>
      <c r="P203" s="1" t="s">
        <v>2767</v>
      </c>
      <c r="Q203" s="1" t="s">
        <v>2768</v>
      </c>
      <c r="R203" s="1">
        <v>6</v>
      </c>
      <c r="S203" s="1" t="s">
        <v>1003</v>
      </c>
      <c r="T203" s="1">
        <v>35.817</v>
      </c>
      <c r="U203" s="1">
        <v>-120.36499999999999</v>
      </c>
      <c r="V203" s="1">
        <v>8.1</v>
      </c>
      <c r="W203" s="1" t="s">
        <v>730</v>
      </c>
      <c r="X203" s="1" t="s">
        <v>2571</v>
      </c>
      <c r="Y203" s="1">
        <v>141</v>
      </c>
      <c r="Z203" s="1">
        <v>89</v>
      </c>
      <c r="AA203" s="1">
        <v>-175</v>
      </c>
      <c r="AB203" s="1"/>
      <c r="AC203" s="1"/>
      <c r="AD203" s="1"/>
      <c r="AE203" s="1" t="s">
        <v>2566</v>
      </c>
      <c r="AF203" s="1" t="s">
        <v>731</v>
      </c>
      <c r="AG203" s="1"/>
      <c r="AH203" s="1"/>
      <c r="AI203" s="1"/>
      <c r="AJ203" s="1"/>
      <c r="AK203" s="1"/>
      <c r="AL203" s="1" t="s">
        <v>167</v>
      </c>
      <c r="AM203" t="s">
        <v>2771</v>
      </c>
    </row>
    <row r="204" spans="1:39" ht="19" customHeight="1">
      <c r="A204" s="4">
        <v>4847</v>
      </c>
      <c r="B204" s="4" t="s">
        <v>954</v>
      </c>
      <c r="C204" s="4">
        <v>2007</v>
      </c>
      <c r="D204" s="4" t="s">
        <v>955</v>
      </c>
      <c r="E204" s="4">
        <v>6.8</v>
      </c>
      <c r="F204" s="4">
        <v>11.9</v>
      </c>
      <c r="G204" s="4">
        <v>36.6</v>
      </c>
      <c r="H204" s="4">
        <v>1.4</v>
      </c>
      <c r="I204" s="4">
        <v>91.1</v>
      </c>
      <c r="J204" s="4">
        <v>86</v>
      </c>
      <c r="K204" s="4">
        <v>52</v>
      </c>
      <c r="L204" s="4">
        <v>0</v>
      </c>
      <c r="M204" s="4">
        <v>1</v>
      </c>
      <c r="N204" s="4" t="s">
        <v>734</v>
      </c>
      <c r="O204" s="1" t="s">
        <v>581</v>
      </c>
      <c r="P204" s="1" t="s">
        <v>2773</v>
      </c>
      <c r="Q204" s="1" t="s">
        <v>2774</v>
      </c>
      <c r="R204" s="1">
        <v>6.8</v>
      </c>
      <c r="S204" s="1" t="s">
        <v>1003</v>
      </c>
      <c r="T204" s="1">
        <v>37.538200000000003</v>
      </c>
      <c r="U204" s="1">
        <v>138.6174</v>
      </c>
      <c r="V204" s="1">
        <v>9</v>
      </c>
      <c r="W204" s="1" t="s">
        <v>734</v>
      </c>
      <c r="X204" s="1" t="s">
        <v>2571</v>
      </c>
      <c r="Y204" s="1">
        <v>34</v>
      </c>
      <c r="Z204" s="1">
        <v>36</v>
      </c>
      <c r="AA204" s="1">
        <v>90</v>
      </c>
      <c r="AB204" s="1"/>
      <c r="AC204" s="1"/>
      <c r="AD204" s="1"/>
      <c r="AE204" s="1" t="s">
        <v>2566</v>
      </c>
      <c r="AF204" s="1" t="s">
        <v>731</v>
      </c>
      <c r="AG204" s="1"/>
      <c r="AH204" s="1"/>
      <c r="AI204" s="1"/>
      <c r="AJ204" s="1"/>
      <c r="AK204" s="1"/>
      <c r="AL204" s="1" t="s">
        <v>167</v>
      </c>
      <c r="AM204" t="s">
        <v>2776</v>
      </c>
    </row>
    <row r="205" spans="1:39" ht="19" customHeight="1">
      <c r="A205" s="4">
        <v>4850</v>
      </c>
      <c r="B205" s="4" t="s">
        <v>954</v>
      </c>
      <c r="C205" s="4">
        <v>2007</v>
      </c>
      <c r="D205" s="4" t="s">
        <v>956</v>
      </c>
      <c r="E205" s="4">
        <v>6.8</v>
      </c>
      <c r="F205" s="4">
        <v>16.899999999999999</v>
      </c>
      <c r="G205" s="4">
        <v>40.9</v>
      </c>
      <c r="H205" s="4">
        <v>1.33</v>
      </c>
      <c r="I205" s="4">
        <v>63.8</v>
      </c>
      <c r="J205" s="4">
        <v>52</v>
      </c>
      <c r="K205" s="4">
        <v>18</v>
      </c>
      <c r="L205" s="4">
        <v>0</v>
      </c>
      <c r="M205" s="4">
        <v>0</v>
      </c>
      <c r="N205" s="4" t="s">
        <v>734</v>
      </c>
      <c r="O205" s="1" t="s">
        <v>581</v>
      </c>
      <c r="P205" s="1" t="s">
        <v>2773</v>
      </c>
      <c r="Q205" s="1" t="s">
        <v>2774</v>
      </c>
      <c r="R205" s="1">
        <v>6.8</v>
      </c>
      <c r="S205" s="1" t="s">
        <v>1003</v>
      </c>
      <c r="T205" s="1">
        <v>37.538200000000003</v>
      </c>
      <c r="U205" s="1">
        <v>138.6174</v>
      </c>
      <c r="V205" s="1">
        <v>9</v>
      </c>
      <c r="W205" s="1" t="s">
        <v>734</v>
      </c>
      <c r="X205" s="1" t="s">
        <v>2571</v>
      </c>
      <c r="Y205" s="1">
        <v>34</v>
      </c>
      <c r="Z205" s="1">
        <v>36</v>
      </c>
      <c r="AA205" s="1">
        <v>90</v>
      </c>
      <c r="AB205" s="1"/>
      <c r="AC205" s="1"/>
      <c r="AD205" s="1"/>
      <c r="AE205" s="1" t="s">
        <v>2566</v>
      </c>
      <c r="AF205" s="1" t="s">
        <v>731</v>
      </c>
      <c r="AG205" s="1"/>
      <c r="AH205" s="1"/>
      <c r="AI205" s="1"/>
      <c r="AJ205" s="1"/>
      <c r="AK205" s="1"/>
      <c r="AL205" s="1" t="s">
        <v>167</v>
      </c>
      <c r="AM205" t="s">
        <v>2776</v>
      </c>
    </row>
    <row r="206" spans="1:39" ht="19" customHeight="1">
      <c r="A206" s="4">
        <v>4856</v>
      </c>
      <c r="B206" s="4" t="s">
        <v>954</v>
      </c>
      <c r="C206" s="4">
        <v>2007</v>
      </c>
      <c r="D206" s="4" t="s">
        <v>957</v>
      </c>
      <c r="E206" s="4">
        <v>6.8</v>
      </c>
      <c r="F206" s="4">
        <v>11.1</v>
      </c>
      <c r="G206" s="4">
        <v>21.5</v>
      </c>
      <c r="H206" s="4">
        <v>2.93</v>
      </c>
      <c r="I206" s="4">
        <v>126</v>
      </c>
      <c r="J206" s="4">
        <v>317</v>
      </c>
      <c r="K206" s="4">
        <v>77</v>
      </c>
      <c r="L206" s="4">
        <v>1</v>
      </c>
      <c r="M206" s="4">
        <v>0</v>
      </c>
      <c r="N206" s="4" t="s">
        <v>734</v>
      </c>
      <c r="O206" s="1" t="s">
        <v>581</v>
      </c>
      <c r="P206" s="1" t="s">
        <v>2773</v>
      </c>
      <c r="Q206" s="1" t="s">
        <v>2774</v>
      </c>
      <c r="R206" s="1">
        <v>6.8</v>
      </c>
      <c r="S206" s="1" t="s">
        <v>1003</v>
      </c>
      <c r="T206" s="1">
        <v>37.538200000000003</v>
      </c>
      <c r="U206" s="1">
        <v>138.6174</v>
      </c>
      <c r="V206" s="1">
        <v>9</v>
      </c>
      <c r="W206" s="1" t="s">
        <v>734</v>
      </c>
      <c r="X206" s="1" t="s">
        <v>2571</v>
      </c>
      <c r="Y206" s="1">
        <v>34</v>
      </c>
      <c r="Z206" s="1">
        <v>36</v>
      </c>
      <c r="AA206" s="1">
        <v>90</v>
      </c>
      <c r="AB206" s="1"/>
      <c r="AC206" s="1"/>
      <c r="AD206" s="1"/>
      <c r="AE206" s="1" t="s">
        <v>2566</v>
      </c>
      <c r="AF206" s="1" t="s">
        <v>731</v>
      </c>
      <c r="AG206" s="1"/>
      <c r="AH206" s="1"/>
      <c r="AI206" s="1"/>
      <c r="AJ206" s="1"/>
      <c r="AK206" s="1"/>
      <c r="AL206" s="1" t="s">
        <v>167</v>
      </c>
      <c r="AM206" t="s">
        <v>2776</v>
      </c>
    </row>
    <row r="207" spans="1:39" ht="19" customHeight="1">
      <c r="A207" s="4">
        <v>4874</v>
      </c>
      <c r="B207" s="4" t="s">
        <v>954</v>
      </c>
      <c r="C207" s="4">
        <v>2007</v>
      </c>
      <c r="D207" s="4" t="s">
        <v>958</v>
      </c>
      <c r="E207" s="4">
        <v>6.8</v>
      </c>
      <c r="F207" s="4">
        <v>20</v>
      </c>
      <c r="G207" s="4">
        <v>29</v>
      </c>
      <c r="H207" s="4">
        <v>0.8</v>
      </c>
      <c r="I207" s="4">
        <v>80.3</v>
      </c>
      <c r="J207" s="4">
        <v>306</v>
      </c>
      <c r="K207" s="4">
        <v>88</v>
      </c>
      <c r="L207" s="4">
        <v>1</v>
      </c>
      <c r="M207" s="4">
        <v>0</v>
      </c>
      <c r="N207" s="4" t="s">
        <v>734</v>
      </c>
      <c r="O207" s="1" t="s">
        <v>581</v>
      </c>
      <c r="P207" s="1" t="s">
        <v>2773</v>
      </c>
      <c r="Q207" s="1" t="s">
        <v>2774</v>
      </c>
      <c r="R207" s="1">
        <v>6.8</v>
      </c>
      <c r="S207" s="1" t="s">
        <v>1003</v>
      </c>
      <c r="T207" s="1">
        <v>37.538200000000003</v>
      </c>
      <c r="U207" s="1">
        <v>138.6174</v>
      </c>
      <c r="V207" s="1">
        <v>9</v>
      </c>
      <c r="W207" s="1" t="s">
        <v>734</v>
      </c>
      <c r="X207" s="1" t="s">
        <v>2571</v>
      </c>
      <c r="Y207" s="1">
        <v>34</v>
      </c>
      <c r="Z207" s="1">
        <v>36</v>
      </c>
      <c r="AA207" s="1">
        <v>90</v>
      </c>
      <c r="AB207" s="1"/>
      <c r="AC207" s="1"/>
      <c r="AD207" s="1"/>
      <c r="AE207" s="1" t="s">
        <v>2566</v>
      </c>
      <c r="AF207" s="1" t="s">
        <v>731</v>
      </c>
      <c r="AG207" s="1"/>
      <c r="AH207" s="1"/>
      <c r="AI207" s="1"/>
      <c r="AJ207" s="1"/>
      <c r="AK207" s="1"/>
      <c r="AL207" s="1" t="s">
        <v>167</v>
      </c>
      <c r="AM207" t="s">
        <v>2776</v>
      </c>
    </row>
    <row r="208" spans="1:39" ht="19" customHeight="1">
      <c r="A208" s="4">
        <v>4875</v>
      </c>
      <c r="B208" s="4" t="s">
        <v>954</v>
      </c>
      <c r="C208" s="4">
        <v>2007</v>
      </c>
      <c r="D208" s="4" t="s">
        <v>959</v>
      </c>
      <c r="E208" s="4">
        <v>6.8</v>
      </c>
      <c r="F208" s="4">
        <v>12</v>
      </c>
      <c r="G208" s="4">
        <v>16.100000000000001</v>
      </c>
      <c r="H208" s="4">
        <v>3.08</v>
      </c>
      <c r="I208" s="4">
        <v>154.5</v>
      </c>
      <c r="J208" s="4">
        <v>319</v>
      </c>
      <c r="K208" s="4">
        <v>75</v>
      </c>
      <c r="L208" s="4">
        <v>1</v>
      </c>
      <c r="M208" s="4">
        <v>0</v>
      </c>
      <c r="N208" s="4" t="s">
        <v>734</v>
      </c>
      <c r="O208" s="1" t="s">
        <v>581</v>
      </c>
      <c r="P208" s="1" t="s">
        <v>2773</v>
      </c>
      <c r="Q208" s="1" t="s">
        <v>2774</v>
      </c>
      <c r="R208" s="1">
        <v>6.8</v>
      </c>
      <c r="S208" s="1" t="s">
        <v>1003</v>
      </c>
      <c r="T208" s="1">
        <v>37.538200000000003</v>
      </c>
      <c r="U208" s="1">
        <v>138.6174</v>
      </c>
      <c r="V208" s="1">
        <v>9</v>
      </c>
      <c r="W208" s="1" t="s">
        <v>734</v>
      </c>
      <c r="X208" s="1" t="s">
        <v>2571</v>
      </c>
      <c r="Y208" s="1">
        <v>34</v>
      </c>
      <c r="Z208" s="1">
        <v>36</v>
      </c>
      <c r="AA208" s="1">
        <v>90</v>
      </c>
      <c r="AB208" s="1"/>
      <c r="AC208" s="1"/>
      <c r="AD208" s="1"/>
      <c r="AE208" s="1" t="s">
        <v>2566</v>
      </c>
      <c r="AF208" s="1" t="s">
        <v>731</v>
      </c>
      <c r="AG208" s="1"/>
      <c r="AH208" s="1"/>
      <c r="AI208" s="1"/>
      <c r="AJ208" s="1"/>
      <c r="AK208" s="1"/>
      <c r="AL208" s="1" t="s">
        <v>167</v>
      </c>
      <c r="AM208" t="s">
        <v>2776</v>
      </c>
    </row>
    <row r="209" spans="1:39" ht="19" customHeight="1">
      <c r="A209" s="4">
        <v>4879</v>
      </c>
      <c r="B209" s="4" t="s">
        <v>954</v>
      </c>
      <c r="C209" s="4">
        <v>2007</v>
      </c>
      <c r="D209" s="4" t="s">
        <v>960</v>
      </c>
      <c r="E209" s="4">
        <v>6.8</v>
      </c>
      <c r="F209" s="4">
        <v>19</v>
      </c>
      <c r="G209" s="4">
        <v>23.8</v>
      </c>
      <c r="H209" s="4">
        <v>1.41</v>
      </c>
      <c r="I209" s="4">
        <v>39.4</v>
      </c>
      <c r="J209" s="4">
        <v>304</v>
      </c>
      <c r="K209" s="4">
        <v>90</v>
      </c>
      <c r="L209" s="4">
        <v>1</v>
      </c>
      <c r="M209" s="4">
        <v>0</v>
      </c>
      <c r="N209" s="4" t="s">
        <v>734</v>
      </c>
      <c r="O209" s="1" t="s">
        <v>581</v>
      </c>
      <c r="P209" s="1" t="s">
        <v>2773</v>
      </c>
      <c r="Q209" s="1" t="s">
        <v>2774</v>
      </c>
      <c r="R209" s="1">
        <v>6.8</v>
      </c>
      <c r="S209" s="1" t="s">
        <v>1003</v>
      </c>
      <c r="T209" s="1">
        <v>37.538200000000003</v>
      </c>
      <c r="U209" s="1">
        <v>138.6174</v>
      </c>
      <c r="V209" s="1">
        <v>9</v>
      </c>
      <c r="W209" s="1" t="s">
        <v>734</v>
      </c>
      <c r="X209" s="1" t="s">
        <v>2571</v>
      </c>
      <c r="Y209" s="1">
        <v>34</v>
      </c>
      <c r="Z209" s="1">
        <v>36</v>
      </c>
      <c r="AA209" s="1">
        <v>90</v>
      </c>
      <c r="AB209" s="1"/>
      <c r="AC209" s="1"/>
      <c r="AD209" s="1"/>
      <c r="AE209" s="1" t="s">
        <v>2566</v>
      </c>
      <c r="AF209" s="1" t="s">
        <v>731</v>
      </c>
      <c r="AG209" s="1"/>
      <c r="AH209" s="1"/>
      <c r="AI209" s="1"/>
      <c r="AJ209" s="1"/>
      <c r="AK209" s="1"/>
      <c r="AL209" s="1" t="s">
        <v>167</v>
      </c>
      <c r="AM209" t="s">
        <v>2776</v>
      </c>
    </row>
    <row r="210" spans="1:39" ht="19" customHeight="1">
      <c r="A210" s="4">
        <v>4889</v>
      </c>
      <c r="B210" s="4" t="s">
        <v>954</v>
      </c>
      <c r="C210" s="4">
        <v>2007</v>
      </c>
      <c r="D210" s="4" t="s">
        <v>961</v>
      </c>
      <c r="E210" s="4">
        <v>6.8</v>
      </c>
      <c r="F210" s="4">
        <v>32.9</v>
      </c>
      <c r="G210" s="4">
        <v>58.8</v>
      </c>
      <c r="H210" s="4">
        <v>0.55000000000000004</v>
      </c>
      <c r="I210" s="4">
        <v>34.9</v>
      </c>
      <c r="J210" s="4">
        <v>51</v>
      </c>
      <c r="K210" s="4">
        <v>17</v>
      </c>
      <c r="L210" s="4">
        <v>0</v>
      </c>
      <c r="M210" s="4">
        <v>0</v>
      </c>
      <c r="N210" s="4" t="s">
        <v>734</v>
      </c>
      <c r="O210" s="1" t="s">
        <v>581</v>
      </c>
      <c r="P210" s="1" t="s">
        <v>2773</v>
      </c>
      <c r="Q210" s="1" t="s">
        <v>2774</v>
      </c>
      <c r="R210" s="1">
        <v>6.8</v>
      </c>
      <c r="S210" s="1" t="s">
        <v>1003</v>
      </c>
      <c r="T210" s="1">
        <v>37.538200000000003</v>
      </c>
      <c r="U210" s="1">
        <v>138.6174</v>
      </c>
      <c r="V210" s="1">
        <v>9</v>
      </c>
      <c r="W210" s="1" t="s">
        <v>734</v>
      </c>
      <c r="X210" s="1" t="s">
        <v>2571</v>
      </c>
      <c r="Y210" s="1">
        <v>34</v>
      </c>
      <c r="Z210" s="1">
        <v>36</v>
      </c>
      <c r="AA210" s="1">
        <v>90</v>
      </c>
      <c r="AB210" s="1"/>
      <c r="AC210" s="1"/>
      <c r="AD210" s="1"/>
      <c r="AE210" s="1" t="s">
        <v>2566</v>
      </c>
      <c r="AF210" s="1" t="s">
        <v>731</v>
      </c>
      <c r="AG210" s="1"/>
      <c r="AH210" s="1"/>
      <c r="AI210" s="1"/>
      <c r="AJ210" s="1"/>
      <c r="AK210" s="1"/>
      <c r="AL210" s="1" t="s">
        <v>167</v>
      </c>
      <c r="AM210" t="s">
        <v>2776</v>
      </c>
    </row>
    <row r="211" spans="1:39" ht="19" customHeight="1">
      <c r="A211" s="4">
        <v>4891</v>
      </c>
      <c r="B211" s="4" t="s">
        <v>954</v>
      </c>
      <c r="C211" s="4">
        <v>2007</v>
      </c>
      <c r="D211" s="4" t="s">
        <v>962</v>
      </c>
      <c r="E211" s="4">
        <v>6.8</v>
      </c>
      <c r="F211" s="4">
        <v>66.400000000000006</v>
      </c>
      <c r="G211" s="4">
        <v>92.4</v>
      </c>
      <c r="H211" s="4">
        <v>0.92</v>
      </c>
      <c r="I211" s="4">
        <v>81.5</v>
      </c>
      <c r="J211" s="4">
        <v>23</v>
      </c>
      <c r="K211" s="4">
        <v>11</v>
      </c>
      <c r="L211" s="4">
        <v>0</v>
      </c>
      <c r="M211" s="4">
        <v>0</v>
      </c>
      <c r="N211" s="4" t="s">
        <v>734</v>
      </c>
      <c r="O211" s="1" t="s">
        <v>581</v>
      </c>
      <c r="P211" s="1" t="s">
        <v>2773</v>
      </c>
      <c r="Q211" s="1" t="s">
        <v>2774</v>
      </c>
      <c r="R211" s="1">
        <v>6.8</v>
      </c>
      <c r="S211" s="1" t="s">
        <v>1003</v>
      </c>
      <c r="T211" s="1">
        <v>37.538200000000003</v>
      </c>
      <c r="U211" s="1">
        <v>138.6174</v>
      </c>
      <c r="V211" s="1">
        <v>9</v>
      </c>
      <c r="W211" s="1" t="s">
        <v>734</v>
      </c>
      <c r="X211" s="1" t="s">
        <v>2571</v>
      </c>
      <c r="Y211" s="1">
        <v>34</v>
      </c>
      <c r="Z211" s="1">
        <v>36</v>
      </c>
      <c r="AA211" s="1">
        <v>90</v>
      </c>
      <c r="AB211" s="1"/>
      <c r="AC211" s="1"/>
      <c r="AD211" s="1"/>
      <c r="AE211" s="1" t="s">
        <v>2566</v>
      </c>
      <c r="AF211" s="1" t="s">
        <v>731</v>
      </c>
      <c r="AG211" s="1"/>
      <c r="AH211" s="1"/>
      <c r="AI211" s="1"/>
      <c r="AJ211" s="1"/>
      <c r="AK211" s="1"/>
      <c r="AL211" s="1" t="s">
        <v>167</v>
      </c>
      <c r="AM211" t="s">
        <v>2776</v>
      </c>
    </row>
    <row r="212" spans="1:39" ht="19" customHeight="1">
      <c r="A212" s="4">
        <v>4896</v>
      </c>
      <c r="B212" s="4" t="s">
        <v>954</v>
      </c>
      <c r="C212" s="4">
        <v>2007</v>
      </c>
      <c r="D212" s="4" t="s">
        <v>963</v>
      </c>
      <c r="E212" s="4">
        <v>6.8</v>
      </c>
      <c r="F212" s="4">
        <v>11</v>
      </c>
      <c r="G212" s="4">
        <v>16.3</v>
      </c>
      <c r="H212" s="4">
        <v>2.39</v>
      </c>
      <c r="I212" s="4">
        <v>126</v>
      </c>
      <c r="J212" s="4">
        <v>78</v>
      </c>
      <c r="K212" s="4">
        <v>44</v>
      </c>
      <c r="L212" s="4">
        <v>0</v>
      </c>
      <c r="M212" s="4">
        <v>0</v>
      </c>
      <c r="N212" s="4" t="s">
        <v>734</v>
      </c>
      <c r="O212" s="1" t="s">
        <v>581</v>
      </c>
      <c r="P212" s="1" t="s">
        <v>2773</v>
      </c>
      <c r="Q212" s="1" t="s">
        <v>2774</v>
      </c>
      <c r="R212" s="1">
        <v>6.8</v>
      </c>
      <c r="S212" s="1" t="s">
        <v>1003</v>
      </c>
      <c r="T212" s="1">
        <v>37.538200000000003</v>
      </c>
      <c r="U212" s="1">
        <v>138.6174</v>
      </c>
      <c r="V212" s="1">
        <v>9</v>
      </c>
      <c r="W212" s="1" t="s">
        <v>734</v>
      </c>
      <c r="X212" s="1" t="s">
        <v>2571</v>
      </c>
      <c r="Y212" s="1">
        <v>34</v>
      </c>
      <c r="Z212" s="1">
        <v>36</v>
      </c>
      <c r="AA212" s="1">
        <v>90</v>
      </c>
      <c r="AB212" s="1"/>
      <c r="AC212" s="1"/>
      <c r="AD212" s="1"/>
      <c r="AE212" s="1" t="s">
        <v>2566</v>
      </c>
      <c r="AF212" s="1" t="s">
        <v>731</v>
      </c>
      <c r="AG212" s="1"/>
      <c r="AH212" s="1"/>
      <c r="AI212" s="1"/>
      <c r="AJ212" s="1"/>
      <c r="AK212" s="1"/>
      <c r="AL212" s="1" t="s">
        <v>167</v>
      </c>
      <c r="AM212" t="s">
        <v>2776</v>
      </c>
    </row>
    <row r="213" spans="1:39" ht="19" customHeight="1">
      <c r="A213" s="4">
        <v>4897</v>
      </c>
      <c r="B213" s="4" t="s">
        <v>954</v>
      </c>
      <c r="C213" s="4">
        <v>2007</v>
      </c>
      <c r="D213" s="4" t="s">
        <v>964</v>
      </c>
      <c r="E213" s="4">
        <v>6.8</v>
      </c>
      <c r="F213" s="4">
        <v>11</v>
      </c>
      <c r="G213" s="4">
        <v>16.3</v>
      </c>
      <c r="H213" s="4">
        <v>2.98</v>
      </c>
      <c r="I213" s="4">
        <v>85.3</v>
      </c>
      <c r="J213" s="4">
        <v>66</v>
      </c>
      <c r="K213" s="4">
        <v>32</v>
      </c>
      <c r="L213" s="4">
        <v>0</v>
      </c>
      <c r="M213" s="4">
        <v>0</v>
      </c>
      <c r="N213" s="4" t="s">
        <v>734</v>
      </c>
      <c r="O213" s="1" t="s">
        <v>581</v>
      </c>
      <c r="P213" s="1" t="s">
        <v>2773</v>
      </c>
      <c r="Q213" s="1" t="s">
        <v>2774</v>
      </c>
      <c r="R213" s="1">
        <v>6.8</v>
      </c>
      <c r="S213" s="1" t="s">
        <v>1003</v>
      </c>
      <c r="T213" s="1">
        <v>37.538200000000003</v>
      </c>
      <c r="U213" s="1">
        <v>138.6174</v>
      </c>
      <c r="V213" s="1">
        <v>9</v>
      </c>
      <c r="W213" s="1" t="s">
        <v>734</v>
      </c>
      <c r="X213" s="1" t="s">
        <v>2571</v>
      </c>
      <c r="Y213" s="1">
        <v>34</v>
      </c>
      <c r="Z213" s="1">
        <v>36</v>
      </c>
      <c r="AA213" s="1">
        <v>90</v>
      </c>
      <c r="AB213" s="1"/>
      <c r="AC213" s="1"/>
      <c r="AD213" s="1"/>
      <c r="AE213" s="1" t="s">
        <v>2566</v>
      </c>
      <c r="AF213" s="1" t="s">
        <v>731</v>
      </c>
      <c r="AG213" s="1"/>
      <c r="AH213" s="1"/>
      <c r="AI213" s="1"/>
      <c r="AJ213" s="1"/>
      <c r="AK213" s="1"/>
      <c r="AL213" s="1" t="s">
        <v>167</v>
      </c>
      <c r="AM213" t="s">
        <v>2776</v>
      </c>
    </row>
    <row r="214" spans="1:39" ht="19" customHeight="1">
      <c r="A214" s="4">
        <v>5658</v>
      </c>
      <c r="B214" s="4" t="s">
        <v>595</v>
      </c>
      <c r="C214" s="4">
        <v>2008</v>
      </c>
      <c r="D214" s="4" t="s">
        <v>965</v>
      </c>
      <c r="E214" s="4">
        <v>6.9</v>
      </c>
      <c r="F214" s="4">
        <v>6</v>
      </c>
      <c r="G214" s="4">
        <v>14.4</v>
      </c>
      <c r="H214" s="4">
        <v>4</v>
      </c>
      <c r="I214" s="4">
        <v>56.9</v>
      </c>
      <c r="J214" s="4">
        <v>9</v>
      </c>
      <c r="K214" s="4">
        <v>20</v>
      </c>
      <c r="L214" s="4">
        <v>0</v>
      </c>
      <c r="M214" s="4">
        <v>0</v>
      </c>
      <c r="N214" s="4" t="s">
        <v>734</v>
      </c>
      <c r="O214" s="1" t="s">
        <v>594</v>
      </c>
      <c r="P214" s="1" t="s">
        <v>2777</v>
      </c>
      <c r="Q214" s="1" t="s">
        <v>2778</v>
      </c>
      <c r="R214" s="1">
        <v>6.9</v>
      </c>
      <c r="S214" s="1" t="s">
        <v>1003</v>
      </c>
      <c r="T214" s="1">
        <v>39.027000000000001</v>
      </c>
      <c r="U214" s="1">
        <v>140.87799999999999</v>
      </c>
      <c r="V214" s="1">
        <v>6.5</v>
      </c>
      <c r="W214" s="1" t="s">
        <v>734</v>
      </c>
      <c r="X214" s="1" t="s">
        <v>2571</v>
      </c>
      <c r="Y214" s="1">
        <v>209</v>
      </c>
      <c r="Z214" s="1">
        <v>40</v>
      </c>
      <c r="AA214" s="1">
        <v>104</v>
      </c>
      <c r="AB214" s="1"/>
      <c r="AC214" s="1"/>
      <c r="AD214" s="1"/>
      <c r="AE214" s="1" t="s">
        <v>2566</v>
      </c>
      <c r="AF214" s="1" t="s">
        <v>731</v>
      </c>
      <c r="AG214" s="1"/>
      <c r="AH214" s="1"/>
      <c r="AI214" s="1"/>
      <c r="AJ214" s="1"/>
      <c r="AK214" s="1"/>
      <c r="AL214" s="1" t="s">
        <v>167</v>
      </c>
      <c r="AM214" t="s">
        <v>2780</v>
      </c>
    </row>
    <row r="215" spans="1:39" ht="19" customHeight="1">
      <c r="A215" s="4">
        <v>5810</v>
      </c>
      <c r="B215" s="4" t="s">
        <v>595</v>
      </c>
      <c r="C215" s="4">
        <v>2008</v>
      </c>
      <c r="D215" s="4" t="s">
        <v>966</v>
      </c>
      <c r="E215" s="4">
        <v>6.9</v>
      </c>
      <c r="F215" s="4">
        <v>24.1</v>
      </c>
      <c r="G215" s="4">
        <v>43.6</v>
      </c>
      <c r="H215" s="4">
        <v>4.16</v>
      </c>
      <c r="I215" s="4">
        <v>40</v>
      </c>
      <c r="J215" s="4">
        <v>276</v>
      </c>
      <c r="K215" s="4">
        <v>67</v>
      </c>
      <c r="L215" s="4">
        <v>1</v>
      </c>
      <c r="M215" s="4">
        <v>0</v>
      </c>
      <c r="N215" s="4" t="s">
        <v>734</v>
      </c>
      <c r="O215" s="1" t="s">
        <v>594</v>
      </c>
      <c r="P215" s="1" t="s">
        <v>2777</v>
      </c>
      <c r="Q215" s="1" t="s">
        <v>2778</v>
      </c>
      <c r="R215" s="1">
        <v>6.9</v>
      </c>
      <c r="S215" s="1" t="s">
        <v>1003</v>
      </c>
      <c r="T215" s="1">
        <v>39.027000000000001</v>
      </c>
      <c r="U215" s="1">
        <v>140.87799999999999</v>
      </c>
      <c r="V215" s="1">
        <v>6.5</v>
      </c>
      <c r="W215" s="1" t="s">
        <v>734</v>
      </c>
      <c r="X215" s="1" t="s">
        <v>2571</v>
      </c>
      <c r="Y215" s="1">
        <v>209</v>
      </c>
      <c r="Z215" s="1">
        <v>40</v>
      </c>
      <c r="AA215" s="1">
        <v>104</v>
      </c>
      <c r="AB215" s="1"/>
      <c r="AC215" s="1"/>
      <c r="AD215" s="1"/>
      <c r="AE215" s="1" t="s">
        <v>2566</v>
      </c>
      <c r="AF215" s="1" t="s">
        <v>731</v>
      </c>
      <c r="AG215" s="1"/>
      <c r="AH215" s="1"/>
      <c r="AI215" s="1"/>
      <c r="AJ215" s="1"/>
      <c r="AK215" s="1"/>
      <c r="AL215" s="1" t="s">
        <v>167</v>
      </c>
      <c r="AM215" t="s">
        <v>2780</v>
      </c>
    </row>
    <row r="216" spans="1:39" ht="19" customHeight="1">
      <c r="A216" s="4">
        <v>4716</v>
      </c>
      <c r="B216" s="4" t="s">
        <v>967</v>
      </c>
      <c r="C216" s="4">
        <v>2008</v>
      </c>
      <c r="D216" s="4" t="s">
        <v>968</v>
      </c>
      <c r="E216" s="4">
        <v>7.9</v>
      </c>
      <c r="F216" s="4">
        <v>30.5</v>
      </c>
      <c r="G216" s="4">
        <v>111.4</v>
      </c>
      <c r="H216" s="4">
        <v>6.75</v>
      </c>
      <c r="I216" s="4">
        <v>36</v>
      </c>
      <c r="J216" s="4">
        <v>11</v>
      </c>
      <c r="K216" s="4">
        <v>37</v>
      </c>
      <c r="L216" s="4">
        <v>0</v>
      </c>
      <c r="M216" s="4">
        <v>1</v>
      </c>
      <c r="N216" s="4" t="s">
        <v>734</v>
      </c>
      <c r="O216" s="1" t="s">
        <v>217</v>
      </c>
      <c r="P216" s="1" t="s">
        <v>2781</v>
      </c>
      <c r="Q216" s="1" t="s">
        <v>2782</v>
      </c>
      <c r="R216" s="1">
        <v>7.9</v>
      </c>
      <c r="S216" s="1" t="s">
        <v>1003</v>
      </c>
      <c r="T216" s="1">
        <v>30.986000000000001</v>
      </c>
      <c r="U216" s="1">
        <v>103.364</v>
      </c>
      <c r="V216" s="1">
        <v>10.039999999999999</v>
      </c>
      <c r="W216" s="1" t="s">
        <v>734</v>
      </c>
      <c r="X216" s="1" t="s">
        <v>2571</v>
      </c>
      <c r="Y216" s="1">
        <v>230</v>
      </c>
      <c r="Z216" s="1">
        <v>50</v>
      </c>
      <c r="AA216" s="1">
        <v>138</v>
      </c>
      <c r="AB216" s="1"/>
      <c r="AC216" s="1"/>
      <c r="AD216" s="1"/>
      <c r="AE216" s="1" t="s">
        <v>2566</v>
      </c>
      <c r="AF216" s="1" t="s">
        <v>862</v>
      </c>
      <c r="AG216" s="1">
        <v>3</v>
      </c>
      <c r="AH216" s="1">
        <v>7.88</v>
      </c>
      <c r="AI216" s="1">
        <v>10.6006</v>
      </c>
      <c r="AJ216" s="1">
        <v>15220.939999999997</v>
      </c>
      <c r="AK216" s="1" t="s">
        <v>969</v>
      </c>
      <c r="AL216" s="1" t="s">
        <v>167</v>
      </c>
      <c r="AM216" t="s">
        <v>2786</v>
      </c>
    </row>
    <row r="217" spans="1:39" ht="19" customHeight="1">
      <c r="A217" s="4">
        <v>4816</v>
      </c>
      <c r="B217" s="4" t="s">
        <v>967</v>
      </c>
      <c r="C217" s="4">
        <v>2008</v>
      </c>
      <c r="D217" s="4" t="s">
        <v>970</v>
      </c>
      <c r="E217" s="4">
        <v>7.9</v>
      </c>
      <c r="F217" s="4">
        <v>6.6</v>
      </c>
      <c r="G217" s="4">
        <v>90.3</v>
      </c>
      <c r="H217" s="4">
        <v>9.3699999999999992</v>
      </c>
      <c r="I217" s="4">
        <v>144.5</v>
      </c>
      <c r="J217" s="4">
        <v>295</v>
      </c>
      <c r="K217" s="4">
        <v>67</v>
      </c>
      <c r="L217" s="4">
        <v>1</v>
      </c>
      <c r="M217" s="4">
        <v>1</v>
      </c>
      <c r="N217" s="4" t="s">
        <v>734</v>
      </c>
      <c r="O217" s="1" t="s">
        <v>217</v>
      </c>
      <c r="P217" s="1" t="s">
        <v>2781</v>
      </c>
      <c r="Q217" s="1" t="s">
        <v>2782</v>
      </c>
      <c r="R217" s="1">
        <v>7.9</v>
      </c>
      <c r="S217" s="1" t="s">
        <v>1003</v>
      </c>
      <c r="T217" s="1">
        <v>30.986000000000001</v>
      </c>
      <c r="U217" s="1">
        <v>103.364</v>
      </c>
      <c r="V217" s="1">
        <v>10.039999999999999</v>
      </c>
      <c r="W217" s="1" t="s">
        <v>734</v>
      </c>
      <c r="X217" s="1" t="s">
        <v>2571</v>
      </c>
      <c r="Y217" s="1">
        <v>230</v>
      </c>
      <c r="Z217" s="1">
        <v>50</v>
      </c>
      <c r="AA217" s="1">
        <v>138</v>
      </c>
      <c r="AB217" s="1"/>
      <c r="AC217" s="1"/>
      <c r="AD217" s="1"/>
      <c r="AE217" s="1" t="s">
        <v>2566</v>
      </c>
      <c r="AF217" s="1" t="s">
        <v>862</v>
      </c>
      <c r="AG217" s="1">
        <v>3</v>
      </c>
      <c r="AH217" s="1">
        <v>7.88</v>
      </c>
      <c r="AI217" s="1">
        <v>10.6006</v>
      </c>
      <c r="AJ217" s="1">
        <v>15220.939999999997</v>
      </c>
      <c r="AK217" s="1" t="s">
        <v>969</v>
      </c>
      <c r="AL217" s="1" t="s">
        <v>167</v>
      </c>
      <c r="AM217" t="s">
        <v>2786</v>
      </c>
    </row>
    <row r="218" spans="1:39" ht="19" customHeight="1">
      <c r="A218" s="4">
        <v>4480</v>
      </c>
      <c r="B218" s="4" t="s">
        <v>971</v>
      </c>
      <c r="C218" s="4">
        <v>2009</v>
      </c>
      <c r="D218" s="4" t="s">
        <v>972</v>
      </c>
      <c r="E218" s="4">
        <v>6.3</v>
      </c>
      <c r="F218" s="4">
        <v>6.3</v>
      </c>
      <c r="G218" s="4">
        <v>10.3</v>
      </c>
      <c r="H218" s="4">
        <v>1.07</v>
      </c>
      <c r="I218" s="4">
        <v>42.1</v>
      </c>
      <c r="J218" s="4">
        <v>110</v>
      </c>
      <c r="K218" s="4">
        <v>29</v>
      </c>
      <c r="L218" s="4">
        <v>0</v>
      </c>
      <c r="M218" s="4">
        <v>1</v>
      </c>
      <c r="N218" s="4" t="s">
        <v>760</v>
      </c>
      <c r="O218" s="1" t="s">
        <v>608</v>
      </c>
      <c r="P218" s="1" t="s">
        <v>2787</v>
      </c>
      <c r="Q218" s="1" t="s">
        <v>2788</v>
      </c>
      <c r="R218" s="1">
        <v>6.3</v>
      </c>
      <c r="S218" s="1" t="s">
        <v>1003</v>
      </c>
      <c r="T218" s="1">
        <v>42.3476</v>
      </c>
      <c r="U218" s="1">
        <v>13.38</v>
      </c>
      <c r="V218" s="1">
        <v>9.27</v>
      </c>
      <c r="W218" s="1" t="s">
        <v>760</v>
      </c>
      <c r="X218" s="1" t="s">
        <v>2571</v>
      </c>
      <c r="Y218" s="1">
        <v>139</v>
      </c>
      <c r="Z218" s="1">
        <v>48</v>
      </c>
      <c r="AA218" s="1">
        <v>-98</v>
      </c>
      <c r="AB218" s="1"/>
      <c r="AC218" s="1"/>
      <c r="AD218" s="1"/>
      <c r="AE218" s="1" t="s">
        <v>2566</v>
      </c>
      <c r="AF218" s="1" t="s">
        <v>731</v>
      </c>
      <c r="AG218" s="1"/>
      <c r="AH218" s="1"/>
      <c r="AI218" s="1"/>
      <c r="AJ218" s="1"/>
      <c r="AK218" s="1"/>
      <c r="AL218" s="1" t="s">
        <v>167</v>
      </c>
      <c r="AM218" t="s">
        <v>2790</v>
      </c>
    </row>
    <row r="219" spans="1:39" ht="19" customHeight="1">
      <c r="A219" s="4">
        <v>4482</v>
      </c>
      <c r="B219" s="4" t="s">
        <v>971</v>
      </c>
      <c r="C219" s="4">
        <v>2009</v>
      </c>
      <c r="D219" s="4" t="s">
        <v>973</v>
      </c>
      <c r="E219" s="4">
        <v>6.3</v>
      </c>
      <c r="F219" s="4">
        <v>6.5</v>
      </c>
      <c r="G219" s="4">
        <v>10.4</v>
      </c>
      <c r="H219" s="4">
        <v>1.18</v>
      </c>
      <c r="I219" s="4">
        <v>31.6</v>
      </c>
      <c r="J219" s="4">
        <v>69</v>
      </c>
      <c r="K219" s="4">
        <v>70</v>
      </c>
      <c r="L219" s="4">
        <v>0</v>
      </c>
      <c r="M219" s="4">
        <v>1</v>
      </c>
      <c r="N219" s="4" t="s">
        <v>760</v>
      </c>
      <c r="O219" s="1" t="s">
        <v>608</v>
      </c>
      <c r="P219" s="1" t="s">
        <v>2787</v>
      </c>
      <c r="Q219" s="1" t="s">
        <v>2788</v>
      </c>
      <c r="R219" s="1">
        <v>6.3</v>
      </c>
      <c r="S219" s="1" t="s">
        <v>1003</v>
      </c>
      <c r="T219" s="1">
        <v>42.3476</v>
      </c>
      <c r="U219" s="1">
        <v>13.38</v>
      </c>
      <c r="V219" s="1">
        <v>9.27</v>
      </c>
      <c r="W219" s="1" t="s">
        <v>760</v>
      </c>
      <c r="X219" s="1" t="s">
        <v>2571</v>
      </c>
      <c r="Y219" s="1">
        <v>139</v>
      </c>
      <c r="Z219" s="1">
        <v>48</v>
      </c>
      <c r="AA219" s="1">
        <v>-98</v>
      </c>
      <c r="AB219" s="1"/>
      <c r="AC219" s="1"/>
      <c r="AD219" s="1"/>
      <c r="AE219" s="1" t="s">
        <v>2566</v>
      </c>
      <c r="AF219" s="1" t="s">
        <v>731</v>
      </c>
      <c r="AG219" s="1"/>
      <c r="AH219" s="1"/>
      <c r="AI219" s="1"/>
      <c r="AJ219" s="1"/>
      <c r="AK219" s="1"/>
      <c r="AL219" s="1" t="s">
        <v>167</v>
      </c>
      <c r="AM219" t="s">
        <v>2790</v>
      </c>
    </row>
    <row r="220" spans="1:39" ht="19" customHeight="1">
      <c r="A220" s="4">
        <v>4483</v>
      </c>
      <c r="B220" s="4" t="s">
        <v>971</v>
      </c>
      <c r="C220" s="4">
        <v>2009</v>
      </c>
      <c r="D220" s="4" t="s">
        <v>974</v>
      </c>
      <c r="E220" s="4">
        <v>6.3</v>
      </c>
      <c r="F220" s="4">
        <v>5.4</v>
      </c>
      <c r="G220" s="4">
        <v>9.4</v>
      </c>
      <c r="H220" s="4">
        <v>1.98</v>
      </c>
      <c r="I220" s="4">
        <v>46.3</v>
      </c>
      <c r="J220" s="4">
        <v>38</v>
      </c>
      <c r="K220" s="4">
        <v>79</v>
      </c>
      <c r="L220" s="4">
        <v>1</v>
      </c>
      <c r="M220" s="4">
        <v>1</v>
      </c>
      <c r="N220" s="4" t="s">
        <v>760</v>
      </c>
      <c r="O220" s="1" t="s">
        <v>608</v>
      </c>
      <c r="P220" s="1" t="s">
        <v>2787</v>
      </c>
      <c r="Q220" s="1" t="s">
        <v>2788</v>
      </c>
      <c r="R220" s="1">
        <v>6.3</v>
      </c>
      <c r="S220" s="1" t="s">
        <v>1003</v>
      </c>
      <c r="T220" s="1">
        <v>42.3476</v>
      </c>
      <c r="U220" s="1">
        <v>13.38</v>
      </c>
      <c r="V220" s="1">
        <v>9.27</v>
      </c>
      <c r="W220" s="1" t="s">
        <v>760</v>
      </c>
      <c r="X220" s="1" t="s">
        <v>2571</v>
      </c>
      <c r="Y220" s="1">
        <v>139</v>
      </c>
      <c r="Z220" s="1">
        <v>48</v>
      </c>
      <c r="AA220" s="1">
        <v>-98</v>
      </c>
      <c r="AB220" s="1"/>
      <c r="AC220" s="1"/>
      <c r="AD220" s="1"/>
      <c r="AE220" s="1" t="s">
        <v>2566</v>
      </c>
      <c r="AF220" s="1" t="s">
        <v>731</v>
      </c>
      <c r="AG220" s="1"/>
      <c r="AH220" s="1"/>
      <c r="AI220" s="1"/>
      <c r="AJ220" s="1"/>
      <c r="AK220" s="1"/>
      <c r="AL220" s="1" t="s">
        <v>167</v>
      </c>
      <c r="AM220" t="s">
        <v>2790</v>
      </c>
    </row>
    <row r="221" spans="1:39" ht="19" customHeight="1">
      <c r="A221" s="4">
        <v>6887</v>
      </c>
      <c r="B221" s="4" t="s">
        <v>975</v>
      </c>
      <c r="C221" s="4">
        <v>2010</v>
      </c>
      <c r="D221" s="4" t="s">
        <v>976</v>
      </c>
      <c r="E221" s="4">
        <v>7</v>
      </c>
      <c r="F221" s="4">
        <v>18.100000000000001</v>
      </c>
      <c r="G221" s="4">
        <v>48.2</v>
      </c>
      <c r="H221" s="4">
        <v>12.62</v>
      </c>
      <c r="I221" s="4">
        <v>59.9</v>
      </c>
      <c r="J221" s="4">
        <v>346</v>
      </c>
      <c r="K221" s="4">
        <v>81</v>
      </c>
      <c r="L221" s="4">
        <v>1</v>
      </c>
      <c r="M221" s="4">
        <v>1</v>
      </c>
      <c r="N221" s="4" t="s">
        <v>730</v>
      </c>
      <c r="O221" s="1" t="s">
        <v>620</v>
      </c>
      <c r="P221" s="1" t="s">
        <v>2792</v>
      </c>
      <c r="Q221" s="1" t="s">
        <v>2793</v>
      </c>
      <c r="R221" s="1">
        <v>7</v>
      </c>
      <c r="S221" s="1" t="s">
        <v>1003</v>
      </c>
      <c r="T221" s="1">
        <v>-43.615000000000002</v>
      </c>
      <c r="U221" s="1">
        <v>172.04900000000001</v>
      </c>
      <c r="V221" s="1">
        <v>10.9</v>
      </c>
      <c r="W221" s="1" t="s">
        <v>730</v>
      </c>
      <c r="X221" s="1" t="s">
        <v>2571</v>
      </c>
      <c r="Y221" s="1">
        <v>85.1</v>
      </c>
      <c r="Z221" s="1">
        <v>82.2</v>
      </c>
      <c r="AA221" s="1">
        <v>180</v>
      </c>
      <c r="AB221" s="1"/>
      <c r="AC221" s="1"/>
      <c r="AD221" s="1"/>
      <c r="AE221" s="1" t="s">
        <v>2566</v>
      </c>
      <c r="AF221" s="1" t="s">
        <v>731</v>
      </c>
      <c r="AG221" s="1"/>
      <c r="AH221" s="1"/>
      <c r="AI221" s="1"/>
      <c r="AJ221" s="1"/>
      <c r="AK221" s="1"/>
      <c r="AL221" s="1" t="s">
        <v>167</v>
      </c>
      <c r="AM221" t="s">
        <v>2797</v>
      </c>
    </row>
    <row r="222" spans="1:39" ht="19" customHeight="1">
      <c r="A222" s="4">
        <v>6897</v>
      </c>
      <c r="B222" s="4" t="s">
        <v>975</v>
      </c>
      <c r="C222" s="4">
        <v>2010</v>
      </c>
      <c r="D222" s="4" t="s">
        <v>977</v>
      </c>
      <c r="E222" s="4">
        <v>7</v>
      </c>
      <c r="F222" s="4">
        <v>8.5</v>
      </c>
      <c r="G222" s="4">
        <v>17.3</v>
      </c>
      <c r="H222" s="4">
        <v>7.83</v>
      </c>
      <c r="I222" s="4">
        <v>65.900000000000006</v>
      </c>
      <c r="J222" s="4">
        <v>44</v>
      </c>
      <c r="K222" s="4">
        <v>41</v>
      </c>
      <c r="L222" s="4">
        <v>1</v>
      </c>
      <c r="M222" s="4">
        <v>1</v>
      </c>
      <c r="N222" s="4" t="s">
        <v>730</v>
      </c>
      <c r="O222" s="1" t="s">
        <v>620</v>
      </c>
      <c r="P222" s="1" t="s">
        <v>2792</v>
      </c>
      <c r="Q222" s="1" t="s">
        <v>2793</v>
      </c>
      <c r="R222" s="1">
        <v>7</v>
      </c>
      <c r="S222" s="1" t="s">
        <v>1003</v>
      </c>
      <c r="T222" s="1">
        <v>-43.615000000000002</v>
      </c>
      <c r="U222" s="1">
        <v>172.04900000000001</v>
      </c>
      <c r="V222" s="1">
        <v>10.9</v>
      </c>
      <c r="W222" s="1" t="s">
        <v>730</v>
      </c>
      <c r="X222" s="1" t="s">
        <v>2571</v>
      </c>
      <c r="Y222" s="1">
        <v>85.1</v>
      </c>
      <c r="Z222" s="1">
        <v>82.2</v>
      </c>
      <c r="AA222" s="1">
        <v>180</v>
      </c>
      <c r="AB222" s="1"/>
      <c r="AC222" s="1"/>
      <c r="AD222" s="1"/>
      <c r="AE222" s="1" t="s">
        <v>2566</v>
      </c>
      <c r="AF222" s="1" t="s">
        <v>731</v>
      </c>
      <c r="AG222" s="1"/>
      <c r="AH222" s="1"/>
      <c r="AI222" s="1"/>
      <c r="AJ222" s="1"/>
      <c r="AK222" s="1"/>
      <c r="AL222" s="1" t="s">
        <v>167</v>
      </c>
      <c r="AM222" t="s">
        <v>2797</v>
      </c>
    </row>
    <row r="223" spans="1:39" ht="19" customHeight="1">
      <c r="A223" s="4">
        <v>6906</v>
      </c>
      <c r="B223" s="4" t="s">
        <v>975</v>
      </c>
      <c r="C223" s="4">
        <v>2010</v>
      </c>
      <c r="D223" s="4" t="s">
        <v>978</v>
      </c>
      <c r="E223" s="4">
        <v>7</v>
      </c>
      <c r="F223" s="4">
        <v>1.2</v>
      </c>
      <c r="G223" s="4">
        <v>11.8</v>
      </c>
      <c r="H223" s="4">
        <v>6.23</v>
      </c>
      <c r="I223" s="4">
        <v>128.5</v>
      </c>
      <c r="J223" s="4">
        <v>295</v>
      </c>
      <c r="K223" s="4">
        <v>30</v>
      </c>
      <c r="L223" s="4">
        <v>0</v>
      </c>
      <c r="M223" s="4">
        <v>1</v>
      </c>
      <c r="N223" s="4" t="s">
        <v>730</v>
      </c>
      <c r="O223" s="1" t="s">
        <v>620</v>
      </c>
      <c r="P223" s="1" t="s">
        <v>2792</v>
      </c>
      <c r="Q223" s="1" t="s">
        <v>2793</v>
      </c>
      <c r="R223" s="1">
        <v>7</v>
      </c>
      <c r="S223" s="1" t="s">
        <v>1003</v>
      </c>
      <c r="T223" s="1">
        <v>-43.615000000000002</v>
      </c>
      <c r="U223" s="1">
        <v>172.04900000000001</v>
      </c>
      <c r="V223" s="1">
        <v>10.9</v>
      </c>
      <c r="W223" s="1" t="s">
        <v>730</v>
      </c>
      <c r="X223" s="1" t="s">
        <v>2571</v>
      </c>
      <c r="Y223" s="1">
        <v>85.1</v>
      </c>
      <c r="Z223" s="1">
        <v>82.2</v>
      </c>
      <c r="AA223" s="1">
        <v>180</v>
      </c>
      <c r="AB223" s="1"/>
      <c r="AC223" s="1"/>
      <c r="AD223" s="1"/>
      <c r="AE223" s="1" t="s">
        <v>2566</v>
      </c>
      <c r="AF223" s="1" t="s">
        <v>731</v>
      </c>
      <c r="AG223" s="1"/>
      <c r="AH223" s="1"/>
      <c r="AI223" s="1"/>
      <c r="AJ223" s="1"/>
      <c r="AK223" s="1"/>
      <c r="AL223" s="1" t="s">
        <v>167</v>
      </c>
      <c r="AM223" t="s">
        <v>2797</v>
      </c>
    </row>
    <row r="224" spans="1:39" ht="19" customHeight="1">
      <c r="A224" s="4">
        <v>6911</v>
      </c>
      <c r="B224" s="4" t="s">
        <v>975</v>
      </c>
      <c r="C224" s="4">
        <v>2010</v>
      </c>
      <c r="D224" s="4" t="s">
        <v>979</v>
      </c>
      <c r="E224" s="4">
        <v>7</v>
      </c>
      <c r="F224" s="4">
        <v>7.3</v>
      </c>
      <c r="G224" s="4">
        <v>15.4</v>
      </c>
      <c r="H224" s="4">
        <v>9.92</v>
      </c>
      <c r="I224" s="4">
        <v>106.1</v>
      </c>
      <c r="J224" s="4">
        <v>16</v>
      </c>
      <c r="K224" s="4">
        <v>69</v>
      </c>
      <c r="L224" s="4">
        <v>1</v>
      </c>
      <c r="M224" s="4">
        <v>1</v>
      </c>
      <c r="N224" s="4" t="s">
        <v>730</v>
      </c>
      <c r="O224" s="1" t="s">
        <v>620</v>
      </c>
      <c r="P224" s="1" t="s">
        <v>2792</v>
      </c>
      <c r="Q224" s="1" t="s">
        <v>2793</v>
      </c>
      <c r="R224" s="1">
        <v>7</v>
      </c>
      <c r="S224" s="1" t="s">
        <v>1003</v>
      </c>
      <c r="T224" s="1">
        <v>-43.615000000000002</v>
      </c>
      <c r="U224" s="1">
        <v>172.04900000000001</v>
      </c>
      <c r="V224" s="1">
        <v>10.9</v>
      </c>
      <c r="W224" s="1" t="s">
        <v>730</v>
      </c>
      <c r="X224" s="1" t="s">
        <v>2571</v>
      </c>
      <c r="Y224" s="1">
        <v>85.1</v>
      </c>
      <c r="Z224" s="1">
        <v>82.2</v>
      </c>
      <c r="AA224" s="1">
        <v>180</v>
      </c>
      <c r="AB224" s="1"/>
      <c r="AC224" s="1"/>
      <c r="AD224" s="1"/>
      <c r="AE224" s="1" t="s">
        <v>2566</v>
      </c>
      <c r="AF224" s="1" t="s">
        <v>731</v>
      </c>
      <c r="AG224" s="1"/>
      <c r="AH224" s="1"/>
      <c r="AI224" s="1"/>
      <c r="AJ224" s="1"/>
      <c r="AK224" s="1"/>
      <c r="AL224" s="1" t="s">
        <v>167</v>
      </c>
      <c r="AM224" t="s">
        <v>2797</v>
      </c>
    </row>
    <row r="225" spans="1:39" ht="19" customHeight="1">
      <c r="A225" s="4">
        <v>6927</v>
      </c>
      <c r="B225" s="4" t="s">
        <v>975</v>
      </c>
      <c r="C225" s="4">
        <v>2010</v>
      </c>
      <c r="D225" s="4" t="s">
        <v>980</v>
      </c>
      <c r="E225" s="4">
        <v>7</v>
      </c>
      <c r="F225" s="4">
        <v>7.1</v>
      </c>
      <c r="G225" s="4">
        <v>35.5</v>
      </c>
      <c r="H225" s="4">
        <v>7.37</v>
      </c>
      <c r="I225" s="4">
        <v>116.5</v>
      </c>
      <c r="J225" s="4">
        <v>359</v>
      </c>
      <c r="K225" s="4">
        <v>86</v>
      </c>
      <c r="L225" s="4">
        <v>1</v>
      </c>
      <c r="M225" s="4">
        <v>1</v>
      </c>
      <c r="N225" s="4" t="s">
        <v>730</v>
      </c>
      <c r="O225" s="1" t="s">
        <v>620</v>
      </c>
      <c r="P225" s="1" t="s">
        <v>2792</v>
      </c>
      <c r="Q225" s="1" t="s">
        <v>2793</v>
      </c>
      <c r="R225" s="1">
        <v>7</v>
      </c>
      <c r="S225" s="1" t="s">
        <v>1003</v>
      </c>
      <c r="T225" s="1">
        <v>-43.615000000000002</v>
      </c>
      <c r="U225" s="1">
        <v>172.04900000000001</v>
      </c>
      <c r="V225" s="1">
        <v>10.9</v>
      </c>
      <c r="W225" s="1" t="s">
        <v>730</v>
      </c>
      <c r="X225" s="1" t="s">
        <v>2571</v>
      </c>
      <c r="Y225" s="1">
        <v>85.1</v>
      </c>
      <c r="Z225" s="1">
        <v>82.2</v>
      </c>
      <c r="AA225" s="1">
        <v>180</v>
      </c>
      <c r="AB225" s="1"/>
      <c r="AC225" s="1"/>
      <c r="AD225" s="1"/>
      <c r="AE225" s="1" t="s">
        <v>2566</v>
      </c>
      <c r="AF225" s="1" t="s">
        <v>731</v>
      </c>
      <c r="AG225" s="1"/>
      <c r="AH225" s="1"/>
      <c r="AI225" s="1"/>
      <c r="AJ225" s="1"/>
      <c r="AK225" s="1"/>
      <c r="AL225" s="1" t="s">
        <v>167</v>
      </c>
      <c r="AM225" t="s">
        <v>2797</v>
      </c>
    </row>
    <row r="226" spans="1:39" ht="19" customHeight="1">
      <c r="A226" s="4">
        <v>6928</v>
      </c>
      <c r="B226" s="4" t="s">
        <v>975</v>
      </c>
      <c r="C226" s="4">
        <v>2010</v>
      </c>
      <c r="D226" s="4" t="s">
        <v>981</v>
      </c>
      <c r="E226" s="4">
        <v>7</v>
      </c>
      <c r="F226" s="4">
        <v>25.7</v>
      </c>
      <c r="G226" s="4">
        <v>55.3</v>
      </c>
      <c r="H226" s="4">
        <v>10.63</v>
      </c>
      <c r="I226" s="4">
        <v>30.2</v>
      </c>
      <c r="J226" s="4">
        <v>358</v>
      </c>
      <c r="K226" s="4">
        <v>87</v>
      </c>
      <c r="L226" s="4">
        <v>1</v>
      </c>
      <c r="M226" s="4">
        <v>1</v>
      </c>
      <c r="N226" s="4" t="s">
        <v>730</v>
      </c>
      <c r="O226" s="1" t="s">
        <v>620</v>
      </c>
      <c r="P226" s="1" t="s">
        <v>2792</v>
      </c>
      <c r="Q226" s="1" t="s">
        <v>2793</v>
      </c>
      <c r="R226" s="1">
        <v>7</v>
      </c>
      <c r="S226" s="1" t="s">
        <v>1003</v>
      </c>
      <c r="T226" s="1">
        <v>-43.615000000000002</v>
      </c>
      <c r="U226" s="1">
        <v>172.04900000000001</v>
      </c>
      <c r="V226" s="1">
        <v>10.9</v>
      </c>
      <c r="W226" s="1" t="s">
        <v>730</v>
      </c>
      <c r="X226" s="1" t="s">
        <v>2571</v>
      </c>
      <c r="Y226" s="1">
        <v>85.1</v>
      </c>
      <c r="Z226" s="1">
        <v>82.2</v>
      </c>
      <c r="AA226" s="1">
        <v>180</v>
      </c>
      <c r="AB226" s="1"/>
      <c r="AC226" s="1"/>
      <c r="AD226" s="1"/>
      <c r="AE226" s="1" t="s">
        <v>2566</v>
      </c>
      <c r="AF226" s="1" t="s">
        <v>731</v>
      </c>
      <c r="AG226" s="1"/>
      <c r="AH226" s="1"/>
      <c r="AI226" s="1"/>
      <c r="AJ226" s="1"/>
      <c r="AK226" s="1"/>
      <c r="AL226" s="1" t="s">
        <v>167</v>
      </c>
      <c r="AM226" t="s">
        <v>2797</v>
      </c>
    </row>
    <row r="227" spans="1:39" ht="19" customHeight="1">
      <c r="A227" s="4">
        <v>6942</v>
      </c>
      <c r="B227" s="4" t="s">
        <v>975</v>
      </c>
      <c r="C227" s="4">
        <v>2010</v>
      </c>
      <c r="D227" s="4" t="s">
        <v>982</v>
      </c>
      <c r="E227" s="4">
        <v>7</v>
      </c>
      <c r="F227" s="4">
        <v>26.8</v>
      </c>
      <c r="G227" s="4">
        <v>56.6</v>
      </c>
      <c r="H227" s="4">
        <v>8.0399999999999991</v>
      </c>
      <c r="I227" s="4">
        <v>56.5</v>
      </c>
      <c r="J227" s="4">
        <v>154</v>
      </c>
      <c r="K227" s="4">
        <v>69</v>
      </c>
      <c r="L227" s="4">
        <v>1</v>
      </c>
      <c r="M227" s="4">
        <v>1</v>
      </c>
      <c r="N227" s="4" t="s">
        <v>730</v>
      </c>
      <c r="O227" s="1" t="s">
        <v>620</v>
      </c>
      <c r="P227" s="1" t="s">
        <v>2792</v>
      </c>
      <c r="Q227" s="1" t="s">
        <v>2793</v>
      </c>
      <c r="R227" s="1">
        <v>7</v>
      </c>
      <c r="S227" s="1" t="s">
        <v>1003</v>
      </c>
      <c r="T227" s="1">
        <v>-43.615000000000002</v>
      </c>
      <c r="U227" s="1">
        <v>172.04900000000001</v>
      </c>
      <c r="V227" s="1">
        <v>10.9</v>
      </c>
      <c r="W227" s="1" t="s">
        <v>730</v>
      </c>
      <c r="X227" s="1" t="s">
        <v>2571</v>
      </c>
      <c r="Y227" s="1">
        <v>85.1</v>
      </c>
      <c r="Z227" s="1">
        <v>82.2</v>
      </c>
      <c r="AA227" s="1">
        <v>180</v>
      </c>
      <c r="AB227" s="1"/>
      <c r="AC227" s="1"/>
      <c r="AD227" s="1"/>
      <c r="AE227" s="1" t="s">
        <v>2566</v>
      </c>
      <c r="AF227" s="1" t="s">
        <v>731</v>
      </c>
      <c r="AG227" s="1"/>
      <c r="AH227" s="1"/>
      <c r="AI227" s="1"/>
      <c r="AJ227" s="1"/>
      <c r="AK227" s="1"/>
      <c r="AL227" s="1" t="s">
        <v>167</v>
      </c>
      <c r="AM227" t="s">
        <v>2797</v>
      </c>
    </row>
    <row r="228" spans="1:39" ht="19" customHeight="1">
      <c r="A228" s="4">
        <v>6959</v>
      </c>
      <c r="B228" s="4" t="s">
        <v>975</v>
      </c>
      <c r="C228" s="4">
        <v>2010</v>
      </c>
      <c r="D228" s="4" t="s">
        <v>983</v>
      </c>
      <c r="E228" s="4">
        <v>7</v>
      </c>
      <c r="F228" s="4">
        <v>19.5</v>
      </c>
      <c r="G228" s="4">
        <v>49.5</v>
      </c>
      <c r="H228" s="4">
        <v>12.02</v>
      </c>
      <c r="I228" s="4">
        <v>65.3</v>
      </c>
      <c r="J228" s="4">
        <v>342</v>
      </c>
      <c r="K228" s="4">
        <v>77</v>
      </c>
      <c r="L228" s="4">
        <v>0</v>
      </c>
      <c r="M228" s="4">
        <v>1</v>
      </c>
      <c r="N228" s="4" t="s">
        <v>730</v>
      </c>
      <c r="O228" s="1" t="s">
        <v>620</v>
      </c>
      <c r="P228" s="1" t="s">
        <v>2792</v>
      </c>
      <c r="Q228" s="1" t="s">
        <v>2793</v>
      </c>
      <c r="R228" s="1">
        <v>7</v>
      </c>
      <c r="S228" s="1" t="s">
        <v>1003</v>
      </c>
      <c r="T228" s="1">
        <v>-43.615000000000002</v>
      </c>
      <c r="U228" s="1">
        <v>172.04900000000001</v>
      </c>
      <c r="V228" s="1">
        <v>10.9</v>
      </c>
      <c r="W228" s="1" t="s">
        <v>730</v>
      </c>
      <c r="X228" s="1" t="s">
        <v>2571</v>
      </c>
      <c r="Y228" s="1">
        <v>85.1</v>
      </c>
      <c r="Z228" s="1">
        <v>82.2</v>
      </c>
      <c r="AA228" s="1">
        <v>180</v>
      </c>
      <c r="AB228" s="1"/>
      <c r="AC228" s="1"/>
      <c r="AD228" s="1"/>
      <c r="AE228" s="1" t="s">
        <v>2566</v>
      </c>
      <c r="AF228" s="1" t="s">
        <v>731</v>
      </c>
      <c r="AG228" s="1"/>
      <c r="AH228" s="1"/>
      <c r="AI228" s="1"/>
      <c r="AJ228" s="1"/>
      <c r="AK228" s="1"/>
      <c r="AL228" s="1" t="s">
        <v>167</v>
      </c>
      <c r="AM228" t="s">
        <v>2797</v>
      </c>
    </row>
    <row r="229" spans="1:39" ht="19" customHeight="1">
      <c r="A229" s="4">
        <v>6960</v>
      </c>
      <c r="B229" s="4" t="s">
        <v>975</v>
      </c>
      <c r="C229" s="4">
        <v>2010</v>
      </c>
      <c r="D229" s="4" t="s">
        <v>984</v>
      </c>
      <c r="E229" s="4">
        <v>7</v>
      </c>
      <c r="F229" s="4">
        <v>13.6</v>
      </c>
      <c r="G229" s="4">
        <v>43.8</v>
      </c>
      <c r="H229" s="4">
        <v>9.39</v>
      </c>
      <c r="I229" s="4">
        <v>63.8</v>
      </c>
      <c r="J229" s="4">
        <v>356</v>
      </c>
      <c r="K229" s="4">
        <v>90</v>
      </c>
      <c r="L229" s="4">
        <v>1</v>
      </c>
      <c r="M229" s="4">
        <v>1</v>
      </c>
      <c r="N229" s="4" t="s">
        <v>730</v>
      </c>
      <c r="O229" s="1" t="s">
        <v>620</v>
      </c>
      <c r="P229" s="1" t="s">
        <v>2792</v>
      </c>
      <c r="Q229" s="1" t="s">
        <v>2793</v>
      </c>
      <c r="R229" s="1">
        <v>7</v>
      </c>
      <c r="S229" s="1" t="s">
        <v>1003</v>
      </c>
      <c r="T229" s="1">
        <v>-43.615000000000002</v>
      </c>
      <c r="U229" s="1">
        <v>172.04900000000001</v>
      </c>
      <c r="V229" s="1">
        <v>10.9</v>
      </c>
      <c r="W229" s="1" t="s">
        <v>730</v>
      </c>
      <c r="X229" s="1" t="s">
        <v>2571</v>
      </c>
      <c r="Y229" s="1">
        <v>85.1</v>
      </c>
      <c r="Z229" s="1">
        <v>82.2</v>
      </c>
      <c r="AA229" s="1">
        <v>180</v>
      </c>
      <c r="AB229" s="1"/>
      <c r="AC229" s="1"/>
      <c r="AD229" s="1"/>
      <c r="AE229" s="1" t="s">
        <v>2566</v>
      </c>
      <c r="AF229" s="1" t="s">
        <v>731</v>
      </c>
      <c r="AG229" s="1"/>
      <c r="AH229" s="1"/>
      <c r="AI229" s="1"/>
      <c r="AJ229" s="1"/>
      <c r="AK229" s="1"/>
      <c r="AL229" s="1" t="s">
        <v>167</v>
      </c>
      <c r="AM229" t="s">
        <v>2797</v>
      </c>
    </row>
    <row r="230" spans="1:39" ht="19" customHeight="1">
      <c r="A230" s="4">
        <v>6962</v>
      </c>
      <c r="B230" s="4" t="s">
        <v>975</v>
      </c>
      <c r="C230" s="4">
        <v>2010</v>
      </c>
      <c r="D230" s="4" t="s">
        <v>985</v>
      </c>
      <c r="E230" s="4">
        <v>7</v>
      </c>
      <c r="F230" s="4">
        <v>1.5</v>
      </c>
      <c r="G230" s="4">
        <v>29</v>
      </c>
      <c r="H230" s="4">
        <v>7.14</v>
      </c>
      <c r="I230" s="4">
        <v>85.7</v>
      </c>
      <c r="J230" s="4">
        <v>151</v>
      </c>
      <c r="K230" s="4">
        <v>66</v>
      </c>
      <c r="L230" s="4">
        <v>1</v>
      </c>
      <c r="M230" s="4">
        <v>1</v>
      </c>
      <c r="N230" s="4" t="s">
        <v>730</v>
      </c>
      <c r="O230" s="1" t="s">
        <v>620</v>
      </c>
      <c r="P230" s="1" t="s">
        <v>2792</v>
      </c>
      <c r="Q230" s="1" t="s">
        <v>2793</v>
      </c>
      <c r="R230" s="1">
        <v>7</v>
      </c>
      <c r="S230" s="1" t="s">
        <v>1003</v>
      </c>
      <c r="T230" s="1">
        <v>-43.615000000000002</v>
      </c>
      <c r="U230" s="1">
        <v>172.04900000000001</v>
      </c>
      <c r="V230" s="1">
        <v>10.9</v>
      </c>
      <c r="W230" s="1" t="s">
        <v>730</v>
      </c>
      <c r="X230" s="1" t="s">
        <v>2571</v>
      </c>
      <c r="Y230" s="1">
        <v>85.1</v>
      </c>
      <c r="Z230" s="1">
        <v>82.2</v>
      </c>
      <c r="AA230" s="1">
        <v>180</v>
      </c>
      <c r="AB230" s="1"/>
      <c r="AC230" s="1"/>
      <c r="AD230" s="1"/>
      <c r="AE230" s="1" t="s">
        <v>2566</v>
      </c>
      <c r="AF230" s="1" t="s">
        <v>731</v>
      </c>
      <c r="AG230" s="1"/>
      <c r="AH230" s="1"/>
      <c r="AI230" s="1"/>
      <c r="AJ230" s="1"/>
      <c r="AK230" s="1"/>
      <c r="AL230" s="1" t="s">
        <v>167</v>
      </c>
      <c r="AM230" t="s">
        <v>2797</v>
      </c>
    </row>
    <row r="231" spans="1:39" ht="19" customHeight="1">
      <c r="A231" s="4">
        <v>6966</v>
      </c>
      <c r="B231" s="4" t="s">
        <v>975</v>
      </c>
      <c r="C231" s="4">
        <v>2010</v>
      </c>
      <c r="D231" s="4" t="s">
        <v>986</v>
      </c>
      <c r="E231" s="4">
        <v>7</v>
      </c>
      <c r="F231" s="4">
        <v>22.3</v>
      </c>
      <c r="G231" s="4">
        <v>52.2</v>
      </c>
      <c r="H231" s="4">
        <v>8.76</v>
      </c>
      <c r="I231" s="4">
        <v>65.7</v>
      </c>
      <c r="J231" s="4">
        <v>157</v>
      </c>
      <c r="K231" s="4">
        <v>72</v>
      </c>
      <c r="L231" s="4">
        <v>1</v>
      </c>
      <c r="M231" s="4">
        <v>1</v>
      </c>
      <c r="N231" s="4" t="s">
        <v>730</v>
      </c>
      <c r="O231" s="1" t="s">
        <v>620</v>
      </c>
      <c r="P231" s="1" t="s">
        <v>2792</v>
      </c>
      <c r="Q231" s="1" t="s">
        <v>2793</v>
      </c>
      <c r="R231" s="1">
        <v>7</v>
      </c>
      <c r="S231" s="1" t="s">
        <v>1003</v>
      </c>
      <c r="T231" s="1">
        <v>-43.615000000000002</v>
      </c>
      <c r="U231" s="1">
        <v>172.04900000000001</v>
      </c>
      <c r="V231" s="1">
        <v>10.9</v>
      </c>
      <c r="W231" s="1" t="s">
        <v>730</v>
      </c>
      <c r="X231" s="1" t="s">
        <v>2571</v>
      </c>
      <c r="Y231" s="1">
        <v>85.1</v>
      </c>
      <c r="Z231" s="1">
        <v>82.2</v>
      </c>
      <c r="AA231" s="1">
        <v>180</v>
      </c>
      <c r="AB231" s="1"/>
      <c r="AC231" s="1"/>
      <c r="AD231" s="1"/>
      <c r="AE231" s="1" t="s">
        <v>2566</v>
      </c>
      <c r="AF231" s="1" t="s">
        <v>731</v>
      </c>
      <c r="AG231" s="1"/>
      <c r="AH231" s="1"/>
      <c r="AI231" s="1"/>
      <c r="AJ231" s="1"/>
      <c r="AK231" s="1"/>
      <c r="AL231" s="1" t="s">
        <v>167</v>
      </c>
      <c r="AM231" t="s">
        <v>2797</v>
      </c>
    </row>
    <row r="232" spans="1:39" ht="19" customHeight="1">
      <c r="A232" s="4">
        <v>6969</v>
      </c>
      <c r="B232" s="4" t="s">
        <v>975</v>
      </c>
      <c r="C232" s="4">
        <v>2010</v>
      </c>
      <c r="D232" s="4" t="s">
        <v>987</v>
      </c>
      <c r="E232" s="4">
        <v>7</v>
      </c>
      <c r="F232" s="4">
        <v>20.9</v>
      </c>
      <c r="G232" s="4">
        <v>49.6</v>
      </c>
      <c r="H232" s="4">
        <v>9.35</v>
      </c>
      <c r="I232" s="4">
        <v>64.400000000000006</v>
      </c>
      <c r="J232" s="4">
        <v>334</v>
      </c>
      <c r="K232" s="4">
        <v>68</v>
      </c>
      <c r="L232" s="4">
        <v>1</v>
      </c>
      <c r="M232" s="4">
        <v>1</v>
      </c>
      <c r="N232" s="4" t="s">
        <v>730</v>
      </c>
      <c r="O232" s="1" t="s">
        <v>620</v>
      </c>
      <c r="P232" s="1" t="s">
        <v>2792</v>
      </c>
      <c r="Q232" s="1" t="s">
        <v>2793</v>
      </c>
      <c r="R232" s="1">
        <v>7</v>
      </c>
      <c r="S232" s="1" t="s">
        <v>1003</v>
      </c>
      <c r="T232" s="1">
        <v>-43.615000000000002</v>
      </c>
      <c r="U232" s="1">
        <v>172.04900000000001</v>
      </c>
      <c r="V232" s="1">
        <v>10.9</v>
      </c>
      <c r="W232" s="1" t="s">
        <v>730</v>
      </c>
      <c r="X232" s="1" t="s">
        <v>2571</v>
      </c>
      <c r="Y232" s="1">
        <v>85.1</v>
      </c>
      <c r="Z232" s="1">
        <v>82.2</v>
      </c>
      <c r="AA232" s="1">
        <v>180</v>
      </c>
      <c r="AB232" s="1"/>
      <c r="AC232" s="1"/>
      <c r="AD232" s="1"/>
      <c r="AE232" s="1" t="s">
        <v>2566</v>
      </c>
      <c r="AF232" s="1" t="s">
        <v>731</v>
      </c>
      <c r="AG232" s="1"/>
      <c r="AH232" s="1"/>
      <c r="AI232" s="1"/>
      <c r="AJ232" s="1"/>
      <c r="AK232" s="1"/>
      <c r="AL232" s="1" t="s">
        <v>167</v>
      </c>
      <c r="AM232" t="s">
        <v>2797</v>
      </c>
    </row>
    <row r="233" spans="1:39" ht="19" customHeight="1">
      <c r="A233" s="4">
        <v>6975</v>
      </c>
      <c r="B233" s="4" t="s">
        <v>975</v>
      </c>
      <c r="C233" s="4">
        <v>2010</v>
      </c>
      <c r="D233" s="4" t="s">
        <v>988</v>
      </c>
      <c r="E233" s="4">
        <v>7</v>
      </c>
      <c r="F233" s="4">
        <v>6.1</v>
      </c>
      <c r="G233" s="4">
        <v>36.5</v>
      </c>
      <c r="H233" s="4">
        <v>8.93</v>
      </c>
      <c r="I233" s="4">
        <v>74.099999999999994</v>
      </c>
      <c r="J233" s="4">
        <v>354</v>
      </c>
      <c r="K233" s="4">
        <v>89</v>
      </c>
      <c r="L233" s="4">
        <v>1</v>
      </c>
      <c r="M233" s="4">
        <v>1</v>
      </c>
      <c r="N233" s="4" t="s">
        <v>730</v>
      </c>
      <c r="O233" s="1" t="s">
        <v>620</v>
      </c>
      <c r="P233" s="1" t="s">
        <v>2792</v>
      </c>
      <c r="Q233" s="1" t="s">
        <v>2793</v>
      </c>
      <c r="R233" s="1">
        <v>7</v>
      </c>
      <c r="S233" s="1" t="s">
        <v>1003</v>
      </c>
      <c r="T233" s="1">
        <v>-43.615000000000002</v>
      </c>
      <c r="U233" s="1">
        <v>172.04900000000001</v>
      </c>
      <c r="V233" s="1">
        <v>10.9</v>
      </c>
      <c r="W233" s="1" t="s">
        <v>730</v>
      </c>
      <c r="X233" s="1" t="s">
        <v>2571</v>
      </c>
      <c r="Y233" s="1">
        <v>85.1</v>
      </c>
      <c r="Z233" s="1">
        <v>82.2</v>
      </c>
      <c r="AA233" s="1">
        <v>180</v>
      </c>
      <c r="AB233" s="1"/>
      <c r="AC233" s="1"/>
      <c r="AD233" s="1"/>
      <c r="AE233" s="1" t="s">
        <v>2566</v>
      </c>
      <c r="AF233" s="1" t="s">
        <v>731</v>
      </c>
      <c r="AG233" s="1"/>
      <c r="AH233" s="1"/>
      <c r="AI233" s="1"/>
      <c r="AJ233" s="1"/>
      <c r="AK233" s="1"/>
      <c r="AL233" s="1" t="s">
        <v>167</v>
      </c>
      <c r="AM233" t="s">
        <v>2797</v>
      </c>
    </row>
    <row r="234" spans="1:39" ht="19" customHeight="1">
      <c r="A234" s="4">
        <v>5832</v>
      </c>
      <c r="B234" s="4" t="s">
        <v>989</v>
      </c>
      <c r="C234" s="4">
        <v>2010</v>
      </c>
      <c r="D234" s="4" t="s">
        <v>990</v>
      </c>
      <c r="E234" s="4">
        <v>7.2</v>
      </c>
      <c r="F234" s="4">
        <v>26.6</v>
      </c>
      <c r="G234" s="4">
        <v>28.4</v>
      </c>
      <c r="H234" s="4">
        <v>8.43</v>
      </c>
      <c r="I234" s="4">
        <v>56.3</v>
      </c>
      <c r="J234" s="4">
        <v>284</v>
      </c>
      <c r="K234" s="4">
        <v>71</v>
      </c>
      <c r="L234" s="4">
        <v>0</v>
      </c>
      <c r="M234" s="4">
        <v>0</v>
      </c>
      <c r="N234" s="4" t="s">
        <v>730</v>
      </c>
      <c r="O234" s="1" t="s">
        <v>626</v>
      </c>
      <c r="P234" s="1" t="s">
        <v>2799</v>
      </c>
      <c r="Q234" s="1" t="s">
        <v>2800</v>
      </c>
      <c r="R234" s="1">
        <v>7.2</v>
      </c>
      <c r="S234" s="1" t="s">
        <v>1003</v>
      </c>
      <c r="T234" s="1">
        <v>32.299999999999997</v>
      </c>
      <c r="U234" s="1">
        <v>-115.267</v>
      </c>
      <c r="V234" s="1">
        <v>5.45</v>
      </c>
      <c r="W234" s="1" t="s">
        <v>730</v>
      </c>
      <c r="X234" s="1" t="s">
        <v>2571</v>
      </c>
      <c r="Y234" s="1">
        <v>236</v>
      </c>
      <c r="Z234" s="1">
        <v>63</v>
      </c>
      <c r="AA234" s="1">
        <v>-164</v>
      </c>
      <c r="AB234" s="1"/>
      <c r="AC234" s="1"/>
      <c r="AD234" s="1"/>
      <c r="AE234" s="1" t="s">
        <v>2566</v>
      </c>
      <c r="AF234" s="1" t="s">
        <v>731</v>
      </c>
      <c r="AG234" s="1"/>
      <c r="AH234" s="1"/>
      <c r="AI234" s="1"/>
      <c r="AJ234" s="1"/>
      <c r="AK234" s="1"/>
      <c r="AL234" s="1" t="s">
        <v>167</v>
      </c>
      <c r="AM234" t="s">
        <v>2802</v>
      </c>
    </row>
    <row r="235" spans="1:39" ht="19" customHeight="1">
      <c r="A235" s="4">
        <v>8161</v>
      </c>
      <c r="B235" s="4" t="s">
        <v>989</v>
      </c>
      <c r="C235" s="4">
        <v>2010</v>
      </c>
      <c r="D235" s="4" t="s">
        <v>991</v>
      </c>
      <c r="E235" s="4">
        <v>7.2</v>
      </c>
      <c r="F235" s="4">
        <v>11.3</v>
      </c>
      <c r="G235" s="4">
        <v>58.3</v>
      </c>
      <c r="H235" s="4">
        <v>8.7200000000000006</v>
      </c>
      <c r="I235" s="4">
        <v>72.599999999999994</v>
      </c>
      <c r="J235" s="4">
        <v>83</v>
      </c>
      <c r="K235" s="4">
        <v>48</v>
      </c>
      <c r="L235" s="4">
        <v>1</v>
      </c>
      <c r="M235" s="4">
        <v>1</v>
      </c>
      <c r="N235" s="4" t="s">
        <v>730</v>
      </c>
      <c r="O235" s="1" t="s">
        <v>626</v>
      </c>
      <c r="P235" s="1" t="s">
        <v>2799</v>
      </c>
      <c r="Q235" s="1" t="s">
        <v>2800</v>
      </c>
      <c r="R235" s="1">
        <v>7.2</v>
      </c>
      <c r="S235" s="1" t="s">
        <v>1003</v>
      </c>
      <c r="T235" s="1">
        <v>32.299999999999997</v>
      </c>
      <c r="U235" s="1">
        <v>-115.267</v>
      </c>
      <c r="V235" s="1">
        <v>5.45</v>
      </c>
      <c r="W235" s="1" t="s">
        <v>730</v>
      </c>
      <c r="X235" s="1" t="s">
        <v>2571</v>
      </c>
      <c r="Y235" s="1">
        <v>236</v>
      </c>
      <c r="Z235" s="1">
        <v>63</v>
      </c>
      <c r="AA235" s="1">
        <v>-164</v>
      </c>
      <c r="AB235" s="1"/>
      <c r="AC235" s="1"/>
      <c r="AD235" s="1"/>
      <c r="AE235" s="1" t="s">
        <v>2566</v>
      </c>
      <c r="AF235" s="1" t="s">
        <v>731</v>
      </c>
      <c r="AG235" s="1"/>
      <c r="AH235" s="1"/>
      <c r="AI235" s="1"/>
      <c r="AJ235" s="1"/>
      <c r="AK235" s="1"/>
      <c r="AL235" s="1" t="s">
        <v>167</v>
      </c>
      <c r="AM235" t="s">
        <v>2802</v>
      </c>
    </row>
    <row r="236" spans="1:39" ht="19" customHeight="1">
      <c r="A236" s="4">
        <v>8606</v>
      </c>
      <c r="B236" s="4" t="s">
        <v>989</v>
      </c>
      <c r="C236" s="4">
        <v>2010</v>
      </c>
      <c r="D236" s="4" t="s">
        <v>992</v>
      </c>
      <c r="E236" s="4">
        <v>7.2</v>
      </c>
      <c r="F236" s="4">
        <v>11.4</v>
      </c>
      <c r="G236" s="4">
        <v>67.400000000000006</v>
      </c>
      <c r="H236" s="4">
        <v>7.08</v>
      </c>
      <c r="I236" s="4">
        <v>60.7</v>
      </c>
      <c r="J236" s="4">
        <v>311</v>
      </c>
      <c r="K236" s="4">
        <v>0</v>
      </c>
      <c r="L236" s="4">
        <v>0</v>
      </c>
      <c r="M236" s="4">
        <v>1</v>
      </c>
      <c r="N236" s="4" t="s">
        <v>730</v>
      </c>
      <c r="O236" s="1" t="s">
        <v>626</v>
      </c>
      <c r="P236" s="1" t="s">
        <v>2799</v>
      </c>
      <c r="Q236" s="1" t="s">
        <v>2800</v>
      </c>
      <c r="R236" s="1">
        <v>7.2</v>
      </c>
      <c r="S236" s="1" t="s">
        <v>1003</v>
      </c>
      <c r="T236" s="1">
        <v>32.299999999999997</v>
      </c>
      <c r="U236" s="1">
        <v>-115.267</v>
      </c>
      <c r="V236" s="1">
        <v>5.45</v>
      </c>
      <c r="W236" s="1" t="s">
        <v>730</v>
      </c>
      <c r="X236" s="1" t="s">
        <v>2571</v>
      </c>
      <c r="Y236" s="1">
        <v>236</v>
      </c>
      <c r="Z236" s="1">
        <v>63</v>
      </c>
      <c r="AA236" s="1">
        <v>-164</v>
      </c>
      <c r="AB236" s="1"/>
      <c r="AC236" s="1"/>
      <c r="AD236" s="1"/>
      <c r="AE236" s="1" t="s">
        <v>2566</v>
      </c>
      <c r="AF236" s="1" t="s">
        <v>731</v>
      </c>
      <c r="AG236" s="1"/>
      <c r="AH236" s="1"/>
      <c r="AI236" s="1"/>
      <c r="AJ236" s="1"/>
      <c r="AK236" s="1"/>
      <c r="AL236" s="1" t="s">
        <v>167</v>
      </c>
      <c r="AM236" t="s">
        <v>2802</v>
      </c>
    </row>
    <row r="237" spans="1:39" ht="19" customHeight="1">
      <c r="A237" s="4">
        <v>8064</v>
      </c>
      <c r="B237" s="4" t="s">
        <v>993</v>
      </c>
      <c r="C237" s="4">
        <v>2011</v>
      </c>
      <c r="D237" s="4" t="s">
        <v>994</v>
      </c>
      <c r="E237" s="4">
        <v>6.1</v>
      </c>
      <c r="F237" s="4">
        <v>3.3</v>
      </c>
      <c r="G237" s="4">
        <v>8.3000000000000007</v>
      </c>
      <c r="H237" s="4">
        <v>1.72</v>
      </c>
      <c r="I237" s="4">
        <v>66.900000000000006</v>
      </c>
      <c r="J237" s="4">
        <v>266</v>
      </c>
      <c r="K237" s="4">
        <v>27</v>
      </c>
      <c r="L237" s="4">
        <v>0</v>
      </c>
      <c r="M237" s="4">
        <v>0</v>
      </c>
      <c r="N237" s="4" t="s">
        <v>734</v>
      </c>
      <c r="O237" s="1" t="s">
        <v>638</v>
      </c>
      <c r="P237" s="1" t="s">
        <v>2804</v>
      </c>
      <c r="Q237" s="1" t="s">
        <v>2805</v>
      </c>
      <c r="R237" s="1">
        <v>6.2</v>
      </c>
      <c r="S237" s="1" t="s">
        <v>1003</v>
      </c>
      <c r="T237" s="1">
        <v>-43.570999999999998</v>
      </c>
      <c r="U237" s="1">
        <v>172.703</v>
      </c>
      <c r="V237" s="1">
        <v>6</v>
      </c>
      <c r="W237" s="1" t="s">
        <v>734</v>
      </c>
      <c r="X237" s="1" t="s">
        <v>2571</v>
      </c>
      <c r="Y237" s="1">
        <v>59</v>
      </c>
      <c r="Z237" s="1">
        <v>67</v>
      </c>
      <c r="AA237" s="1">
        <v>135</v>
      </c>
      <c r="AB237" s="1"/>
      <c r="AC237" s="1"/>
      <c r="AD237" s="1"/>
      <c r="AE237" s="1" t="s">
        <v>2566</v>
      </c>
      <c r="AF237" s="1" t="s">
        <v>731</v>
      </c>
      <c r="AG237" s="1"/>
      <c r="AH237" s="1"/>
      <c r="AI237" s="1"/>
      <c r="AJ237" s="1"/>
      <c r="AK237" s="1"/>
      <c r="AL237" s="1" t="s">
        <v>167</v>
      </c>
      <c r="AM237" t="s">
        <v>2807</v>
      </c>
    </row>
    <row r="238" spans="1:39" ht="19" customHeight="1">
      <c r="A238" s="4">
        <v>8066</v>
      </c>
      <c r="B238" s="4" t="s">
        <v>993</v>
      </c>
      <c r="C238" s="4">
        <v>2011</v>
      </c>
      <c r="D238" s="4" t="s">
        <v>995</v>
      </c>
      <c r="E238" s="4">
        <v>6.1</v>
      </c>
      <c r="F238" s="4">
        <v>4.8</v>
      </c>
      <c r="G238" s="4">
        <v>9.5</v>
      </c>
      <c r="H238" s="4">
        <v>1.96</v>
      </c>
      <c r="I238" s="4">
        <v>81.3</v>
      </c>
      <c r="J238" s="4">
        <v>57</v>
      </c>
      <c r="K238" s="4">
        <v>2</v>
      </c>
      <c r="L238" s="4">
        <v>0</v>
      </c>
      <c r="M238" s="4">
        <v>0</v>
      </c>
      <c r="N238" s="4" t="s">
        <v>734</v>
      </c>
      <c r="O238" s="1" t="s">
        <v>638</v>
      </c>
      <c r="P238" s="1" t="s">
        <v>2804</v>
      </c>
      <c r="Q238" s="1" t="s">
        <v>2805</v>
      </c>
      <c r="R238" s="1">
        <v>6.2</v>
      </c>
      <c r="S238" s="1" t="s">
        <v>1003</v>
      </c>
      <c r="T238" s="1">
        <v>-43.570999999999998</v>
      </c>
      <c r="U238" s="1">
        <v>172.703</v>
      </c>
      <c r="V238" s="1">
        <v>6</v>
      </c>
      <c r="W238" s="1" t="s">
        <v>734</v>
      </c>
      <c r="X238" s="1" t="s">
        <v>2571</v>
      </c>
      <c r="Y238" s="1">
        <v>59</v>
      </c>
      <c r="Z238" s="1">
        <v>67</v>
      </c>
      <c r="AA238" s="1">
        <v>135</v>
      </c>
      <c r="AB238" s="1"/>
      <c r="AC238" s="1"/>
      <c r="AD238" s="1"/>
      <c r="AE238" s="1" t="s">
        <v>2566</v>
      </c>
      <c r="AF238" s="1" t="s">
        <v>731</v>
      </c>
      <c r="AG238" s="1"/>
      <c r="AH238" s="1"/>
      <c r="AI238" s="1"/>
      <c r="AJ238" s="1"/>
      <c r="AK238" s="1"/>
      <c r="AL238" s="1" t="s">
        <v>167</v>
      </c>
      <c r="AM238" t="s">
        <v>2807</v>
      </c>
    </row>
    <row r="239" spans="1:39" ht="19" customHeight="1">
      <c r="A239" s="4">
        <v>8067</v>
      </c>
      <c r="B239" s="4" t="s">
        <v>993</v>
      </c>
      <c r="C239" s="4">
        <v>2011</v>
      </c>
      <c r="D239" s="4" t="s">
        <v>996</v>
      </c>
      <c r="E239" s="4">
        <v>6.1</v>
      </c>
      <c r="F239" s="4">
        <v>4.5</v>
      </c>
      <c r="G239" s="4">
        <v>8.8000000000000007</v>
      </c>
      <c r="H239" s="4">
        <v>2.04</v>
      </c>
      <c r="I239" s="4">
        <v>48.1</v>
      </c>
      <c r="J239" s="4">
        <v>21</v>
      </c>
      <c r="K239" s="4">
        <v>38</v>
      </c>
      <c r="L239" s="4">
        <v>0</v>
      </c>
      <c r="M239" s="4">
        <v>0</v>
      </c>
      <c r="N239" s="4" t="s">
        <v>734</v>
      </c>
      <c r="O239" s="1" t="s">
        <v>638</v>
      </c>
      <c r="P239" s="1" t="s">
        <v>2804</v>
      </c>
      <c r="Q239" s="1" t="s">
        <v>2805</v>
      </c>
      <c r="R239" s="1">
        <v>6.2</v>
      </c>
      <c r="S239" s="1" t="s">
        <v>1003</v>
      </c>
      <c r="T239" s="1">
        <v>-43.570999999999998</v>
      </c>
      <c r="U239" s="1">
        <v>172.703</v>
      </c>
      <c r="V239" s="1">
        <v>6</v>
      </c>
      <c r="W239" s="1" t="s">
        <v>734</v>
      </c>
      <c r="X239" s="1" t="s">
        <v>2571</v>
      </c>
      <c r="Y239" s="1">
        <v>59</v>
      </c>
      <c r="Z239" s="1">
        <v>67</v>
      </c>
      <c r="AA239" s="1">
        <v>135</v>
      </c>
      <c r="AB239" s="1"/>
      <c r="AC239" s="1"/>
      <c r="AD239" s="1"/>
      <c r="AE239" s="1" t="s">
        <v>2566</v>
      </c>
      <c r="AF239" s="1" t="s">
        <v>731</v>
      </c>
      <c r="AG239" s="1"/>
      <c r="AH239" s="1"/>
      <c r="AI239" s="1"/>
      <c r="AJ239" s="1"/>
      <c r="AK239" s="1"/>
      <c r="AL239" s="1" t="s">
        <v>167</v>
      </c>
      <c r="AM239" t="s">
        <v>2807</v>
      </c>
    </row>
    <row r="240" spans="1:39" ht="19" customHeight="1">
      <c r="A240" s="4">
        <v>8090</v>
      </c>
      <c r="B240" s="4" t="s">
        <v>993</v>
      </c>
      <c r="C240" s="4">
        <v>2011</v>
      </c>
      <c r="D240" s="4" t="s">
        <v>997</v>
      </c>
      <c r="E240" s="4">
        <v>6.1</v>
      </c>
      <c r="F240" s="4">
        <v>4.3</v>
      </c>
      <c r="G240" s="4">
        <v>9.8000000000000007</v>
      </c>
      <c r="H240" s="4">
        <v>6.85</v>
      </c>
      <c r="I240" s="4">
        <v>48.3</v>
      </c>
      <c r="J240" s="4">
        <v>291</v>
      </c>
      <c r="K240" s="4">
        <v>52</v>
      </c>
      <c r="L240" s="4">
        <v>0</v>
      </c>
      <c r="M240" s="4">
        <v>0</v>
      </c>
      <c r="N240" s="4" t="s">
        <v>734</v>
      </c>
      <c r="O240" s="1" t="s">
        <v>638</v>
      </c>
      <c r="P240" s="1" t="s">
        <v>2804</v>
      </c>
      <c r="Q240" s="1" t="s">
        <v>2805</v>
      </c>
      <c r="R240" s="1">
        <v>6.2</v>
      </c>
      <c r="S240" s="1" t="s">
        <v>1003</v>
      </c>
      <c r="T240" s="1">
        <v>-43.570999999999998</v>
      </c>
      <c r="U240" s="1">
        <v>172.703</v>
      </c>
      <c r="V240" s="1">
        <v>6</v>
      </c>
      <c r="W240" s="1" t="s">
        <v>734</v>
      </c>
      <c r="X240" s="1" t="s">
        <v>2571</v>
      </c>
      <c r="Y240" s="1">
        <v>59</v>
      </c>
      <c r="Z240" s="1">
        <v>67</v>
      </c>
      <c r="AA240" s="1">
        <v>135</v>
      </c>
      <c r="AB240" s="1"/>
      <c r="AC240" s="1"/>
      <c r="AD240" s="1"/>
      <c r="AE240" s="1" t="s">
        <v>2566</v>
      </c>
      <c r="AF240" s="1" t="s">
        <v>731</v>
      </c>
      <c r="AG240" s="1"/>
      <c r="AH240" s="1"/>
      <c r="AI240" s="1"/>
      <c r="AJ240" s="1"/>
      <c r="AK240" s="1"/>
      <c r="AL240" s="1" t="s">
        <v>167</v>
      </c>
      <c r="AM240" t="s">
        <v>2807</v>
      </c>
    </row>
    <row r="241" spans="1:39" ht="19" customHeight="1">
      <c r="A241" s="4">
        <v>8119</v>
      </c>
      <c r="B241" s="4" t="s">
        <v>993</v>
      </c>
      <c r="C241" s="4">
        <v>2011</v>
      </c>
      <c r="D241" s="4" t="s">
        <v>998</v>
      </c>
      <c r="E241" s="4">
        <v>6.1</v>
      </c>
      <c r="F241" s="4">
        <v>2</v>
      </c>
      <c r="G241" s="4">
        <v>7.7</v>
      </c>
      <c r="H241" s="4">
        <v>4.82</v>
      </c>
      <c r="I241" s="4">
        <v>123.1</v>
      </c>
      <c r="J241" s="4">
        <v>135</v>
      </c>
      <c r="K241" s="4">
        <v>76</v>
      </c>
      <c r="L241" s="4">
        <v>1</v>
      </c>
      <c r="M241" s="4">
        <v>1</v>
      </c>
      <c r="N241" s="4" t="s">
        <v>734</v>
      </c>
      <c r="O241" s="1" t="s">
        <v>638</v>
      </c>
      <c r="P241" s="1" t="s">
        <v>2804</v>
      </c>
      <c r="Q241" s="1" t="s">
        <v>2805</v>
      </c>
      <c r="R241" s="1">
        <v>6.2</v>
      </c>
      <c r="S241" s="1" t="s">
        <v>1003</v>
      </c>
      <c r="T241" s="1">
        <v>-43.570999999999998</v>
      </c>
      <c r="U241" s="1">
        <v>172.703</v>
      </c>
      <c r="V241" s="1">
        <v>6</v>
      </c>
      <c r="W241" s="1" t="s">
        <v>734</v>
      </c>
      <c r="X241" s="1" t="s">
        <v>2571</v>
      </c>
      <c r="Y241" s="1">
        <v>59</v>
      </c>
      <c r="Z241" s="1">
        <v>67</v>
      </c>
      <c r="AA241" s="1">
        <v>135</v>
      </c>
      <c r="AB241" s="1"/>
      <c r="AC241" s="1"/>
      <c r="AD241" s="1"/>
      <c r="AE241" s="1" t="s">
        <v>2566</v>
      </c>
      <c r="AF241" s="1" t="s">
        <v>731</v>
      </c>
      <c r="AG241" s="1"/>
      <c r="AH241" s="1"/>
      <c r="AI241" s="1"/>
      <c r="AJ241" s="1"/>
      <c r="AK241" s="1"/>
      <c r="AL241" s="1" t="s">
        <v>167</v>
      </c>
      <c r="AM241" t="s">
        <v>2807</v>
      </c>
    </row>
    <row r="242" spans="1:39" ht="19" customHeight="1">
      <c r="A242" s="4">
        <v>8123</v>
      </c>
      <c r="B242" s="4" t="s">
        <v>993</v>
      </c>
      <c r="C242" s="4">
        <v>2011</v>
      </c>
      <c r="D242" s="4" t="s">
        <v>983</v>
      </c>
      <c r="E242" s="4">
        <v>6.1</v>
      </c>
      <c r="F242" s="4">
        <v>5.0999999999999996</v>
      </c>
      <c r="G242" s="4">
        <v>9.6999999999999993</v>
      </c>
      <c r="H242" s="4">
        <v>1.55</v>
      </c>
      <c r="I242" s="4">
        <v>97.5</v>
      </c>
      <c r="J242" s="4">
        <v>71</v>
      </c>
      <c r="K242" s="4">
        <v>12</v>
      </c>
      <c r="L242" s="4">
        <v>0</v>
      </c>
      <c r="M242" s="4">
        <v>1</v>
      </c>
      <c r="N242" s="4" t="s">
        <v>734</v>
      </c>
      <c r="O242" s="1" t="s">
        <v>638</v>
      </c>
      <c r="P242" s="1" t="s">
        <v>2804</v>
      </c>
      <c r="Q242" s="1" t="s">
        <v>2805</v>
      </c>
      <c r="R242" s="1">
        <v>6.2</v>
      </c>
      <c r="S242" s="1" t="s">
        <v>1003</v>
      </c>
      <c r="T242" s="1">
        <v>-43.570999999999998</v>
      </c>
      <c r="U242" s="1">
        <v>172.703</v>
      </c>
      <c r="V242" s="1">
        <v>6</v>
      </c>
      <c r="W242" s="1" t="s">
        <v>734</v>
      </c>
      <c r="X242" s="1" t="s">
        <v>2571</v>
      </c>
      <c r="Y242" s="1">
        <v>59</v>
      </c>
      <c r="Z242" s="1">
        <v>67</v>
      </c>
      <c r="AA242" s="1">
        <v>135</v>
      </c>
      <c r="AB242" s="1"/>
      <c r="AC242" s="1"/>
      <c r="AD242" s="1"/>
      <c r="AE242" s="1" t="s">
        <v>2566</v>
      </c>
      <c r="AF242" s="1" t="s">
        <v>731</v>
      </c>
      <c r="AG242" s="1"/>
      <c r="AH242" s="1"/>
      <c r="AI242" s="1"/>
      <c r="AJ242" s="1"/>
      <c r="AK242" s="1"/>
      <c r="AL242" s="1" t="s">
        <v>167</v>
      </c>
      <c r="AM242" t="s">
        <v>2807</v>
      </c>
    </row>
    <row r="243" spans="1:39" ht="19" customHeight="1">
      <c r="A243" s="4">
        <v>8130</v>
      </c>
      <c r="B243" s="4" t="s">
        <v>993</v>
      </c>
      <c r="C243" s="4">
        <v>2011</v>
      </c>
      <c r="D243" s="4" t="s">
        <v>986</v>
      </c>
      <c r="E243" s="4">
        <v>6.1</v>
      </c>
      <c r="F243" s="4">
        <v>5.6</v>
      </c>
      <c r="G243" s="4">
        <v>10</v>
      </c>
      <c r="H243" s="4">
        <v>3.58</v>
      </c>
      <c r="I243" s="4">
        <v>72.400000000000006</v>
      </c>
      <c r="J243" s="4">
        <v>295</v>
      </c>
      <c r="K243" s="4">
        <v>56</v>
      </c>
      <c r="L243" s="4">
        <v>0</v>
      </c>
      <c r="M243" s="4">
        <v>0</v>
      </c>
      <c r="N243" s="4" t="s">
        <v>734</v>
      </c>
      <c r="O243" s="1" t="s">
        <v>638</v>
      </c>
      <c r="P243" s="1" t="s">
        <v>2804</v>
      </c>
      <c r="Q243" s="1" t="s">
        <v>2805</v>
      </c>
      <c r="R243" s="1">
        <v>6.2</v>
      </c>
      <c r="S243" s="1" t="s">
        <v>1003</v>
      </c>
      <c r="T243" s="1">
        <v>-43.570999999999998</v>
      </c>
      <c r="U243" s="1">
        <v>172.703</v>
      </c>
      <c r="V243" s="1">
        <v>6</v>
      </c>
      <c r="W243" s="1" t="s">
        <v>734</v>
      </c>
      <c r="X243" s="1" t="s">
        <v>2571</v>
      </c>
      <c r="Y243" s="1">
        <v>59</v>
      </c>
      <c r="Z243" s="1">
        <v>67</v>
      </c>
      <c r="AA243" s="1">
        <v>135</v>
      </c>
      <c r="AB243" s="1"/>
      <c r="AC243" s="1"/>
      <c r="AD243" s="1"/>
      <c r="AE243" s="1" t="s">
        <v>2566</v>
      </c>
      <c r="AF243" s="1" t="s">
        <v>731</v>
      </c>
      <c r="AG243" s="1"/>
      <c r="AH243" s="1"/>
      <c r="AI243" s="1"/>
      <c r="AJ243" s="1"/>
      <c r="AK243" s="1"/>
      <c r="AL243" s="1" t="s">
        <v>167</v>
      </c>
      <c r="AM243" t="s">
        <v>2807</v>
      </c>
    </row>
    <row r="244" spans="1:39" ht="19" customHeight="1">
      <c r="A244" s="4">
        <v>8158</v>
      </c>
      <c r="B244" s="4" t="s">
        <v>993</v>
      </c>
      <c r="C244" s="4">
        <v>2011</v>
      </c>
      <c r="D244" s="4" t="s">
        <v>981</v>
      </c>
      <c r="E244" s="4">
        <v>6.1</v>
      </c>
      <c r="F244" s="4">
        <v>6.1</v>
      </c>
      <c r="G244" s="4">
        <v>7.3</v>
      </c>
      <c r="H244" s="4">
        <v>3.8</v>
      </c>
      <c r="I244" s="4">
        <v>44.7</v>
      </c>
      <c r="J244" s="4">
        <v>19</v>
      </c>
      <c r="K244" s="4">
        <v>40</v>
      </c>
      <c r="L244" s="4">
        <v>0</v>
      </c>
      <c r="M244" s="4">
        <v>0</v>
      </c>
      <c r="N244" s="4" t="s">
        <v>734</v>
      </c>
      <c r="O244" s="1" t="s">
        <v>638</v>
      </c>
      <c r="P244" s="1" t="s">
        <v>2804</v>
      </c>
      <c r="Q244" s="1" t="s">
        <v>2805</v>
      </c>
      <c r="R244" s="1">
        <v>6.2</v>
      </c>
      <c r="S244" s="1" t="s">
        <v>1003</v>
      </c>
      <c r="T244" s="1">
        <v>-43.570999999999998</v>
      </c>
      <c r="U244" s="1">
        <v>172.703</v>
      </c>
      <c r="V244" s="1">
        <v>6</v>
      </c>
      <c r="W244" s="1" t="s">
        <v>734</v>
      </c>
      <c r="X244" s="1" t="s">
        <v>2571</v>
      </c>
      <c r="Y244" s="1">
        <v>59</v>
      </c>
      <c r="Z244" s="1">
        <v>67</v>
      </c>
      <c r="AA244" s="1">
        <v>135</v>
      </c>
      <c r="AB244" s="1"/>
      <c r="AC244" s="1"/>
      <c r="AD244" s="1"/>
      <c r="AE244" s="1" t="s">
        <v>2566</v>
      </c>
      <c r="AF244" s="1" t="s">
        <v>731</v>
      </c>
      <c r="AG244" s="1"/>
      <c r="AH244" s="1"/>
      <c r="AI244" s="1"/>
      <c r="AJ244" s="1"/>
      <c r="AK244" s="1"/>
      <c r="AL244" s="1" t="s">
        <v>167</v>
      </c>
      <c r="AM244" t="s">
        <v>2807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34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5" customWidth="1"/>
    <col min="2" max="2" width="20" customWidth="1"/>
    <col min="3" max="3" width="28" customWidth="1"/>
    <col min="4" max="6" width="20" customWidth="1"/>
    <col min="7" max="7" width="48" customWidth="1"/>
    <col min="8" max="36" width="20" customWidth="1"/>
    <col min="37" max="38" width="40" customWidth="1"/>
    <col min="39" max="44" width="20" customWidth="1"/>
    <col min="45" max="46" width="40" customWidth="1"/>
    <col min="47" max="50" width="20" customWidth="1"/>
    <col min="51" max="52" width="55" customWidth="1"/>
    <col min="53" max="53" width="40" customWidth="1"/>
  </cols>
  <sheetData>
    <row r="1" spans="1:53" ht="58" customHeight="1">
      <c r="A1" s="11" t="s">
        <v>999</v>
      </c>
      <c r="B1" s="11" t="s">
        <v>1000</v>
      </c>
      <c r="C1" s="11" t="s">
        <v>1001</v>
      </c>
      <c r="D1" s="11" t="s">
        <v>1002</v>
      </c>
      <c r="E1" s="11" t="s">
        <v>1003</v>
      </c>
      <c r="F1" s="11" t="s">
        <v>1004</v>
      </c>
      <c r="G1" s="11" t="s">
        <v>1005</v>
      </c>
      <c r="H1" s="11" t="s">
        <v>1006</v>
      </c>
      <c r="I1" s="11" t="s">
        <v>1007</v>
      </c>
      <c r="J1" s="11" t="s">
        <v>1008</v>
      </c>
      <c r="K1" s="11" t="s">
        <v>1009</v>
      </c>
      <c r="L1" s="11" t="s">
        <v>1010</v>
      </c>
      <c r="M1" s="11" t="s">
        <v>1011</v>
      </c>
      <c r="N1" s="11" t="s">
        <v>1012</v>
      </c>
      <c r="O1" s="11" t="s">
        <v>1013</v>
      </c>
      <c r="P1" s="11" t="s">
        <v>1014</v>
      </c>
      <c r="Q1" s="11" t="s">
        <v>1015</v>
      </c>
      <c r="R1" s="11" t="s">
        <v>1016</v>
      </c>
      <c r="S1" s="11" t="s">
        <v>1017</v>
      </c>
      <c r="T1" s="11" t="s">
        <v>1018</v>
      </c>
      <c r="U1" s="11" t="s">
        <v>1019</v>
      </c>
      <c r="V1" s="11" t="s">
        <v>1020</v>
      </c>
      <c r="W1" s="11" t="s">
        <v>1021</v>
      </c>
      <c r="X1" s="11" t="s">
        <v>1022</v>
      </c>
      <c r="Y1" s="11" t="s">
        <v>1023</v>
      </c>
      <c r="Z1" s="11" t="s">
        <v>1024</v>
      </c>
      <c r="AA1" s="11" t="s">
        <v>1025</v>
      </c>
      <c r="AB1" s="11" t="s">
        <v>1026</v>
      </c>
      <c r="AC1" s="12" t="s">
        <v>194</v>
      </c>
      <c r="AD1" s="12" t="s">
        <v>706</v>
      </c>
      <c r="AE1" s="12" t="s">
        <v>707</v>
      </c>
      <c r="AF1" s="12" t="s">
        <v>708</v>
      </c>
      <c r="AG1" s="12" t="s">
        <v>709</v>
      </c>
      <c r="AH1" s="12" t="s">
        <v>710</v>
      </c>
      <c r="AI1" s="12" t="s">
        <v>711</v>
      </c>
      <c r="AJ1" s="12" t="s">
        <v>712</v>
      </c>
      <c r="AK1" s="12" t="s">
        <v>713</v>
      </c>
      <c r="AL1" s="12" t="s">
        <v>714</v>
      </c>
      <c r="AM1" s="12" t="s">
        <v>715</v>
      </c>
      <c r="AN1" s="12" t="s">
        <v>716</v>
      </c>
      <c r="AO1" s="12" t="s">
        <v>717</v>
      </c>
      <c r="AP1" s="12" t="s">
        <v>718</v>
      </c>
      <c r="AQ1" s="12" t="s">
        <v>719</v>
      </c>
      <c r="AR1" s="12" t="s">
        <v>720</v>
      </c>
      <c r="AS1" s="12" t="s">
        <v>721</v>
      </c>
      <c r="AT1" s="12" t="s">
        <v>722</v>
      </c>
      <c r="AU1" s="12" t="s">
        <v>723</v>
      </c>
      <c r="AV1" s="12" t="s">
        <v>724</v>
      </c>
      <c r="AW1" s="12" t="s">
        <v>725</v>
      </c>
      <c r="AX1" s="12" t="s">
        <v>726</v>
      </c>
      <c r="AY1" s="12" t="s">
        <v>727</v>
      </c>
      <c r="AZ1" s="12" t="s">
        <v>728</v>
      </c>
      <c r="BA1" s="33" t="s">
        <v>2564</v>
      </c>
    </row>
    <row r="2" spans="1:53" ht="19" customHeight="1">
      <c r="A2" s="4" t="s">
        <v>1027</v>
      </c>
      <c r="B2" s="4">
        <v>34.44</v>
      </c>
      <c r="C2" s="4">
        <v>-118.41</v>
      </c>
      <c r="D2" s="4">
        <v>13</v>
      </c>
      <c r="E2" s="4">
        <v>6.6</v>
      </c>
      <c r="F2" s="4" t="s">
        <v>1028</v>
      </c>
      <c r="G2" s="4" t="s">
        <v>733</v>
      </c>
      <c r="H2" s="4">
        <v>-118.396</v>
      </c>
      <c r="I2" s="4">
        <v>34.334000000000003</v>
      </c>
      <c r="J2" s="4">
        <v>2016.13</v>
      </c>
      <c r="K2" s="4">
        <v>0.9</v>
      </c>
      <c r="L2" s="4" t="b">
        <v>1</v>
      </c>
      <c r="M2" s="4">
        <v>1.6379999999999999</v>
      </c>
      <c r="N2" s="4" t="b">
        <v>0</v>
      </c>
      <c r="O2" s="4" t="s">
        <v>1029</v>
      </c>
      <c r="P2" s="4" t="b">
        <v>0</v>
      </c>
      <c r="Q2" s="4">
        <v>1195.8800000000001</v>
      </c>
      <c r="R2" s="4">
        <v>1214.79</v>
      </c>
      <c r="S2" s="4">
        <v>674.36900000000003</v>
      </c>
      <c r="T2" s="4">
        <v>114.503</v>
      </c>
      <c r="U2" s="4">
        <v>57.432000000000002</v>
      </c>
      <c r="V2" s="4">
        <v>59.396599999999999</v>
      </c>
      <c r="W2" s="4">
        <v>39.043999999999997</v>
      </c>
      <c r="X2" s="4">
        <v>12.8284</v>
      </c>
      <c r="Y2" s="4">
        <v>29.293299999999999</v>
      </c>
      <c r="Z2" s="4">
        <v>8.2780000000000006E-3</v>
      </c>
      <c r="AA2" s="4">
        <v>0.10465000000000001</v>
      </c>
      <c r="AB2" s="4">
        <v>0.50456900000000005</v>
      </c>
      <c r="AC2" s="1" t="s">
        <v>262</v>
      </c>
      <c r="AD2" s="1" t="s">
        <v>2578</v>
      </c>
      <c r="AE2" s="1" t="s">
        <v>2579</v>
      </c>
      <c r="AF2" s="1">
        <v>6.6</v>
      </c>
      <c r="AG2" s="1" t="s">
        <v>1003</v>
      </c>
      <c r="AH2" s="1">
        <v>34.44</v>
      </c>
      <c r="AI2" s="1">
        <v>-118.41</v>
      </c>
      <c r="AJ2" s="1">
        <v>13</v>
      </c>
      <c r="AK2" s="1" t="s">
        <v>1028</v>
      </c>
      <c r="AL2" s="1" t="s">
        <v>2809</v>
      </c>
      <c r="AM2" s="1">
        <v>288</v>
      </c>
      <c r="AN2" s="1">
        <v>50</v>
      </c>
      <c r="AO2" s="1">
        <v>83</v>
      </c>
      <c r="AP2" s="1"/>
      <c r="AQ2" s="1"/>
      <c r="AR2" s="1"/>
      <c r="AS2" s="1" t="s">
        <v>2808</v>
      </c>
      <c r="AT2" s="1" t="s">
        <v>731</v>
      </c>
      <c r="AU2" s="1"/>
      <c r="AV2" s="1"/>
      <c r="AW2" s="1"/>
      <c r="AX2" s="1"/>
      <c r="AY2" s="1"/>
      <c r="AZ2" s="1" t="s">
        <v>2812</v>
      </c>
      <c r="BA2" t="s">
        <v>2814</v>
      </c>
    </row>
    <row r="3" spans="1:53" ht="19" customHeight="1">
      <c r="A3" s="4" t="s">
        <v>1030</v>
      </c>
      <c r="B3" s="4">
        <v>33.215000000000003</v>
      </c>
      <c r="C3" s="4">
        <v>57.323</v>
      </c>
      <c r="D3" s="4">
        <v>5.75</v>
      </c>
      <c r="E3" s="4">
        <v>7.4</v>
      </c>
      <c r="F3" s="4" t="s">
        <v>1028</v>
      </c>
      <c r="G3" s="4" t="s">
        <v>736</v>
      </c>
      <c r="H3" s="4">
        <v>56.92</v>
      </c>
      <c r="I3" s="4">
        <v>33.58</v>
      </c>
      <c r="J3" s="4">
        <v>766.77</v>
      </c>
      <c r="K3" s="4">
        <v>2.0499999999999998</v>
      </c>
      <c r="L3" s="4" t="b">
        <v>1</v>
      </c>
      <c r="M3" s="4">
        <v>6.1879999999999997</v>
      </c>
      <c r="N3" s="4" t="b">
        <v>0</v>
      </c>
      <c r="O3" s="4" t="s">
        <v>1029</v>
      </c>
      <c r="P3" s="4" t="b">
        <v>0</v>
      </c>
      <c r="Q3" s="4">
        <v>837.75599999999997</v>
      </c>
      <c r="R3" s="4">
        <v>845.38599999999997</v>
      </c>
      <c r="S3" s="4">
        <v>629.30600000000004</v>
      </c>
      <c r="T3" s="4">
        <v>99.0501</v>
      </c>
      <c r="U3" s="4">
        <v>123.589</v>
      </c>
      <c r="V3" s="4">
        <v>42.110300000000002</v>
      </c>
      <c r="W3" s="4">
        <v>38.557299999999998</v>
      </c>
      <c r="X3" s="4">
        <v>93.284800000000004</v>
      </c>
      <c r="Y3" s="4">
        <v>11.5922</v>
      </c>
      <c r="Z3" s="4">
        <v>-0.34270099999999998</v>
      </c>
      <c r="AA3" s="4">
        <v>0.198547</v>
      </c>
      <c r="AB3" s="4">
        <v>0.29435699999999998</v>
      </c>
      <c r="AC3" s="1" t="s">
        <v>269</v>
      </c>
      <c r="AD3" s="1" t="s">
        <v>2584</v>
      </c>
      <c r="AE3" s="1" t="s">
        <v>2585</v>
      </c>
      <c r="AF3" s="1">
        <v>7.4</v>
      </c>
      <c r="AG3" s="1" t="s">
        <v>1003</v>
      </c>
      <c r="AH3" s="1">
        <v>33.215000000000003</v>
      </c>
      <c r="AI3" s="1">
        <v>57.323</v>
      </c>
      <c r="AJ3" s="1">
        <v>5.75</v>
      </c>
      <c r="AK3" s="1" t="s">
        <v>1028</v>
      </c>
      <c r="AL3" s="1" t="s">
        <v>2809</v>
      </c>
      <c r="AM3" s="1">
        <v>330</v>
      </c>
      <c r="AN3" s="1">
        <v>25</v>
      </c>
      <c r="AO3" s="1">
        <v>110</v>
      </c>
      <c r="AP3" s="1"/>
      <c r="AQ3" s="1"/>
      <c r="AR3" s="1"/>
      <c r="AS3" s="1" t="s">
        <v>2808</v>
      </c>
      <c r="AT3" s="1" t="s">
        <v>731</v>
      </c>
      <c r="AU3" s="1"/>
      <c r="AV3" s="1"/>
      <c r="AW3" s="1"/>
      <c r="AX3" s="1"/>
      <c r="AY3" s="1"/>
      <c r="AZ3" s="1" t="s">
        <v>2812</v>
      </c>
      <c r="BA3" t="s">
        <v>2815</v>
      </c>
    </row>
    <row r="4" spans="1:53" ht="19" customHeight="1">
      <c r="A4" s="4" t="s">
        <v>1031</v>
      </c>
      <c r="B4" s="4">
        <v>37.064999999999998</v>
      </c>
      <c r="C4" s="4">
        <v>-121.49</v>
      </c>
      <c r="D4" s="4">
        <v>8</v>
      </c>
      <c r="E4" s="4">
        <v>5.7</v>
      </c>
      <c r="F4" s="4" t="s">
        <v>1032</v>
      </c>
      <c r="G4" s="4" t="s">
        <v>1033</v>
      </c>
      <c r="H4" s="4">
        <v>-121.556</v>
      </c>
      <c r="I4" s="4">
        <v>36.981999999999999</v>
      </c>
      <c r="J4" s="4">
        <v>270.83999999999997</v>
      </c>
      <c r="K4" s="4">
        <v>9.02</v>
      </c>
      <c r="L4" s="4" t="b">
        <v>1</v>
      </c>
      <c r="M4" s="4">
        <v>1.4630000000000001</v>
      </c>
      <c r="N4" s="4" t="b">
        <v>0</v>
      </c>
      <c r="O4" s="4" t="s">
        <v>1029</v>
      </c>
      <c r="P4" s="4" t="b">
        <v>0</v>
      </c>
      <c r="Q4" s="4">
        <v>187.19499999999999</v>
      </c>
      <c r="R4" s="4">
        <v>250.69399999999999</v>
      </c>
      <c r="S4" s="4">
        <v>164.92</v>
      </c>
      <c r="T4" s="4">
        <v>10.293200000000001</v>
      </c>
      <c r="U4" s="4">
        <v>31.9756</v>
      </c>
      <c r="V4" s="4">
        <v>6.8508899999999997</v>
      </c>
      <c r="W4" s="4">
        <v>2.9148499999999999</v>
      </c>
      <c r="X4" s="4">
        <v>5.7215199999999999</v>
      </c>
      <c r="Y4" s="4">
        <v>1.1308199999999999</v>
      </c>
      <c r="Z4" s="4">
        <v>5.3255999999999998E-2</v>
      </c>
      <c r="AA4" s="4">
        <v>6.2310000000000004E-3</v>
      </c>
      <c r="AB4" s="4">
        <v>-3.8252000000000001E-2</v>
      </c>
      <c r="AC4" s="1" t="s">
        <v>277</v>
      </c>
      <c r="AD4" s="1" t="s">
        <v>2594</v>
      </c>
      <c r="AE4" s="1" t="s">
        <v>2595</v>
      </c>
      <c r="AF4" s="1">
        <v>5.7</v>
      </c>
      <c r="AG4" s="1" t="s">
        <v>1003</v>
      </c>
      <c r="AH4" s="1">
        <v>37.064999999999998</v>
      </c>
      <c r="AI4" s="1">
        <v>-121.49</v>
      </c>
      <c r="AJ4" s="1">
        <v>8</v>
      </c>
      <c r="AK4" s="1" t="s">
        <v>1032</v>
      </c>
      <c r="AL4" s="1" t="s">
        <v>2809</v>
      </c>
      <c r="AM4" s="1">
        <v>336</v>
      </c>
      <c r="AN4" s="1">
        <v>80</v>
      </c>
      <c r="AO4" s="1">
        <v>176</v>
      </c>
      <c r="AP4" s="1"/>
      <c r="AQ4" s="1"/>
      <c r="AR4" s="1"/>
      <c r="AS4" s="1" t="s">
        <v>2808</v>
      </c>
      <c r="AT4" s="1" t="s">
        <v>731</v>
      </c>
      <c r="AU4" s="1"/>
      <c r="AV4" s="1"/>
      <c r="AW4" s="1"/>
      <c r="AX4" s="1"/>
      <c r="AY4" s="1"/>
      <c r="AZ4" s="1" t="s">
        <v>2812</v>
      </c>
      <c r="BA4" t="s">
        <v>2816</v>
      </c>
    </row>
    <row r="5" spans="1:53" ht="19" customHeight="1">
      <c r="A5" s="4" t="s">
        <v>1031</v>
      </c>
      <c r="B5" s="4">
        <v>37.064999999999998</v>
      </c>
      <c r="C5" s="4">
        <v>-121.49</v>
      </c>
      <c r="D5" s="4">
        <v>8</v>
      </c>
      <c r="E5" s="4">
        <v>5.7</v>
      </c>
      <c r="F5" s="4" t="s">
        <v>1032</v>
      </c>
      <c r="G5" s="4" t="s">
        <v>1034</v>
      </c>
      <c r="H5" s="4">
        <v>-121.536</v>
      </c>
      <c r="I5" s="4">
        <v>36.987000000000002</v>
      </c>
      <c r="J5" s="4">
        <v>349.85</v>
      </c>
      <c r="K5" s="4">
        <v>7.42</v>
      </c>
      <c r="L5" s="4" t="b">
        <v>1</v>
      </c>
      <c r="M5" s="4">
        <v>1.155</v>
      </c>
      <c r="N5" s="4" t="b">
        <v>0</v>
      </c>
      <c r="O5" s="4" t="s">
        <v>1029</v>
      </c>
      <c r="P5" s="4" t="b">
        <v>0</v>
      </c>
      <c r="Q5" s="4">
        <v>247.03899999999999</v>
      </c>
      <c r="R5" s="4">
        <v>251.49700000000001</v>
      </c>
      <c r="S5" s="4">
        <v>150.97300000000001</v>
      </c>
      <c r="T5" s="4">
        <v>17.636199999999999</v>
      </c>
      <c r="U5" s="4">
        <v>29.589700000000001</v>
      </c>
      <c r="V5" s="4">
        <v>7.2060899999999997</v>
      </c>
      <c r="W5" s="4">
        <v>4.7073400000000003</v>
      </c>
      <c r="X5" s="4">
        <v>6.34009</v>
      </c>
      <c r="Y5" s="4">
        <v>1.23038</v>
      </c>
      <c r="Z5" s="4">
        <v>0.194076</v>
      </c>
      <c r="AA5" s="4">
        <v>-1.0602E-2</v>
      </c>
      <c r="AB5" s="4">
        <v>-2.8103E-2</v>
      </c>
      <c r="AC5" s="1" t="s">
        <v>277</v>
      </c>
      <c r="AD5" s="1" t="s">
        <v>2594</v>
      </c>
      <c r="AE5" s="1" t="s">
        <v>2595</v>
      </c>
      <c r="AF5" s="1">
        <v>5.7</v>
      </c>
      <c r="AG5" s="1" t="s">
        <v>1003</v>
      </c>
      <c r="AH5" s="1">
        <v>37.064999999999998</v>
      </c>
      <c r="AI5" s="1">
        <v>-121.49</v>
      </c>
      <c r="AJ5" s="1">
        <v>8</v>
      </c>
      <c r="AK5" s="1" t="s">
        <v>1032</v>
      </c>
      <c r="AL5" s="1" t="s">
        <v>2809</v>
      </c>
      <c r="AM5" s="1">
        <v>336</v>
      </c>
      <c r="AN5" s="1">
        <v>80</v>
      </c>
      <c r="AO5" s="1">
        <v>176</v>
      </c>
      <c r="AP5" s="1"/>
      <c r="AQ5" s="1"/>
      <c r="AR5" s="1"/>
      <c r="AS5" s="1" t="s">
        <v>2808</v>
      </c>
      <c r="AT5" s="1" t="s">
        <v>731</v>
      </c>
      <c r="AU5" s="1"/>
      <c r="AV5" s="1"/>
      <c r="AW5" s="1"/>
      <c r="AX5" s="1"/>
      <c r="AY5" s="1"/>
      <c r="AZ5" s="1" t="s">
        <v>2812</v>
      </c>
      <c r="BA5" t="s">
        <v>2816</v>
      </c>
    </row>
    <row r="6" spans="1:53" ht="19" customHeight="1">
      <c r="A6" s="4" t="s">
        <v>1031</v>
      </c>
      <c r="B6" s="4">
        <v>37.064999999999998</v>
      </c>
      <c r="C6" s="4">
        <v>-121.49</v>
      </c>
      <c r="D6" s="4">
        <v>8</v>
      </c>
      <c r="E6" s="4">
        <v>5.7</v>
      </c>
      <c r="F6" s="4" t="s">
        <v>1032</v>
      </c>
      <c r="G6" s="4" t="s">
        <v>1035</v>
      </c>
      <c r="H6" s="4">
        <v>-121.52200000000001</v>
      </c>
      <c r="I6" s="4">
        <v>37.000999999999998</v>
      </c>
      <c r="J6" s="4">
        <v>221.78</v>
      </c>
      <c r="K6" s="4">
        <v>5.7</v>
      </c>
      <c r="L6" s="4" t="b">
        <v>1</v>
      </c>
      <c r="M6" s="4">
        <v>1.351</v>
      </c>
      <c r="N6" s="4" t="b">
        <v>0</v>
      </c>
      <c r="O6" s="4" t="s">
        <v>1029</v>
      </c>
      <c r="P6" s="4" t="b">
        <v>0</v>
      </c>
      <c r="Q6" s="4">
        <v>228.48699999999999</v>
      </c>
      <c r="R6" s="4">
        <v>246.88900000000001</v>
      </c>
      <c r="S6" s="4">
        <v>413.78800000000001</v>
      </c>
      <c r="T6" s="4">
        <v>25.8126</v>
      </c>
      <c r="U6" s="4">
        <v>31.857800000000001</v>
      </c>
      <c r="V6" s="4">
        <v>15.3505</v>
      </c>
      <c r="W6" s="4">
        <v>3.56134</v>
      </c>
      <c r="X6" s="4">
        <v>5.2507599999999996</v>
      </c>
      <c r="Y6" s="4">
        <v>2.7667899999999999</v>
      </c>
      <c r="Z6" s="4">
        <v>5.3233999999999997E-2</v>
      </c>
      <c r="AA6" s="4">
        <v>7.4064000000000005E-2</v>
      </c>
      <c r="AB6" s="4">
        <v>-7.7673000000000006E-2</v>
      </c>
      <c r="AC6" s="1" t="s">
        <v>277</v>
      </c>
      <c r="AD6" s="1" t="s">
        <v>2594</v>
      </c>
      <c r="AE6" s="1" t="s">
        <v>2595</v>
      </c>
      <c r="AF6" s="1">
        <v>5.7</v>
      </c>
      <c r="AG6" s="1" t="s">
        <v>1003</v>
      </c>
      <c r="AH6" s="1">
        <v>37.064999999999998</v>
      </c>
      <c r="AI6" s="1">
        <v>-121.49</v>
      </c>
      <c r="AJ6" s="1">
        <v>8</v>
      </c>
      <c r="AK6" s="1" t="s">
        <v>1032</v>
      </c>
      <c r="AL6" s="1" t="s">
        <v>2809</v>
      </c>
      <c r="AM6" s="1">
        <v>336</v>
      </c>
      <c r="AN6" s="1">
        <v>80</v>
      </c>
      <c r="AO6" s="1">
        <v>176</v>
      </c>
      <c r="AP6" s="1"/>
      <c r="AQ6" s="1"/>
      <c r="AR6" s="1"/>
      <c r="AS6" s="1" t="s">
        <v>2808</v>
      </c>
      <c r="AT6" s="1" t="s">
        <v>731</v>
      </c>
      <c r="AU6" s="1"/>
      <c r="AV6" s="1"/>
      <c r="AW6" s="1"/>
      <c r="AX6" s="1"/>
      <c r="AY6" s="1"/>
      <c r="AZ6" s="1" t="s">
        <v>2812</v>
      </c>
      <c r="BA6" t="s">
        <v>2816</v>
      </c>
    </row>
    <row r="7" spans="1:53" ht="19" customHeight="1">
      <c r="A7" s="4" t="s">
        <v>1031</v>
      </c>
      <c r="B7" s="4">
        <v>37.064999999999998</v>
      </c>
      <c r="C7" s="4">
        <v>-121.49</v>
      </c>
      <c r="D7" s="4">
        <v>8</v>
      </c>
      <c r="E7" s="4">
        <v>5.7</v>
      </c>
      <c r="F7" s="4" t="s">
        <v>1032</v>
      </c>
      <c r="G7" s="4" t="s">
        <v>1036</v>
      </c>
      <c r="H7" s="4">
        <v>-121.48399999999999</v>
      </c>
      <c r="I7" s="4">
        <v>37.026000000000003</v>
      </c>
      <c r="J7" s="4">
        <v>663.31</v>
      </c>
      <c r="K7" s="4">
        <v>3.11</v>
      </c>
      <c r="L7" s="4" t="b">
        <v>1</v>
      </c>
      <c r="M7" s="4">
        <v>1.232</v>
      </c>
      <c r="N7" s="4" t="b">
        <v>0</v>
      </c>
      <c r="O7" s="4" t="s">
        <v>1029</v>
      </c>
      <c r="P7" s="4" t="b">
        <v>0</v>
      </c>
      <c r="Q7" s="4">
        <v>413.76799999999997</v>
      </c>
      <c r="R7" s="4">
        <v>312.78100000000001</v>
      </c>
      <c r="S7" s="4">
        <v>146.61099999999999</v>
      </c>
      <c r="T7" s="4">
        <v>44.359000000000002</v>
      </c>
      <c r="U7" s="4">
        <v>25.412199999999999</v>
      </c>
      <c r="V7" s="4">
        <v>16.822199999999999</v>
      </c>
      <c r="W7" s="4">
        <v>12.4397</v>
      </c>
      <c r="X7" s="4">
        <v>4.3830200000000001</v>
      </c>
      <c r="Y7" s="4">
        <v>4.3103499999999997</v>
      </c>
      <c r="Z7" s="4">
        <v>0.14954799999999999</v>
      </c>
      <c r="AA7" s="4">
        <v>-2.4799999999999999E-2</v>
      </c>
      <c r="AB7" s="4">
        <v>-0.14769099999999999</v>
      </c>
      <c r="AC7" s="1" t="s">
        <v>277</v>
      </c>
      <c r="AD7" s="1" t="s">
        <v>2594</v>
      </c>
      <c r="AE7" s="1" t="s">
        <v>2595</v>
      </c>
      <c r="AF7" s="1">
        <v>5.7</v>
      </c>
      <c r="AG7" s="1" t="s">
        <v>1003</v>
      </c>
      <c r="AH7" s="1">
        <v>37.064999999999998</v>
      </c>
      <c r="AI7" s="1">
        <v>-121.49</v>
      </c>
      <c r="AJ7" s="1">
        <v>8</v>
      </c>
      <c r="AK7" s="1" t="s">
        <v>1032</v>
      </c>
      <c r="AL7" s="1" t="s">
        <v>2809</v>
      </c>
      <c r="AM7" s="1">
        <v>336</v>
      </c>
      <c r="AN7" s="1">
        <v>80</v>
      </c>
      <c r="AO7" s="1">
        <v>176</v>
      </c>
      <c r="AP7" s="1"/>
      <c r="AQ7" s="1"/>
      <c r="AR7" s="1"/>
      <c r="AS7" s="1" t="s">
        <v>2808</v>
      </c>
      <c r="AT7" s="1" t="s">
        <v>731</v>
      </c>
      <c r="AU7" s="1"/>
      <c r="AV7" s="1"/>
      <c r="AW7" s="1"/>
      <c r="AX7" s="1"/>
      <c r="AY7" s="1"/>
      <c r="AZ7" s="1" t="s">
        <v>2812</v>
      </c>
      <c r="BA7" t="s">
        <v>2816</v>
      </c>
    </row>
    <row r="8" spans="1:53" ht="19" customHeight="1">
      <c r="A8" s="4" t="s">
        <v>1037</v>
      </c>
      <c r="B8" s="4">
        <v>32.643999999999998</v>
      </c>
      <c r="C8" s="4">
        <v>-115.307</v>
      </c>
      <c r="D8" s="4">
        <v>9.9600000000000009</v>
      </c>
      <c r="E8" s="4">
        <v>6.5</v>
      </c>
      <c r="F8" s="4" t="s">
        <v>1032</v>
      </c>
      <c r="G8" s="4" t="s">
        <v>746</v>
      </c>
      <c r="H8" s="4">
        <v>-115.301</v>
      </c>
      <c r="I8" s="4">
        <v>32.621000000000002</v>
      </c>
      <c r="J8" s="4">
        <v>242.05</v>
      </c>
      <c r="K8" s="4">
        <v>0.65</v>
      </c>
      <c r="L8" s="4" t="b">
        <v>1</v>
      </c>
      <c r="M8" s="4">
        <v>2.3380000000000001</v>
      </c>
      <c r="N8" s="4" t="b">
        <v>0</v>
      </c>
      <c r="O8" s="4" t="s">
        <v>1029</v>
      </c>
      <c r="P8" s="4" t="b">
        <v>0</v>
      </c>
      <c r="Q8" s="4">
        <v>281.79899999999998</v>
      </c>
      <c r="R8" s="4">
        <v>187.70599999999999</v>
      </c>
      <c r="S8" s="4">
        <v>463.44299999999998</v>
      </c>
      <c r="T8" s="4">
        <v>35.334499999999998</v>
      </c>
      <c r="U8" s="4">
        <v>41.819400000000002</v>
      </c>
      <c r="V8" s="4">
        <v>11.0268</v>
      </c>
      <c r="W8" s="4">
        <v>9.3514400000000002</v>
      </c>
      <c r="X8" s="4">
        <v>11.6555</v>
      </c>
      <c r="Y8" s="4">
        <v>3.4420999999999999</v>
      </c>
      <c r="Z8" s="4">
        <v>0.16713800000000001</v>
      </c>
      <c r="AA8" s="4">
        <v>0.390961</v>
      </c>
      <c r="AB8" s="4">
        <v>0.30510199999999998</v>
      </c>
      <c r="AC8" s="1" t="s">
        <v>285</v>
      </c>
      <c r="AD8" s="1" t="s">
        <v>2599</v>
      </c>
      <c r="AE8" s="1" t="s">
        <v>2600</v>
      </c>
      <c r="AF8" s="1">
        <v>6.5</v>
      </c>
      <c r="AG8" s="1" t="s">
        <v>1003</v>
      </c>
      <c r="AH8" s="1">
        <v>32.643999999999998</v>
      </c>
      <c r="AI8" s="1">
        <v>-115.307</v>
      </c>
      <c r="AJ8" s="1">
        <v>9.9600000000000009</v>
      </c>
      <c r="AK8" s="1" t="s">
        <v>1032</v>
      </c>
      <c r="AL8" s="1" t="s">
        <v>2809</v>
      </c>
      <c r="AM8" s="1">
        <v>323</v>
      </c>
      <c r="AN8" s="1">
        <v>80</v>
      </c>
      <c r="AO8" s="1">
        <v>180</v>
      </c>
      <c r="AP8" s="1"/>
      <c r="AQ8" s="1"/>
      <c r="AR8" s="1"/>
      <c r="AS8" s="1" t="s">
        <v>2808</v>
      </c>
      <c r="AT8" s="1" t="s">
        <v>731</v>
      </c>
      <c r="AU8" s="1"/>
      <c r="AV8" s="1"/>
      <c r="AW8" s="1"/>
      <c r="AX8" s="1"/>
      <c r="AY8" s="1"/>
      <c r="AZ8" s="1" t="s">
        <v>2812</v>
      </c>
      <c r="BA8" t="s">
        <v>2817</v>
      </c>
    </row>
    <row r="9" spans="1:53" ht="19" customHeight="1">
      <c r="A9" s="4" t="s">
        <v>1037</v>
      </c>
      <c r="B9" s="4">
        <v>32.643999999999998</v>
      </c>
      <c r="C9" s="4">
        <v>-115.307</v>
      </c>
      <c r="D9" s="4">
        <v>9.9600000000000009</v>
      </c>
      <c r="E9" s="4">
        <v>6.5</v>
      </c>
      <c r="F9" s="4" t="s">
        <v>1032</v>
      </c>
      <c r="G9" s="4" t="s">
        <v>747</v>
      </c>
      <c r="H9" s="4">
        <v>-115.51300000000001</v>
      </c>
      <c r="I9" s="4">
        <v>32.991</v>
      </c>
      <c r="J9" s="4">
        <v>208.71</v>
      </c>
      <c r="K9" s="4">
        <v>10.42</v>
      </c>
      <c r="L9" s="4" t="b">
        <v>1</v>
      </c>
      <c r="M9" s="4">
        <v>4.3959999999999999</v>
      </c>
      <c r="N9" s="4" t="b">
        <v>0</v>
      </c>
      <c r="O9" s="4" t="s">
        <v>1029</v>
      </c>
      <c r="P9" s="4" t="b">
        <v>0</v>
      </c>
      <c r="Q9" s="4">
        <v>159.51599999999999</v>
      </c>
      <c r="R9" s="4">
        <v>215.35</v>
      </c>
      <c r="S9" s="4">
        <v>149.90799999999999</v>
      </c>
      <c r="T9" s="4">
        <v>36.609299999999998</v>
      </c>
      <c r="U9" s="4">
        <v>40.942399999999999</v>
      </c>
      <c r="V9" s="4">
        <v>8.7487300000000001</v>
      </c>
      <c r="W9" s="4">
        <v>25.6722</v>
      </c>
      <c r="X9" s="4">
        <v>16.2456</v>
      </c>
      <c r="Y9" s="4">
        <v>3.6042800000000002</v>
      </c>
      <c r="Z9" s="4">
        <v>-1.20604</v>
      </c>
      <c r="AA9" s="4">
        <v>-0.47828700000000002</v>
      </c>
      <c r="AB9" s="4">
        <v>-8.8238999999999998E-2</v>
      </c>
      <c r="AC9" s="1" t="s">
        <v>285</v>
      </c>
      <c r="AD9" s="1" t="s">
        <v>2599</v>
      </c>
      <c r="AE9" s="1" t="s">
        <v>2600</v>
      </c>
      <c r="AF9" s="1">
        <v>6.5</v>
      </c>
      <c r="AG9" s="1" t="s">
        <v>1003</v>
      </c>
      <c r="AH9" s="1">
        <v>32.643999999999998</v>
      </c>
      <c r="AI9" s="1">
        <v>-115.307</v>
      </c>
      <c r="AJ9" s="1">
        <v>9.9600000000000009</v>
      </c>
      <c r="AK9" s="1" t="s">
        <v>1032</v>
      </c>
      <c r="AL9" s="1" t="s">
        <v>2809</v>
      </c>
      <c r="AM9" s="1">
        <v>323</v>
      </c>
      <c r="AN9" s="1">
        <v>80</v>
      </c>
      <c r="AO9" s="1">
        <v>180</v>
      </c>
      <c r="AP9" s="1"/>
      <c r="AQ9" s="1"/>
      <c r="AR9" s="1"/>
      <c r="AS9" s="1" t="s">
        <v>2808</v>
      </c>
      <c r="AT9" s="1" t="s">
        <v>731</v>
      </c>
      <c r="AU9" s="1"/>
      <c r="AV9" s="1"/>
      <c r="AW9" s="1"/>
      <c r="AX9" s="1"/>
      <c r="AY9" s="1"/>
      <c r="AZ9" s="1" t="s">
        <v>2812</v>
      </c>
      <c r="BA9" t="s">
        <v>2817</v>
      </c>
    </row>
    <row r="10" spans="1:53" ht="19" customHeight="1">
      <c r="A10" s="4" t="s">
        <v>1037</v>
      </c>
      <c r="B10" s="4">
        <v>32.643999999999998</v>
      </c>
      <c r="C10" s="4">
        <v>-115.307</v>
      </c>
      <c r="D10" s="4">
        <v>9.9600000000000009</v>
      </c>
      <c r="E10" s="4">
        <v>6.5</v>
      </c>
      <c r="F10" s="4" t="s">
        <v>1032</v>
      </c>
      <c r="G10" s="4" t="s">
        <v>748</v>
      </c>
      <c r="H10" s="4">
        <v>-115.562</v>
      </c>
      <c r="I10" s="4">
        <v>32.792999999999999</v>
      </c>
      <c r="J10" s="4">
        <v>192.05</v>
      </c>
      <c r="K10" s="4">
        <v>7.31</v>
      </c>
      <c r="L10" s="4" t="b">
        <v>1</v>
      </c>
      <c r="M10" s="4">
        <v>4.4169999999999998</v>
      </c>
      <c r="N10" s="4" t="b">
        <v>0</v>
      </c>
      <c r="O10" s="4" t="s">
        <v>1029</v>
      </c>
      <c r="P10" s="4" t="b">
        <v>0</v>
      </c>
      <c r="Q10" s="4">
        <v>208.00700000000001</v>
      </c>
      <c r="R10" s="4">
        <v>230.952</v>
      </c>
      <c r="S10" s="4">
        <v>239.99</v>
      </c>
      <c r="T10" s="4">
        <v>38.441499999999998</v>
      </c>
      <c r="U10" s="4">
        <v>73.406599999999997</v>
      </c>
      <c r="V10" s="4">
        <v>18.9879</v>
      </c>
      <c r="W10" s="4">
        <v>16.998699999999999</v>
      </c>
      <c r="X10" s="4">
        <v>47.988399999999999</v>
      </c>
      <c r="Y10" s="4">
        <v>9.6099899999999998</v>
      </c>
      <c r="Z10" s="4">
        <v>-0.35887999999999998</v>
      </c>
      <c r="AA10" s="4">
        <v>-0.75933799999999996</v>
      </c>
      <c r="AB10" s="4">
        <v>4.1958000000000002E-2</v>
      </c>
      <c r="AC10" s="1" t="s">
        <v>285</v>
      </c>
      <c r="AD10" s="1" t="s">
        <v>2599</v>
      </c>
      <c r="AE10" s="1" t="s">
        <v>2600</v>
      </c>
      <c r="AF10" s="1">
        <v>6.5</v>
      </c>
      <c r="AG10" s="1" t="s">
        <v>1003</v>
      </c>
      <c r="AH10" s="1">
        <v>32.643999999999998</v>
      </c>
      <c r="AI10" s="1">
        <v>-115.307</v>
      </c>
      <c r="AJ10" s="1">
        <v>9.9600000000000009</v>
      </c>
      <c r="AK10" s="1" t="s">
        <v>1032</v>
      </c>
      <c r="AL10" s="1" t="s">
        <v>2809</v>
      </c>
      <c r="AM10" s="1">
        <v>323</v>
      </c>
      <c r="AN10" s="1">
        <v>80</v>
      </c>
      <c r="AO10" s="1">
        <v>180</v>
      </c>
      <c r="AP10" s="1"/>
      <c r="AQ10" s="1"/>
      <c r="AR10" s="1"/>
      <c r="AS10" s="1" t="s">
        <v>2808</v>
      </c>
      <c r="AT10" s="1" t="s">
        <v>731</v>
      </c>
      <c r="AU10" s="1"/>
      <c r="AV10" s="1"/>
      <c r="AW10" s="1"/>
      <c r="AX10" s="1"/>
      <c r="AY10" s="1"/>
      <c r="AZ10" s="1" t="s">
        <v>2812</v>
      </c>
      <c r="BA10" t="s">
        <v>2817</v>
      </c>
    </row>
    <row r="11" spans="1:53" ht="19" customHeight="1">
      <c r="A11" s="4" t="s">
        <v>1037</v>
      </c>
      <c r="B11" s="4">
        <v>32.643999999999998</v>
      </c>
      <c r="C11" s="4">
        <v>-115.307</v>
      </c>
      <c r="D11" s="4">
        <v>9.9600000000000009</v>
      </c>
      <c r="E11" s="4">
        <v>6.5</v>
      </c>
      <c r="F11" s="4" t="s">
        <v>1032</v>
      </c>
      <c r="G11" s="4" t="s">
        <v>1038</v>
      </c>
      <c r="H11" s="4">
        <v>-115.447</v>
      </c>
      <c r="I11" s="4">
        <v>32.773000000000003</v>
      </c>
      <c r="J11" s="4">
        <v>264.57</v>
      </c>
      <c r="K11" s="4">
        <v>7.0000000000000007E-2</v>
      </c>
      <c r="L11" s="4" t="b">
        <v>1</v>
      </c>
      <c r="M11" s="4">
        <v>3.423</v>
      </c>
      <c r="N11" s="4" t="b">
        <v>1</v>
      </c>
      <c r="O11" s="4">
        <v>2.8490000000000002</v>
      </c>
      <c r="P11" s="4" t="b">
        <v>0</v>
      </c>
      <c r="Q11" s="4">
        <v>311.17500000000001</v>
      </c>
      <c r="R11" s="4">
        <v>291.93099999999998</v>
      </c>
      <c r="S11" s="4">
        <v>244.17500000000001</v>
      </c>
      <c r="T11" s="4">
        <v>72.959999999999994</v>
      </c>
      <c r="U11" s="4">
        <v>92.624200000000002</v>
      </c>
      <c r="V11" s="4">
        <v>29.0548</v>
      </c>
      <c r="W11" s="4">
        <v>34.904600000000002</v>
      </c>
      <c r="X11" s="4">
        <v>34.497</v>
      </c>
      <c r="Y11" s="4">
        <v>8.6167300000000004</v>
      </c>
      <c r="Z11" s="4">
        <v>1.7187000000000001E-2</v>
      </c>
      <c r="AA11" s="4">
        <v>0.176874</v>
      </c>
      <c r="AB11" s="4">
        <v>-2.4558E-2</v>
      </c>
      <c r="AC11" s="1" t="s">
        <v>285</v>
      </c>
      <c r="AD11" s="1" t="s">
        <v>2599</v>
      </c>
      <c r="AE11" s="1" t="s">
        <v>2600</v>
      </c>
      <c r="AF11" s="1">
        <v>6.5</v>
      </c>
      <c r="AG11" s="1" t="s">
        <v>1003</v>
      </c>
      <c r="AH11" s="1">
        <v>32.643999999999998</v>
      </c>
      <c r="AI11" s="1">
        <v>-115.307</v>
      </c>
      <c r="AJ11" s="1">
        <v>9.9600000000000009</v>
      </c>
      <c r="AK11" s="1" t="s">
        <v>1032</v>
      </c>
      <c r="AL11" s="1" t="s">
        <v>2809</v>
      </c>
      <c r="AM11" s="1">
        <v>323</v>
      </c>
      <c r="AN11" s="1">
        <v>80</v>
      </c>
      <c r="AO11" s="1">
        <v>180</v>
      </c>
      <c r="AP11" s="1"/>
      <c r="AQ11" s="1"/>
      <c r="AR11" s="1"/>
      <c r="AS11" s="1" t="s">
        <v>2808</v>
      </c>
      <c r="AT11" s="1" t="s">
        <v>731</v>
      </c>
      <c r="AU11" s="1"/>
      <c r="AV11" s="1"/>
      <c r="AW11" s="1"/>
      <c r="AX11" s="1"/>
      <c r="AY11" s="1"/>
      <c r="AZ11" s="1" t="s">
        <v>2812</v>
      </c>
      <c r="BA11" t="s">
        <v>2817</v>
      </c>
    </row>
    <row r="12" spans="1:53" ht="19" customHeight="1">
      <c r="A12" s="4" t="s">
        <v>1037</v>
      </c>
      <c r="B12" s="4">
        <v>32.643999999999998</v>
      </c>
      <c r="C12" s="4">
        <v>-115.307</v>
      </c>
      <c r="D12" s="4">
        <v>9.9600000000000009</v>
      </c>
      <c r="E12" s="4">
        <v>6.5</v>
      </c>
      <c r="F12" s="4" t="s">
        <v>1032</v>
      </c>
      <c r="G12" s="4" t="s">
        <v>1039</v>
      </c>
      <c r="H12" s="4">
        <v>-115.5681</v>
      </c>
      <c r="I12" s="4">
        <v>32.7806</v>
      </c>
      <c r="J12" s="4">
        <v>202.85</v>
      </c>
      <c r="K12" s="4">
        <v>8.6</v>
      </c>
      <c r="L12" s="4" t="b">
        <v>1</v>
      </c>
      <c r="M12" s="4">
        <v>4.5149999999999997</v>
      </c>
      <c r="N12" s="4" t="b">
        <v>0</v>
      </c>
      <c r="O12" s="4" t="s">
        <v>1029</v>
      </c>
      <c r="P12" s="4" t="b">
        <v>0</v>
      </c>
      <c r="Q12" s="4">
        <v>169.85</v>
      </c>
      <c r="R12" s="4">
        <v>227.226</v>
      </c>
      <c r="S12" s="4">
        <v>107.727</v>
      </c>
      <c r="T12" s="4">
        <v>50.69</v>
      </c>
      <c r="U12" s="4">
        <v>46.386699999999998</v>
      </c>
      <c r="V12" s="4">
        <v>9.09483</v>
      </c>
      <c r="W12" s="4">
        <v>35.400700000000001</v>
      </c>
      <c r="X12" s="4">
        <v>28.7224</v>
      </c>
      <c r="Y12" s="4">
        <v>6.5915800000000004</v>
      </c>
      <c r="Z12" s="4">
        <v>0.42911899999999997</v>
      </c>
      <c r="AA12" s="4">
        <v>-3.3426999999999998E-2</v>
      </c>
      <c r="AB12" s="4">
        <v>0.15570700000000001</v>
      </c>
      <c r="AC12" s="1" t="s">
        <v>285</v>
      </c>
      <c r="AD12" s="1" t="s">
        <v>2599</v>
      </c>
      <c r="AE12" s="1" t="s">
        <v>2600</v>
      </c>
      <c r="AF12" s="1">
        <v>6.5</v>
      </c>
      <c r="AG12" s="1" t="s">
        <v>1003</v>
      </c>
      <c r="AH12" s="1">
        <v>32.643999999999998</v>
      </c>
      <c r="AI12" s="1">
        <v>-115.307</v>
      </c>
      <c r="AJ12" s="1">
        <v>9.9600000000000009</v>
      </c>
      <c r="AK12" s="1" t="s">
        <v>1032</v>
      </c>
      <c r="AL12" s="1" t="s">
        <v>2809</v>
      </c>
      <c r="AM12" s="1">
        <v>323</v>
      </c>
      <c r="AN12" s="1">
        <v>80</v>
      </c>
      <c r="AO12" s="1">
        <v>180</v>
      </c>
      <c r="AP12" s="1"/>
      <c r="AQ12" s="1"/>
      <c r="AR12" s="1"/>
      <c r="AS12" s="1" t="s">
        <v>2808</v>
      </c>
      <c r="AT12" s="1" t="s">
        <v>731</v>
      </c>
      <c r="AU12" s="1"/>
      <c r="AV12" s="1"/>
      <c r="AW12" s="1"/>
      <c r="AX12" s="1"/>
      <c r="AY12" s="1"/>
      <c r="AZ12" s="1" t="s">
        <v>2812</v>
      </c>
      <c r="BA12" t="s">
        <v>2817</v>
      </c>
    </row>
    <row r="13" spans="1:53" ht="19" customHeight="1">
      <c r="A13" s="4" t="s">
        <v>1037</v>
      </c>
      <c r="B13" s="4">
        <v>32.643999999999998</v>
      </c>
      <c r="C13" s="4">
        <v>-115.307</v>
      </c>
      <c r="D13" s="4">
        <v>9.9600000000000009</v>
      </c>
      <c r="E13" s="4">
        <v>6.5</v>
      </c>
      <c r="F13" s="4" t="s">
        <v>1032</v>
      </c>
      <c r="G13" s="4" t="s">
        <v>1040</v>
      </c>
      <c r="H13" s="4">
        <v>-115.38</v>
      </c>
      <c r="I13" s="4">
        <v>32.893999999999998</v>
      </c>
      <c r="J13" s="4">
        <v>162.94</v>
      </c>
      <c r="K13" s="4">
        <v>12.85</v>
      </c>
      <c r="L13" s="4" t="b">
        <v>1</v>
      </c>
      <c r="M13" s="4">
        <v>4.5010000000000003</v>
      </c>
      <c r="N13" s="4" t="b">
        <v>0</v>
      </c>
      <c r="O13" s="4" t="s">
        <v>1029</v>
      </c>
      <c r="P13" s="4" t="b">
        <v>0</v>
      </c>
      <c r="Q13" s="4">
        <v>262.31099999999998</v>
      </c>
      <c r="R13" s="4">
        <v>218.291</v>
      </c>
      <c r="S13" s="4">
        <v>130.19499999999999</v>
      </c>
      <c r="T13" s="4">
        <v>47.980800000000002</v>
      </c>
      <c r="U13" s="4">
        <v>43.299799999999998</v>
      </c>
      <c r="V13" s="4">
        <v>9.1674000000000007</v>
      </c>
      <c r="W13" s="4">
        <v>20.7331</v>
      </c>
      <c r="X13" s="4">
        <v>25.5397</v>
      </c>
      <c r="Y13" s="4">
        <v>5.0441500000000001</v>
      </c>
      <c r="Z13" s="4">
        <v>-0.43337199999999998</v>
      </c>
      <c r="AA13" s="4">
        <v>0.15354100000000001</v>
      </c>
      <c r="AB13" s="4">
        <v>2.8340000000000001E-2</v>
      </c>
      <c r="AC13" s="1" t="s">
        <v>285</v>
      </c>
      <c r="AD13" s="1" t="s">
        <v>2599</v>
      </c>
      <c r="AE13" s="1" t="s">
        <v>2600</v>
      </c>
      <c r="AF13" s="1">
        <v>6.5</v>
      </c>
      <c r="AG13" s="1" t="s">
        <v>1003</v>
      </c>
      <c r="AH13" s="1">
        <v>32.643999999999998</v>
      </c>
      <c r="AI13" s="1">
        <v>-115.307</v>
      </c>
      <c r="AJ13" s="1">
        <v>9.9600000000000009</v>
      </c>
      <c r="AK13" s="1" t="s">
        <v>1032</v>
      </c>
      <c r="AL13" s="1" t="s">
        <v>2809</v>
      </c>
      <c r="AM13" s="1">
        <v>323</v>
      </c>
      <c r="AN13" s="1">
        <v>80</v>
      </c>
      <c r="AO13" s="1">
        <v>180</v>
      </c>
      <c r="AP13" s="1"/>
      <c r="AQ13" s="1"/>
      <c r="AR13" s="1"/>
      <c r="AS13" s="1" t="s">
        <v>2808</v>
      </c>
      <c r="AT13" s="1" t="s">
        <v>731</v>
      </c>
      <c r="AU13" s="1"/>
      <c r="AV13" s="1"/>
      <c r="AW13" s="1"/>
      <c r="AX13" s="1"/>
      <c r="AY13" s="1"/>
      <c r="AZ13" s="1" t="s">
        <v>2812</v>
      </c>
      <c r="BA13" t="s">
        <v>2817</v>
      </c>
    </row>
    <row r="14" spans="1:53" ht="19" customHeight="1">
      <c r="A14" s="4" t="s">
        <v>1037</v>
      </c>
      <c r="B14" s="4">
        <v>32.643999999999998</v>
      </c>
      <c r="C14" s="4">
        <v>-115.307</v>
      </c>
      <c r="D14" s="4">
        <v>9.9600000000000009</v>
      </c>
      <c r="E14" s="4">
        <v>6.5</v>
      </c>
      <c r="F14" s="4" t="s">
        <v>1032</v>
      </c>
      <c r="G14" s="4" t="s">
        <v>1041</v>
      </c>
      <c r="H14" s="4">
        <v>-115.432</v>
      </c>
      <c r="I14" s="4">
        <v>32.863999999999997</v>
      </c>
      <c r="J14" s="4">
        <v>208.91</v>
      </c>
      <c r="K14" s="4">
        <v>7.05</v>
      </c>
      <c r="L14" s="4" t="b">
        <v>1</v>
      </c>
      <c r="M14" s="4">
        <v>4.7880000000000003</v>
      </c>
      <c r="N14" s="4" t="b">
        <v>0</v>
      </c>
      <c r="O14" s="4" t="s">
        <v>1029</v>
      </c>
      <c r="P14" s="4" t="b">
        <v>0</v>
      </c>
      <c r="Q14" s="4">
        <v>475.10899999999998</v>
      </c>
      <c r="R14" s="4">
        <v>363.38900000000001</v>
      </c>
      <c r="S14" s="4">
        <v>286.02800000000002</v>
      </c>
      <c r="T14" s="4">
        <v>39.657600000000002</v>
      </c>
      <c r="U14" s="4">
        <v>80.423100000000005</v>
      </c>
      <c r="V14" s="4">
        <v>16.9008</v>
      </c>
      <c r="W14" s="4">
        <v>25.1325</v>
      </c>
      <c r="X14" s="4">
        <v>74.225200000000001</v>
      </c>
      <c r="Y14" s="4">
        <v>11.5242</v>
      </c>
      <c r="Z14" s="4">
        <v>0.124885</v>
      </c>
      <c r="AA14" s="4">
        <v>-0.47172799999999998</v>
      </c>
      <c r="AB14" s="4">
        <v>-0.18437999999999999</v>
      </c>
      <c r="AC14" s="1" t="s">
        <v>285</v>
      </c>
      <c r="AD14" s="1" t="s">
        <v>2599</v>
      </c>
      <c r="AE14" s="1" t="s">
        <v>2600</v>
      </c>
      <c r="AF14" s="1">
        <v>6.5</v>
      </c>
      <c r="AG14" s="1" t="s">
        <v>1003</v>
      </c>
      <c r="AH14" s="1">
        <v>32.643999999999998</v>
      </c>
      <c r="AI14" s="1">
        <v>-115.307</v>
      </c>
      <c r="AJ14" s="1">
        <v>9.9600000000000009</v>
      </c>
      <c r="AK14" s="1" t="s">
        <v>1032</v>
      </c>
      <c r="AL14" s="1" t="s">
        <v>2809</v>
      </c>
      <c r="AM14" s="1">
        <v>323</v>
      </c>
      <c r="AN14" s="1">
        <v>80</v>
      </c>
      <c r="AO14" s="1">
        <v>180</v>
      </c>
      <c r="AP14" s="1"/>
      <c r="AQ14" s="1"/>
      <c r="AR14" s="1"/>
      <c r="AS14" s="1" t="s">
        <v>2808</v>
      </c>
      <c r="AT14" s="1" t="s">
        <v>731</v>
      </c>
      <c r="AU14" s="1"/>
      <c r="AV14" s="1"/>
      <c r="AW14" s="1"/>
      <c r="AX14" s="1"/>
      <c r="AY14" s="1"/>
      <c r="AZ14" s="1" t="s">
        <v>2812</v>
      </c>
      <c r="BA14" t="s">
        <v>2817</v>
      </c>
    </row>
    <row r="15" spans="1:53" ht="19" customHeight="1">
      <c r="A15" s="4" t="s">
        <v>1037</v>
      </c>
      <c r="B15" s="4">
        <v>32.643999999999998</v>
      </c>
      <c r="C15" s="4">
        <v>-115.307</v>
      </c>
      <c r="D15" s="4">
        <v>9.9600000000000009</v>
      </c>
      <c r="E15" s="4">
        <v>6.5</v>
      </c>
      <c r="F15" s="4" t="s">
        <v>1032</v>
      </c>
      <c r="G15" s="4" t="s">
        <v>1042</v>
      </c>
      <c r="H15" s="4">
        <v>-115.46599999999999</v>
      </c>
      <c r="I15" s="4">
        <v>32.854999999999997</v>
      </c>
      <c r="J15" s="4">
        <v>205.63</v>
      </c>
      <c r="K15" s="4">
        <v>3.95</v>
      </c>
      <c r="L15" s="4" t="b">
        <v>1</v>
      </c>
      <c r="M15" s="4">
        <v>4.13</v>
      </c>
      <c r="N15" s="4" t="b">
        <v>0</v>
      </c>
      <c r="O15" s="4" t="s">
        <v>1029</v>
      </c>
      <c r="P15" s="4" t="b">
        <v>0</v>
      </c>
      <c r="Q15" s="4">
        <v>518.62599999999998</v>
      </c>
      <c r="R15" s="4">
        <v>375.86599999999999</v>
      </c>
      <c r="S15" s="4">
        <v>582.76300000000003</v>
      </c>
      <c r="T15" s="4">
        <v>48.925199999999997</v>
      </c>
      <c r="U15" s="4">
        <v>96.917400000000001</v>
      </c>
      <c r="V15" s="4">
        <v>39.548499999999997</v>
      </c>
      <c r="W15" s="4">
        <v>48.850999999999999</v>
      </c>
      <c r="X15" s="4">
        <v>75.198899999999995</v>
      </c>
      <c r="Y15" s="4">
        <v>22.3249</v>
      </c>
      <c r="Z15" s="4">
        <v>-0.46851900000000002</v>
      </c>
      <c r="AA15" s="4">
        <v>-0.19225</v>
      </c>
      <c r="AB15" s="4">
        <v>4.3921000000000002E-2</v>
      </c>
      <c r="AC15" s="1" t="s">
        <v>285</v>
      </c>
      <c r="AD15" s="1" t="s">
        <v>2599</v>
      </c>
      <c r="AE15" s="1" t="s">
        <v>2600</v>
      </c>
      <c r="AF15" s="1">
        <v>6.5</v>
      </c>
      <c r="AG15" s="1" t="s">
        <v>1003</v>
      </c>
      <c r="AH15" s="1">
        <v>32.643999999999998</v>
      </c>
      <c r="AI15" s="1">
        <v>-115.307</v>
      </c>
      <c r="AJ15" s="1">
        <v>9.9600000000000009</v>
      </c>
      <c r="AK15" s="1" t="s">
        <v>1032</v>
      </c>
      <c r="AL15" s="1" t="s">
        <v>2809</v>
      </c>
      <c r="AM15" s="1">
        <v>323</v>
      </c>
      <c r="AN15" s="1">
        <v>80</v>
      </c>
      <c r="AO15" s="1">
        <v>180</v>
      </c>
      <c r="AP15" s="1"/>
      <c r="AQ15" s="1"/>
      <c r="AR15" s="1"/>
      <c r="AS15" s="1" t="s">
        <v>2808</v>
      </c>
      <c r="AT15" s="1" t="s">
        <v>731</v>
      </c>
      <c r="AU15" s="1"/>
      <c r="AV15" s="1"/>
      <c r="AW15" s="1"/>
      <c r="AX15" s="1"/>
      <c r="AY15" s="1"/>
      <c r="AZ15" s="1" t="s">
        <v>2812</v>
      </c>
      <c r="BA15" t="s">
        <v>2817</v>
      </c>
    </row>
    <row r="16" spans="1:53" ht="19" customHeight="1">
      <c r="A16" s="4" t="s">
        <v>1037</v>
      </c>
      <c r="B16" s="4">
        <v>32.643999999999998</v>
      </c>
      <c r="C16" s="4">
        <v>-115.307</v>
      </c>
      <c r="D16" s="4">
        <v>9.9600000000000009</v>
      </c>
      <c r="E16" s="4">
        <v>6.5</v>
      </c>
      <c r="F16" s="4" t="s">
        <v>1032</v>
      </c>
      <c r="G16" s="4" t="s">
        <v>1043</v>
      </c>
      <c r="H16" s="4">
        <v>-115.48699999999999</v>
      </c>
      <c r="I16" s="4">
        <v>32.838999999999999</v>
      </c>
      <c r="J16" s="4">
        <v>203.22</v>
      </c>
      <c r="K16" s="4">
        <v>1.35</v>
      </c>
      <c r="L16" s="4" t="b">
        <v>1</v>
      </c>
      <c r="M16" s="4">
        <v>3.7730000000000001</v>
      </c>
      <c r="N16" s="4" t="b">
        <v>0</v>
      </c>
      <c r="O16" s="4" t="s">
        <v>1029</v>
      </c>
      <c r="P16" s="4" t="b">
        <v>0</v>
      </c>
      <c r="Q16" s="4">
        <v>438.78699999999998</v>
      </c>
      <c r="R16" s="4">
        <v>440.51100000000002</v>
      </c>
      <c r="S16" s="4">
        <v>1858.97</v>
      </c>
      <c r="T16" s="4">
        <v>67.0214</v>
      </c>
      <c r="U16" s="4">
        <v>113.554</v>
      </c>
      <c r="V16" s="4">
        <v>64.082300000000004</v>
      </c>
      <c r="W16" s="4">
        <v>27.881499999999999</v>
      </c>
      <c r="X16" s="4">
        <v>72.860399999999998</v>
      </c>
      <c r="Y16" s="4">
        <v>23.678100000000001</v>
      </c>
      <c r="Z16" s="4">
        <v>1.08565</v>
      </c>
      <c r="AA16" s="4">
        <v>-0.192744</v>
      </c>
      <c r="AB16" s="4">
        <v>0.56367599999999995</v>
      </c>
      <c r="AC16" s="1" t="s">
        <v>285</v>
      </c>
      <c r="AD16" s="1" t="s">
        <v>2599</v>
      </c>
      <c r="AE16" s="1" t="s">
        <v>2600</v>
      </c>
      <c r="AF16" s="1">
        <v>6.5</v>
      </c>
      <c r="AG16" s="1" t="s">
        <v>1003</v>
      </c>
      <c r="AH16" s="1">
        <v>32.643999999999998</v>
      </c>
      <c r="AI16" s="1">
        <v>-115.307</v>
      </c>
      <c r="AJ16" s="1">
        <v>9.9600000000000009</v>
      </c>
      <c r="AK16" s="1" t="s">
        <v>1032</v>
      </c>
      <c r="AL16" s="1" t="s">
        <v>2809</v>
      </c>
      <c r="AM16" s="1">
        <v>323</v>
      </c>
      <c r="AN16" s="1">
        <v>80</v>
      </c>
      <c r="AO16" s="1">
        <v>180</v>
      </c>
      <c r="AP16" s="1"/>
      <c r="AQ16" s="1"/>
      <c r="AR16" s="1"/>
      <c r="AS16" s="1" t="s">
        <v>2808</v>
      </c>
      <c r="AT16" s="1" t="s">
        <v>731</v>
      </c>
      <c r="AU16" s="1"/>
      <c r="AV16" s="1"/>
      <c r="AW16" s="1"/>
      <c r="AX16" s="1"/>
      <c r="AY16" s="1"/>
      <c r="AZ16" s="1" t="s">
        <v>2812</v>
      </c>
      <c r="BA16" t="s">
        <v>2817</v>
      </c>
    </row>
    <row r="17" spans="1:53" ht="19" customHeight="1">
      <c r="A17" s="4" t="s">
        <v>1037</v>
      </c>
      <c r="B17" s="4">
        <v>32.643999999999998</v>
      </c>
      <c r="C17" s="4">
        <v>-115.307</v>
      </c>
      <c r="D17" s="4">
        <v>9.9600000000000009</v>
      </c>
      <c r="E17" s="4">
        <v>6.5</v>
      </c>
      <c r="F17" s="4" t="s">
        <v>1032</v>
      </c>
      <c r="G17" s="4" t="s">
        <v>1044</v>
      </c>
      <c r="H17" s="4">
        <v>-115.504</v>
      </c>
      <c r="I17" s="4">
        <v>32.829000000000001</v>
      </c>
      <c r="J17" s="4">
        <v>210.51</v>
      </c>
      <c r="K17" s="4">
        <v>0.56000000000000005</v>
      </c>
      <c r="L17" s="4" t="b">
        <v>1</v>
      </c>
      <c r="M17" s="4">
        <v>4.375</v>
      </c>
      <c r="N17" s="4" t="b">
        <v>0</v>
      </c>
      <c r="O17" s="4" t="s">
        <v>1029</v>
      </c>
      <c r="P17" s="4" t="b">
        <v>0</v>
      </c>
      <c r="Q17" s="4">
        <v>334.334</v>
      </c>
      <c r="R17" s="4">
        <v>460.17399999999998</v>
      </c>
      <c r="S17" s="4">
        <v>566.90599999999995</v>
      </c>
      <c r="T17" s="4">
        <v>51.688400000000001</v>
      </c>
      <c r="U17" s="4">
        <v>113.148</v>
      </c>
      <c r="V17" s="4">
        <v>27.176500000000001</v>
      </c>
      <c r="W17" s="4">
        <v>27.963000000000001</v>
      </c>
      <c r="X17" s="4">
        <v>46.934199999999997</v>
      </c>
      <c r="Y17" s="4">
        <v>9.9962199999999992</v>
      </c>
      <c r="Z17" s="4">
        <v>0.37332900000000002</v>
      </c>
      <c r="AA17" s="4">
        <v>-0.16714000000000001</v>
      </c>
      <c r="AB17" s="4">
        <v>-0.230158</v>
      </c>
      <c r="AC17" s="1" t="s">
        <v>285</v>
      </c>
      <c r="AD17" s="1" t="s">
        <v>2599</v>
      </c>
      <c r="AE17" s="1" t="s">
        <v>2600</v>
      </c>
      <c r="AF17" s="1">
        <v>6.5</v>
      </c>
      <c r="AG17" s="1" t="s">
        <v>1003</v>
      </c>
      <c r="AH17" s="1">
        <v>32.643999999999998</v>
      </c>
      <c r="AI17" s="1">
        <v>-115.307</v>
      </c>
      <c r="AJ17" s="1">
        <v>9.9600000000000009</v>
      </c>
      <c r="AK17" s="1" t="s">
        <v>1032</v>
      </c>
      <c r="AL17" s="1" t="s">
        <v>2809</v>
      </c>
      <c r="AM17" s="1">
        <v>323</v>
      </c>
      <c r="AN17" s="1">
        <v>80</v>
      </c>
      <c r="AO17" s="1">
        <v>180</v>
      </c>
      <c r="AP17" s="1"/>
      <c r="AQ17" s="1"/>
      <c r="AR17" s="1"/>
      <c r="AS17" s="1" t="s">
        <v>2808</v>
      </c>
      <c r="AT17" s="1" t="s">
        <v>731</v>
      </c>
      <c r="AU17" s="1"/>
      <c r="AV17" s="1"/>
      <c r="AW17" s="1"/>
      <c r="AX17" s="1"/>
      <c r="AY17" s="1"/>
      <c r="AZ17" s="1" t="s">
        <v>2812</v>
      </c>
      <c r="BA17" t="s">
        <v>2817</v>
      </c>
    </row>
    <row r="18" spans="1:53" ht="19" customHeight="1">
      <c r="A18" s="4" t="s">
        <v>1037</v>
      </c>
      <c r="B18" s="4">
        <v>32.643999999999998</v>
      </c>
      <c r="C18" s="4">
        <v>-115.307</v>
      </c>
      <c r="D18" s="4">
        <v>9.9600000000000009</v>
      </c>
      <c r="E18" s="4">
        <v>6.5</v>
      </c>
      <c r="F18" s="4" t="s">
        <v>1032</v>
      </c>
      <c r="G18" s="4" t="s">
        <v>756</v>
      </c>
      <c r="H18" s="4">
        <v>-115.535</v>
      </c>
      <c r="I18" s="4">
        <v>32.795999999999999</v>
      </c>
      <c r="J18" s="4">
        <v>202.26</v>
      </c>
      <c r="K18" s="4">
        <v>5.09</v>
      </c>
      <c r="L18" s="4" t="b">
        <v>1</v>
      </c>
      <c r="M18" s="4">
        <v>6.2649999999999997</v>
      </c>
      <c r="N18" s="4" t="b">
        <v>0</v>
      </c>
      <c r="O18" s="4" t="s">
        <v>1029</v>
      </c>
      <c r="P18" s="4" t="b">
        <v>0</v>
      </c>
      <c r="Q18" s="4">
        <v>345.91800000000001</v>
      </c>
      <c r="R18" s="4">
        <v>472.20800000000003</v>
      </c>
      <c r="S18" s="4">
        <v>755.12</v>
      </c>
      <c r="T18" s="4">
        <v>75.600499999999997</v>
      </c>
      <c r="U18" s="4">
        <v>40.952800000000003</v>
      </c>
      <c r="V18" s="4">
        <v>21.5808</v>
      </c>
      <c r="W18" s="4">
        <v>57.106699999999996</v>
      </c>
      <c r="X18" s="4">
        <v>16.401399999999999</v>
      </c>
      <c r="Y18" s="4">
        <v>13.5916</v>
      </c>
      <c r="Z18" s="4">
        <v>-0.103405</v>
      </c>
      <c r="AA18" s="4">
        <v>0.442162</v>
      </c>
      <c r="AB18" s="4">
        <v>-7.8718999999999997E-2</v>
      </c>
      <c r="AC18" s="1" t="s">
        <v>285</v>
      </c>
      <c r="AD18" s="1" t="s">
        <v>2599</v>
      </c>
      <c r="AE18" s="1" t="s">
        <v>2600</v>
      </c>
      <c r="AF18" s="1">
        <v>6.5</v>
      </c>
      <c r="AG18" s="1" t="s">
        <v>1003</v>
      </c>
      <c r="AH18" s="1">
        <v>32.643999999999998</v>
      </c>
      <c r="AI18" s="1">
        <v>-115.307</v>
      </c>
      <c r="AJ18" s="1">
        <v>9.9600000000000009</v>
      </c>
      <c r="AK18" s="1" t="s">
        <v>1032</v>
      </c>
      <c r="AL18" s="1" t="s">
        <v>2809</v>
      </c>
      <c r="AM18" s="1">
        <v>323</v>
      </c>
      <c r="AN18" s="1">
        <v>80</v>
      </c>
      <c r="AO18" s="1">
        <v>180</v>
      </c>
      <c r="AP18" s="1"/>
      <c r="AQ18" s="1"/>
      <c r="AR18" s="1"/>
      <c r="AS18" s="1" t="s">
        <v>2808</v>
      </c>
      <c r="AT18" s="1" t="s">
        <v>731</v>
      </c>
      <c r="AU18" s="1"/>
      <c r="AV18" s="1"/>
      <c r="AW18" s="1"/>
      <c r="AX18" s="1"/>
      <c r="AY18" s="1"/>
      <c r="AZ18" s="1" t="s">
        <v>2812</v>
      </c>
      <c r="BA18" t="s">
        <v>2817</v>
      </c>
    </row>
    <row r="19" spans="1:53" ht="19" customHeight="1">
      <c r="A19" s="4" t="s">
        <v>1037</v>
      </c>
      <c r="B19" s="4">
        <v>32.643999999999998</v>
      </c>
      <c r="C19" s="4">
        <v>-115.307</v>
      </c>
      <c r="D19" s="4">
        <v>9.9600000000000009</v>
      </c>
      <c r="E19" s="4">
        <v>6.5</v>
      </c>
      <c r="F19" s="4" t="s">
        <v>1032</v>
      </c>
      <c r="G19" s="4" t="s">
        <v>757</v>
      </c>
      <c r="H19" s="4">
        <v>-115.37860000000001</v>
      </c>
      <c r="I19" s="4">
        <v>32.811399999999999</v>
      </c>
      <c r="J19" s="4">
        <v>202.89</v>
      </c>
      <c r="K19" s="4">
        <v>7.5</v>
      </c>
      <c r="L19" s="4" t="b">
        <v>1</v>
      </c>
      <c r="M19" s="4">
        <v>4.8230000000000004</v>
      </c>
      <c r="N19" s="4" t="b">
        <v>0</v>
      </c>
      <c r="O19" s="4" t="s">
        <v>1029</v>
      </c>
      <c r="P19" s="4" t="b">
        <v>0</v>
      </c>
      <c r="Q19" s="4">
        <v>253.24799999999999</v>
      </c>
      <c r="R19" s="4">
        <v>217.24299999999999</v>
      </c>
      <c r="S19" s="4">
        <v>252.071</v>
      </c>
      <c r="T19" s="4">
        <v>53.153399999999998</v>
      </c>
      <c r="U19" s="4">
        <v>51.464599999999997</v>
      </c>
      <c r="V19" s="4">
        <v>9.8783600000000007</v>
      </c>
      <c r="W19" s="4">
        <v>39.135899999999999</v>
      </c>
      <c r="X19" s="4">
        <v>35.788800000000002</v>
      </c>
      <c r="Y19" s="4">
        <v>5.6381300000000003</v>
      </c>
      <c r="Z19" s="4">
        <v>0.60206199999999999</v>
      </c>
      <c r="AA19" s="4">
        <v>-0.40978700000000001</v>
      </c>
      <c r="AB19" s="4">
        <v>-0.13161100000000001</v>
      </c>
      <c r="AC19" s="1" t="s">
        <v>285</v>
      </c>
      <c r="AD19" s="1" t="s">
        <v>2599</v>
      </c>
      <c r="AE19" s="1" t="s">
        <v>2600</v>
      </c>
      <c r="AF19" s="1">
        <v>6.5</v>
      </c>
      <c r="AG19" s="1" t="s">
        <v>1003</v>
      </c>
      <c r="AH19" s="1">
        <v>32.643999999999998</v>
      </c>
      <c r="AI19" s="1">
        <v>-115.307</v>
      </c>
      <c r="AJ19" s="1">
        <v>9.9600000000000009</v>
      </c>
      <c r="AK19" s="1" t="s">
        <v>1032</v>
      </c>
      <c r="AL19" s="1" t="s">
        <v>2809</v>
      </c>
      <c r="AM19" s="1">
        <v>323</v>
      </c>
      <c r="AN19" s="1">
        <v>80</v>
      </c>
      <c r="AO19" s="1">
        <v>180</v>
      </c>
      <c r="AP19" s="1"/>
      <c r="AQ19" s="1"/>
      <c r="AR19" s="1"/>
      <c r="AS19" s="1" t="s">
        <v>2808</v>
      </c>
      <c r="AT19" s="1" t="s">
        <v>731</v>
      </c>
      <c r="AU19" s="1"/>
      <c r="AV19" s="1"/>
      <c r="AW19" s="1"/>
      <c r="AX19" s="1"/>
      <c r="AY19" s="1"/>
      <c r="AZ19" s="1" t="s">
        <v>2812</v>
      </c>
      <c r="BA19" t="s">
        <v>2817</v>
      </c>
    </row>
    <row r="20" spans="1:53" ht="19" customHeight="1">
      <c r="A20" s="4" t="s">
        <v>1045</v>
      </c>
      <c r="B20" s="4">
        <v>42.04</v>
      </c>
      <c r="C20" s="4">
        <v>19.21</v>
      </c>
      <c r="D20" s="4">
        <v>7</v>
      </c>
      <c r="E20" s="4">
        <v>7.1</v>
      </c>
      <c r="F20" s="4" t="s">
        <v>1028</v>
      </c>
      <c r="G20" s="4" t="s">
        <v>738</v>
      </c>
      <c r="H20" s="4">
        <v>19.100999999999999</v>
      </c>
      <c r="I20" s="4">
        <v>42.094999999999999</v>
      </c>
      <c r="J20" s="4">
        <v>462.23</v>
      </c>
      <c r="K20" s="4">
        <v>6.98</v>
      </c>
      <c r="L20" s="4" t="b">
        <v>1</v>
      </c>
      <c r="M20" s="4">
        <v>1.4419999999999999</v>
      </c>
      <c r="N20" s="4" t="b">
        <v>0</v>
      </c>
      <c r="O20" s="4" t="s">
        <v>1029</v>
      </c>
      <c r="P20" s="4" t="b">
        <v>0</v>
      </c>
      <c r="Q20" s="4">
        <v>365.334</v>
      </c>
      <c r="R20" s="4">
        <v>360.75700000000001</v>
      </c>
      <c r="S20" s="4">
        <v>239.10900000000001</v>
      </c>
      <c r="T20" s="4">
        <v>41.2879</v>
      </c>
      <c r="U20" s="4">
        <v>52.893999999999998</v>
      </c>
      <c r="V20" s="4">
        <v>14.2166</v>
      </c>
      <c r="W20" s="4">
        <v>10.331899999999999</v>
      </c>
      <c r="X20" s="4">
        <v>15.922700000000001</v>
      </c>
      <c r="Y20" s="4">
        <v>3.1718899999999999</v>
      </c>
      <c r="Z20" s="4">
        <v>0.31568499999999999</v>
      </c>
      <c r="AA20" s="4">
        <v>0.20533100000000001</v>
      </c>
      <c r="AB20" s="4">
        <v>0.71602500000000002</v>
      </c>
      <c r="AC20" s="1" t="s">
        <v>298</v>
      </c>
      <c r="AD20" s="1" t="s">
        <v>2589</v>
      </c>
      <c r="AE20" s="1" t="s">
        <v>2590</v>
      </c>
      <c r="AF20" s="1">
        <v>7.1</v>
      </c>
      <c r="AG20" s="1" t="s">
        <v>1003</v>
      </c>
      <c r="AH20" s="1">
        <v>42.04</v>
      </c>
      <c r="AI20" s="1">
        <v>19.21</v>
      </c>
      <c r="AJ20" s="1">
        <v>7</v>
      </c>
      <c r="AK20" s="1" t="s">
        <v>1028</v>
      </c>
      <c r="AL20" s="1" t="s">
        <v>2809</v>
      </c>
      <c r="AM20" s="1">
        <v>300</v>
      </c>
      <c r="AN20" s="1">
        <v>14</v>
      </c>
      <c r="AO20" s="1">
        <v>88</v>
      </c>
      <c r="AP20" s="1"/>
      <c r="AQ20" s="1"/>
      <c r="AR20" s="1"/>
      <c r="AS20" s="1" t="s">
        <v>2808</v>
      </c>
      <c r="AT20" s="1" t="s">
        <v>731</v>
      </c>
      <c r="AU20" s="1"/>
      <c r="AV20" s="1"/>
      <c r="AW20" s="1"/>
      <c r="AX20" s="1"/>
      <c r="AY20" s="1"/>
      <c r="AZ20" s="1" t="s">
        <v>2812</v>
      </c>
      <c r="BA20" t="s">
        <v>2818</v>
      </c>
    </row>
    <row r="21" spans="1:53" ht="19" customHeight="1">
      <c r="A21" s="4" t="s">
        <v>1045</v>
      </c>
      <c r="B21" s="4">
        <v>42.04</v>
      </c>
      <c r="C21" s="4">
        <v>19.21</v>
      </c>
      <c r="D21" s="4">
        <v>7</v>
      </c>
      <c r="E21" s="4">
        <v>7.1</v>
      </c>
      <c r="F21" s="4" t="s">
        <v>1028</v>
      </c>
      <c r="G21" s="4" t="s">
        <v>739</v>
      </c>
      <c r="H21" s="4">
        <v>19.248999999999999</v>
      </c>
      <c r="I21" s="4">
        <v>41.911000000000001</v>
      </c>
      <c r="J21" s="4">
        <v>318.74</v>
      </c>
      <c r="K21" s="4">
        <v>5.76</v>
      </c>
      <c r="L21" s="4" t="b">
        <v>1</v>
      </c>
      <c r="M21" s="4">
        <v>1.974</v>
      </c>
      <c r="N21" s="4" t="b">
        <v>0</v>
      </c>
      <c r="O21" s="4" t="s">
        <v>1029</v>
      </c>
      <c r="P21" s="4" t="b">
        <v>0</v>
      </c>
      <c r="Q21" s="4">
        <v>287.18400000000003</v>
      </c>
      <c r="R21" s="4">
        <v>243.636</v>
      </c>
      <c r="S21" s="4">
        <v>451.976</v>
      </c>
      <c r="T21" s="4">
        <v>43.602699999999999</v>
      </c>
      <c r="U21" s="4">
        <v>51.641399999999997</v>
      </c>
      <c r="V21" s="4">
        <v>15.543699999999999</v>
      </c>
      <c r="W21" s="4">
        <v>16.848600000000001</v>
      </c>
      <c r="X21" s="4">
        <v>19.194400000000002</v>
      </c>
      <c r="Y21" s="4">
        <v>6.3602299999999996</v>
      </c>
      <c r="Z21" s="4">
        <v>1.8933500000000001</v>
      </c>
      <c r="AA21" s="4">
        <v>0.56706599999999996</v>
      </c>
      <c r="AB21" s="4">
        <v>2.8255400000000002</v>
      </c>
      <c r="AC21" s="1" t="s">
        <v>298</v>
      </c>
      <c r="AD21" s="1" t="s">
        <v>2589</v>
      </c>
      <c r="AE21" s="1" t="s">
        <v>2590</v>
      </c>
      <c r="AF21" s="1">
        <v>7.1</v>
      </c>
      <c r="AG21" s="1" t="s">
        <v>1003</v>
      </c>
      <c r="AH21" s="1">
        <v>42.04</v>
      </c>
      <c r="AI21" s="1">
        <v>19.21</v>
      </c>
      <c r="AJ21" s="1">
        <v>7</v>
      </c>
      <c r="AK21" s="1" t="s">
        <v>1028</v>
      </c>
      <c r="AL21" s="1" t="s">
        <v>2809</v>
      </c>
      <c r="AM21" s="1">
        <v>300</v>
      </c>
      <c r="AN21" s="1">
        <v>14</v>
      </c>
      <c r="AO21" s="1">
        <v>88</v>
      </c>
      <c r="AP21" s="1"/>
      <c r="AQ21" s="1"/>
      <c r="AR21" s="1"/>
      <c r="AS21" s="1" t="s">
        <v>2808</v>
      </c>
      <c r="AT21" s="1" t="s">
        <v>731</v>
      </c>
      <c r="AU21" s="1"/>
      <c r="AV21" s="1"/>
      <c r="AW21" s="1"/>
      <c r="AX21" s="1"/>
      <c r="AY21" s="1"/>
      <c r="AZ21" s="1" t="s">
        <v>2812</v>
      </c>
      <c r="BA21" t="s">
        <v>2818</v>
      </c>
    </row>
    <row r="22" spans="1:53" ht="19" customHeight="1">
      <c r="A22" s="4" t="s">
        <v>1046</v>
      </c>
      <c r="B22" s="4">
        <v>40.805900000000001</v>
      </c>
      <c r="C22" s="4">
        <v>15.337199999999999</v>
      </c>
      <c r="D22" s="4">
        <v>9.5</v>
      </c>
      <c r="E22" s="4">
        <v>6.9</v>
      </c>
      <c r="F22" s="4" t="s">
        <v>1047</v>
      </c>
      <c r="G22" s="4" t="s">
        <v>759</v>
      </c>
      <c r="H22" s="4">
        <v>15.069000000000001</v>
      </c>
      <c r="I22" s="4">
        <v>40.820999999999998</v>
      </c>
      <c r="J22" s="4">
        <v>649.66999999999996</v>
      </c>
      <c r="K22" s="4">
        <v>8.18</v>
      </c>
      <c r="L22" s="4" t="b">
        <v>1</v>
      </c>
      <c r="M22" s="4">
        <v>1.71332</v>
      </c>
      <c r="N22" s="4" t="b">
        <v>0</v>
      </c>
      <c r="O22" s="4" t="s">
        <v>1029</v>
      </c>
      <c r="P22" s="4" t="b">
        <v>0</v>
      </c>
      <c r="Q22" s="4">
        <v>127.18899999999999</v>
      </c>
      <c r="R22" s="4">
        <v>186.142</v>
      </c>
      <c r="S22" s="4">
        <v>104.48699999999999</v>
      </c>
      <c r="T22" s="4">
        <v>23.604199999999999</v>
      </c>
      <c r="U22" s="4">
        <v>34.705800000000004</v>
      </c>
      <c r="V22" s="4">
        <v>15.851800000000001</v>
      </c>
      <c r="W22" s="4">
        <v>13.1212</v>
      </c>
      <c r="X22" s="4">
        <v>13.7377</v>
      </c>
      <c r="Y22" s="4">
        <v>8.23672</v>
      </c>
      <c r="Z22" s="4">
        <v>0.21718399999999999</v>
      </c>
      <c r="AA22" s="4">
        <v>9.7798999999999997E-2</v>
      </c>
      <c r="AB22" s="4">
        <v>0.22112200000000001</v>
      </c>
      <c r="AC22" s="1" t="s">
        <v>305</v>
      </c>
      <c r="AD22" s="1" t="s">
        <v>2609</v>
      </c>
      <c r="AE22" s="1" t="s">
        <v>2610</v>
      </c>
      <c r="AF22" s="1">
        <v>6.9</v>
      </c>
      <c r="AG22" s="1" t="s">
        <v>1003</v>
      </c>
      <c r="AH22" s="1">
        <v>40.805900000000001</v>
      </c>
      <c r="AI22" s="1">
        <v>15.337199999999999</v>
      </c>
      <c r="AJ22" s="1">
        <v>9.5</v>
      </c>
      <c r="AK22" s="1" t="s">
        <v>1047</v>
      </c>
      <c r="AL22" s="1" t="s">
        <v>2809</v>
      </c>
      <c r="AM22" s="1">
        <v>312.8</v>
      </c>
      <c r="AN22" s="1">
        <v>60</v>
      </c>
      <c r="AO22" s="1">
        <v>-90</v>
      </c>
      <c r="AP22" s="1"/>
      <c r="AQ22" s="1"/>
      <c r="AR22" s="1"/>
      <c r="AS22" s="1" t="s">
        <v>2808</v>
      </c>
      <c r="AT22" s="1" t="s">
        <v>731</v>
      </c>
      <c r="AU22" s="1"/>
      <c r="AV22" s="1"/>
      <c r="AW22" s="1"/>
      <c r="AX22" s="1"/>
      <c r="AY22" s="1"/>
      <c r="AZ22" s="1" t="s">
        <v>2812</v>
      </c>
      <c r="BA22" t="s">
        <v>2819</v>
      </c>
    </row>
    <row r="23" spans="1:53" ht="19" customHeight="1">
      <c r="A23" s="4" t="s">
        <v>1046</v>
      </c>
      <c r="B23" s="4">
        <v>40.805900000000001</v>
      </c>
      <c r="C23" s="4">
        <v>15.337199999999999</v>
      </c>
      <c r="D23" s="4">
        <v>9.5</v>
      </c>
      <c r="E23" s="4">
        <v>6.9</v>
      </c>
      <c r="F23" s="4" t="s">
        <v>1047</v>
      </c>
      <c r="G23" s="4" t="s">
        <v>761</v>
      </c>
      <c r="H23" s="4">
        <v>15.111700000000001</v>
      </c>
      <c r="I23" s="4">
        <v>41.0184</v>
      </c>
      <c r="J23" s="4">
        <v>382</v>
      </c>
      <c r="K23" s="4">
        <v>10.84</v>
      </c>
      <c r="L23" s="4" t="b">
        <v>1</v>
      </c>
      <c r="M23" s="4">
        <v>3.27264</v>
      </c>
      <c r="N23" s="4" t="b">
        <v>0</v>
      </c>
      <c r="O23" s="4" t="s">
        <v>1029</v>
      </c>
      <c r="P23" s="4" t="b">
        <v>0</v>
      </c>
      <c r="Q23" s="4">
        <v>222.351</v>
      </c>
      <c r="R23" s="4">
        <v>314.43200000000002</v>
      </c>
      <c r="S23" s="4">
        <v>230.488</v>
      </c>
      <c r="T23" s="4">
        <v>36.986199999999997</v>
      </c>
      <c r="U23" s="4">
        <v>71.956999999999994</v>
      </c>
      <c r="V23" s="4">
        <v>24.020900000000001</v>
      </c>
      <c r="W23" s="4">
        <v>13.107799999999999</v>
      </c>
      <c r="X23" s="4">
        <v>29.3064</v>
      </c>
      <c r="Y23" s="4">
        <v>10.4964</v>
      </c>
      <c r="Z23" s="4">
        <v>0.361929</v>
      </c>
      <c r="AA23" s="4">
        <v>-1.2102999999999999E-2</v>
      </c>
      <c r="AB23" s="4">
        <v>0.287101</v>
      </c>
      <c r="AC23" s="1" t="s">
        <v>305</v>
      </c>
      <c r="AD23" s="1" t="s">
        <v>2609</v>
      </c>
      <c r="AE23" s="1" t="s">
        <v>2610</v>
      </c>
      <c r="AF23" s="1">
        <v>6.9</v>
      </c>
      <c r="AG23" s="1" t="s">
        <v>1003</v>
      </c>
      <c r="AH23" s="1">
        <v>40.805900000000001</v>
      </c>
      <c r="AI23" s="1">
        <v>15.337199999999999</v>
      </c>
      <c r="AJ23" s="1">
        <v>9.5</v>
      </c>
      <c r="AK23" s="1" t="s">
        <v>1047</v>
      </c>
      <c r="AL23" s="1" t="s">
        <v>2809</v>
      </c>
      <c r="AM23" s="1">
        <v>312.8</v>
      </c>
      <c r="AN23" s="1">
        <v>60</v>
      </c>
      <c r="AO23" s="1">
        <v>-90</v>
      </c>
      <c r="AP23" s="1"/>
      <c r="AQ23" s="1"/>
      <c r="AR23" s="1"/>
      <c r="AS23" s="1" t="s">
        <v>2808</v>
      </c>
      <c r="AT23" s="1" t="s">
        <v>731</v>
      </c>
      <c r="AU23" s="1"/>
      <c r="AV23" s="1"/>
      <c r="AW23" s="1"/>
      <c r="AX23" s="1"/>
      <c r="AY23" s="1"/>
      <c r="AZ23" s="1" t="s">
        <v>2812</v>
      </c>
      <c r="BA23" t="s">
        <v>2819</v>
      </c>
    </row>
    <row r="24" spans="1:53" ht="19" customHeight="1">
      <c r="A24" s="4" t="s">
        <v>1048</v>
      </c>
      <c r="B24" s="4">
        <v>33.1</v>
      </c>
      <c r="C24" s="4">
        <v>-115.62</v>
      </c>
      <c r="D24" s="4">
        <v>2.2999999999999998</v>
      </c>
      <c r="E24" s="4">
        <v>5.9</v>
      </c>
      <c r="F24" s="4" t="s">
        <v>1032</v>
      </c>
      <c r="G24" s="4" t="s">
        <v>764</v>
      </c>
      <c r="H24" s="4">
        <v>-115.70099999999999</v>
      </c>
      <c r="I24" s="4">
        <v>32.929000000000002</v>
      </c>
      <c r="J24" s="4">
        <v>348.69</v>
      </c>
      <c r="K24" s="4">
        <v>16.66</v>
      </c>
      <c r="L24" s="4" t="b">
        <v>1</v>
      </c>
      <c r="M24" s="4">
        <v>4.3890000000000002</v>
      </c>
      <c r="N24" s="4" t="b">
        <v>0</v>
      </c>
      <c r="O24" s="4" t="s">
        <v>1029</v>
      </c>
      <c r="P24" s="4" t="b">
        <v>0</v>
      </c>
      <c r="Q24" s="4">
        <v>227.673</v>
      </c>
      <c r="R24" s="4">
        <v>146.029</v>
      </c>
      <c r="S24" s="4">
        <v>148.381</v>
      </c>
      <c r="T24" s="4">
        <v>55.582799999999999</v>
      </c>
      <c r="U24" s="4">
        <v>32.7057</v>
      </c>
      <c r="V24" s="4">
        <v>13.177899999999999</v>
      </c>
      <c r="W24" s="4">
        <v>37.1081</v>
      </c>
      <c r="X24" s="4">
        <v>21.833300000000001</v>
      </c>
      <c r="Y24" s="4">
        <v>3.7309100000000002</v>
      </c>
      <c r="Z24" s="4">
        <v>-0.49965900000000002</v>
      </c>
      <c r="AA24" s="4">
        <v>-0.21912499999999999</v>
      </c>
      <c r="AB24" s="4">
        <v>-4.0118000000000001E-2</v>
      </c>
      <c r="AC24" s="1" t="s">
        <v>318</v>
      </c>
      <c r="AD24" s="1" t="s">
        <v>2618</v>
      </c>
      <c r="AE24" s="1" t="s">
        <v>2619</v>
      </c>
      <c r="AF24" s="1">
        <v>5.9</v>
      </c>
      <c r="AG24" s="1" t="s">
        <v>1003</v>
      </c>
      <c r="AH24" s="1">
        <v>33.1</v>
      </c>
      <c r="AI24" s="1">
        <v>-115.62</v>
      </c>
      <c r="AJ24" s="1">
        <v>2.2999999999999998</v>
      </c>
      <c r="AK24" s="1" t="s">
        <v>1032</v>
      </c>
      <c r="AL24" s="1" t="s">
        <v>2809</v>
      </c>
      <c r="AM24" s="1">
        <v>64</v>
      </c>
      <c r="AN24" s="1">
        <v>90</v>
      </c>
      <c r="AO24" s="1">
        <v>0</v>
      </c>
      <c r="AP24" s="1"/>
      <c r="AQ24" s="1"/>
      <c r="AR24" s="1"/>
      <c r="AS24" s="1" t="s">
        <v>2808</v>
      </c>
      <c r="AT24" s="1" t="s">
        <v>731</v>
      </c>
      <c r="AU24" s="1"/>
      <c r="AV24" s="1"/>
      <c r="AW24" s="1"/>
      <c r="AX24" s="1"/>
      <c r="AY24" s="1"/>
      <c r="AZ24" s="1" t="s">
        <v>2812</v>
      </c>
      <c r="BA24" t="s">
        <v>2820</v>
      </c>
    </row>
    <row r="25" spans="1:53" ht="19" customHeight="1">
      <c r="A25" s="4" t="s">
        <v>1049</v>
      </c>
      <c r="B25" s="4">
        <v>37.305999999999997</v>
      </c>
      <c r="C25" s="4">
        <v>-121.69499999999999</v>
      </c>
      <c r="D25" s="4">
        <v>8.5</v>
      </c>
      <c r="E25" s="4">
        <v>6.2</v>
      </c>
      <c r="F25" s="4" t="s">
        <v>1032</v>
      </c>
      <c r="G25" s="4" t="s">
        <v>1050</v>
      </c>
      <c r="H25" s="4">
        <v>-121.55</v>
      </c>
      <c r="I25" s="4">
        <v>37.118000000000002</v>
      </c>
      <c r="J25" s="4">
        <v>561.42999999999995</v>
      </c>
      <c r="K25" s="4">
        <v>0.53</v>
      </c>
      <c r="L25" s="4" t="b">
        <v>1</v>
      </c>
      <c r="M25" s="4">
        <v>1.071</v>
      </c>
      <c r="N25" s="4" t="b">
        <v>0</v>
      </c>
      <c r="O25" s="4" t="s">
        <v>1029</v>
      </c>
      <c r="P25" s="4" t="b">
        <v>0</v>
      </c>
      <c r="Q25" s="4">
        <v>699.82799999999997</v>
      </c>
      <c r="R25" s="4">
        <v>1278.1600000000001</v>
      </c>
      <c r="S25" s="4">
        <v>379.36599999999999</v>
      </c>
      <c r="T25" s="4">
        <v>52.912599999999998</v>
      </c>
      <c r="U25" s="4">
        <v>78.499799999999993</v>
      </c>
      <c r="V25" s="4">
        <v>15.6439</v>
      </c>
      <c r="W25" s="4">
        <v>12.7349</v>
      </c>
      <c r="X25" s="4">
        <v>14.6015</v>
      </c>
      <c r="Y25" s="4">
        <v>2.24803</v>
      </c>
      <c r="Z25" s="4">
        <v>0.43013600000000002</v>
      </c>
      <c r="AA25" s="4">
        <v>0.32585999999999998</v>
      </c>
      <c r="AB25" s="4">
        <v>0.18748600000000001</v>
      </c>
      <c r="AC25" s="1" t="s">
        <v>345</v>
      </c>
      <c r="AD25" s="1" t="s">
        <v>2638</v>
      </c>
      <c r="AE25" s="1" t="s">
        <v>2639</v>
      </c>
      <c r="AF25" s="1">
        <v>6.2</v>
      </c>
      <c r="AG25" s="1" t="s">
        <v>1003</v>
      </c>
      <c r="AH25" s="1">
        <v>37.305999999999997</v>
      </c>
      <c r="AI25" s="1">
        <v>-121.69499999999999</v>
      </c>
      <c r="AJ25" s="1">
        <v>8.5</v>
      </c>
      <c r="AK25" s="1" t="s">
        <v>1032</v>
      </c>
      <c r="AL25" s="1" t="s">
        <v>2809</v>
      </c>
      <c r="AM25" s="1">
        <v>148</v>
      </c>
      <c r="AN25" s="1">
        <v>90</v>
      </c>
      <c r="AO25" s="1">
        <v>180</v>
      </c>
      <c r="AP25" s="1"/>
      <c r="AQ25" s="1"/>
      <c r="AR25" s="1"/>
      <c r="AS25" s="1" t="s">
        <v>2808</v>
      </c>
      <c r="AT25" s="1" t="s">
        <v>731</v>
      </c>
      <c r="AU25" s="1"/>
      <c r="AV25" s="1"/>
      <c r="AW25" s="1"/>
      <c r="AX25" s="1"/>
      <c r="AY25" s="1"/>
      <c r="AZ25" s="1" t="s">
        <v>2812</v>
      </c>
      <c r="BA25" t="s">
        <v>2821</v>
      </c>
    </row>
    <row r="26" spans="1:53" ht="19" customHeight="1">
      <c r="A26" s="4" t="s">
        <v>1049</v>
      </c>
      <c r="B26" s="4">
        <v>37.305999999999997</v>
      </c>
      <c r="C26" s="4">
        <v>-121.69499999999999</v>
      </c>
      <c r="D26" s="4">
        <v>8.5</v>
      </c>
      <c r="E26" s="4">
        <v>6.2</v>
      </c>
      <c r="F26" s="4" t="s">
        <v>1032</v>
      </c>
      <c r="G26" s="4" t="s">
        <v>1036</v>
      </c>
      <c r="H26" s="4">
        <v>-121.48399999999999</v>
      </c>
      <c r="I26" s="4">
        <v>37.026000000000003</v>
      </c>
      <c r="J26" s="4">
        <v>663.31</v>
      </c>
      <c r="K26" s="4">
        <v>9.8699999999999992</v>
      </c>
      <c r="L26" s="4" t="b">
        <v>1</v>
      </c>
      <c r="M26" s="4">
        <v>1.232</v>
      </c>
      <c r="N26" s="4" t="b">
        <v>0</v>
      </c>
      <c r="O26" s="4" t="s">
        <v>1029</v>
      </c>
      <c r="P26" s="4" t="b">
        <v>0</v>
      </c>
      <c r="Q26" s="4">
        <v>218.655</v>
      </c>
      <c r="R26" s="4">
        <v>286.70600000000002</v>
      </c>
      <c r="S26" s="4">
        <v>398.41300000000001</v>
      </c>
      <c r="T26" s="4">
        <v>11.2029</v>
      </c>
      <c r="U26" s="4">
        <v>36.494500000000002</v>
      </c>
      <c r="V26" s="4">
        <v>14.232200000000001</v>
      </c>
      <c r="W26" s="4">
        <v>2.1442999999999999</v>
      </c>
      <c r="X26" s="4">
        <v>5.9438500000000003</v>
      </c>
      <c r="Y26" s="4">
        <v>1.60721</v>
      </c>
      <c r="Z26" s="4">
        <v>7.5983999999999996E-2</v>
      </c>
      <c r="AA26" s="4">
        <v>-2.3191E-2</v>
      </c>
      <c r="AB26" s="4">
        <v>-1.2579E-2</v>
      </c>
      <c r="AC26" s="1" t="s">
        <v>345</v>
      </c>
      <c r="AD26" s="1" t="s">
        <v>2638</v>
      </c>
      <c r="AE26" s="1" t="s">
        <v>2639</v>
      </c>
      <c r="AF26" s="1">
        <v>6.2</v>
      </c>
      <c r="AG26" s="1" t="s">
        <v>1003</v>
      </c>
      <c r="AH26" s="1">
        <v>37.305999999999997</v>
      </c>
      <c r="AI26" s="1">
        <v>-121.69499999999999</v>
      </c>
      <c r="AJ26" s="1">
        <v>8.5</v>
      </c>
      <c r="AK26" s="1" t="s">
        <v>1032</v>
      </c>
      <c r="AL26" s="1" t="s">
        <v>2809</v>
      </c>
      <c r="AM26" s="1">
        <v>148</v>
      </c>
      <c r="AN26" s="1">
        <v>90</v>
      </c>
      <c r="AO26" s="1">
        <v>180</v>
      </c>
      <c r="AP26" s="1"/>
      <c r="AQ26" s="1"/>
      <c r="AR26" s="1"/>
      <c r="AS26" s="1" t="s">
        <v>2808</v>
      </c>
      <c r="AT26" s="1" t="s">
        <v>731</v>
      </c>
      <c r="AU26" s="1"/>
      <c r="AV26" s="1"/>
      <c r="AW26" s="1"/>
      <c r="AX26" s="1"/>
      <c r="AY26" s="1"/>
      <c r="AZ26" s="1" t="s">
        <v>2812</v>
      </c>
      <c r="BA26" t="s">
        <v>2821</v>
      </c>
    </row>
    <row r="27" spans="1:53" ht="19" customHeight="1">
      <c r="A27" s="4" t="s">
        <v>1051</v>
      </c>
      <c r="B27" s="4">
        <v>37.1</v>
      </c>
      <c r="C27" s="4">
        <v>22.19</v>
      </c>
      <c r="D27" s="4">
        <v>5</v>
      </c>
      <c r="E27" s="4">
        <v>5.4</v>
      </c>
      <c r="F27" s="4" t="s">
        <v>1047</v>
      </c>
      <c r="G27" s="4" t="s">
        <v>773</v>
      </c>
      <c r="H27" s="4">
        <v>22.12</v>
      </c>
      <c r="I27" s="4">
        <v>37.03</v>
      </c>
      <c r="J27" s="4">
        <v>382.21</v>
      </c>
      <c r="K27" s="4">
        <v>5.6</v>
      </c>
      <c r="L27" s="4" t="b">
        <v>0</v>
      </c>
      <c r="M27" s="4" t="s">
        <v>1029</v>
      </c>
      <c r="N27" s="4" t="b">
        <v>1</v>
      </c>
      <c r="O27" s="4">
        <v>0.60143999999999997</v>
      </c>
      <c r="P27" s="4" t="b">
        <v>0</v>
      </c>
      <c r="Q27" s="4">
        <v>158.30500000000001</v>
      </c>
      <c r="R27" s="4">
        <v>77.466999999999999</v>
      </c>
      <c r="S27" s="4">
        <v>257.82</v>
      </c>
      <c r="T27" s="4">
        <v>12.792</v>
      </c>
      <c r="U27" s="4">
        <v>4.74132</v>
      </c>
      <c r="V27" s="4">
        <v>24.585599999999999</v>
      </c>
      <c r="W27" s="4">
        <v>1.3106100000000001</v>
      </c>
      <c r="X27" s="4">
        <v>0.69435599999999997</v>
      </c>
      <c r="Y27" s="4">
        <v>3.7732399999999999</v>
      </c>
      <c r="Z27" s="4">
        <v>1.0658000000000001E-2</v>
      </c>
      <c r="AA27" s="4">
        <v>2.0466999999999999E-2</v>
      </c>
      <c r="AB27" s="4">
        <v>-5.5900000000000004E-3</v>
      </c>
      <c r="AC27" s="1" t="s">
        <v>352</v>
      </c>
      <c r="AD27" s="1" t="s">
        <v>2643</v>
      </c>
      <c r="AE27" s="1" t="s">
        <v>2644</v>
      </c>
      <c r="AF27" s="1">
        <v>5.4</v>
      </c>
      <c r="AG27" s="1" t="s">
        <v>1003</v>
      </c>
      <c r="AH27" s="1">
        <v>37.1</v>
      </c>
      <c r="AI27" s="1">
        <v>22.19</v>
      </c>
      <c r="AJ27" s="1">
        <v>5</v>
      </c>
      <c r="AK27" s="1" t="s">
        <v>1047</v>
      </c>
      <c r="AL27" s="1" t="s">
        <v>2809</v>
      </c>
      <c r="AM27" s="1">
        <v>332.3</v>
      </c>
      <c r="AN27" s="1">
        <v>55</v>
      </c>
      <c r="AO27" s="1">
        <v>-90</v>
      </c>
      <c r="AP27" s="1"/>
      <c r="AQ27" s="1"/>
      <c r="AR27" s="1"/>
      <c r="AS27" s="1" t="s">
        <v>2808</v>
      </c>
      <c r="AT27" s="1" t="s">
        <v>731</v>
      </c>
      <c r="AU27" s="1"/>
      <c r="AV27" s="1"/>
      <c r="AW27" s="1"/>
      <c r="AX27" s="1"/>
      <c r="AY27" s="1"/>
      <c r="AZ27" s="1" t="s">
        <v>2812</v>
      </c>
      <c r="BA27" t="s">
        <v>2822</v>
      </c>
    </row>
    <row r="28" spans="1:53" ht="19" customHeight="1">
      <c r="A28" s="4" t="s">
        <v>1052</v>
      </c>
      <c r="B28" s="4">
        <v>13.632999999999999</v>
      </c>
      <c r="C28" s="4">
        <v>-89.2</v>
      </c>
      <c r="D28" s="4">
        <v>10.9</v>
      </c>
      <c r="E28" s="4">
        <v>5.8</v>
      </c>
      <c r="F28" s="4" t="s">
        <v>1032</v>
      </c>
      <c r="G28" s="4" t="s">
        <v>805</v>
      </c>
      <c r="H28" s="4">
        <v>-89.174999999999997</v>
      </c>
      <c r="I28" s="4">
        <v>13.7</v>
      </c>
      <c r="J28" s="4">
        <v>489.34</v>
      </c>
      <c r="K28" s="4">
        <v>6.3</v>
      </c>
      <c r="L28" s="4" t="b">
        <v>1</v>
      </c>
      <c r="M28" s="4">
        <v>0.80500000000000005</v>
      </c>
      <c r="N28" s="4" t="b">
        <v>0</v>
      </c>
      <c r="O28" s="4" t="s">
        <v>1029</v>
      </c>
      <c r="P28" s="4" t="b">
        <v>0</v>
      </c>
      <c r="Q28" s="4">
        <v>690.85400000000004</v>
      </c>
      <c r="R28" s="4">
        <v>412.83800000000002</v>
      </c>
      <c r="S28" s="4">
        <v>396.67200000000003</v>
      </c>
      <c r="T28" s="4">
        <v>79.934700000000007</v>
      </c>
      <c r="U28" s="4">
        <v>62.351599999999998</v>
      </c>
      <c r="V28" s="4">
        <v>12.2081</v>
      </c>
      <c r="W28" s="4">
        <v>12.6046</v>
      </c>
      <c r="X28" s="4">
        <v>12.989800000000001</v>
      </c>
      <c r="Y28" s="4">
        <v>2.21278</v>
      </c>
      <c r="Z28" s="4">
        <v>6.8849999999999996E-3</v>
      </c>
      <c r="AA28" s="4">
        <v>1.0154099999999999</v>
      </c>
      <c r="AB28" s="4">
        <v>-7.1762000000000006E-2</v>
      </c>
      <c r="AC28" s="1" t="s">
        <v>366</v>
      </c>
      <c r="AD28" s="1" t="s">
        <v>2659</v>
      </c>
      <c r="AE28" s="1" t="s">
        <v>2660</v>
      </c>
      <c r="AF28" s="1">
        <v>5.8</v>
      </c>
      <c r="AG28" s="1" t="s">
        <v>1003</v>
      </c>
      <c r="AH28" s="1">
        <v>13.632999999999999</v>
      </c>
      <c r="AI28" s="1">
        <v>-89.2</v>
      </c>
      <c r="AJ28" s="1">
        <v>10.9</v>
      </c>
      <c r="AK28" s="1" t="s">
        <v>1032</v>
      </c>
      <c r="AL28" s="1" t="s">
        <v>2809</v>
      </c>
      <c r="AM28" s="1">
        <v>32</v>
      </c>
      <c r="AN28" s="1">
        <v>85</v>
      </c>
      <c r="AO28" s="1">
        <v>0</v>
      </c>
      <c r="AP28" s="1"/>
      <c r="AQ28" s="1"/>
      <c r="AR28" s="1"/>
      <c r="AS28" s="1" t="s">
        <v>2808</v>
      </c>
      <c r="AT28" s="1" t="s">
        <v>731</v>
      </c>
      <c r="AU28" s="1"/>
      <c r="AV28" s="1"/>
      <c r="AW28" s="1"/>
      <c r="AX28" s="1"/>
      <c r="AY28" s="1"/>
      <c r="AZ28" s="1" t="s">
        <v>2812</v>
      </c>
      <c r="BA28" t="s">
        <v>2823</v>
      </c>
    </row>
    <row r="29" spans="1:53" ht="19" customHeight="1">
      <c r="A29" s="4" t="s">
        <v>1052</v>
      </c>
      <c r="B29" s="4">
        <v>13.632999999999999</v>
      </c>
      <c r="C29" s="4">
        <v>-89.2</v>
      </c>
      <c r="D29" s="4">
        <v>10.9</v>
      </c>
      <c r="E29" s="4">
        <v>5.8</v>
      </c>
      <c r="F29" s="4" t="s">
        <v>1032</v>
      </c>
      <c r="G29" s="4" t="s">
        <v>806</v>
      </c>
      <c r="H29" s="4">
        <v>-89.171000000000006</v>
      </c>
      <c r="I29" s="4">
        <v>13.714</v>
      </c>
      <c r="J29" s="4">
        <v>455.93</v>
      </c>
      <c r="K29" s="4">
        <v>6.99</v>
      </c>
      <c r="L29" s="4" t="b">
        <v>1</v>
      </c>
      <c r="M29" s="4">
        <v>1.127</v>
      </c>
      <c r="N29" s="4" t="b">
        <v>0</v>
      </c>
      <c r="O29" s="4" t="s">
        <v>1029</v>
      </c>
      <c r="P29" s="4" t="b">
        <v>0</v>
      </c>
      <c r="Q29" s="4">
        <v>396.291</v>
      </c>
      <c r="R29" s="4">
        <v>524.274</v>
      </c>
      <c r="S29" s="4">
        <v>451.00900000000001</v>
      </c>
      <c r="T29" s="4">
        <v>56.382300000000001</v>
      </c>
      <c r="U29" s="4">
        <v>73.007900000000006</v>
      </c>
      <c r="V29" s="4">
        <v>19.2073</v>
      </c>
      <c r="W29" s="4">
        <v>19.619900000000001</v>
      </c>
      <c r="X29" s="4">
        <v>11.3779</v>
      </c>
      <c r="Y29" s="4">
        <v>2.52156</v>
      </c>
      <c r="Z29" s="4">
        <v>0.62342299999999995</v>
      </c>
      <c r="AA29" s="4">
        <v>5.2894999999999998E-2</v>
      </c>
      <c r="AB29" s="4">
        <v>-1.0382000000000001E-2</v>
      </c>
      <c r="AC29" s="1" t="s">
        <v>366</v>
      </c>
      <c r="AD29" s="1" t="s">
        <v>2659</v>
      </c>
      <c r="AE29" s="1" t="s">
        <v>2660</v>
      </c>
      <c r="AF29" s="1">
        <v>5.8</v>
      </c>
      <c r="AG29" s="1" t="s">
        <v>1003</v>
      </c>
      <c r="AH29" s="1">
        <v>13.632999999999999</v>
      </c>
      <c r="AI29" s="1">
        <v>-89.2</v>
      </c>
      <c r="AJ29" s="1">
        <v>10.9</v>
      </c>
      <c r="AK29" s="1" t="s">
        <v>1032</v>
      </c>
      <c r="AL29" s="1" t="s">
        <v>2809</v>
      </c>
      <c r="AM29" s="1">
        <v>32</v>
      </c>
      <c r="AN29" s="1">
        <v>85</v>
      </c>
      <c r="AO29" s="1">
        <v>0</v>
      </c>
      <c r="AP29" s="1"/>
      <c r="AQ29" s="1"/>
      <c r="AR29" s="1"/>
      <c r="AS29" s="1" t="s">
        <v>2808</v>
      </c>
      <c r="AT29" s="1" t="s">
        <v>731</v>
      </c>
      <c r="AU29" s="1"/>
      <c r="AV29" s="1"/>
      <c r="AW29" s="1"/>
      <c r="AX29" s="1"/>
      <c r="AY29" s="1"/>
      <c r="AZ29" s="1" t="s">
        <v>2812</v>
      </c>
      <c r="BA29" t="s">
        <v>2823</v>
      </c>
    </row>
    <row r="30" spans="1:53" ht="19" customHeight="1">
      <c r="A30" s="4" t="s">
        <v>1053</v>
      </c>
      <c r="B30" s="4">
        <v>33.022199999999998</v>
      </c>
      <c r="C30" s="4">
        <v>-115.8314</v>
      </c>
      <c r="D30" s="4">
        <v>9</v>
      </c>
      <c r="E30" s="4">
        <v>6.5</v>
      </c>
      <c r="F30" s="4" t="s">
        <v>1032</v>
      </c>
      <c r="G30" s="4" t="s">
        <v>815</v>
      </c>
      <c r="H30" s="4">
        <v>-115.66500000000001</v>
      </c>
      <c r="I30" s="4">
        <v>33.125</v>
      </c>
      <c r="J30" s="4">
        <v>266.01</v>
      </c>
      <c r="K30" s="4">
        <v>18.48</v>
      </c>
      <c r="L30" s="4" t="b">
        <v>1</v>
      </c>
      <c r="M30" s="4">
        <v>2.1280000000000001</v>
      </c>
      <c r="N30" s="4" t="b">
        <v>0</v>
      </c>
      <c r="O30" s="4" t="s">
        <v>1029</v>
      </c>
      <c r="P30" s="4" t="b">
        <v>0</v>
      </c>
      <c r="Q30" s="4">
        <v>111.708</v>
      </c>
      <c r="R30" s="4">
        <v>136.35900000000001</v>
      </c>
      <c r="S30" s="4" t="s">
        <v>1029</v>
      </c>
      <c r="T30" s="4">
        <v>18.2654</v>
      </c>
      <c r="U30" s="4">
        <v>29.6355</v>
      </c>
      <c r="V30" s="4" t="s">
        <v>1029</v>
      </c>
      <c r="W30" s="4">
        <v>8.0758100000000006</v>
      </c>
      <c r="X30" s="4">
        <v>8.0061900000000001</v>
      </c>
      <c r="Y30" s="4" t="s">
        <v>1029</v>
      </c>
      <c r="Z30" s="4">
        <v>0.77483199999999997</v>
      </c>
      <c r="AA30" s="4">
        <v>-0.52309799999999995</v>
      </c>
      <c r="AB30" s="4" t="s">
        <v>1029</v>
      </c>
      <c r="AC30" s="1" t="s">
        <v>379</v>
      </c>
      <c r="AD30" s="1" t="s">
        <v>2669</v>
      </c>
      <c r="AE30" s="1" t="s">
        <v>2670</v>
      </c>
      <c r="AF30" s="1">
        <v>6.5</v>
      </c>
      <c r="AG30" s="1" t="s">
        <v>1003</v>
      </c>
      <c r="AH30" s="1">
        <v>33.022199999999998</v>
      </c>
      <c r="AI30" s="1">
        <v>-115.8314</v>
      </c>
      <c r="AJ30" s="1">
        <v>9</v>
      </c>
      <c r="AK30" s="1" t="s">
        <v>1032</v>
      </c>
      <c r="AL30" s="1" t="s">
        <v>2809</v>
      </c>
      <c r="AM30" s="1">
        <v>127</v>
      </c>
      <c r="AN30" s="1">
        <v>90</v>
      </c>
      <c r="AO30" s="1">
        <v>180</v>
      </c>
      <c r="AP30" s="1"/>
      <c r="AQ30" s="1"/>
      <c r="AR30" s="1"/>
      <c r="AS30" s="1" t="s">
        <v>2808</v>
      </c>
      <c r="AT30" s="1" t="s">
        <v>731</v>
      </c>
      <c r="AU30" s="1"/>
      <c r="AV30" s="1"/>
      <c r="AW30" s="1"/>
      <c r="AX30" s="1"/>
      <c r="AY30" s="1"/>
      <c r="AZ30" s="1" t="s">
        <v>2812</v>
      </c>
      <c r="BA30" t="s">
        <v>2824</v>
      </c>
    </row>
    <row r="31" spans="1:53" ht="19" customHeight="1">
      <c r="A31" s="4" t="s">
        <v>1053</v>
      </c>
      <c r="B31" s="4">
        <v>33.022199999999998</v>
      </c>
      <c r="C31" s="4">
        <v>-115.8314</v>
      </c>
      <c r="D31" s="4">
        <v>9</v>
      </c>
      <c r="E31" s="4">
        <v>6.5</v>
      </c>
      <c r="F31" s="4" t="s">
        <v>1032</v>
      </c>
      <c r="G31" s="4" t="s">
        <v>764</v>
      </c>
      <c r="H31" s="4">
        <v>-115.70099999999999</v>
      </c>
      <c r="I31" s="4">
        <v>32.929000000000002</v>
      </c>
      <c r="J31" s="4">
        <v>348.69</v>
      </c>
      <c r="K31" s="4">
        <v>0.95</v>
      </c>
      <c r="L31" s="4" t="b">
        <v>1</v>
      </c>
      <c r="M31" s="4">
        <v>2.3940000000000001</v>
      </c>
      <c r="N31" s="4" t="b">
        <v>0</v>
      </c>
      <c r="O31" s="4" t="s">
        <v>1029</v>
      </c>
      <c r="P31" s="4" t="b">
        <v>0</v>
      </c>
      <c r="Q31" s="4">
        <v>423.613</v>
      </c>
      <c r="R31" s="4">
        <v>376.96800000000002</v>
      </c>
      <c r="S31" s="4" t="s">
        <v>1029</v>
      </c>
      <c r="T31" s="4">
        <v>134.422</v>
      </c>
      <c r="U31" s="4">
        <v>53.222200000000001</v>
      </c>
      <c r="V31" s="4" t="s">
        <v>1029</v>
      </c>
      <c r="W31" s="4">
        <v>45.707700000000003</v>
      </c>
      <c r="X31" s="4">
        <v>18.111699999999999</v>
      </c>
      <c r="Y31" s="4" t="s">
        <v>1029</v>
      </c>
      <c r="Z31" s="4">
        <v>-6.6248500000000003</v>
      </c>
      <c r="AA31" s="4">
        <v>0.38287700000000002</v>
      </c>
      <c r="AB31" s="4" t="s">
        <v>1029</v>
      </c>
      <c r="AC31" s="1" t="s">
        <v>379</v>
      </c>
      <c r="AD31" s="1" t="s">
        <v>2669</v>
      </c>
      <c r="AE31" s="1" t="s">
        <v>2670</v>
      </c>
      <c r="AF31" s="1">
        <v>6.5</v>
      </c>
      <c r="AG31" s="1" t="s">
        <v>1003</v>
      </c>
      <c r="AH31" s="1">
        <v>33.022199999999998</v>
      </c>
      <c r="AI31" s="1">
        <v>-115.8314</v>
      </c>
      <c r="AJ31" s="1">
        <v>9</v>
      </c>
      <c r="AK31" s="1" t="s">
        <v>1032</v>
      </c>
      <c r="AL31" s="1" t="s">
        <v>2809</v>
      </c>
      <c r="AM31" s="1">
        <v>127</v>
      </c>
      <c r="AN31" s="1">
        <v>90</v>
      </c>
      <c r="AO31" s="1">
        <v>180</v>
      </c>
      <c r="AP31" s="1"/>
      <c r="AQ31" s="1"/>
      <c r="AR31" s="1"/>
      <c r="AS31" s="1" t="s">
        <v>2808</v>
      </c>
      <c r="AT31" s="1" t="s">
        <v>731</v>
      </c>
      <c r="AU31" s="1"/>
      <c r="AV31" s="1"/>
      <c r="AW31" s="1"/>
      <c r="AX31" s="1"/>
      <c r="AY31" s="1"/>
      <c r="AZ31" s="1" t="s">
        <v>2812</v>
      </c>
      <c r="BA31" t="s">
        <v>2824</v>
      </c>
    </row>
    <row r="32" spans="1:53" ht="19" customHeight="1">
      <c r="A32" s="4" t="s">
        <v>1054</v>
      </c>
      <c r="B32" s="4">
        <v>37.040700000000001</v>
      </c>
      <c r="C32" s="4">
        <v>-121.88290000000001</v>
      </c>
      <c r="D32" s="4">
        <v>17.48</v>
      </c>
      <c r="E32" s="4">
        <v>6.9</v>
      </c>
      <c r="F32" s="4" t="s">
        <v>1055</v>
      </c>
      <c r="G32" s="4" t="s">
        <v>820</v>
      </c>
      <c r="H32" s="4">
        <v>-121.569</v>
      </c>
      <c r="I32" s="4">
        <v>37.009</v>
      </c>
      <c r="J32" s="4">
        <v>308.55</v>
      </c>
      <c r="K32" s="4">
        <v>10.97</v>
      </c>
      <c r="L32" s="4" t="b">
        <v>1</v>
      </c>
      <c r="M32" s="4">
        <v>1.6379999999999999</v>
      </c>
      <c r="N32" s="4" t="b">
        <v>0</v>
      </c>
      <c r="O32" s="4" t="s">
        <v>1029</v>
      </c>
      <c r="P32" s="4" t="b">
        <v>0</v>
      </c>
      <c r="Q32" s="4">
        <v>279.85000000000002</v>
      </c>
      <c r="R32" s="4">
        <v>237.34800000000001</v>
      </c>
      <c r="S32" s="4">
        <v>145.13900000000001</v>
      </c>
      <c r="T32" s="4">
        <v>43.3977</v>
      </c>
      <c r="U32" s="4">
        <v>23.7667</v>
      </c>
      <c r="V32" s="4">
        <v>12.6037</v>
      </c>
      <c r="W32" s="4">
        <v>9.8518100000000004</v>
      </c>
      <c r="X32" s="4">
        <v>3.8126000000000002</v>
      </c>
      <c r="Y32" s="4">
        <v>8.3054100000000002</v>
      </c>
      <c r="Z32" s="4">
        <v>-3.5707999999999997E-2</v>
      </c>
      <c r="AA32" s="4">
        <v>3.568E-3</v>
      </c>
      <c r="AB32" s="4">
        <v>0.14820900000000001</v>
      </c>
      <c r="AC32" s="1" t="s">
        <v>392</v>
      </c>
      <c r="AD32" s="1" t="s">
        <v>2674</v>
      </c>
      <c r="AE32" s="1" t="s">
        <v>2675</v>
      </c>
      <c r="AF32" s="1">
        <v>6.9</v>
      </c>
      <c r="AG32" s="1" t="s">
        <v>1003</v>
      </c>
      <c r="AH32" s="1">
        <v>37.040700000000001</v>
      </c>
      <c r="AI32" s="1">
        <v>-121.88290000000001</v>
      </c>
      <c r="AJ32" s="1">
        <v>17.48</v>
      </c>
      <c r="AK32" s="1" t="s">
        <v>1055</v>
      </c>
      <c r="AL32" s="1" t="s">
        <v>2809</v>
      </c>
      <c r="AM32" s="1">
        <v>128</v>
      </c>
      <c r="AN32" s="1">
        <v>70</v>
      </c>
      <c r="AO32" s="1">
        <v>140</v>
      </c>
      <c r="AP32" s="1"/>
      <c r="AQ32" s="1"/>
      <c r="AR32" s="1"/>
      <c r="AS32" s="1" t="s">
        <v>2808</v>
      </c>
      <c r="AT32" s="1" t="s">
        <v>731</v>
      </c>
      <c r="AU32" s="1"/>
      <c r="AV32" s="1"/>
      <c r="AW32" s="1"/>
      <c r="AX32" s="1"/>
      <c r="AY32" s="1"/>
      <c r="AZ32" s="1" t="s">
        <v>2812</v>
      </c>
      <c r="BA32" t="s">
        <v>2825</v>
      </c>
    </row>
    <row r="33" spans="1:53" ht="19" customHeight="1">
      <c r="A33" s="4" t="s">
        <v>1054</v>
      </c>
      <c r="B33" s="4">
        <v>37.040700000000001</v>
      </c>
      <c r="C33" s="4">
        <v>-121.88290000000001</v>
      </c>
      <c r="D33" s="4">
        <v>17.48</v>
      </c>
      <c r="E33" s="4">
        <v>6.9</v>
      </c>
      <c r="F33" s="4" t="s">
        <v>1055</v>
      </c>
      <c r="G33" s="4" t="s">
        <v>1033</v>
      </c>
      <c r="H33" s="4">
        <v>-121.556</v>
      </c>
      <c r="I33" s="4">
        <v>36.981999999999999</v>
      </c>
      <c r="J33" s="4">
        <v>270.83999999999997</v>
      </c>
      <c r="K33" s="4">
        <v>11.07</v>
      </c>
      <c r="L33" s="4" t="b">
        <v>1</v>
      </c>
      <c r="M33" s="4">
        <v>1.7290000000000001</v>
      </c>
      <c r="N33" s="4" t="b">
        <v>0</v>
      </c>
      <c r="O33" s="4" t="s">
        <v>1029</v>
      </c>
      <c r="P33" s="4" t="b">
        <v>0</v>
      </c>
      <c r="Q33" s="4">
        <v>362.702</v>
      </c>
      <c r="R33" s="4">
        <v>316.58600000000001</v>
      </c>
      <c r="S33" s="4">
        <v>289.57100000000003</v>
      </c>
      <c r="T33" s="4">
        <v>34.768300000000004</v>
      </c>
      <c r="U33" s="4">
        <v>40.407600000000002</v>
      </c>
      <c r="V33" s="4">
        <v>16.5474</v>
      </c>
      <c r="W33" s="4">
        <v>9.5016200000000008</v>
      </c>
      <c r="X33" s="4">
        <v>18.450099999999999</v>
      </c>
      <c r="Y33" s="4">
        <v>8.0344800000000003</v>
      </c>
      <c r="Z33" s="4">
        <v>-2.8993000000000001E-2</v>
      </c>
      <c r="AA33" s="4">
        <v>-0.14298</v>
      </c>
      <c r="AB33" s="4">
        <v>1.5727000000000001E-2</v>
      </c>
      <c r="AC33" s="1" t="s">
        <v>392</v>
      </c>
      <c r="AD33" s="1" t="s">
        <v>2674</v>
      </c>
      <c r="AE33" s="1" t="s">
        <v>2675</v>
      </c>
      <c r="AF33" s="1">
        <v>6.9</v>
      </c>
      <c r="AG33" s="1" t="s">
        <v>1003</v>
      </c>
      <c r="AH33" s="1">
        <v>37.040700000000001</v>
      </c>
      <c r="AI33" s="1">
        <v>-121.88290000000001</v>
      </c>
      <c r="AJ33" s="1">
        <v>17.48</v>
      </c>
      <c r="AK33" s="1" t="s">
        <v>1055</v>
      </c>
      <c r="AL33" s="1" t="s">
        <v>2809</v>
      </c>
      <c r="AM33" s="1">
        <v>128</v>
      </c>
      <c r="AN33" s="1">
        <v>70</v>
      </c>
      <c r="AO33" s="1">
        <v>140</v>
      </c>
      <c r="AP33" s="1"/>
      <c r="AQ33" s="1"/>
      <c r="AR33" s="1"/>
      <c r="AS33" s="1" t="s">
        <v>2808</v>
      </c>
      <c r="AT33" s="1" t="s">
        <v>731</v>
      </c>
      <c r="AU33" s="1"/>
      <c r="AV33" s="1"/>
      <c r="AW33" s="1"/>
      <c r="AX33" s="1"/>
      <c r="AY33" s="1"/>
      <c r="AZ33" s="1" t="s">
        <v>2812</v>
      </c>
      <c r="BA33" t="s">
        <v>2825</v>
      </c>
    </row>
    <row r="34" spans="1:53" ht="19" customHeight="1">
      <c r="A34" s="4" t="s">
        <v>1054</v>
      </c>
      <c r="B34" s="4">
        <v>37.040700000000001</v>
      </c>
      <c r="C34" s="4">
        <v>-121.88290000000001</v>
      </c>
      <c r="D34" s="4">
        <v>17.48</v>
      </c>
      <c r="E34" s="4">
        <v>6.9</v>
      </c>
      <c r="F34" s="4" t="s">
        <v>1055</v>
      </c>
      <c r="G34" s="4" t="s">
        <v>1034</v>
      </c>
      <c r="H34" s="4">
        <v>-121.536</v>
      </c>
      <c r="I34" s="4">
        <v>36.987000000000002</v>
      </c>
      <c r="J34" s="4">
        <v>349.85</v>
      </c>
      <c r="K34" s="4">
        <v>12.82</v>
      </c>
      <c r="L34" s="4" t="b">
        <v>1</v>
      </c>
      <c r="M34" s="4">
        <v>2.6389999999999998</v>
      </c>
      <c r="N34" s="4" t="b">
        <v>0</v>
      </c>
      <c r="O34" s="4" t="s">
        <v>1029</v>
      </c>
      <c r="P34" s="4" t="b">
        <v>0</v>
      </c>
      <c r="Q34" s="4">
        <v>548.5</v>
      </c>
      <c r="R34" s="4">
        <v>361.23</v>
      </c>
      <c r="S34" s="4">
        <v>335.2</v>
      </c>
      <c r="T34" s="4">
        <v>36.325800000000001</v>
      </c>
      <c r="U34" s="4">
        <v>45.438000000000002</v>
      </c>
      <c r="V34" s="4">
        <v>15.658099999999999</v>
      </c>
      <c r="W34" s="4">
        <v>10.834899999999999</v>
      </c>
      <c r="X34" s="4">
        <v>24.093399999999999</v>
      </c>
      <c r="Y34" s="4">
        <v>7.0308400000000004</v>
      </c>
      <c r="Z34" s="4">
        <v>6.5878000000000006E-2</v>
      </c>
      <c r="AA34" s="4">
        <v>0.21043200000000001</v>
      </c>
      <c r="AB34" s="4">
        <v>0.20655599999999999</v>
      </c>
      <c r="AC34" s="1" t="s">
        <v>392</v>
      </c>
      <c r="AD34" s="1" t="s">
        <v>2674</v>
      </c>
      <c r="AE34" s="1" t="s">
        <v>2675</v>
      </c>
      <c r="AF34" s="1">
        <v>6.9</v>
      </c>
      <c r="AG34" s="1" t="s">
        <v>1003</v>
      </c>
      <c r="AH34" s="1">
        <v>37.040700000000001</v>
      </c>
      <c r="AI34" s="1">
        <v>-121.88290000000001</v>
      </c>
      <c r="AJ34" s="1">
        <v>17.48</v>
      </c>
      <c r="AK34" s="1" t="s">
        <v>1055</v>
      </c>
      <c r="AL34" s="1" t="s">
        <v>2809</v>
      </c>
      <c r="AM34" s="1">
        <v>128</v>
      </c>
      <c r="AN34" s="1">
        <v>70</v>
      </c>
      <c r="AO34" s="1">
        <v>140</v>
      </c>
      <c r="AP34" s="1"/>
      <c r="AQ34" s="1"/>
      <c r="AR34" s="1"/>
      <c r="AS34" s="1" t="s">
        <v>2808</v>
      </c>
      <c r="AT34" s="1" t="s">
        <v>731</v>
      </c>
      <c r="AU34" s="1"/>
      <c r="AV34" s="1"/>
      <c r="AW34" s="1"/>
      <c r="AX34" s="1"/>
      <c r="AY34" s="1"/>
      <c r="AZ34" s="1" t="s">
        <v>2812</v>
      </c>
      <c r="BA34" t="s">
        <v>2825</v>
      </c>
    </row>
    <row r="35" spans="1:53" ht="19" customHeight="1">
      <c r="A35" s="4" t="s">
        <v>1054</v>
      </c>
      <c r="B35" s="4">
        <v>37.040700000000001</v>
      </c>
      <c r="C35" s="4">
        <v>-121.88290000000001</v>
      </c>
      <c r="D35" s="4">
        <v>17.48</v>
      </c>
      <c r="E35" s="4">
        <v>6.9</v>
      </c>
      <c r="F35" s="4" t="s">
        <v>1055</v>
      </c>
      <c r="G35" s="4" t="s">
        <v>827</v>
      </c>
      <c r="H35" s="4">
        <v>-121.991</v>
      </c>
      <c r="I35" s="4">
        <v>37.201999999999998</v>
      </c>
      <c r="J35" s="4">
        <v>1070.3399999999999</v>
      </c>
      <c r="K35" s="4">
        <v>5.0199999999999996</v>
      </c>
      <c r="L35" s="4" t="b">
        <v>1</v>
      </c>
      <c r="M35" s="4">
        <v>1.5680000000000001</v>
      </c>
      <c r="N35" s="4" t="b">
        <v>0</v>
      </c>
      <c r="O35" s="4" t="s">
        <v>1029</v>
      </c>
      <c r="P35" s="4" t="b">
        <v>0</v>
      </c>
      <c r="Q35" s="4">
        <v>434.34800000000001</v>
      </c>
      <c r="R35" s="4">
        <v>403.64800000000002</v>
      </c>
      <c r="S35" s="4">
        <v>140.48500000000001</v>
      </c>
      <c r="T35" s="4">
        <v>85.835300000000004</v>
      </c>
      <c r="U35" s="4">
        <v>95.857100000000003</v>
      </c>
      <c r="V35" s="4">
        <v>27.065000000000001</v>
      </c>
      <c r="W35" s="4">
        <v>17.316800000000001</v>
      </c>
      <c r="X35" s="4">
        <v>30.314299999999999</v>
      </c>
      <c r="Y35" s="4">
        <v>16.582999999999998</v>
      </c>
      <c r="Z35" s="4">
        <v>0.222243</v>
      </c>
      <c r="AA35" s="4">
        <v>0.41869499999999998</v>
      </c>
      <c r="AB35" s="4">
        <v>-2.2589999999999999E-2</v>
      </c>
      <c r="AC35" s="1" t="s">
        <v>392</v>
      </c>
      <c r="AD35" s="1" t="s">
        <v>2674</v>
      </c>
      <c r="AE35" s="1" t="s">
        <v>2675</v>
      </c>
      <c r="AF35" s="1">
        <v>6.9</v>
      </c>
      <c r="AG35" s="1" t="s">
        <v>1003</v>
      </c>
      <c r="AH35" s="1">
        <v>37.040700000000001</v>
      </c>
      <c r="AI35" s="1">
        <v>-121.88290000000001</v>
      </c>
      <c r="AJ35" s="1">
        <v>17.48</v>
      </c>
      <c r="AK35" s="1" t="s">
        <v>1055</v>
      </c>
      <c r="AL35" s="1" t="s">
        <v>2809</v>
      </c>
      <c r="AM35" s="1">
        <v>128</v>
      </c>
      <c r="AN35" s="1">
        <v>70</v>
      </c>
      <c r="AO35" s="1">
        <v>140</v>
      </c>
      <c r="AP35" s="1"/>
      <c r="AQ35" s="1"/>
      <c r="AR35" s="1"/>
      <c r="AS35" s="1" t="s">
        <v>2808</v>
      </c>
      <c r="AT35" s="1" t="s">
        <v>731</v>
      </c>
      <c r="AU35" s="1"/>
      <c r="AV35" s="1"/>
      <c r="AW35" s="1"/>
      <c r="AX35" s="1"/>
      <c r="AY35" s="1"/>
      <c r="AZ35" s="1" t="s">
        <v>2812</v>
      </c>
      <c r="BA35" t="s">
        <v>2825</v>
      </c>
    </row>
    <row r="36" spans="1:53" ht="19" customHeight="1">
      <c r="A36" s="4" t="s">
        <v>1054</v>
      </c>
      <c r="B36" s="4">
        <v>37.040700000000001</v>
      </c>
      <c r="C36" s="4">
        <v>-121.88290000000001</v>
      </c>
      <c r="D36" s="4">
        <v>17.48</v>
      </c>
      <c r="E36" s="4">
        <v>6.9</v>
      </c>
      <c r="F36" s="4" t="s">
        <v>1055</v>
      </c>
      <c r="G36" s="4" t="s">
        <v>824</v>
      </c>
      <c r="H36" s="4">
        <v>-122.03100000000001</v>
      </c>
      <c r="I36" s="4">
        <v>37.255000000000003</v>
      </c>
      <c r="J36" s="4">
        <v>380.89</v>
      </c>
      <c r="K36" s="4">
        <v>8.5</v>
      </c>
      <c r="L36" s="4" t="b">
        <v>1</v>
      </c>
      <c r="M36" s="4">
        <v>4.5709999999999997</v>
      </c>
      <c r="N36" s="4" t="b">
        <v>0</v>
      </c>
      <c r="O36" s="4" t="s">
        <v>1029</v>
      </c>
      <c r="P36" s="4" t="b">
        <v>0</v>
      </c>
      <c r="Q36" s="4">
        <v>504.68</v>
      </c>
      <c r="R36" s="4">
        <v>320.029</v>
      </c>
      <c r="S36" s="4">
        <v>388.18400000000003</v>
      </c>
      <c r="T36" s="4">
        <v>41.591900000000003</v>
      </c>
      <c r="U36" s="4">
        <v>45.983699999999999</v>
      </c>
      <c r="V36" s="4">
        <v>28.0352</v>
      </c>
      <c r="W36" s="4">
        <v>16.323899999999998</v>
      </c>
      <c r="X36" s="4">
        <v>33.325299999999999</v>
      </c>
      <c r="Y36" s="4">
        <v>17.2651</v>
      </c>
      <c r="Z36" s="4">
        <v>0.25591900000000001</v>
      </c>
      <c r="AA36" s="4">
        <v>-2.5010000000000001E-2</v>
      </c>
      <c r="AB36" s="4">
        <v>-0.293653</v>
      </c>
      <c r="AC36" s="1" t="s">
        <v>392</v>
      </c>
      <c r="AD36" s="1" t="s">
        <v>2674</v>
      </c>
      <c r="AE36" s="1" t="s">
        <v>2675</v>
      </c>
      <c r="AF36" s="1">
        <v>6.9</v>
      </c>
      <c r="AG36" s="1" t="s">
        <v>1003</v>
      </c>
      <c r="AH36" s="1">
        <v>37.040700000000001</v>
      </c>
      <c r="AI36" s="1">
        <v>-121.88290000000001</v>
      </c>
      <c r="AJ36" s="1">
        <v>17.48</v>
      </c>
      <c r="AK36" s="1" t="s">
        <v>1055</v>
      </c>
      <c r="AL36" s="1" t="s">
        <v>2809</v>
      </c>
      <c r="AM36" s="1">
        <v>128</v>
      </c>
      <c r="AN36" s="1">
        <v>70</v>
      </c>
      <c r="AO36" s="1">
        <v>140</v>
      </c>
      <c r="AP36" s="1"/>
      <c r="AQ36" s="1"/>
      <c r="AR36" s="1"/>
      <c r="AS36" s="1" t="s">
        <v>2808</v>
      </c>
      <c r="AT36" s="1" t="s">
        <v>731</v>
      </c>
      <c r="AU36" s="1"/>
      <c r="AV36" s="1"/>
      <c r="AW36" s="1"/>
      <c r="AX36" s="1"/>
      <c r="AY36" s="1"/>
      <c r="AZ36" s="1" t="s">
        <v>2812</v>
      </c>
      <c r="BA36" t="s">
        <v>2825</v>
      </c>
    </row>
    <row r="37" spans="1:53" ht="19" customHeight="1">
      <c r="A37" s="4" t="s">
        <v>1054</v>
      </c>
      <c r="B37" s="4">
        <v>37.040700000000001</v>
      </c>
      <c r="C37" s="4">
        <v>-121.88290000000001</v>
      </c>
      <c r="D37" s="4">
        <v>17.48</v>
      </c>
      <c r="E37" s="4">
        <v>6.9</v>
      </c>
      <c r="F37" s="4" t="s">
        <v>1055</v>
      </c>
      <c r="G37" s="4" t="s">
        <v>825</v>
      </c>
      <c r="H37" s="4">
        <v>-122.009</v>
      </c>
      <c r="I37" s="4">
        <v>37.262</v>
      </c>
      <c r="J37" s="4">
        <v>347.9</v>
      </c>
      <c r="K37" s="4">
        <v>9.31</v>
      </c>
      <c r="L37" s="4" t="b">
        <v>1</v>
      </c>
      <c r="M37" s="4">
        <v>5.649</v>
      </c>
      <c r="N37" s="4" t="b">
        <v>0</v>
      </c>
      <c r="O37" s="4" t="s">
        <v>1029</v>
      </c>
      <c r="P37" s="4" t="b">
        <v>0</v>
      </c>
      <c r="Q37" s="4">
        <v>252.607</v>
      </c>
      <c r="R37" s="4">
        <v>324.935</v>
      </c>
      <c r="S37" s="4" t="s">
        <v>1029</v>
      </c>
      <c r="T37" s="4">
        <v>42.056399999999996</v>
      </c>
      <c r="U37" s="4">
        <v>64.912300000000002</v>
      </c>
      <c r="V37" s="4" t="s">
        <v>1029</v>
      </c>
      <c r="W37" s="4">
        <v>24.214700000000001</v>
      </c>
      <c r="X37" s="4">
        <v>37.860399999999998</v>
      </c>
      <c r="Y37" s="4" t="s">
        <v>1029</v>
      </c>
      <c r="Z37" s="4">
        <v>0.27366600000000002</v>
      </c>
      <c r="AA37" s="4">
        <v>0.35765000000000002</v>
      </c>
      <c r="AB37" s="4" t="s">
        <v>1029</v>
      </c>
      <c r="AC37" s="1" t="s">
        <v>392</v>
      </c>
      <c r="AD37" s="1" t="s">
        <v>2674</v>
      </c>
      <c r="AE37" s="1" t="s">
        <v>2675</v>
      </c>
      <c r="AF37" s="1">
        <v>6.9</v>
      </c>
      <c r="AG37" s="1" t="s">
        <v>1003</v>
      </c>
      <c r="AH37" s="1">
        <v>37.040700000000001</v>
      </c>
      <c r="AI37" s="1">
        <v>-121.88290000000001</v>
      </c>
      <c r="AJ37" s="1">
        <v>17.48</v>
      </c>
      <c r="AK37" s="1" t="s">
        <v>1055</v>
      </c>
      <c r="AL37" s="1" t="s">
        <v>2809</v>
      </c>
      <c r="AM37" s="1">
        <v>128</v>
      </c>
      <c r="AN37" s="1">
        <v>70</v>
      </c>
      <c r="AO37" s="1">
        <v>140</v>
      </c>
      <c r="AP37" s="1"/>
      <c r="AQ37" s="1"/>
      <c r="AR37" s="1"/>
      <c r="AS37" s="1" t="s">
        <v>2808</v>
      </c>
      <c r="AT37" s="1" t="s">
        <v>731</v>
      </c>
      <c r="AU37" s="1"/>
      <c r="AV37" s="1"/>
      <c r="AW37" s="1"/>
      <c r="AX37" s="1"/>
      <c r="AY37" s="1"/>
      <c r="AZ37" s="1" t="s">
        <v>2812</v>
      </c>
      <c r="BA37" t="s">
        <v>2825</v>
      </c>
    </row>
    <row r="38" spans="1:53" ht="19" customHeight="1">
      <c r="A38" s="4" t="s">
        <v>1056</v>
      </c>
      <c r="B38" s="4">
        <v>40.326999999999998</v>
      </c>
      <c r="C38" s="4">
        <v>-124.233</v>
      </c>
      <c r="D38" s="4">
        <v>9.5</v>
      </c>
      <c r="E38" s="4">
        <v>7</v>
      </c>
      <c r="F38" s="4" t="s">
        <v>1028</v>
      </c>
      <c r="G38" s="4" t="s">
        <v>830</v>
      </c>
      <c r="H38" s="4">
        <v>-124.2945</v>
      </c>
      <c r="I38" s="4">
        <v>40.497599999999998</v>
      </c>
      <c r="J38" s="4">
        <v>566.41999999999996</v>
      </c>
      <c r="K38" s="4">
        <v>12.24</v>
      </c>
      <c r="L38" s="4" t="b">
        <v>1</v>
      </c>
      <c r="M38" s="4">
        <v>5.3620000000000001</v>
      </c>
      <c r="N38" s="4" t="b">
        <v>0</v>
      </c>
      <c r="O38" s="4" t="s">
        <v>1029</v>
      </c>
      <c r="P38" s="4" t="b">
        <v>0</v>
      </c>
      <c r="Q38" s="4">
        <v>174.01</v>
      </c>
      <c r="R38" s="4">
        <v>202.494</v>
      </c>
      <c r="S38" s="4">
        <v>82.968299999999999</v>
      </c>
      <c r="T38" s="4">
        <v>67.876400000000004</v>
      </c>
      <c r="U38" s="4">
        <v>48.338700000000003</v>
      </c>
      <c r="V38" s="4">
        <v>12.4438</v>
      </c>
      <c r="W38" s="4">
        <v>39.069699999999997</v>
      </c>
      <c r="X38" s="4">
        <v>16.115200000000002</v>
      </c>
      <c r="Y38" s="4">
        <v>6.13103</v>
      </c>
      <c r="Z38" s="4">
        <v>-1.4146000000000001</v>
      </c>
      <c r="AA38" s="4">
        <v>0.87124699999999999</v>
      </c>
      <c r="AB38" s="4">
        <v>-0.15263199999999999</v>
      </c>
      <c r="AC38" s="1" t="s">
        <v>399</v>
      </c>
      <c r="AD38" s="1" t="s">
        <v>2680</v>
      </c>
      <c r="AE38" s="1" t="s">
        <v>2681</v>
      </c>
      <c r="AF38" s="1">
        <v>7</v>
      </c>
      <c r="AG38" s="1" t="s">
        <v>1003</v>
      </c>
      <c r="AH38" s="1">
        <v>40.326999999999998</v>
      </c>
      <c r="AI38" s="1">
        <v>-124.233</v>
      </c>
      <c r="AJ38" s="1">
        <v>9.5</v>
      </c>
      <c r="AK38" s="1" t="s">
        <v>1028</v>
      </c>
      <c r="AL38" s="1" t="s">
        <v>2809</v>
      </c>
      <c r="AM38" s="1">
        <v>350</v>
      </c>
      <c r="AN38" s="1">
        <v>14</v>
      </c>
      <c r="AO38" s="1">
        <v>105</v>
      </c>
      <c r="AP38" s="1"/>
      <c r="AQ38" s="1"/>
      <c r="AR38" s="1"/>
      <c r="AS38" s="1" t="s">
        <v>2808</v>
      </c>
      <c r="AT38" s="1" t="s">
        <v>731</v>
      </c>
      <c r="AU38" s="1"/>
      <c r="AV38" s="1"/>
      <c r="AW38" s="1"/>
      <c r="AX38" s="1"/>
      <c r="AY38" s="1"/>
      <c r="AZ38" s="1" t="s">
        <v>2812</v>
      </c>
      <c r="BA38" t="s">
        <v>2826</v>
      </c>
    </row>
    <row r="39" spans="1:53" ht="19" customHeight="1">
      <c r="A39" s="4" t="s">
        <v>1056</v>
      </c>
      <c r="B39" s="4">
        <v>40.326999999999998</v>
      </c>
      <c r="C39" s="4">
        <v>-124.233</v>
      </c>
      <c r="D39" s="4">
        <v>9.5</v>
      </c>
      <c r="E39" s="4">
        <v>7</v>
      </c>
      <c r="F39" s="4" t="s">
        <v>1028</v>
      </c>
      <c r="G39" s="4" t="s">
        <v>1057</v>
      </c>
      <c r="H39" s="4">
        <v>-124.348</v>
      </c>
      <c r="I39" s="4">
        <v>40.563000000000002</v>
      </c>
      <c r="J39" s="4">
        <v>459.04</v>
      </c>
      <c r="K39" s="4">
        <v>18.309999999999999</v>
      </c>
      <c r="L39" s="4" t="b">
        <v>1</v>
      </c>
      <c r="M39" s="4">
        <v>1.9670000000000001</v>
      </c>
      <c r="N39" s="4" t="b">
        <v>0</v>
      </c>
      <c r="O39" s="4" t="s">
        <v>1029</v>
      </c>
      <c r="P39" s="4" t="b">
        <v>0</v>
      </c>
      <c r="Q39" s="4">
        <v>312.03399999999999</v>
      </c>
      <c r="R39" s="4">
        <v>468.56900000000002</v>
      </c>
      <c r="S39" s="4">
        <v>119.282</v>
      </c>
      <c r="T39" s="4">
        <v>49.546399999999998</v>
      </c>
      <c r="U39" s="4">
        <v>51.220199999999998</v>
      </c>
      <c r="V39" s="4">
        <v>17.1067</v>
      </c>
      <c r="W39" s="4">
        <v>12.654500000000001</v>
      </c>
      <c r="X39" s="4">
        <v>15.992000000000001</v>
      </c>
      <c r="Y39" s="4">
        <v>8.6654900000000001</v>
      </c>
      <c r="Z39" s="4">
        <v>2.862E-2</v>
      </c>
      <c r="AA39" s="4">
        <v>-0.35622199999999998</v>
      </c>
      <c r="AB39" s="4">
        <v>0.35045100000000001</v>
      </c>
      <c r="AC39" s="1" t="s">
        <v>399</v>
      </c>
      <c r="AD39" s="1" t="s">
        <v>2680</v>
      </c>
      <c r="AE39" s="1" t="s">
        <v>2681</v>
      </c>
      <c r="AF39" s="1">
        <v>7</v>
      </c>
      <c r="AG39" s="1" t="s">
        <v>1003</v>
      </c>
      <c r="AH39" s="1">
        <v>40.326999999999998</v>
      </c>
      <c r="AI39" s="1">
        <v>-124.233</v>
      </c>
      <c r="AJ39" s="1">
        <v>9.5</v>
      </c>
      <c r="AK39" s="1" t="s">
        <v>1028</v>
      </c>
      <c r="AL39" s="1" t="s">
        <v>2809</v>
      </c>
      <c r="AM39" s="1">
        <v>350</v>
      </c>
      <c r="AN39" s="1">
        <v>14</v>
      </c>
      <c r="AO39" s="1">
        <v>105</v>
      </c>
      <c r="AP39" s="1"/>
      <c r="AQ39" s="1"/>
      <c r="AR39" s="1"/>
      <c r="AS39" s="1" t="s">
        <v>2808</v>
      </c>
      <c r="AT39" s="1" t="s">
        <v>731</v>
      </c>
      <c r="AU39" s="1"/>
      <c r="AV39" s="1"/>
      <c r="AW39" s="1"/>
      <c r="AX39" s="1"/>
      <c r="AY39" s="1"/>
      <c r="AZ39" s="1" t="s">
        <v>2812</v>
      </c>
      <c r="BA39" t="s">
        <v>2826</v>
      </c>
    </row>
    <row r="40" spans="1:53" ht="19" customHeight="1">
      <c r="A40" s="4" t="s">
        <v>1056</v>
      </c>
      <c r="B40" s="4">
        <v>40.326999999999998</v>
      </c>
      <c r="C40" s="4">
        <v>-124.233</v>
      </c>
      <c r="D40" s="4">
        <v>9.5</v>
      </c>
      <c r="E40" s="4">
        <v>7</v>
      </c>
      <c r="F40" s="4" t="s">
        <v>1028</v>
      </c>
      <c r="G40" s="4" t="s">
        <v>829</v>
      </c>
      <c r="H40" s="4">
        <v>-124.286</v>
      </c>
      <c r="I40" s="4">
        <v>40.323999999999998</v>
      </c>
      <c r="J40" s="4">
        <v>422.17</v>
      </c>
      <c r="K40" s="4">
        <v>8.18</v>
      </c>
      <c r="L40" s="4" t="b">
        <v>1</v>
      </c>
      <c r="M40" s="4">
        <v>2.996</v>
      </c>
      <c r="N40" s="4" t="b">
        <v>0</v>
      </c>
      <c r="O40" s="4" t="s">
        <v>1029</v>
      </c>
      <c r="P40" s="4" t="b">
        <v>0</v>
      </c>
      <c r="Q40" s="4">
        <v>579.56399999999996</v>
      </c>
      <c r="R40" s="4">
        <v>648.99400000000003</v>
      </c>
      <c r="S40" s="4">
        <v>162.03299999999999</v>
      </c>
      <c r="T40" s="4">
        <v>49.555100000000003</v>
      </c>
      <c r="U40" s="4">
        <v>88.976100000000002</v>
      </c>
      <c r="V40" s="4">
        <v>20.101500000000001</v>
      </c>
      <c r="W40" s="4">
        <v>16.555299999999999</v>
      </c>
      <c r="X40" s="4">
        <v>33.197699999999998</v>
      </c>
      <c r="Y40" s="4">
        <v>19.3642</v>
      </c>
      <c r="Z40" s="4">
        <v>1.28531</v>
      </c>
      <c r="AA40" s="4">
        <v>-0.83501800000000004</v>
      </c>
      <c r="AB40" s="4">
        <v>-13.146599999999999</v>
      </c>
      <c r="AC40" s="1" t="s">
        <v>399</v>
      </c>
      <c r="AD40" s="1" t="s">
        <v>2680</v>
      </c>
      <c r="AE40" s="1" t="s">
        <v>2681</v>
      </c>
      <c r="AF40" s="1">
        <v>7</v>
      </c>
      <c r="AG40" s="1" t="s">
        <v>1003</v>
      </c>
      <c r="AH40" s="1">
        <v>40.326999999999998</v>
      </c>
      <c r="AI40" s="1">
        <v>-124.233</v>
      </c>
      <c r="AJ40" s="1">
        <v>9.5</v>
      </c>
      <c r="AK40" s="1" t="s">
        <v>1028</v>
      </c>
      <c r="AL40" s="1" t="s">
        <v>2809</v>
      </c>
      <c r="AM40" s="1">
        <v>350</v>
      </c>
      <c r="AN40" s="1">
        <v>14</v>
      </c>
      <c r="AO40" s="1">
        <v>105</v>
      </c>
      <c r="AP40" s="1"/>
      <c r="AQ40" s="1"/>
      <c r="AR40" s="1"/>
      <c r="AS40" s="1" t="s">
        <v>2808</v>
      </c>
      <c r="AT40" s="1" t="s">
        <v>731</v>
      </c>
      <c r="AU40" s="1"/>
      <c r="AV40" s="1"/>
      <c r="AW40" s="1"/>
      <c r="AX40" s="1"/>
      <c r="AY40" s="1"/>
      <c r="AZ40" s="1" t="s">
        <v>2812</v>
      </c>
      <c r="BA40" t="s">
        <v>2826</v>
      </c>
    </row>
    <row r="41" spans="1:53" ht="19" customHeight="1">
      <c r="A41" s="4" t="s">
        <v>1058</v>
      </c>
      <c r="B41" s="4">
        <v>34.200000000000003</v>
      </c>
      <c r="C41" s="4">
        <v>-116.43600000000001</v>
      </c>
      <c r="D41" s="4">
        <v>7</v>
      </c>
      <c r="E41" s="4">
        <v>7.3</v>
      </c>
      <c r="F41" s="4" t="s">
        <v>1032</v>
      </c>
      <c r="G41" s="4" t="s">
        <v>834</v>
      </c>
      <c r="H41" s="4">
        <v>-117.047</v>
      </c>
      <c r="I41" s="4">
        <v>34.887</v>
      </c>
      <c r="J41" s="4">
        <v>370.08</v>
      </c>
      <c r="K41" s="4">
        <v>34.86</v>
      </c>
      <c r="L41" s="4" t="b">
        <v>1</v>
      </c>
      <c r="M41" s="4">
        <v>9.1280000000000001</v>
      </c>
      <c r="N41" s="4" t="b">
        <v>0</v>
      </c>
      <c r="O41" s="4" t="s">
        <v>1029</v>
      </c>
      <c r="P41" s="4" t="b">
        <v>0</v>
      </c>
      <c r="Q41" s="4">
        <v>127.98</v>
      </c>
      <c r="R41" s="4">
        <v>132.876</v>
      </c>
      <c r="S41" s="4">
        <v>64.090800000000002</v>
      </c>
      <c r="T41" s="4">
        <v>20.515899999999998</v>
      </c>
      <c r="U41" s="4">
        <v>25.035699999999999</v>
      </c>
      <c r="V41" s="4">
        <v>7.3716999999999997</v>
      </c>
      <c r="W41" s="4">
        <v>14.6365</v>
      </c>
      <c r="X41" s="4">
        <v>17.928799999999999</v>
      </c>
      <c r="Y41" s="4">
        <v>3.3506499999999999</v>
      </c>
      <c r="Z41" s="4">
        <v>-0.48718800000000001</v>
      </c>
      <c r="AA41" s="4">
        <v>-0.75439500000000004</v>
      </c>
      <c r="AB41" s="4">
        <v>1.6749099999999999</v>
      </c>
      <c r="AC41" s="1" t="s">
        <v>412</v>
      </c>
      <c r="AD41" s="1" t="s">
        <v>2690</v>
      </c>
      <c r="AE41" s="1" t="s">
        <v>2691</v>
      </c>
      <c r="AF41" s="1">
        <v>7.3</v>
      </c>
      <c r="AG41" s="1" t="s">
        <v>1003</v>
      </c>
      <c r="AH41" s="1">
        <v>34.200000000000003</v>
      </c>
      <c r="AI41" s="1">
        <v>-116.43600000000001</v>
      </c>
      <c r="AJ41" s="1">
        <v>7</v>
      </c>
      <c r="AK41" s="1" t="s">
        <v>1032</v>
      </c>
      <c r="AL41" s="1" t="s">
        <v>2809</v>
      </c>
      <c r="AM41" s="1">
        <v>336</v>
      </c>
      <c r="AN41" s="1">
        <v>90</v>
      </c>
      <c r="AO41" s="1">
        <v>180</v>
      </c>
      <c r="AP41" s="1"/>
      <c r="AQ41" s="1"/>
      <c r="AR41" s="1"/>
      <c r="AS41" s="1" t="s">
        <v>2808</v>
      </c>
      <c r="AT41" s="1" t="s">
        <v>731</v>
      </c>
      <c r="AU41" s="1"/>
      <c r="AV41" s="1"/>
      <c r="AW41" s="1"/>
      <c r="AX41" s="1"/>
      <c r="AY41" s="1"/>
      <c r="AZ41" s="1" t="s">
        <v>2812</v>
      </c>
      <c r="BA41" t="s">
        <v>2827</v>
      </c>
    </row>
    <row r="42" spans="1:53" ht="19" customHeight="1">
      <c r="A42" s="4" t="s">
        <v>1058</v>
      </c>
      <c r="B42" s="4">
        <v>34.200000000000003</v>
      </c>
      <c r="C42" s="4">
        <v>-116.43600000000001</v>
      </c>
      <c r="D42" s="4">
        <v>7</v>
      </c>
      <c r="E42" s="4">
        <v>7.3</v>
      </c>
      <c r="F42" s="4" t="s">
        <v>1032</v>
      </c>
      <c r="G42" s="4" t="s">
        <v>835</v>
      </c>
      <c r="H42" s="4">
        <v>-116.61199999999999</v>
      </c>
      <c r="I42" s="4">
        <v>34.567999999999998</v>
      </c>
      <c r="J42" s="4">
        <v>1369</v>
      </c>
      <c r="K42" s="4">
        <v>2.19</v>
      </c>
      <c r="L42" s="4" t="b">
        <v>1</v>
      </c>
      <c r="M42" s="4">
        <v>5.1239999999999997</v>
      </c>
      <c r="N42" s="4" t="b">
        <v>0</v>
      </c>
      <c r="O42" s="4" t="s">
        <v>1029</v>
      </c>
      <c r="P42" s="4" t="b">
        <v>0</v>
      </c>
      <c r="Q42" s="4">
        <v>711.38599999999997</v>
      </c>
      <c r="R42" s="4">
        <v>773.774</v>
      </c>
      <c r="S42" s="4">
        <v>807.61500000000001</v>
      </c>
      <c r="T42" s="4">
        <v>133.607</v>
      </c>
      <c r="U42" s="4">
        <v>28.248699999999999</v>
      </c>
      <c r="V42" s="4">
        <v>41.09</v>
      </c>
      <c r="W42" s="4">
        <v>113.73699999999999</v>
      </c>
      <c r="X42" s="4">
        <v>25.5623</v>
      </c>
      <c r="Y42" s="4">
        <v>29.807700000000001</v>
      </c>
      <c r="Z42" s="4">
        <v>-0.81560299999999997</v>
      </c>
      <c r="AA42" s="4">
        <v>-0.70985799999999999</v>
      </c>
      <c r="AB42" s="4">
        <v>0.146421</v>
      </c>
      <c r="AC42" s="1" t="s">
        <v>412</v>
      </c>
      <c r="AD42" s="1" t="s">
        <v>2690</v>
      </c>
      <c r="AE42" s="1" t="s">
        <v>2691</v>
      </c>
      <c r="AF42" s="1">
        <v>7.3</v>
      </c>
      <c r="AG42" s="1" t="s">
        <v>1003</v>
      </c>
      <c r="AH42" s="1">
        <v>34.200000000000003</v>
      </c>
      <c r="AI42" s="1">
        <v>-116.43600000000001</v>
      </c>
      <c r="AJ42" s="1">
        <v>7</v>
      </c>
      <c r="AK42" s="1" t="s">
        <v>1032</v>
      </c>
      <c r="AL42" s="1" t="s">
        <v>2809</v>
      </c>
      <c r="AM42" s="1">
        <v>336</v>
      </c>
      <c r="AN42" s="1">
        <v>90</v>
      </c>
      <c r="AO42" s="1">
        <v>180</v>
      </c>
      <c r="AP42" s="1"/>
      <c r="AQ42" s="1"/>
      <c r="AR42" s="1"/>
      <c r="AS42" s="1" t="s">
        <v>2808</v>
      </c>
      <c r="AT42" s="1" t="s">
        <v>731</v>
      </c>
      <c r="AU42" s="1"/>
      <c r="AV42" s="1"/>
      <c r="AW42" s="1"/>
      <c r="AX42" s="1"/>
      <c r="AY42" s="1"/>
      <c r="AZ42" s="1" t="s">
        <v>2812</v>
      </c>
      <c r="BA42" t="s">
        <v>2827</v>
      </c>
    </row>
    <row r="43" spans="1:53" ht="19" customHeight="1">
      <c r="A43" s="4" t="s">
        <v>1058</v>
      </c>
      <c r="B43" s="4">
        <v>34.200000000000003</v>
      </c>
      <c r="C43" s="4">
        <v>-116.43600000000001</v>
      </c>
      <c r="D43" s="4">
        <v>7</v>
      </c>
      <c r="E43" s="4">
        <v>7.3</v>
      </c>
      <c r="F43" s="4" t="s">
        <v>1032</v>
      </c>
      <c r="G43" s="4" t="s">
        <v>836</v>
      </c>
      <c r="H43" s="4">
        <v>-116.82299999999999</v>
      </c>
      <c r="I43" s="4">
        <v>34.904000000000003</v>
      </c>
      <c r="J43" s="4">
        <v>353.63</v>
      </c>
      <c r="K43" s="4">
        <v>23.62</v>
      </c>
      <c r="L43" s="4" t="b">
        <v>1</v>
      </c>
      <c r="M43" s="4">
        <v>7.5039999999999996</v>
      </c>
      <c r="N43" s="4" t="b">
        <v>0</v>
      </c>
      <c r="O43" s="4" t="s">
        <v>1029</v>
      </c>
      <c r="P43" s="4" t="b">
        <v>0</v>
      </c>
      <c r="Q43" s="4">
        <v>239.876</v>
      </c>
      <c r="R43" s="4">
        <v>148.87299999999999</v>
      </c>
      <c r="S43" s="4">
        <v>133.315</v>
      </c>
      <c r="T43" s="4">
        <v>51.181600000000003</v>
      </c>
      <c r="U43" s="4">
        <v>29.098099999999999</v>
      </c>
      <c r="V43" s="4">
        <v>13.0717</v>
      </c>
      <c r="W43" s="4">
        <v>41.489400000000003</v>
      </c>
      <c r="X43" s="4">
        <v>23.183499999999999</v>
      </c>
      <c r="Y43" s="4">
        <v>4.8563700000000001</v>
      </c>
      <c r="Z43" s="4">
        <v>0.50414499999999995</v>
      </c>
      <c r="AA43" s="4">
        <v>-0.33769399999999999</v>
      </c>
      <c r="AB43" s="4">
        <v>0.51516799999999996</v>
      </c>
      <c r="AC43" s="1" t="s">
        <v>412</v>
      </c>
      <c r="AD43" s="1" t="s">
        <v>2690</v>
      </c>
      <c r="AE43" s="1" t="s">
        <v>2691</v>
      </c>
      <c r="AF43" s="1">
        <v>7.3</v>
      </c>
      <c r="AG43" s="1" t="s">
        <v>1003</v>
      </c>
      <c r="AH43" s="1">
        <v>34.200000000000003</v>
      </c>
      <c r="AI43" s="1">
        <v>-116.43600000000001</v>
      </c>
      <c r="AJ43" s="1">
        <v>7</v>
      </c>
      <c r="AK43" s="1" t="s">
        <v>1032</v>
      </c>
      <c r="AL43" s="1" t="s">
        <v>2809</v>
      </c>
      <c r="AM43" s="1">
        <v>336</v>
      </c>
      <c r="AN43" s="1">
        <v>90</v>
      </c>
      <c r="AO43" s="1">
        <v>180</v>
      </c>
      <c r="AP43" s="1"/>
      <c r="AQ43" s="1"/>
      <c r="AR43" s="1"/>
      <c r="AS43" s="1" t="s">
        <v>2808</v>
      </c>
      <c r="AT43" s="1" t="s">
        <v>731</v>
      </c>
      <c r="AU43" s="1"/>
      <c r="AV43" s="1"/>
      <c r="AW43" s="1"/>
      <c r="AX43" s="1"/>
      <c r="AY43" s="1"/>
      <c r="AZ43" s="1" t="s">
        <v>2812</v>
      </c>
      <c r="BA43" t="s">
        <v>2827</v>
      </c>
    </row>
    <row r="44" spans="1:53" ht="19" customHeight="1">
      <c r="A44" s="4" t="s">
        <v>1059</v>
      </c>
      <c r="B44" s="4">
        <v>34.2057</v>
      </c>
      <c r="C44" s="4">
        <v>-118.5539</v>
      </c>
      <c r="D44" s="4">
        <v>17.5</v>
      </c>
      <c r="E44" s="4">
        <v>6.7</v>
      </c>
      <c r="F44" s="4" t="s">
        <v>1028</v>
      </c>
      <c r="G44" s="4" t="s">
        <v>1060</v>
      </c>
      <c r="H44" s="4">
        <v>-118.496</v>
      </c>
      <c r="I44" s="4">
        <v>34.311999999999998</v>
      </c>
      <c r="J44" s="4">
        <v>373.07</v>
      </c>
      <c r="K44" s="4">
        <v>5.43</v>
      </c>
      <c r="L44" s="4" t="b">
        <v>1</v>
      </c>
      <c r="M44" s="4">
        <v>3.157</v>
      </c>
      <c r="N44" s="4" t="b">
        <v>0</v>
      </c>
      <c r="O44" s="4" t="s">
        <v>1029</v>
      </c>
      <c r="P44" s="4" t="b">
        <v>0</v>
      </c>
      <c r="Q44" s="4">
        <v>402.73</v>
      </c>
      <c r="R44" s="4">
        <v>605.36099999999999</v>
      </c>
      <c r="S44" s="4">
        <v>339.93299999999999</v>
      </c>
      <c r="T44" s="4">
        <v>111.48099999999999</v>
      </c>
      <c r="U44" s="4">
        <v>97.364999999999995</v>
      </c>
      <c r="V44" s="4">
        <v>31.257100000000001</v>
      </c>
      <c r="W44" s="4">
        <v>44.637900000000002</v>
      </c>
      <c r="X44" s="4">
        <v>23.443100000000001</v>
      </c>
      <c r="Y44" s="4">
        <v>7.4882099999999996</v>
      </c>
      <c r="Z44" s="4">
        <v>-0.44737199999999999</v>
      </c>
      <c r="AA44" s="4">
        <v>-0.52517199999999997</v>
      </c>
      <c r="AB44" s="4">
        <v>0.14429400000000001</v>
      </c>
      <c r="AC44" s="1" t="s">
        <v>419</v>
      </c>
      <c r="AD44" s="1" t="s">
        <v>2696</v>
      </c>
      <c r="AE44" s="1" t="s">
        <v>2697</v>
      </c>
      <c r="AF44" s="1">
        <v>6.7</v>
      </c>
      <c r="AG44" s="1" t="s">
        <v>1003</v>
      </c>
      <c r="AH44" s="1">
        <v>34.2057</v>
      </c>
      <c r="AI44" s="1">
        <v>-118.5539</v>
      </c>
      <c r="AJ44" s="1">
        <v>17.5</v>
      </c>
      <c r="AK44" s="1" t="s">
        <v>1028</v>
      </c>
      <c r="AL44" s="1" t="s">
        <v>2809</v>
      </c>
      <c r="AM44" s="1">
        <v>122</v>
      </c>
      <c r="AN44" s="1">
        <v>40</v>
      </c>
      <c r="AO44" s="1">
        <v>103</v>
      </c>
      <c r="AP44" s="1"/>
      <c r="AQ44" s="1"/>
      <c r="AR44" s="1"/>
      <c r="AS44" s="1" t="s">
        <v>2808</v>
      </c>
      <c r="AT44" s="1" t="s">
        <v>731</v>
      </c>
      <c r="AU44" s="1"/>
      <c r="AV44" s="1"/>
      <c r="AW44" s="1"/>
      <c r="AX44" s="1"/>
      <c r="AY44" s="1"/>
      <c r="AZ44" s="1" t="s">
        <v>2812</v>
      </c>
      <c r="BA44" t="s">
        <v>2828</v>
      </c>
    </row>
    <row r="45" spans="1:53" ht="19" customHeight="1">
      <c r="A45" s="4" t="s">
        <v>1059</v>
      </c>
      <c r="B45" s="4">
        <v>34.2057</v>
      </c>
      <c r="C45" s="4">
        <v>-118.5539</v>
      </c>
      <c r="D45" s="4">
        <v>17.5</v>
      </c>
      <c r="E45" s="4">
        <v>6.7</v>
      </c>
      <c r="F45" s="4" t="s">
        <v>1028</v>
      </c>
      <c r="G45" s="4" t="s">
        <v>1061</v>
      </c>
      <c r="H45" s="4">
        <v>-118.498</v>
      </c>
      <c r="I45" s="4">
        <v>34.313000000000002</v>
      </c>
      <c r="J45" s="4">
        <v>525.79</v>
      </c>
      <c r="K45" s="4">
        <v>5.43</v>
      </c>
      <c r="L45" s="4" t="b">
        <v>1</v>
      </c>
      <c r="M45" s="4">
        <v>3.5350000000000001</v>
      </c>
      <c r="N45" s="4" t="b">
        <v>0</v>
      </c>
      <c r="O45" s="4" t="s">
        <v>1029</v>
      </c>
      <c r="P45" s="4" t="b">
        <v>0</v>
      </c>
      <c r="Q45" s="4">
        <v>560.35599999999999</v>
      </c>
      <c r="R45" s="4">
        <v>976.04200000000003</v>
      </c>
      <c r="S45" s="4">
        <v>749.82299999999998</v>
      </c>
      <c r="T45" s="4">
        <v>76.158699999999996</v>
      </c>
      <c r="U45" s="4">
        <v>67.400999999999996</v>
      </c>
      <c r="V45" s="4">
        <v>27.917400000000001</v>
      </c>
      <c r="W45" s="4">
        <v>41.908499999999997</v>
      </c>
      <c r="X45" s="4">
        <v>24.297499999999999</v>
      </c>
      <c r="Y45" s="4">
        <v>7.6658499999999998</v>
      </c>
      <c r="Z45" s="4">
        <v>-5.9130000000000002E-2</v>
      </c>
      <c r="AA45" s="4">
        <v>0.23295299999999999</v>
      </c>
      <c r="AB45" s="4">
        <v>-0.247002</v>
      </c>
      <c r="AC45" s="1" t="s">
        <v>419</v>
      </c>
      <c r="AD45" s="1" t="s">
        <v>2696</v>
      </c>
      <c r="AE45" s="1" t="s">
        <v>2697</v>
      </c>
      <c r="AF45" s="1">
        <v>6.7</v>
      </c>
      <c r="AG45" s="1" t="s">
        <v>1003</v>
      </c>
      <c r="AH45" s="1">
        <v>34.2057</v>
      </c>
      <c r="AI45" s="1">
        <v>-118.5539</v>
      </c>
      <c r="AJ45" s="1">
        <v>17.5</v>
      </c>
      <c r="AK45" s="1" t="s">
        <v>1028</v>
      </c>
      <c r="AL45" s="1" t="s">
        <v>2809</v>
      </c>
      <c r="AM45" s="1">
        <v>122</v>
      </c>
      <c r="AN45" s="1">
        <v>40</v>
      </c>
      <c r="AO45" s="1">
        <v>103</v>
      </c>
      <c r="AP45" s="1"/>
      <c r="AQ45" s="1"/>
      <c r="AR45" s="1"/>
      <c r="AS45" s="1" t="s">
        <v>2808</v>
      </c>
      <c r="AT45" s="1" t="s">
        <v>731</v>
      </c>
      <c r="AU45" s="1"/>
      <c r="AV45" s="1"/>
      <c r="AW45" s="1"/>
      <c r="AX45" s="1"/>
      <c r="AY45" s="1"/>
      <c r="AZ45" s="1" t="s">
        <v>2812</v>
      </c>
      <c r="BA45" t="s">
        <v>2828</v>
      </c>
    </row>
    <row r="46" spans="1:53" ht="19" customHeight="1">
      <c r="A46" s="4" t="s">
        <v>1059</v>
      </c>
      <c r="B46" s="4">
        <v>34.2057</v>
      </c>
      <c r="C46" s="4">
        <v>-118.5539</v>
      </c>
      <c r="D46" s="4">
        <v>17.5</v>
      </c>
      <c r="E46" s="4">
        <v>6.7</v>
      </c>
      <c r="F46" s="4" t="s">
        <v>1028</v>
      </c>
      <c r="G46" s="4" t="s">
        <v>841</v>
      </c>
      <c r="H46" s="4">
        <v>-118.4789</v>
      </c>
      <c r="I46" s="4">
        <v>34.248899999999999</v>
      </c>
      <c r="J46" s="4">
        <v>380.06</v>
      </c>
      <c r="K46" s="4">
        <v>8.44</v>
      </c>
      <c r="L46" s="4" t="b">
        <v>1</v>
      </c>
      <c r="M46" s="4">
        <v>0.93100000000000005</v>
      </c>
      <c r="N46" s="4" t="b">
        <v>0</v>
      </c>
      <c r="O46" s="4" t="s">
        <v>1029</v>
      </c>
      <c r="P46" s="4" t="b">
        <v>0</v>
      </c>
      <c r="Q46" s="4">
        <v>738.21600000000001</v>
      </c>
      <c r="R46" s="4">
        <v>914.29700000000003</v>
      </c>
      <c r="S46" s="4">
        <v>311.59100000000001</v>
      </c>
      <c r="T46" s="4">
        <v>77.709500000000006</v>
      </c>
      <c r="U46" s="4">
        <v>76.486800000000002</v>
      </c>
      <c r="V46" s="4">
        <v>24.996600000000001</v>
      </c>
      <c r="W46" s="4">
        <v>11.846500000000001</v>
      </c>
      <c r="X46" s="4">
        <v>17.670200000000001</v>
      </c>
      <c r="Y46" s="4">
        <v>11.0883</v>
      </c>
      <c r="Z46" s="4">
        <v>7.4839000000000003E-2</v>
      </c>
      <c r="AA46" s="4">
        <v>0.172988</v>
      </c>
      <c r="AB46" s="4">
        <v>0.15342700000000001</v>
      </c>
      <c r="AC46" s="1" t="s">
        <v>419</v>
      </c>
      <c r="AD46" s="1" t="s">
        <v>2696</v>
      </c>
      <c r="AE46" s="1" t="s">
        <v>2697</v>
      </c>
      <c r="AF46" s="1">
        <v>6.7</v>
      </c>
      <c r="AG46" s="1" t="s">
        <v>1003</v>
      </c>
      <c r="AH46" s="1">
        <v>34.2057</v>
      </c>
      <c r="AI46" s="1">
        <v>-118.5539</v>
      </c>
      <c r="AJ46" s="1">
        <v>17.5</v>
      </c>
      <c r="AK46" s="1" t="s">
        <v>1028</v>
      </c>
      <c r="AL46" s="1" t="s">
        <v>2809</v>
      </c>
      <c r="AM46" s="1">
        <v>122</v>
      </c>
      <c r="AN46" s="1">
        <v>40</v>
      </c>
      <c r="AO46" s="1">
        <v>103</v>
      </c>
      <c r="AP46" s="1"/>
      <c r="AQ46" s="1"/>
      <c r="AR46" s="1"/>
      <c r="AS46" s="1" t="s">
        <v>2808</v>
      </c>
      <c r="AT46" s="1" t="s">
        <v>731</v>
      </c>
      <c r="AU46" s="1"/>
      <c r="AV46" s="1"/>
      <c r="AW46" s="1"/>
      <c r="AX46" s="1"/>
      <c r="AY46" s="1"/>
      <c r="AZ46" s="1" t="s">
        <v>2812</v>
      </c>
      <c r="BA46" t="s">
        <v>2828</v>
      </c>
    </row>
    <row r="47" spans="1:53" ht="19" customHeight="1">
      <c r="A47" s="4" t="s">
        <v>1059</v>
      </c>
      <c r="B47" s="4">
        <v>34.2057</v>
      </c>
      <c r="C47" s="4">
        <v>-118.5539</v>
      </c>
      <c r="D47" s="4">
        <v>17.5</v>
      </c>
      <c r="E47" s="4">
        <v>6.7</v>
      </c>
      <c r="F47" s="4" t="s">
        <v>1028</v>
      </c>
      <c r="G47" s="4" t="s">
        <v>842</v>
      </c>
      <c r="H47" s="4">
        <v>-118.483</v>
      </c>
      <c r="I47" s="4">
        <v>34.293999999999997</v>
      </c>
      <c r="J47" s="4">
        <v>628.99</v>
      </c>
      <c r="K47" s="4">
        <v>5.92</v>
      </c>
      <c r="L47" s="4" t="b">
        <v>1</v>
      </c>
      <c r="M47" s="4">
        <v>1.617</v>
      </c>
      <c r="N47" s="4" t="b">
        <v>0</v>
      </c>
      <c r="O47" s="4" t="s">
        <v>1029</v>
      </c>
      <c r="P47" s="4" t="b">
        <v>0</v>
      </c>
      <c r="Q47" s="4">
        <v>418.20499999999998</v>
      </c>
      <c r="R47" s="4">
        <v>318.03199999999998</v>
      </c>
      <c r="S47" s="4">
        <v>313.23899999999998</v>
      </c>
      <c r="T47" s="4">
        <v>74.847999999999999</v>
      </c>
      <c r="U47" s="4">
        <v>47.396000000000001</v>
      </c>
      <c r="V47" s="4">
        <v>20.448599999999999</v>
      </c>
      <c r="W47" s="4">
        <v>19.081399999999999</v>
      </c>
      <c r="X47" s="4">
        <v>24.5411</v>
      </c>
      <c r="Y47" s="4">
        <v>15.644500000000001</v>
      </c>
      <c r="Z47" s="4">
        <v>0.59849300000000005</v>
      </c>
      <c r="AA47" s="4">
        <v>-0.12078800000000001</v>
      </c>
      <c r="AB47" s="4">
        <v>-5.7820000000000003E-2</v>
      </c>
      <c r="AC47" s="1" t="s">
        <v>419</v>
      </c>
      <c r="AD47" s="1" t="s">
        <v>2696</v>
      </c>
      <c r="AE47" s="1" t="s">
        <v>2697</v>
      </c>
      <c r="AF47" s="1">
        <v>6.7</v>
      </c>
      <c r="AG47" s="1" t="s">
        <v>1003</v>
      </c>
      <c r="AH47" s="1">
        <v>34.2057</v>
      </c>
      <c r="AI47" s="1">
        <v>-118.5539</v>
      </c>
      <c r="AJ47" s="1">
        <v>17.5</v>
      </c>
      <c r="AK47" s="1" t="s">
        <v>1028</v>
      </c>
      <c r="AL47" s="1" t="s">
        <v>2809</v>
      </c>
      <c r="AM47" s="1">
        <v>122</v>
      </c>
      <c r="AN47" s="1">
        <v>40</v>
      </c>
      <c r="AO47" s="1">
        <v>103</v>
      </c>
      <c r="AP47" s="1"/>
      <c r="AQ47" s="1"/>
      <c r="AR47" s="1"/>
      <c r="AS47" s="1" t="s">
        <v>2808</v>
      </c>
      <c r="AT47" s="1" t="s">
        <v>731</v>
      </c>
      <c r="AU47" s="1"/>
      <c r="AV47" s="1"/>
      <c r="AW47" s="1"/>
      <c r="AX47" s="1"/>
      <c r="AY47" s="1"/>
      <c r="AZ47" s="1" t="s">
        <v>2812</v>
      </c>
      <c r="BA47" t="s">
        <v>2828</v>
      </c>
    </row>
    <row r="48" spans="1:53" ht="19" customHeight="1">
      <c r="A48" s="4" t="s">
        <v>1059</v>
      </c>
      <c r="B48" s="4">
        <v>34.2057</v>
      </c>
      <c r="C48" s="4">
        <v>-118.5539</v>
      </c>
      <c r="D48" s="4">
        <v>17.5</v>
      </c>
      <c r="E48" s="4">
        <v>6.7</v>
      </c>
      <c r="F48" s="4" t="s">
        <v>1028</v>
      </c>
      <c r="G48" s="4" t="s">
        <v>843</v>
      </c>
      <c r="H48" s="4">
        <v>-118.533</v>
      </c>
      <c r="I48" s="4">
        <v>34.387</v>
      </c>
      <c r="J48" s="4">
        <v>269.14</v>
      </c>
      <c r="K48" s="4">
        <v>5.92</v>
      </c>
      <c r="L48" s="4" t="b">
        <v>1</v>
      </c>
      <c r="M48" s="4">
        <v>1.3720000000000001</v>
      </c>
      <c r="N48" s="4" t="b">
        <v>0</v>
      </c>
      <c r="O48" s="4" t="s">
        <v>1029</v>
      </c>
      <c r="P48" s="4" t="b">
        <v>0</v>
      </c>
      <c r="Q48" s="4">
        <v>571.91200000000003</v>
      </c>
      <c r="R48" s="4">
        <v>579.19299999999998</v>
      </c>
      <c r="S48" s="4">
        <v>537.79399999999998</v>
      </c>
      <c r="T48" s="4">
        <v>75.823300000000003</v>
      </c>
      <c r="U48" s="4">
        <v>97.448999999999998</v>
      </c>
      <c r="V48" s="4">
        <v>31.584900000000001</v>
      </c>
      <c r="W48" s="4">
        <v>17.6814</v>
      </c>
      <c r="X48" s="4">
        <v>34.285499999999999</v>
      </c>
      <c r="Y48" s="4">
        <v>13.3279</v>
      </c>
      <c r="Z48" s="4">
        <v>0.57974700000000001</v>
      </c>
      <c r="AA48" s="4">
        <v>-1.24047</v>
      </c>
      <c r="AB48" s="4">
        <v>-4.5272100000000002</v>
      </c>
      <c r="AC48" s="1" t="s">
        <v>419</v>
      </c>
      <c r="AD48" s="1" t="s">
        <v>2696</v>
      </c>
      <c r="AE48" s="1" t="s">
        <v>2697</v>
      </c>
      <c r="AF48" s="1">
        <v>6.7</v>
      </c>
      <c r="AG48" s="1" t="s">
        <v>1003</v>
      </c>
      <c r="AH48" s="1">
        <v>34.2057</v>
      </c>
      <c r="AI48" s="1">
        <v>-118.5539</v>
      </c>
      <c r="AJ48" s="1">
        <v>17.5</v>
      </c>
      <c r="AK48" s="1" t="s">
        <v>1028</v>
      </c>
      <c r="AL48" s="1" t="s">
        <v>2809</v>
      </c>
      <c r="AM48" s="1">
        <v>122</v>
      </c>
      <c r="AN48" s="1">
        <v>40</v>
      </c>
      <c r="AO48" s="1">
        <v>103</v>
      </c>
      <c r="AP48" s="1"/>
      <c r="AQ48" s="1"/>
      <c r="AR48" s="1"/>
      <c r="AS48" s="1" t="s">
        <v>2808</v>
      </c>
      <c r="AT48" s="1" t="s">
        <v>731</v>
      </c>
      <c r="AU48" s="1"/>
      <c r="AV48" s="1"/>
      <c r="AW48" s="1"/>
      <c r="AX48" s="1"/>
      <c r="AY48" s="1"/>
      <c r="AZ48" s="1" t="s">
        <v>2812</v>
      </c>
      <c r="BA48" t="s">
        <v>2828</v>
      </c>
    </row>
    <row r="49" spans="1:53" ht="19" customHeight="1">
      <c r="A49" s="4" t="s">
        <v>1059</v>
      </c>
      <c r="B49" s="4">
        <v>34.2057</v>
      </c>
      <c r="C49" s="4">
        <v>-118.5539</v>
      </c>
      <c r="D49" s="4">
        <v>17.5</v>
      </c>
      <c r="E49" s="4">
        <v>6.7</v>
      </c>
      <c r="F49" s="4" t="s">
        <v>1028</v>
      </c>
      <c r="G49" s="4" t="s">
        <v>844</v>
      </c>
      <c r="H49" s="4">
        <v>-118.622</v>
      </c>
      <c r="I49" s="4">
        <v>34.390999999999998</v>
      </c>
      <c r="J49" s="4">
        <v>285.93</v>
      </c>
      <c r="K49" s="4">
        <v>5.48</v>
      </c>
      <c r="L49" s="4" t="b">
        <v>1</v>
      </c>
      <c r="M49" s="4">
        <v>2.9820000000000002</v>
      </c>
      <c r="N49" s="4" t="b">
        <v>0</v>
      </c>
      <c r="O49" s="4" t="s">
        <v>1029</v>
      </c>
      <c r="P49" s="4" t="b">
        <v>0</v>
      </c>
      <c r="Q49" s="4">
        <v>411.41399999999999</v>
      </c>
      <c r="R49" s="4">
        <v>350.27499999999998</v>
      </c>
      <c r="S49" s="4">
        <v>290.68200000000002</v>
      </c>
      <c r="T49" s="4">
        <v>118.23099999999999</v>
      </c>
      <c r="U49" s="4">
        <v>59.203099999999999</v>
      </c>
      <c r="V49" s="4">
        <v>28.624700000000001</v>
      </c>
      <c r="W49" s="4">
        <v>42.481999999999999</v>
      </c>
      <c r="X49" s="4">
        <v>16.181100000000001</v>
      </c>
      <c r="Y49" s="4">
        <v>13.0237</v>
      </c>
      <c r="Z49" s="4">
        <v>0.63383699999999998</v>
      </c>
      <c r="AA49" s="4">
        <v>-1.14198</v>
      </c>
      <c r="AB49" s="4">
        <v>-0.72108499999999998</v>
      </c>
      <c r="AC49" s="1" t="s">
        <v>419</v>
      </c>
      <c r="AD49" s="1" t="s">
        <v>2696</v>
      </c>
      <c r="AE49" s="1" t="s">
        <v>2697</v>
      </c>
      <c r="AF49" s="1">
        <v>6.7</v>
      </c>
      <c r="AG49" s="1" t="s">
        <v>1003</v>
      </c>
      <c r="AH49" s="1">
        <v>34.2057</v>
      </c>
      <c r="AI49" s="1">
        <v>-118.5539</v>
      </c>
      <c r="AJ49" s="1">
        <v>17.5</v>
      </c>
      <c r="AK49" s="1" t="s">
        <v>1028</v>
      </c>
      <c r="AL49" s="1" t="s">
        <v>2809</v>
      </c>
      <c r="AM49" s="1">
        <v>122</v>
      </c>
      <c r="AN49" s="1">
        <v>40</v>
      </c>
      <c r="AO49" s="1">
        <v>103</v>
      </c>
      <c r="AP49" s="1"/>
      <c r="AQ49" s="1"/>
      <c r="AR49" s="1"/>
      <c r="AS49" s="1" t="s">
        <v>2808</v>
      </c>
      <c r="AT49" s="1" t="s">
        <v>731</v>
      </c>
      <c r="AU49" s="1"/>
      <c r="AV49" s="1"/>
      <c r="AW49" s="1"/>
      <c r="AX49" s="1"/>
      <c r="AY49" s="1"/>
      <c r="AZ49" s="1" t="s">
        <v>2812</v>
      </c>
      <c r="BA49" t="s">
        <v>2828</v>
      </c>
    </row>
    <row r="50" spans="1:53" ht="19" customHeight="1">
      <c r="A50" s="4" t="s">
        <v>1059</v>
      </c>
      <c r="B50" s="4">
        <v>34.2057</v>
      </c>
      <c r="C50" s="4">
        <v>-118.5539</v>
      </c>
      <c r="D50" s="4">
        <v>17.5</v>
      </c>
      <c r="E50" s="4">
        <v>6.7</v>
      </c>
      <c r="F50" s="4" t="s">
        <v>1028</v>
      </c>
      <c r="G50" s="4" t="s">
        <v>845</v>
      </c>
      <c r="H50" s="4">
        <v>-118.396</v>
      </c>
      <c r="I50" s="4">
        <v>34.334000000000003</v>
      </c>
      <c r="J50" s="4">
        <v>2016.13</v>
      </c>
      <c r="K50" s="4">
        <v>7.01</v>
      </c>
      <c r="L50" s="4" t="b">
        <v>1</v>
      </c>
      <c r="M50" s="4">
        <v>0.58799999999999997</v>
      </c>
      <c r="N50" s="4" t="b">
        <v>0</v>
      </c>
      <c r="O50" s="4" t="s">
        <v>1029</v>
      </c>
      <c r="P50" s="4" t="b">
        <v>0</v>
      </c>
      <c r="Q50" s="4">
        <v>407.88900000000001</v>
      </c>
      <c r="R50" s="4">
        <v>425.61700000000002</v>
      </c>
      <c r="S50" s="4">
        <v>186.922</v>
      </c>
      <c r="T50" s="4">
        <v>45.039900000000003</v>
      </c>
      <c r="U50" s="4">
        <v>31.4907</v>
      </c>
      <c r="V50" s="4">
        <v>14.880599999999999</v>
      </c>
      <c r="W50" s="4">
        <v>4.9175300000000002</v>
      </c>
      <c r="X50" s="4">
        <v>5.2077799999999996</v>
      </c>
      <c r="Y50" s="4">
        <v>13.017099999999999</v>
      </c>
      <c r="Z50" s="4">
        <v>0.21862100000000001</v>
      </c>
      <c r="AA50" s="4">
        <v>0.70146799999999998</v>
      </c>
      <c r="AB50" s="4">
        <v>12.001099999999999</v>
      </c>
      <c r="AC50" s="1" t="s">
        <v>419</v>
      </c>
      <c r="AD50" s="1" t="s">
        <v>2696</v>
      </c>
      <c r="AE50" s="1" t="s">
        <v>2697</v>
      </c>
      <c r="AF50" s="1">
        <v>6.7</v>
      </c>
      <c r="AG50" s="1" t="s">
        <v>1003</v>
      </c>
      <c r="AH50" s="1">
        <v>34.2057</v>
      </c>
      <c r="AI50" s="1">
        <v>-118.5539</v>
      </c>
      <c r="AJ50" s="1">
        <v>17.5</v>
      </c>
      <c r="AK50" s="1" t="s">
        <v>1028</v>
      </c>
      <c r="AL50" s="1" t="s">
        <v>2809</v>
      </c>
      <c r="AM50" s="1">
        <v>122</v>
      </c>
      <c r="AN50" s="1">
        <v>40</v>
      </c>
      <c r="AO50" s="1">
        <v>103</v>
      </c>
      <c r="AP50" s="1"/>
      <c r="AQ50" s="1"/>
      <c r="AR50" s="1"/>
      <c r="AS50" s="1" t="s">
        <v>2808</v>
      </c>
      <c r="AT50" s="1" t="s">
        <v>731</v>
      </c>
      <c r="AU50" s="1"/>
      <c r="AV50" s="1"/>
      <c r="AW50" s="1"/>
      <c r="AX50" s="1"/>
      <c r="AY50" s="1"/>
      <c r="AZ50" s="1" t="s">
        <v>2812</v>
      </c>
      <c r="BA50" t="s">
        <v>2828</v>
      </c>
    </row>
    <row r="51" spans="1:53" ht="19" customHeight="1">
      <c r="A51" s="4" t="s">
        <v>1059</v>
      </c>
      <c r="B51" s="4">
        <v>34.2057</v>
      </c>
      <c r="C51" s="4">
        <v>-118.5539</v>
      </c>
      <c r="D51" s="4">
        <v>17.5</v>
      </c>
      <c r="E51" s="4">
        <v>6.7</v>
      </c>
      <c r="F51" s="4" t="s">
        <v>1028</v>
      </c>
      <c r="G51" s="4" t="s">
        <v>846</v>
      </c>
      <c r="H51" s="4">
        <v>-118.396</v>
      </c>
      <c r="I51" s="4">
        <v>34.334000000000003</v>
      </c>
      <c r="J51" s="4">
        <v>2016.13</v>
      </c>
      <c r="K51" s="4">
        <v>7.01</v>
      </c>
      <c r="L51" s="4" t="b">
        <v>1</v>
      </c>
      <c r="M51" s="4">
        <v>0.84</v>
      </c>
      <c r="N51" s="4" t="b">
        <v>0</v>
      </c>
      <c r="O51" s="4" t="s">
        <v>1029</v>
      </c>
      <c r="P51" s="4" t="b">
        <v>0</v>
      </c>
      <c r="Q51" s="4">
        <v>1554.83</v>
      </c>
      <c r="R51" s="4">
        <v>1260.5899999999999</v>
      </c>
      <c r="S51" s="4">
        <v>1205.9100000000001</v>
      </c>
      <c r="T51" s="4">
        <v>54.812199999999997</v>
      </c>
      <c r="U51" s="4">
        <v>103.6</v>
      </c>
      <c r="V51" s="4">
        <v>49.793900000000001</v>
      </c>
      <c r="W51" s="4">
        <v>6.07972</v>
      </c>
      <c r="X51" s="4">
        <v>21.967199999999998</v>
      </c>
      <c r="Y51" s="4">
        <v>11.5617</v>
      </c>
      <c r="Z51" s="4">
        <v>3.1880899999999999</v>
      </c>
      <c r="AA51" s="4">
        <v>-2.56413</v>
      </c>
      <c r="AB51" s="4">
        <v>1.4997199999999999</v>
      </c>
      <c r="AC51" s="1" t="s">
        <v>419</v>
      </c>
      <c r="AD51" s="1" t="s">
        <v>2696</v>
      </c>
      <c r="AE51" s="1" t="s">
        <v>2697</v>
      </c>
      <c r="AF51" s="1">
        <v>6.7</v>
      </c>
      <c r="AG51" s="1" t="s">
        <v>1003</v>
      </c>
      <c r="AH51" s="1">
        <v>34.2057</v>
      </c>
      <c r="AI51" s="1">
        <v>-118.5539</v>
      </c>
      <c r="AJ51" s="1">
        <v>17.5</v>
      </c>
      <c r="AK51" s="1" t="s">
        <v>1028</v>
      </c>
      <c r="AL51" s="1" t="s">
        <v>2809</v>
      </c>
      <c r="AM51" s="1">
        <v>122</v>
      </c>
      <c r="AN51" s="1">
        <v>40</v>
      </c>
      <c r="AO51" s="1">
        <v>103</v>
      </c>
      <c r="AP51" s="1"/>
      <c r="AQ51" s="1"/>
      <c r="AR51" s="1"/>
      <c r="AS51" s="1" t="s">
        <v>2808</v>
      </c>
      <c r="AT51" s="1" t="s">
        <v>731</v>
      </c>
      <c r="AU51" s="1"/>
      <c r="AV51" s="1"/>
      <c r="AW51" s="1"/>
      <c r="AX51" s="1"/>
      <c r="AY51" s="1"/>
      <c r="AZ51" s="1" t="s">
        <v>2812</v>
      </c>
      <c r="BA51" t="s">
        <v>2828</v>
      </c>
    </row>
    <row r="52" spans="1:53" ht="19" customHeight="1">
      <c r="A52" s="4" t="s">
        <v>1059</v>
      </c>
      <c r="B52" s="4">
        <v>34.2057</v>
      </c>
      <c r="C52" s="4">
        <v>-118.5539</v>
      </c>
      <c r="D52" s="4">
        <v>17.5</v>
      </c>
      <c r="E52" s="4">
        <v>6.7</v>
      </c>
      <c r="F52" s="4" t="s">
        <v>1028</v>
      </c>
      <c r="G52" s="4" t="s">
        <v>847</v>
      </c>
      <c r="H52" s="4">
        <v>-118.375</v>
      </c>
      <c r="I52" s="4">
        <v>34.295999999999999</v>
      </c>
      <c r="J52" s="4">
        <v>508.08</v>
      </c>
      <c r="K52" s="4">
        <v>7.26</v>
      </c>
      <c r="L52" s="4" t="b">
        <v>1</v>
      </c>
      <c r="M52" s="4">
        <v>0.72799999999999998</v>
      </c>
      <c r="N52" s="4" t="b">
        <v>0</v>
      </c>
      <c r="O52" s="4" t="s">
        <v>1029</v>
      </c>
      <c r="P52" s="4" t="b">
        <v>0</v>
      </c>
      <c r="Q52" s="4">
        <v>295.59100000000001</v>
      </c>
      <c r="R52" s="4">
        <v>424.59699999999998</v>
      </c>
      <c r="S52" s="4">
        <v>165.99100000000001</v>
      </c>
      <c r="T52" s="4">
        <v>30.8614</v>
      </c>
      <c r="U52" s="4">
        <v>51.734299999999998</v>
      </c>
      <c r="V52" s="4">
        <v>14.9018</v>
      </c>
      <c r="W52" s="4">
        <v>10.7118</v>
      </c>
      <c r="X52" s="4">
        <v>7.7393099999999997</v>
      </c>
      <c r="Y52" s="4">
        <v>8.3865599999999993</v>
      </c>
      <c r="Z52" s="4">
        <v>0.46359</v>
      </c>
      <c r="AA52" s="4">
        <v>2.51898</v>
      </c>
      <c r="AB52" s="4">
        <v>8.1265400000000003</v>
      </c>
      <c r="AC52" s="1" t="s">
        <v>419</v>
      </c>
      <c r="AD52" s="1" t="s">
        <v>2696</v>
      </c>
      <c r="AE52" s="1" t="s">
        <v>2697</v>
      </c>
      <c r="AF52" s="1">
        <v>6.7</v>
      </c>
      <c r="AG52" s="1" t="s">
        <v>1003</v>
      </c>
      <c r="AH52" s="1">
        <v>34.2057</v>
      </c>
      <c r="AI52" s="1">
        <v>-118.5539</v>
      </c>
      <c r="AJ52" s="1">
        <v>17.5</v>
      </c>
      <c r="AK52" s="1" t="s">
        <v>1028</v>
      </c>
      <c r="AL52" s="1" t="s">
        <v>2809</v>
      </c>
      <c r="AM52" s="1">
        <v>122</v>
      </c>
      <c r="AN52" s="1">
        <v>40</v>
      </c>
      <c r="AO52" s="1">
        <v>103</v>
      </c>
      <c r="AP52" s="1"/>
      <c r="AQ52" s="1"/>
      <c r="AR52" s="1"/>
      <c r="AS52" s="1" t="s">
        <v>2808</v>
      </c>
      <c r="AT52" s="1" t="s">
        <v>731</v>
      </c>
      <c r="AU52" s="1"/>
      <c r="AV52" s="1"/>
      <c r="AW52" s="1"/>
      <c r="AX52" s="1"/>
      <c r="AY52" s="1"/>
      <c r="AZ52" s="1" t="s">
        <v>2812</v>
      </c>
      <c r="BA52" t="s">
        <v>2828</v>
      </c>
    </row>
    <row r="53" spans="1:53" ht="19" customHeight="1">
      <c r="A53" s="4" t="s">
        <v>1059</v>
      </c>
      <c r="B53" s="4">
        <v>34.2057</v>
      </c>
      <c r="C53" s="4">
        <v>-118.5539</v>
      </c>
      <c r="D53" s="4">
        <v>17.5</v>
      </c>
      <c r="E53" s="4">
        <v>6.7</v>
      </c>
      <c r="F53" s="4" t="s">
        <v>1028</v>
      </c>
      <c r="G53" s="4" t="s">
        <v>848</v>
      </c>
      <c r="H53" s="4">
        <v>-118.58199999999999</v>
      </c>
      <c r="I53" s="4">
        <v>34.435000000000002</v>
      </c>
      <c r="J53" s="4">
        <v>325.67</v>
      </c>
      <c r="K53" s="4">
        <v>7.46</v>
      </c>
      <c r="L53" s="4" t="b">
        <v>1</v>
      </c>
      <c r="M53" s="4">
        <v>1.232</v>
      </c>
      <c r="N53" s="4" t="b">
        <v>0</v>
      </c>
      <c r="O53" s="4" t="s">
        <v>1029</v>
      </c>
      <c r="P53" s="4" t="b">
        <v>0</v>
      </c>
      <c r="Q53" s="4">
        <v>546.86099999999999</v>
      </c>
      <c r="R53" s="4">
        <v>296.55900000000003</v>
      </c>
      <c r="S53" s="4">
        <v>377.90600000000001</v>
      </c>
      <c r="T53" s="4">
        <v>76.094899999999996</v>
      </c>
      <c r="U53" s="4">
        <v>54.052700000000002</v>
      </c>
      <c r="V53" s="4">
        <v>11.1707</v>
      </c>
      <c r="W53" s="4">
        <v>14.4886</v>
      </c>
      <c r="X53" s="4">
        <v>11.0443</v>
      </c>
      <c r="Y53" s="4">
        <v>0.48241699999999998</v>
      </c>
      <c r="Z53" s="4">
        <v>7.6650999999999997E-2</v>
      </c>
      <c r="AA53" s="4">
        <v>-0.10596899999999999</v>
      </c>
      <c r="AB53" s="4">
        <v>-1.3644999999999999E-2</v>
      </c>
      <c r="AC53" s="1" t="s">
        <v>419</v>
      </c>
      <c r="AD53" s="1" t="s">
        <v>2696</v>
      </c>
      <c r="AE53" s="1" t="s">
        <v>2697</v>
      </c>
      <c r="AF53" s="1">
        <v>6.7</v>
      </c>
      <c r="AG53" s="1" t="s">
        <v>1003</v>
      </c>
      <c r="AH53" s="1">
        <v>34.2057</v>
      </c>
      <c r="AI53" s="1">
        <v>-118.5539</v>
      </c>
      <c r="AJ53" s="1">
        <v>17.5</v>
      </c>
      <c r="AK53" s="1" t="s">
        <v>1028</v>
      </c>
      <c r="AL53" s="1" t="s">
        <v>2809</v>
      </c>
      <c r="AM53" s="1">
        <v>122</v>
      </c>
      <c r="AN53" s="1">
        <v>40</v>
      </c>
      <c r="AO53" s="1">
        <v>103</v>
      </c>
      <c r="AP53" s="1"/>
      <c r="AQ53" s="1"/>
      <c r="AR53" s="1"/>
      <c r="AS53" s="1" t="s">
        <v>2808</v>
      </c>
      <c r="AT53" s="1" t="s">
        <v>731</v>
      </c>
      <c r="AU53" s="1"/>
      <c r="AV53" s="1"/>
      <c r="AW53" s="1"/>
      <c r="AX53" s="1"/>
      <c r="AY53" s="1"/>
      <c r="AZ53" s="1" t="s">
        <v>2812</v>
      </c>
      <c r="BA53" t="s">
        <v>2828</v>
      </c>
    </row>
    <row r="54" spans="1:53" ht="19" customHeight="1">
      <c r="A54" s="4" t="s">
        <v>1059</v>
      </c>
      <c r="B54" s="4">
        <v>34.2057</v>
      </c>
      <c r="C54" s="4">
        <v>-118.5539</v>
      </c>
      <c r="D54" s="4">
        <v>17.5</v>
      </c>
      <c r="E54" s="4">
        <v>6.7</v>
      </c>
      <c r="F54" s="4" t="s">
        <v>1028</v>
      </c>
      <c r="G54" s="4" t="s">
        <v>849</v>
      </c>
      <c r="H54" s="4">
        <v>-118.47799999999999</v>
      </c>
      <c r="I54" s="4">
        <v>34.280999999999999</v>
      </c>
      <c r="J54" s="4">
        <v>282.25</v>
      </c>
      <c r="K54" s="4">
        <v>6.5</v>
      </c>
      <c r="L54" s="4" t="b">
        <v>1</v>
      </c>
      <c r="M54" s="4">
        <v>1.246</v>
      </c>
      <c r="N54" s="4" t="b">
        <v>0</v>
      </c>
      <c r="O54" s="4" t="s">
        <v>1029</v>
      </c>
      <c r="P54" s="4" t="b">
        <v>0</v>
      </c>
      <c r="Q54" s="4">
        <v>857.452</v>
      </c>
      <c r="R54" s="4">
        <v>463.37299999999999</v>
      </c>
      <c r="S54" s="4">
        <v>939.96400000000006</v>
      </c>
      <c r="T54" s="4">
        <v>148.19999999999999</v>
      </c>
      <c r="U54" s="4">
        <v>74.950100000000006</v>
      </c>
      <c r="V54" s="4">
        <v>42.366999999999997</v>
      </c>
      <c r="W54" s="4">
        <v>41.8596</v>
      </c>
      <c r="X54" s="4">
        <v>23.0608</v>
      </c>
      <c r="Y54" s="4">
        <v>3.7211099999999999</v>
      </c>
      <c r="Z54" s="4">
        <v>-2.1631499999999999</v>
      </c>
      <c r="AA54" s="4">
        <v>-0.34438000000000002</v>
      </c>
      <c r="AB54" s="4">
        <v>-6.3200000000000001E-3</v>
      </c>
      <c r="AC54" s="1" t="s">
        <v>419</v>
      </c>
      <c r="AD54" s="1" t="s">
        <v>2696</v>
      </c>
      <c r="AE54" s="1" t="s">
        <v>2697</v>
      </c>
      <c r="AF54" s="1">
        <v>6.7</v>
      </c>
      <c r="AG54" s="1" t="s">
        <v>1003</v>
      </c>
      <c r="AH54" s="1">
        <v>34.2057</v>
      </c>
      <c r="AI54" s="1">
        <v>-118.5539</v>
      </c>
      <c r="AJ54" s="1">
        <v>17.5</v>
      </c>
      <c r="AK54" s="1" t="s">
        <v>1028</v>
      </c>
      <c r="AL54" s="1" t="s">
        <v>2809</v>
      </c>
      <c r="AM54" s="1">
        <v>122</v>
      </c>
      <c r="AN54" s="1">
        <v>40</v>
      </c>
      <c r="AO54" s="1">
        <v>103</v>
      </c>
      <c r="AP54" s="1"/>
      <c r="AQ54" s="1"/>
      <c r="AR54" s="1"/>
      <c r="AS54" s="1" t="s">
        <v>2808</v>
      </c>
      <c r="AT54" s="1" t="s">
        <v>731</v>
      </c>
      <c r="AU54" s="1"/>
      <c r="AV54" s="1"/>
      <c r="AW54" s="1"/>
      <c r="AX54" s="1"/>
      <c r="AY54" s="1"/>
      <c r="AZ54" s="1" t="s">
        <v>2812</v>
      </c>
      <c r="BA54" t="s">
        <v>2828</v>
      </c>
    </row>
    <row r="55" spans="1:53" ht="19" customHeight="1">
      <c r="A55" s="4" t="s">
        <v>1059</v>
      </c>
      <c r="B55" s="4">
        <v>34.2057</v>
      </c>
      <c r="C55" s="4">
        <v>-118.5539</v>
      </c>
      <c r="D55" s="4">
        <v>17.5</v>
      </c>
      <c r="E55" s="4">
        <v>6.7</v>
      </c>
      <c r="F55" s="4" t="s">
        <v>1028</v>
      </c>
      <c r="G55" s="4" t="s">
        <v>850</v>
      </c>
      <c r="H55" s="4">
        <v>-118.49</v>
      </c>
      <c r="I55" s="4">
        <v>34.311</v>
      </c>
      <c r="J55" s="4">
        <v>251.24</v>
      </c>
      <c r="K55" s="4">
        <v>5.35</v>
      </c>
      <c r="L55" s="4" t="b">
        <v>1</v>
      </c>
      <c r="M55" s="4">
        <v>2.9820000000000002</v>
      </c>
      <c r="N55" s="4" t="b">
        <v>0</v>
      </c>
      <c r="O55" s="4" t="s">
        <v>1029</v>
      </c>
      <c r="P55" s="4" t="b">
        <v>0</v>
      </c>
      <c r="Q55" s="4">
        <v>611.15899999999999</v>
      </c>
      <c r="R55" s="4">
        <v>905.89400000000001</v>
      </c>
      <c r="S55" s="4">
        <v>593.52</v>
      </c>
      <c r="T55" s="4">
        <v>116.31100000000001</v>
      </c>
      <c r="U55" s="4">
        <v>88.529300000000006</v>
      </c>
      <c r="V55" s="4">
        <v>26.1235</v>
      </c>
      <c r="W55" s="4">
        <v>39.404600000000002</v>
      </c>
      <c r="X55" s="4">
        <v>22.153099999999998</v>
      </c>
      <c r="Y55" s="4">
        <v>8.3180999999999994</v>
      </c>
      <c r="Z55" s="4">
        <v>-0.113761</v>
      </c>
      <c r="AA55" s="4">
        <v>0.29825499999999999</v>
      </c>
      <c r="AB55" s="4">
        <v>-0.15221399999999999</v>
      </c>
      <c r="AC55" s="1" t="s">
        <v>419</v>
      </c>
      <c r="AD55" s="1" t="s">
        <v>2696</v>
      </c>
      <c r="AE55" s="1" t="s">
        <v>2697</v>
      </c>
      <c r="AF55" s="1">
        <v>6.7</v>
      </c>
      <c r="AG55" s="1" t="s">
        <v>1003</v>
      </c>
      <c r="AH55" s="1">
        <v>34.2057</v>
      </c>
      <c r="AI55" s="1">
        <v>-118.5539</v>
      </c>
      <c r="AJ55" s="1">
        <v>17.5</v>
      </c>
      <c r="AK55" s="1" t="s">
        <v>1028</v>
      </c>
      <c r="AL55" s="1" t="s">
        <v>2809</v>
      </c>
      <c r="AM55" s="1">
        <v>122</v>
      </c>
      <c r="AN55" s="1">
        <v>40</v>
      </c>
      <c r="AO55" s="1">
        <v>103</v>
      </c>
      <c r="AP55" s="1"/>
      <c r="AQ55" s="1"/>
      <c r="AR55" s="1"/>
      <c r="AS55" s="1" t="s">
        <v>2808</v>
      </c>
      <c r="AT55" s="1" t="s">
        <v>731</v>
      </c>
      <c r="AU55" s="1"/>
      <c r="AV55" s="1"/>
      <c r="AW55" s="1"/>
      <c r="AX55" s="1"/>
      <c r="AY55" s="1"/>
      <c r="AZ55" s="1" t="s">
        <v>2812</v>
      </c>
      <c r="BA55" t="s">
        <v>2828</v>
      </c>
    </row>
    <row r="56" spans="1:53" ht="19" customHeight="1">
      <c r="A56" s="4" t="s">
        <v>1059</v>
      </c>
      <c r="B56" s="4">
        <v>34.2057</v>
      </c>
      <c r="C56" s="4">
        <v>-118.5539</v>
      </c>
      <c r="D56" s="4">
        <v>17.5</v>
      </c>
      <c r="E56" s="4">
        <v>6.7</v>
      </c>
      <c r="F56" s="4" t="s">
        <v>1028</v>
      </c>
      <c r="G56" s="4" t="s">
        <v>851</v>
      </c>
      <c r="H56" s="4">
        <v>-118.48099999999999</v>
      </c>
      <c r="I56" s="4">
        <v>34.311999999999998</v>
      </c>
      <c r="J56" s="4">
        <v>370.52</v>
      </c>
      <c r="K56" s="4">
        <v>5.19</v>
      </c>
      <c r="L56" s="4" t="b">
        <v>1</v>
      </c>
      <c r="M56" s="4">
        <v>3.528</v>
      </c>
      <c r="N56" s="4" t="b">
        <v>0</v>
      </c>
      <c r="O56" s="4" t="s">
        <v>1029</v>
      </c>
      <c r="P56" s="4" t="b">
        <v>0</v>
      </c>
      <c r="Q56" s="4">
        <v>836.50199999999995</v>
      </c>
      <c r="R56" s="4">
        <v>440.09100000000001</v>
      </c>
      <c r="S56" s="4">
        <v>467.06099999999998</v>
      </c>
      <c r="T56" s="4">
        <v>120.97199999999999</v>
      </c>
      <c r="U56" s="4">
        <v>60.427599999999998</v>
      </c>
      <c r="V56" s="4">
        <v>26.797799999999999</v>
      </c>
      <c r="W56" s="4">
        <v>34.055199999999999</v>
      </c>
      <c r="X56" s="4">
        <v>18.766300000000001</v>
      </c>
      <c r="Y56" s="4">
        <v>9.2853300000000001</v>
      </c>
      <c r="Z56" s="4">
        <v>0.26897500000000002</v>
      </c>
      <c r="AA56" s="4">
        <v>0.243951</v>
      </c>
      <c r="AB56" s="4">
        <v>-8.3750000000000005E-2</v>
      </c>
      <c r="AC56" s="1" t="s">
        <v>419</v>
      </c>
      <c r="AD56" s="1" t="s">
        <v>2696</v>
      </c>
      <c r="AE56" s="1" t="s">
        <v>2697</v>
      </c>
      <c r="AF56" s="1">
        <v>6.7</v>
      </c>
      <c r="AG56" s="1" t="s">
        <v>1003</v>
      </c>
      <c r="AH56" s="1">
        <v>34.2057</v>
      </c>
      <c r="AI56" s="1">
        <v>-118.5539</v>
      </c>
      <c r="AJ56" s="1">
        <v>17.5</v>
      </c>
      <c r="AK56" s="1" t="s">
        <v>1028</v>
      </c>
      <c r="AL56" s="1" t="s">
        <v>2809</v>
      </c>
      <c r="AM56" s="1">
        <v>122</v>
      </c>
      <c r="AN56" s="1">
        <v>40</v>
      </c>
      <c r="AO56" s="1">
        <v>103</v>
      </c>
      <c r="AP56" s="1"/>
      <c r="AQ56" s="1"/>
      <c r="AR56" s="1"/>
      <c r="AS56" s="1" t="s">
        <v>2808</v>
      </c>
      <c r="AT56" s="1" t="s">
        <v>731</v>
      </c>
      <c r="AU56" s="1"/>
      <c r="AV56" s="1"/>
      <c r="AW56" s="1"/>
      <c r="AX56" s="1"/>
      <c r="AY56" s="1"/>
      <c r="AZ56" s="1" t="s">
        <v>2812</v>
      </c>
      <c r="BA56" t="s">
        <v>2828</v>
      </c>
    </row>
    <row r="57" spans="1:53" ht="19" customHeight="1">
      <c r="A57" s="4" t="s">
        <v>1059</v>
      </c>
      <c r="B57" s="4">
        <v>34.2057</v>
      </c>
      <c r="C57" s="4">
        <v>-118.5539</v>
      </c>
      <c r="D57" s="4">
        <v>17.5</v>
      </c>
      <c r="E57" s="4">
        <v>6.7</v>
      </c>
      <c r="F57" s="4" t="s">
        <v>1028</v>
      </c>
      <c r="G57" s="4" t="s">
        <v>852</v>
      </c>
      <c r="H57" s="4">
        <v>-118.444</v>
      </c>
      <c r="I57" s="4">
        <v>34.326000000000001</v>
      </c>
      <c r="J57" s="4">
        <v>440.54</v>
      </c>
      <c r="K57" s="4">
        <v>5.3</v>
      </c>
      <c r="L57" s="4" t="b">
        <v>1</v>
      </c>
      <c r="M57" s="4">
        <v>2.4359999999999999</v>
      </c>
      <c r="N57" s="4" t="b">
        <v>0</v>
      </c>
      <c r="O57" s="4" t="s">
        <v>1029</v>
      </c>
      <c r="P57" s="4" t="b">
        <v>0</v>
      </c>
      <c r="Q57" s="4">
        <v>593.38599999999997</v>
      </c>
      <c r="R57" s="4">
        <v>827.33399999999995</v>
      </c>
      <c r="S57" s="4">
        <v>525.51300000000003</v>
      </c>
      <c r="T57" s="4">
        <v>77.784800000000004</v>
      </c>
      <c r="U57" s="4">
        <v>130.38200000000001</v>
      </c>
      <c r="V57" s="4">
        <v>19.192</v>
      </c>
      <c r="W57" s="4">
        <v>15.674099999999999</v>
      </c>
      <c r="X57" s="4">
        <v>31.946300000000001</v>
      </c>
      <c r="Y57" s="4">
        <v>8.1359600000000007</v>
      </c>
      <c r="Z57" s="4">
        <v>1.7071499999999999</v>
      </c>
      <c r="AA57" s="4">
        <v>1.9961599999999999</v>
      </c>
      <c r="AB57" s="4">
        <v>2.2633299999999998</v>
      </c>
      <c r="AC57" s="1" t="s">
        <v>419</v>
      </c>
      <c r="AD57" s="1" t="s">
        <v>2696</v>
      </c>
      <c r="AE57" s="1" t="s">
        <v>2697</v>
      </c>
      <c r="AF57" s="1">
        <v>6.7</v>
      </c>
      <c r="AG57" s="1" t="s">
        <v>1003</v>
      </c>
      <c r="AH57" s="1">
        <v>34.2057</v>
      </c>
      <c r="AI57" s="1">
        <v>-118.5539</v>
      </c>
      <c r="AJ57" s="1">
        <v>17.5</v>
      </c>
      <c r="AK57" s="1" t="s">
        <v>1028</v>
      </c>
      <c r="AL57" s="1" t="s">
        <v>2809</v>
      </c>
      <c r="AM57" s="1">
        <v>122</v>
      </c>
      <c r="AN57" s="1">
        <v>40</v>
      </c>
      <c r="AO57" s="1">
        <v>103</v>
      </c>
      <c r="AP57" s="1"/>
      <c r="AQ57" s="1"/>
      <c r="AR57" s="1"/>
      <c r="AS57" s="1" t="s">
        <v>2808</v>
      </c>
      <c r="AT57" s="1" t="s">
        <v>731</v>
      </c>
      <c r="AU57" s="1"/>
      <c r="AV57" s="1"/>
      <c r="AW57" s="1"/>
      <c r="AX57" s="1"/>
      <c r="AY57" s="1"/>
      <c r="AZ57" s="1" t="s">
        <v>2812</v>
      </c>
      <c r="BA57" t="s">
        <v>2828</v>
      </c>
    </row>
    <row r="58" spans="1:53" ht="19" customHeight="1">
      <c r="A58" s="4" t="s">
        <v>1062</v>
      </c>
      <c r="B58" s="4">
        <v>34.595999999999997</v>
      </c>
      <c r="C58" s="4">
        <v>135.011</v>
      </c>
      <c r="D58" s="4">
        <v>17.899999999999999</v>
      </c>
      <c r="E58" s="4">
        <v>6.9</v>
      </c>
      <c r="F58" s="4" t="s">
        <v>1032</v>
      </c>
      <c r="G58" s="4" t="s">
        <v>854</v>
      </c>
      <c r="H58" s="4">
        <v>135.18</v>
      </c>
      <c r="I58" s="4">
        <v>34.683300000000003</v>
      </c>
      <c r="J58" s="4">
        <v>312</v>
      </c>
      <c r="K58" s="4">
        <v>0.96</v>
      </c>
      <c r="L58" s="4" t="b">
        <v>1</v>
      </c>
      <c r="M58" s="4">
        <v>1.0920000000000001</v>
      </c>
      <c r="N58" s="4" t="b">
        <v>0</v>
      </c>
      <c r="O58" s="4" t="s">
        <v>1029</v>
      </c>
      <c r="P58" s="4" t="b">
        <v>0</v>
      </c>
      <c r="Q58" s="4">
        <v>818.37900000000002</v>
      </c>
      <c r="R58" s="4">
        <v>617.69299999999998</v>
      </c>
      <c r="S58" s="4">
        <v>332.47300000000001</v>
      </c>
      <c r="T58" s="4">
        <v>91.671499999999995</v>
      </c>
      <c r="U58" s="4">
        <v>76.141099999999994</v>
      </c>
      <c r="V58" s="4">
        <v>40.422499999999999</v>
      </c>
      <c r="W58" s="4">
        <v>21.152899999999999</v>
      </c>
      <c r="X58" s="4">
        <v>18.357299999999999</v>
      </c>
      <c r="Y58" s="4">
        <v>14.453099999999999</v>
      </c>
      <c r="Z58" s="4">
        <v>-0.20479</v>
      </c>
      <c r="AA58" s="4">
        <v>9.2147000000000007E-2</v>
      </c>
      <c r="AB58" s="4">
        <v>-3.5417999999999998E-2</v>
      </c>
      <c r="AC58" s="1" t="s">
        <v>426</v>
      </c>
      <c r="AD58" s="1" t="s">
        <v>2701</v>
      </c>
      <c r="AE58" s="1" t="s">
        <v>2702</v>
      </c>
      <c r="AF58" s="1">
        <v>6.9</v>
      </c>
      <c r="AG58" s="1" t="s">
        <v>1003</v>
      </c>
      <c r="AH58" s="1">
        <v>34.595999999999997</v>
      </c>
      <c r="AI58" s="1">
        <v>135.011</v>
      </c>
      <c r="AJ58" s="1">
        <v>17.899999999999999</v>
      </c>
      <c r="AK58" s="1" t="s">
        <v>1032</v>
      </c>
      <c r="AL58" s="1" t="s">
        <v>2809</v>
      </c>
      <c r="AM58" s="1">
        <v>230</v>
      </c>
      <c r="AN58" s="1">
        <v>85</v>
      </c>
      <c r="AO58" s="1">
        <v>180</v>
      </c>
      <c r="AP58" s="1"/>
      <c r="AQ58" s="1"/>
      <c r="AR58" s="1"/>
      <c r="AS58" s="1" t="s">
        <v>2808</v>
      </c>
      <c r="AT58" s="1" t="s">
        <v>731</v>
      </c>
      <c r="AU58" s="1"/>
      <c r="AV58" s="1"/>
      <c r="AW58" s="1"/>
      <c r="AX58" s="1"/>
      <c r="AY58" s="1"/>
      <c r="AZ58" s="1" t="s">
        <v>2812</v>
      </c>
      <c r="BA58" t="s">
        <v>2829</v>
      </c>
    </row>
    <row r="59" spans="1:53" ht="19" customHeight="1">
      <c r="A59" s="4" t="s">
        <v>1062</v>
      </c>
      <c r="B59" s="4">
        <v>34.595999999999997</v>
      </c>
      <c r="C59" s="4">
        <v>135.011</v>
      </c>
      <c r="D59" s="4">
        <v>17.899999999999999</v>
      </c>
      <c r="E59" s="4">
        <v>6.9</v>
      </c>
      <c r="F59" s="4" t="s">
        <v>1032</v>
      </c>
      <c r="G59" s="4" t="s">
        <v>855</v>
      </c>
      <c r="H59" s="4">
        <v>135.20099999999999</v>
      </c>
      <c r="I59" s="4">
        <v>34.67</v>
      </c>
      <c r="J59" s="4">
        <v>198</v>
      </c>
      <c r="K59" s="4">
        <v>3.31</v>
      </c>
      <c r="L59" s="4" t="b">
        <v>1</v>
      </c>
      <c r="M59" s="4">
        <v>2.8279999999999998</v>
      </c>
      <c r="N59" s="4" t="b">
        <v>1</v>
      </c>
      <c r="O59" s="4">
        <v>2.6739999999999999</v>
      </c>
      <c r="P59" s="4" t="b">
        <v>0</v>
      </c>
      <c r="Q59" s="4">
        <v>341.24700000000001</v>
      </c>
      <c r="R59" s="4">
        <v>284.26600000000002</v>
      </c>
      <c r="S59" s="4">
        <v>556.03300000000002</v>
      </c>
      <c r="T59" s="4">
        <v>90.685100000000006</v>
      </c>
      <c r="U59" s="4">
        <v>51.237099999999998</v>
      </c>
      <c r="V59" s="4">
        <v>62.140799999999999</v>
      </c>
      <c r="W59" s="4">
        <v>39.318100000000001</v>
      </c>
      <c r="X59" s="4">
        <v>30.733499999999999</v>
      </c>
      <c r="Y59" s="4">
        <v>27.8216</v>
      </c>
      <c r="Z59" s="4">
        <v>0.232153</v>
      </c>
      <c r="AA59" s="4">
        <v>0.12823799999999999</v>
      </c>
      <c r="AB59" s="4">
        <v>-0.174178</v>
      </c>
      <c r="AC59" s="1" t="s">
        <v>426</v>
      </c>
      <c r="AD59" s="1" t="s">
        <v>2701</v>
      </c>
      <c r="AE59" s="1" t="s">
        <v>2702</v>
      </c>
      <c r="AF59" s="1">
        <v>6.9</v>
      </c>
      <c r="AG59" s="1" t="s">
        <v>1003</v>
      </c>
      <c r="AH59" s="1">
        <v>34.595999999999997</v>
      </c>
      <c r="AI59" s="1">
        <v>135.011</v>
      </c>
      <c r="AJ59" s="1">
        <v>17.899999999999999</v>
      </c>
      <c r="AK59" s="1" t="s">
        <v>1032</v>
      </c>
      <c r="AL59" s="1" t="s">
        <v>2809</v>
      </c>
      <c r="AM59" s="1">
        <v>230</v>
      </c>
      <c r="AN59" s="1">
        <v>85</v>
      </c>
      <c r="AO59" s="1">
        <v>180</v>
      </c>
      <c r="AP59" s="1"/>
      <c r="AQ59" s="1"/>
      <c r="AR59" s="1"/>
      <c r="AS59" s="1" t="s">
        <v>2808</v>
      </c>
      <c r="AT59" s="1" t="s">
        <v>731</v>
      </c>
      <c r="AU59" s="1"/>
      <c r="AV59" s="1"/>
      <c r="AW59" s="1"/>
      <c r="AX59" s="1"/>
      <c r="AY59" s="1"/>
      <c r="AZ59" s="1" t="s">
        <v>2812</v>
      </c>
      <c r="BA59" t="s">
        <v>2829</v>
      </c>
    </row>
    <row r="60" spans="1:53" ht="19" customHeight="1">
      <c r="A60" s="4" t="s">
        <v>1062</v>
      </c>
      <c r="B60" s="4">
        <v>34.595999999999997</v>
      </c>
      <c r="C60" s="4">
        <v>135.011</v>
      </c>
      <c r="D60" s="4">
        <v>17.899999999999999</v>
      </c>
      <c r="E60" s="4">
        <v>6.9</v>
      </c>
      <c r="F60" s="4" t="s">
        <v>1032</v>
      </c>
      <c r="G60" s="4" t="s">
        <v>856</v>
      </c>
      <c r="H60" s="4">
        <v>135.34399999999999</v>
      </c>
      <c r="I60" s="4">
        <v>34.808999999999997</v>
      </c>
      <c r="J60" s="4">
        <v>312</v>
      </c>
      <c r="K60" s="4">
        <v>0.27</v>
      </c>
      <c r="L60" s="4" t="b">
        <v>1</v>
      </c>
      <c r="M60" s="4">
        <v>1.806</v>
      </c>
      <c r="N60" s="4" t="b">
        <v>0</v>
      </c>
      <c r="O60" s="4" t="s">
        <v>1029</v>
      </c>
      <c r="P60" s="4" t="b">
        <v>0</v>
      </c>
      <c r="Q60" s="4">
        <v>684.09799999999996</v>
      </c>
      <c r="R60" s="4">
        <v>602.19899999999996</v>
      </c>
      <c r="S60" s="4">
        <v>418.887</v>
      </c>
      <c r="T60" s="4">
        <v>68.538399999999996</v>
      </c>
      <c r="U60" s="4">
        <v>86.341099999999997</v>
      </c>
      <c r="V60" s="4">
        <v>34.931600000000003</v>
      </c>
      <c r="W60" s="4">
        <v>26.664000000000001</v>
      </c>
      <c r="X60" s="4">
        <v>20.840900000000001</v>
      </c>
      <c r="Y60" s="4">
        <v>12.386900000000001</v>
      </c>
      <c r="Z60" s="4">
        <v>-3.2693E-2</v>
      </c>
      <c r="AA60" s="4">
        <v>0.109088</v>
      </c>
      <c r="AB60" s="4">
        <v>0.15237100000000001</v>
      </c>
      <c r="AC60" s="1" t="s">
        <v>426</v>
      </c>
      <c r="AD60" s="1" t="s">
        <v>2701</v>
      </c>
      <c r="AE60" s="1" t="s">
        <v>2702</v>
      </c>
      <c r="AF60" s="1">
        <v>6.9</v>
      </c>
      <c r="AG60" s="1" t="s">
        <v>1003</v>
      </c>
      <c r="AH60" s="1">
        <v>34.595999999999997</v>
      </c>
      <c r="AI60" s="1">
        <v>135.011</v>
      </c>
      <c r="AJ60" s="1">
        <v>17.899999999999999</v>
      </c>
      <c r="AK60" s="1" t="s">
        <v>1032</v>
      </c>
      <c r="AL60" s="1" t="s">
        <v>2809</v>
      </c>
      <c r="AM60" s="1">
        <v>230</v>
      </c>
      <c r="AN60" s="1">
        <v>85</v>
      </c>
      <c r="AO60" s="1">
        <v>180</v>
      </c>
      <c r="AP60" s="1"/>
      <c r="AQ60" s="1"/>
      <c r="AR60" s="1"/>
      <c r="AS60" s="1" t="s">
        <v>2808</v>
      </c>
      <c r="AT60" s="1" t="s">
        <v>731</v>
      </c>
      <c r="AU60" s="1"/>
      <c r="AV60" s="1"/>
      <c r="AW60" s="1"/>
      <c r="AX60" s="1"/>
      <c r="AY60" s="1"/>
      <c r="AZ60" s="1" t="s">
        <v>2812</v>
      </c>
      <c r="BA60" t="s">
        <v>2829</v>
      </c>
    </row>
    <row r="61" spans="1:53" ht="19" customHeight="1">
      <c r="A61" s="4" t="s">
        <v>1062</v>
      </c>
      <c r="B61" s="4">
        <v>34.595999999999997</v>
      </c>
      <c r="C61" s="4">
        <v>135.011</v>
      </c>
      <c r="D61" s="4">
        <v>17.899999999999999</v>
      </c>
      <c r="E61" s="4">
        <v>6.9</v>
      </c>
      <c r="F61" s="4" t="s">
        <v>1032</v>
      </c>
      <c r="G61" s="4" t="s">
        <v>857</v>
      </c>
      <c r="H61" s="4">
        <v>135.13900000000001</v>
      </c>
      <c r="I61" s="4">
        <v>34.649000000000001</v>
      </c>
      <c r="J61" s="4">
        <v>256</v>
      </c>
      <c r="K61" s="4">
        <v>1.47</v>
      </c>
      <c r="L61" s="4" t="b">
        <v>1</v>
      </c>
      <c r="M61" s="4">
        <v>1.554</v>
      </c>
      <c r="N61" s="4" t="b">
        <v>0</v>
      </c>
      <c r="O61" s="4" t="s">
        <v>1029</v>
      </c>
      <c r="P61" s="4" t="b">
        <v>0</v>
      </c>
      <c r="Q61" s="4">
        <v>605.97400000000005</v>
      </c>
      <c r="R61" s="4">
        <v>658.30600000000004</v>
      </c>
      <c r="S61" s="4">
        <v>278.82799999999997</v>
      </c>
      <c r="T61" s="4">
        <v>120.72799999999999</v>
      </c>
      <c r="U61" s="4">
        <v>123.00700000000001</v>
      </c>
      <c r="V61" s="4">
        <v>16.283300000000001</v>
      </c>
      <c r="W61" s="4">
        <v>39.992699999999999</v>
      </c>
      <c r="X61" s="4">
        <v>29.5382</v>
      </c>
      <c r="Y61" s="4">
        <v>4.4290399999999996</v>
      </c>
      <c r="Z61" s="4">
        <v>-0.195631</v>
      </c>
      <c r="AA61" s="4">
        <v>0.458173</v>
      </c>
      <c r="AB61" s="4">
        <v>0.11498999999999999</v>
      </c>
      <c r="AC61" s="1" t="s">
        <v>426</v>
      </c>
      <c r="AD61" s="1" t="s">
        <v>2701</v>
      </c>
      <c r="AE61" s="1" t="s">
        <v>2702</v>
      </c>
      <c r="AF61" s="1">
        <v>6.9</v>
      </c>
      <c r="AG61" s="1" t="s">
        <v>1003</v>
      </c>
      <c r="AH61" s="1">
        <v>34.595999999999997</v>
      </c>
      <c r="AI61" s="1">
        <v>135.011</v>
      </c>
      <c r="AJ61" s="1">
        <v>17.899999999999999</v>
      </c>
      <c r="AK61" s="1" t="s">
        <v>1032</v>
      </c>
      <c r="AL61" s="1" t="s">
        <v>2809</v>
      </c>
      <c r="AM61" s="1">
        <v>230</v>
      </c>
      <c r="AN61" s="1">
        <v>85</v>
      </c>
      <c r="AO61" s="1">
        <v>180</v>
      </c>
      <c r="AP61" s="1"/>
      <c r="AQ61" s="1"/>
      <c r="AR61" s="1"/>
      <c r="AS61" s="1" t="s">
        <v>2808</v>
      </c>
      <c r="AT61" s="1" t="s">
        <v>731</v>
      </c>
      <c r="AU61" s="1"/>
      <c r="AV61" s="1"/>
      <c r="AW61" s="1"/>
      <c r="AX61" s="1"/>
      <c r="AY61" s="1"/>
      <c r="AZ61" s="1" t="s">
        <v>2812</v>
      </c>
      <c r="BA61" t="s">
        <v>2829</v>
      </c>
    </row>
    <row r="62" spans="1:53" ht="19" customHeight="1">
      <c r="A62" s="4" t="s">
        <v>441</v>
      </c>
      <c r="B62" s="4">
        <v>23.502300000000002</v>
      </c>
      <c r="C62" s="4">
        <v>120.66119999999999</v>
      </c>
      <c r="D62" s="4">
        <v>6.18</v>
      </c>
      <c r="E62" s="4">
        <v>5.72</v>
      </c>
      <c r="F62" s="4" t="s">
        <v>1028</v>
      </c>
      <c r="G62" s="4" t="s">
        <v>1063</v>
      </c>
      <c r="H62" s="4">
        <v>120.65433299999999</v>
      </c>
      <c r="I62" s="4">
        <v>23.483000000000001</v>
      </c>
      <c r="J62" s="4">
        <v>581.46901200000002</v>
      </c>
      <c r="K62" s="4">
        <v>5.5230880000000004</v>
      </c>
      <c r="L62" s="4" t="b">
        <v>1</v>
      </c>
      <c r="M62" s="4">
        <v>0.80079999999999996</v>
      </c>
      <c r="N62" s="4" t="b">
        <v>0</v>
      </c>
      <c r="O62" s="4" t="s">
        <v>1029</v>
      </c>
      <c r="P62" s="4" t="b">
        <v>0</v>
      </c>
      <c r="Q62" s="4">
        <v>721.49300000000005</v>
      </c>
      <c r="R62" s="4">
        <v>388.69400000000002</v>
      </c>
      <c r="S62" s="4">
        <v>335.89600000000002</v>
      </c>
      <c r="T62" s="4">
        <v>73.895099999999999</v>
      </c>
      <c r="U62" s="4">
        <v>30.837599999999998</v>
      </c>
      <c r="V62" s="4">
        <v>26.959299999999999</v>
      </c>
      <c r="W62" s="4">
        <v>6.8307799999999999</v>
      </c>
      <c r="X62" s="4">
        <v>4.8308900000000001</v>
      </c>
      <c r="Y62" s="4">
        <v>7.11029</v>
      </c>
      <c r="Z62" s="4">
        <v>1.1440000000000001E-3</v>
      </c>
      <c r="AA62" s="4">
        <v>-3.1300000000000002E-4</v>
      </c>
      <c r="AB62" s="4">
        <v>3.9919999999999999E-3</v>
      </c>
      <c r="AC62" s="1" t="s">
        <v>440</v>
      </c>
      <c r="AD62" s="1" t="s">
        <v>2831</v>
      </c>
      <c r="AE62" s="1" t="s">
        <v>2832</v>
      </c>
      <c r="AF62" s="1">
        <v>5.72</v>
      </c>
      <c r="AG62" s="1" t="s">
        <v>1003</v>
      </c>
      <c r="AH62" s="1">
        <v>23.502300000000002</v>
      </c>
      <c r="AI62" s="1">
        <v>120.66119999999999</v>
      </c>
      <c r="AJ62" s="1">
        <v>6.18</v>
      </c>
      <c r="AK62" s="1" t="s">
        <v>1028</v>
      </c>
      <c r="AL62" s="1" t="s">
        <v>2834</v>
      </c>
      <c r="AM62" s="1">
        <v>37</v>
      </c>
      <c r="AN62" s="1">
        <v>36</v>
      </c>
      <c r="AO62" s="1">
        <v>97</v>
      </c>
      <c r="AP62" s="1">
        <v>208</v>
      </c>
      <c r="AQ62" s="1">
        <v>54</v>
      </c>
      <c r="AR62" s="1">
        <v>85</v>
      </c>
      <c r="AS62" s="1" t="s">
        <v>2808</v>
      </c>
      <c r="AT62" s="1" t="s">
        <v>731</v>
      </c>
      <c r="AU62" s="1"/>
      <c r="AV62" s="1"/>
      <c r="AW62" s="1"/>
      <c r="AX62" s="1"/>
      <c r="AY62" s="1"/>
      <c r="AZ62" s="1" t="s">
        <v>2812</v>
      </c>
      <c r="BA62" t="s">
        <v>2836</v>
      </c>
    </row>
    <row r="63" spans="1:53" ht="19" customHeight="1">
      <c r="A63" s="4" t="s">
        <v>441</v>
      </c>
      <c r="B63" s="4">
        <v>23.502300000000002</v>
      </c>
      <c r="C63" s="4">
        <v>120.66119999999999</v>
      </c>
      <c r="D63" s="4">
        <v>6.18</v>
      </c>
      <c r="E63" s="4">
        <v>5.72</v>
      </c>
      <c r="F63" s="4" t="s">
        <v>1028</v>
      </c>
      <c r="G63" s="4" t="s">
        <v>1064</v>
      </c>
      <c r="H63" s="4">
        <v>120.44533300000001</v>
      </c>
      <c r="I63" s="4">
        <v>23.470666999999999</v>
      </c>
      <c r="J63" s="4">
        <v>248.65309999999999</v>
      </c>
      <c r="K63" s="4">
        <v>18.420864000000002</v>
      </c>
      <c r="L63" s="4" t="b">
        <v>1</v>
      </c>
      <c r="M63" s="4">
        <v>0.75039999999999996</v>
      </c>
      <c r="N63" s="4" t="b">
        <v>0</v>
      </c>
      <c r="O63" s="4" t="s">
        <v>1029</v>
      </c>
      <c r="P63" s="4" t="b">
        <v>0</v>
      </c>
      <c r="Q63" s="4">
        <v>283.21800000000002</v>
      </c>
      <c r="R63" s="4">
        <v>359.39800000000002</v>
      </c>
      <c r="S63" s="4">
        <v>78.873999999999995</v>
      </c>
      <c r="T63" s="4">
        <v>20.161100000000001</v>
      </c>
      <c r="U63" s="4">
        <v>27.438400000000001</v>
      </c>
      <c r="V63" s="4">
        <v>4.3470599999999999</v>
      </c>
      <c r="W63" s="4">
        <v>4.3807900000000002</v>
      </c>
      <c r="X63" s="4">
        <v>3.96841</v>
      </c>
      <c r="Y63" s="4">
        <v>1.72695</v>
      </c>
      <c r="Z63" s="4">
        <v>1.5958E-2</v>
      </c>
      <c r="AA63" s="4">
        <v>-5.2837000000000002E-2</v>
      </c>
      <c r="AB63" s="4">
        <v>9.0784000000000004E-2</v>
      </c>
      <c r="AC63" s="1" t="s">
        <v>440</v>
      </c>
      <c r="AD63" s="1" t="s">
        <v>2831</v>
      </c>
      <c r="AE63" s="1" t="s">
        <v>2832</v>
      </c>
      <c r="AF63" s="1">
        <v>5.72</v>
      </c>
      <c r="AG63" s="1" t="s">
        <v>1003</v>
      </c>
      <c r="AH63" s="1">
        <v>23.502300000000002</v>
      </c>
      <c r="AI63" s="1">
        <v>120.66119999999999</v>
      </c>
      <c r="AJ63" s="1">
        <v>6.18</v>
      </c>
      <c r="AK63" s="1" t="s">
        <v>1028</v>
      </c>
      <c r="AL63" s="1" t="s">
        <v>2834</v>
      </c>
      <c r="AM63" s="1">
        <v>37</v>
      </c>
      <c r="AN63" s="1">
        <v>36</v>
      </c>
      <c r="AO63" s="1">
        <v>97</v>
      </c>
      <c r="AP63" s="1">
        <v>208</v>
      </c>
      <c r="AQ63" s="1">
        <v>54</v>
      </c>
      <c r="AR63" s="1">
        <v>85</v>
      </c>
      <c r="AS63" s="1" t="s">
        <v>2808</v>
      </c>
      <c r="AT63" s="1" t="s">
        <v>731</v>
      </c>
      <c r="AU63" s="1"/>
      <c r="AV63" s="1"/>
      <c r="AW63" s="1"/>
      <c r="AX63" s="1"/>
      <c r="AY63" s="1"/>
      <c r="AZ63" s="1" t="s">
        <v>2812</v>
      </c>
      <c r="BA63" t="s">
        <v>2836</v>
      </c>
    </row>
    <row r="64" spans="1:53" ht="19" customHeight="1">
      <c r="A64" s="4" t="s">
        <v>1065</v>
      </c>
      <c r="B64" s="4">
        <v>23.81</v>
      </c>
      <c r="C64" s="4">
        <v>120.85</v>
      </c>
      <c r="D64" s="4">
        <v>7.8</v>
      </c>
      <c r="E64" s="4">
        <v>6.3</v>
      </c>
      <c r="F64" s="4" t="s">
        <v>1028</v>
      </c>
      <c r="G64" s="4" t="s">
        <v>864</v>
      </c>
      <c r="H64" s="4">
        <v>120.615667</v>
      </c>
      <c r="I64" s="4">
        <v>23.755333</v>
      </c>
      <c r="J64" s="4">
        <v>408.49669999999998</v>
      </c>
      <c r="K64" s="4">
        <v>18.733087000000001</v>
      </c>
      <c r="L64" s="4" t="b">
        <v>1</v>
      </c>
      <c r="M64" s="4">
        <v>3.2130000000000001</v>
      </c>
      <c r="N64" s="4" t="b">
        <v>0</v>
      </c>
      <c r="O64" s="4" t="s">
        <v>1029</v>
      </c>
      <c r="P64" s="4" t="b">
        <v>0</v>
      </c>
      <c r="Q64" s="4">
        <v>179.57</v>
      </c>
      <c r="R64" s="4">
        <v>84.085999999999999</v>
      </c>
      <c r="S64" s="4">
        <v>67.266999999999996</v>
      </c>
      <c r="T64" s="4">
        <v>31.571999999999999</v>
      </c>
      <c r="U64" s="4">
        <v>13.006500000000001</v>
      </c>
      <c r="V64" s="4">
        <v>25.741900000000001</v>
      </c>
      <c r="W64" s="4">
        <v>20.474900000000002</v>
      </c>
      <c r="X64" s="4">
        <v>10.1729</v>
      </c>
      <c r="Y64" s="4">
        <v>17.273199999999999</v>
      </c>
      <c r="Z64" s="4">
        <v>3.8670000000000002E-3</v>
      </c>
      <c r="AA64" s="4">
        <v>4.6695E-2</v>
      </c>
      <c r="AB64" s="4">
        <v>0.523254</v>
      </c>
      <c r="AC64" s="1" t="s">
        <v>463</v>
      </c>
      <c r="AD64" s="1" t="s">
        <v>2710</v>
      </c>
      <c r="AE64" s="1" t="s">
        <v>2718</v>
      </c>
      <c r="AF64" s="1">
        <v>6.3</v>
      </c>
      <c r="AG64" s="1" t="s">
        <v>1003</v>
      </c>
      <c r="AH64" s="1">
        <v>23.81</v>
      </c>
      <c r="AI64" s="1">
        <v>120.85</v>
      </c>
      <c r="AJ64" s="1">
        <v>7.8</v>
      </c>
      <c r="AK64" s="1" t="s">
        <v>1028</v>
      </c>
      <c r="AL64" s="1" t="s">
        <v>2809</v>
      </c>
      <c r="AM64" s="1">
        <v>360</v>
      </c>
      <c r="AN64" s="1">
        <v>10</v>
      </c>
      <c r="AO64" s="1">
        <v>80</v>
      </c>
      <c r="AP64" s="1"/>
      <c r="AQ64" s="1"/>
      <c r="AR64" s="1"/>
      <c r="AS64" s="1" t="s">
        <v>2808</v>
      </c>
      <c r="AT64" s="1" t="s">
        <v>731</v>
      </c>
      <c r="AU64" s="1"/>
      <c r="AV64" s="1"/>
      <c r="AW64" s="1"/>
      <c r="AX64" s="1"/>
      <c r="AY64" s="1"/>
      <c r="AZ64" s="1" t="s">
        <v>2812</v>
      </c>
      <c r="BA64" t="s">
        <v>2837</v>
      </c>
    </row>
    <row r="65" spans="1:53" ht="19" customHeight="1">
      <c r="A65" s="4" t="s">
        <v>1065</v>
      </c>
      <c r="B65" s="4">
        <v>23.81</v>
      </c>
      <c r="C65" s="4">
        <v>120.85</v>
      </c>
      <c r="D65" s="4">
        <v>7.8</v>
      </c>
      <c r="E65" s="4">
        <v>6.3</v>
      </c>
      <c r="F65" s="4" t="s">
        <v>1028</v>
      </c>
      <c r="G65" s="4" t="s">
        <v>914</v>
      </c>
      <c r="H65" s="4">
        <v>120.591667</v>
      </c>
      <c r="I65" s="4">
        <v>23.518667000000001</v>
      </c>
      <c r="J65" s="4">
        <v>554.22131899999999</v>
      </c>
      <c r="K65" s="4">
        <v>34.140867</v>
      </c>
      <c r="L65" s="4" t="b">
        <v>1</v>
      </c>
      <c r="M65" s="4">
        <v>1.071</v>
      </c>
      <c r="N65" s="4" t="b">
        <v>0</v>
      </c>
      <c r="O65" s="4" t="s">
        <v>1029</v>
      </c>
      <c r="P65" s="4" t="b">
        <v>0</v>
      </c>
      <c r="Q65" s="4">
        <v>200.69300000000001</v>
      </c>
      <c r="R65" s="4">
        <v>90.356999999999999</v>
      </c>
      <c r="S65" s="4">
        <v>43.246000000000002</v>
      </c>
      <c r="T65" s="4">
        <v>29.030999999999999</v>
      </c>
      <c r="U65" s="4">
        <v>12.6823</v>
      </c>
      <c r="V65" s="4">
        <v>5.7154400000000001</v>
      </c>
      <c r="W65" s="4">
        <v>6.2468300000000001</v>
      </c>
      <c r="X65" s="4">
        <v>5.3367399999999998</v>
      </c>
      <c r="Y65" s="4">
        <v>1.7747900000000001</v>
      </c>
      <c r="Z65" s="4">
        <v>-0.46427099999999999</v>
      </c>
      <c r="AA65" s="4">
        <v>0.14324799999999999</v>
      </c>
      <c r="AB65" s="4">
        <v>-0.18856600000000001</v>
      </c>
      <c r="AC65" s="1" t="s">
        <v>463</v>
      </c>
      <c r="AD65" s="1" t="s">
        <v>2710</v>
      </c>
      <c r="AE65" s="1" t="s">
        <v>2718</v>
      </c>
      <c r="AF65" s="1">
        <v>6.3</v>
      </c>
      <c r="AG65" s="1" t="s">
        <v>1003</v>
      </c>
      <c r="AH65" s="1">
        <v>23.81</v>
      </c>
      <c r="AI65" s="1">
        <v>120.85</v>
      </c>
      <c r="AJ65" s="1">
        <v>7.8</v>
      </c>
      <c r="AK65" s="1" t="s">
        <v>1028</v>
      </c>
      <c r="AL65" s="1" t="s">
        <v>2809</v>
      </c>
      <c r="AM65" s="1">
        <v>360</v>
      </c>
      <c r="AN65" s="1">
        <v>10</v>
      </c>
      <c r="AO65" s="1">
        <v>80</v>
      </c>
      <c r="AP65" s="1"/>
      <c r="AQ65" s="1"/>
      <c r="AR65" s="1"/>
      <c r="AS65" s="1" t="s">
        <v>2808</v>
      </c>
      <c r="AT65" s="1" t="s">
        <v>731</v>
      </c>
      <c r="AU65" s="1"/>
      <c r="AV65" s="1"/>
      <c r="AW65" s="1"/>
      <c r="AX65" s="1"/>
      <c r="AY65" s="1"/>
      <c r="AZ65" s="1" t="s">
        <v>2812</v>
      </c>
      <c r="BA65" t="s">
        <v>2837</v>
      </c>
    </row>
    <row r="66" spans="1:53" ht="19" customHeight="1">
      <c r="A66" s="4" t="s">
        <v>1065</v>
      </c>
      <c r="B66" s="4">
        <v>23.81</v>
      </c>
      <c r="C66" s="4">
        <v>120.85</v>
      </c>
      <c r="D66" s="4">
        <v>7.8</v>
      </c>
      <c r="E66" s="4">
        <v>6.3</v>
      </c>
      <c r="F66" s="4" t="s">
        <v>1028</v>
      </c>
      <c r="G66" s="4" t="s">
        <v>915</v>
      </c>
      <c r="H66" s="4">
        <v>120.676833</v>
      </c>
      <c r="I66" s="4">
        <v>23.597166999999999</v>
      </c>
      <c r="J66" s="4">
        <v>499.16809999999998</v>
      </c>
      <c r="K66" s="4">
        <v>22.398382000000002</v>
      </c>
      <c r="L66" s="4" t="b">
        <v>1</v>
      </c>
      <c r="M66" s="4">
        <v>1.379</v>
      </c>
      <c r="N66" s="4" t="b">
        <v>0</v>
      </c>
      <c r="O66" s="4" t="s">
        <v>1029</v>
      </c>
      <c r="P66" s="4" t="b">
        <v>0</v>
      </c>
      <c r="Q66" s="4">
        <v>454.21</v>
      </c>
      <c r="R66" s="4">
        <v>192.25899999999999</v>
      </c>
      <c r="S66" s="4">
        <v>111.045</v>
      </c>
      <c r="T66" s="4">
        <v>70.621799999999993</v>
      </c>
      <c r="U66" s="4">
        <v>24.087700000000002</v>
      </c>
      <c r="V66" s="4">
        <v>17.3934</v>
      </c>
      <c r="W66" s="4">
        <v>12.101599999999999</v>
      </c>
      <c r="X66" s="4">
        <v>5.1123000000000003</v>
      </c>
      <c r="Y66" s="4">
        <v>3.3202799999999999</v>
      </c>
      <c r="Z66" s="4">
        <v>-0.117698</v>
      </c>
      <c r="AA66" s="4">
        <v>4.2987999999999998E-2</v>
      </c>
      <c r="AB66" s="4">
        <v>-2.0840000000000001E-2</v>
      </c>
      <c r="AC66" s="1" t="s">
        <v>463</v>
      </c>
      <c r="AD66" s="1" t="s">
        <v>2710</v>
      </c>
      <c r="AE66" s="1" t="s">
        <v>2718</v>
      </c>
      <c r="AF66" s="1">
        <v>6.3</v>
      </c>
      <c r="AG66" s="1" t="s">
        <v>1003</v>
      </c>
      <c r="AH66" s="1">
        <v>23.81</v>
      </c>
      <c r="AI66" s="1">
        <v>120.85</v>
      </c>
      <c r="AJ66" s="1">
        <v>7.8</v>
      </c>
      <c r="AK66" s="1" t="s">
        <v>1028</v>
      </c>
      <c r="AL66" s="1" t="s">
        <v>2809</v>
      </c>
      <c r="AM66" s="1">
        <v>360</v>
      </c>
      <c r="AN66" s="1">
        <v>10</v>
      </c>
      <c r="AO66" s="1">
        <v>80</v>
      </c>
      <c r="AP66" s="1"/>
      <c r="AQ66" s="1"/>
      <c r="AR66" s="1"/>
      <c r="AS66" s="1" t="s">
        <v>2808</v>
      </c>
      <c r="AT66" s="1" t="s">
        <v>731</v>
      </c>
      <c r="AU66" s="1"/>
      <c r="AV66" s="1"/>
      <c r="AW66" s="1"/>
      <c r="AX66" s="1"/>
      <c r="AY66" s="1"/>
      <c r="AZ66" s="1" t="s">
        <v>2812</v>
      </c>
      <c r="BA66" t="s">
        <v>2837</v>
      </c>
    </row>
    <row r="67" spans="1:53" ht="19" customHeight="1">
      <c r="A67" s="4" t="s">
        <v>1065</v>
      </c>
      <c r="B67" s="4">
        <v>23.81</v>
      </c>
      <c r="C67" s="4">
        <v>120.85</v>
      </c>
      <c r="D67" s="4">
        <v>7.8</v>
      </c>
      <c r="E67" s="4">
        <v>6.3</v>
      </c>
      <c r="F67" s="4" t="s">
        <v>1028</v>
      </c>
      <c r="G67" s="4" t="s">
        <v>894</v>
      </c>
      <c r="H67" s="4">
        <v>120.699833</v>
      </c>
      <c r="I67" s="4">
        <v>24.056166999999999</v>
      </c>
      <c r="J67" s="4">
        <v>290.10730000000001</v>
      </c>
      <c r="K67" s="4">
        <v>25.456793999999999</v>
      </c>
      <c r="L67" s="4" t="b">
        <v>1</v>
      </c>
      <c r="M67" s="4">
        <v>1.526</v>
      </c>
      <c r="N67" s="4" t="b">
        <v>0</v>
      </c>
      <c r="O67" s="4" t="s">
        <v>1029</v>
      </c>
      <c r="P67" s="4" t="b">
        <v>0</v>
      </c>
      <c r="Q67" s="4">
        <v>345.61900000000003</v>
      </c>
      <c r="R67" s="4">
        <v>288.37799999999999</v>
      </c>
      <c r="S67" s="4">
        <v>49.265000000000001</v>
      </c>
      <c r="T67" s="4">
        <v>28.776700000000002</v>
      </c>
      <c r="U67" s="4">
        <v>22.848299999999998</v>
      </c>
      <c r="V67" s="4">
        <v>7.9097099999999996</v>
      </c>
      <c r="W67" s="4">
        <v>9.0799400000000006</v>
      </c>
      <c r="X67" s="4">
        <v>9.2744700000000009</v>
      </c>
      <c r="Y67" s="4">
        <v>4.6833200000000001</v>
      </c>
      <c r="Z67" s="4">
        <v>-1.1692800000000001</v>
      </c>
      <c r="AA67" s="4">
        <v>0.77512099999999995</v>
      </c>
      <c r="AB67" s="4">
        <v>0.15563299999999999</v>
      </c>
      <c r="AC67" s="1" t="s">
        <v>463</v>
      </c>
      <c r="AD67" s="1" t="s">
        <v>2710</v>
      </c>
      <c r="AE67" s="1" t="s">
        <v>2718</v>
      </c>
      <c r="AF67" s="1">
        <v>6.3</v>
      </c>
      <c r="AG67" s="1" t="s">
        <v>1003</v>
      </c>
      <c r="AH67" s="1">
        <v>23.81</v>
      </c>
      <c r="AI67" s="1">
        <v>120.85</v>
      </c>
      <c r="AJ67" s="1">
        <v>7.8</v>
      </c>
      <c r="AK67" s="1" t="s">
        <v>1028</v>
      </c>
      <c r="AL67" s="1" t="s">
        <v>2809</v>
      </c>
      <c r="AM67" s="1">
        <v>360</v>
      </c>
      <c r="AN67" s="1">
        <v>10</v>
      </c>
      <c r="AO67" s="1">
        <v>80</v>
      </c>
      <c r="AP67" s="1"/>
      <c r="AQ67" s="1"/>
      <c r="AR67" s="1"/>
      <c r="AS67" s="1" t="s">
        <v>2808</v>
      </c>
      <c r="AT67" s="1" t="s">
        <v>731</v>
      </c>
      <c r="AU67" s="1"/>
      <c r="AV67" s="1"/>
      <c r="AW67" s="1"/>
      <c r="AX67" s="1"/>
      <c r="AY67" s="1"/>
      <c r="AZ67" s="1" t="s">
        <v>2812</v>
      </c>
      <c r="BA67" t="s">
        <v>2837</v>
      </c>
    </row>
    <row r="68" spans="1:53" ht="19" customHeight="1">
      <c r="A68" s="4" t="s">
        <v>1065</v>
      </c>
      <c r="B68" s="4">
        <v>23.81</v>
      </c>
      <c r="C68" s="4">
        <v>120.85</v>
      </c>
      <c r="D68" s="4">
        <v>7.8</v>
      </c>
      <c r="E68" s="4">
        <v>6.3</v>
      </c>
      <c r="F68" s="4" t="s">
        <v>1028</v>
      </c>
      <c r="G68" s="4" t="s">
        <v>897</v>
      </c>
      <c r="H68" s="4">
        <v>120.6835</v>
      </c>
      <c r="I68" s="4">
        <v>23.906500000000001</v>
      </c>
      <c r="J68" s="4">
        <v>573.23019999999997</v>
      </c>
      <c r="K68" s="4">
        <v>13.984137</v>
      </c>
      <c r="L68" s="4" t="b">
        <v>1</v>
      </c>
      <c r="M68" s="4">
        <v>0.93799999999999994</v>
      </c>
      <c r="N68" s="4" t="b">
        <v>0</v>
      </c>
      <c r="O68" s="4" t="s">
        <v>1029</v>
      </c>
      <c r="P68" s="4" t="b">
        <v>0</v>
      </c>
      <c r="Q68" s="4">
        <v>490.12099999999998</v>
      </c>
      <c r="R68" s="4">
        <v>162.797</v>
      </c>
      <c r="S68" s="4">
        <v>231.733</v>
      </c>
      <c r="T68" s="4">
        <v>59.993400000000001</v>
      </c>
      <c r="U68" s="4">
        <v>17.008900000000001</v>
      </c>
      <c r="V68" s="4">
        <v>27.217600000000001</v>
      </c>
      <c r="W68" s="4">
        <v>9.3267399999999991</v>
      </c>
      <c r="X68" s="4">
        <v>7.0969499999999996</v>
      </c>
      <c r="Y68" s="4">
        <v>10.6777</v>
      </c>
      <c r="Z68" s="4">
        <v>-0.61860099999999996</v>
      </c>
      <c r="AA68" s="4">
        <v>-0.64621600000000001</v>
      </c>
      <c r="AB68" s="4">
        <v>0.90549999999999997</v>
      </c>
      <c r="AC68" s="1" t="s">
        <v>463</v>
      </c>
      <c r="AD68" s="1" t="s">
        <v>2710</v>
      </c>
      <c r="AE68" s="1" t="s">
        <v>2718</v>
      </c>
      <c r="AF68" s="1">
        <v>6.3</v>
      </c>
      <c r="AG68" s="1" t="s">
        <v>1003</v>
      </c>
      <c r="AH68" s="1">
        <v>23.81</v>
      </c>
      <c r="AI68" s="1">
        <v>120.85</v>
      </c>
      <c r="AJ68" s="1">
        <v>7.8</v>
      </c>
      <c r="AK68" s="1" t="s">
        <v>1028</v>
      </c>
      <c r="AL68" s="1" t="s">
        <v>2809</v>
      </c>
      <c r="AM68" s="1">
        <v>360</v>
      </c>
      <c r="AN68" s="1">
        <v>10</v>
      </c>
      <c r="AO68" s="1">
        <v>80</v>
      </c>
      <c r="AP68" s="1"/>
      <c r="AQ68" s="1"/>
      <c r="AR68" s="1"/>
      <c r="AS68" s="1" t="s">
        <v>2808</v>
      </c>
      <c r="AT68" s="1" t="s">
        <v>731</v>
      </c>
      <c r="AU68" s="1"/>
      <c r="AV68" s="1"/>
      <c r="AW68" s="1"/>
      <c r="AX68" s="1"/>
      <c r="AY68" s="1"/>
      <c r="AZ68" s="1" t="s">
        <v>2812</v>
      </c>
      <c r="BA68" t="s">
        <v>2837</v>
      </c>
    </row>
    <row r="69" spans="1:53" ht="19" customHeight="1">
      <c r="A69" s="4" t="s">
        <v>1065</v>
      </c>
      <c r="B69" s="4">
        <v>23.81</v>
      </c>
      <c r="C69" s="4">
        <v>120.85</v>
      </c>
      <c r="D69" s="4">
        <v>7.8</v>
      </c>
      <c r="E69" s="4">
        <v>6.3</v>
      </c>
      <c r="F69" s="4" t="s">
        <v>1028</v>
      </c>
      <c r="G69" s="4" t="s">
        <v>916</v>
      </c>
      <c r="H69" s="4">
        <v>120.853667</v>
      </c>
      <c r="I69" s="4">
        <v>23.810500000000001</v>
      </c>
      <c r="J69" s="4">
        <v>444.54320000000001</v>
      </c>
      <c r="K69" s="4">
        <v>7.7681480000000001</v>
      </c>
      <c r="L69" s="4" t="b">
        <v>0</v>
      </c>
      <c r="M69" s="4" t="s">
        <v>1029</v>
      </c>
      <c r="N69" s="4" t="b">
        <v>1</v>
      </c>
      <c r="O69" s="4">
        <v>3.9129999999999998</v>
      </c>
      <c r="P69" s="4" t="b">
        <v>0</v>
      </c>
      <c r="Q69" s="4">
        <v>446.85599999999999</v>
      </c>
      <c r="R69" s="4">
        <v>270.03199999999998</v>
      </c>
      <c r="S69" s="4">
        <v>231.47900000000001</v>
      </c>
      <c r="T69" s="4">
        <v>51.5732</v>
      </c>
      <c r="U69" s="4">
        <v>18.245000000000001</v>
      </c>
      <c r="V69" s="4">
        <v>24.8508</v>
      </c>
      <c r="W69" s="4">
        <v>14.811199999999999</v>
      </c>
      <c r="X69" s="4">
        <v>7.6578400000000002</v>
      </c>
      <c r="Y69" s="4">
        <v>19.329499999999999</v>
      </c>
      <c r="Z69" s="4">
        <v>-6.6179000000000002E-2</v>
      </c>
      <c r="AA69" s="4">
        <v>2.8392000000000001E-2</v>
      </c>
      <c r="AB69" s="4">
        <v>0.32803199999999999</v>
      </c>
      <c r="AC69" s="1" t="s">
        <v>463</v>
      </c>
      <c r="AD69" s="1" t="s">
        <v>2710</v>
      </c>
      <c r="AE69" s="1" t="s">
        <v>2718</v>
      </c>
      <c r="AF69" s="1">
        <v>6.3</v>
      </c>
      <c r="AG69" s="1" t="s">
        <v>1003</v>
      </c>
      <c r="AH69" s="1">
        <v>23.81</v>
      </c>
      <c r="AI69" s="1">
        <v>120.85</v>
      </c>
      <c r="AJ69" s="1">
        <v>7.8</v>
      </c>
      <c r="AK69" s="1" t="s">
        <v>1028</v>
      </c>
      <c r="AL69" s="1" t="s">
        <v>2809</v>
      </c>
      <c r="AM69" s="1">
        <v>360</v>
      </c>
      <c r="AN69" s="1">
        <v>10</v>
      </c>
      <c r="AO69" s="1">
        <v>80</v>
      </c>
      <c r="AP69" s="1"/>
      <c r="AQ69" s="1"/>
      <c r="AR69" s="1"/>
      <c r="AS69" s="1" t="s">
        <v>2808</v>
      </c>
      <c r="AT69" s="1" t="s">
        <v>731</v>
      </c>
      <c r="AU69" s="1"/>
      <c r="AV69" s="1"/>
      <c r="AW69" s="1"/>
      <c r="AX69" s="1"/>
      <c r="AY69" s="1"/>
      <c r="AZ69" s="1" t="s">
        <v>2812</v>
      </c>
      <c r="BA69" t="s">
        <v>2837</v>
      </c>
    </row>
    <row r="70" spans="1:53" ht="19" customHeight="1">
      <c r="A70" s="4" t="s">
        <v>1065</v>
      </c>
      <c r="B70" s="4">
        <v>23.81</v>
      </c>
      <c r="C70" s="4">
        <v>120.85</v>
      </c>
      <c r="D70" s="4">
        <v>7.8</v>
      </c>
      <c r="E70" s="4">
        <v>6.3</v>
      </c>
      <c r="F70" s="4" t="s">
        <v>1028</v>
      </c>
      <c r="G70" s="4" t="s">
        <v>1066</v>
      </c>
      <c r="H70" s="4">
        <v>120.58880000000001</v>
      </c>
      <c r="I70" s="4">
        <v>23.855699999999999</v>
      </c>
      <c r="J70" s="4">
        <v>463.25</v>
      </c>
      <c r="K70" s="4">
        <v>21.2972</v>
      </c>
      <c r="L70" s="4" t="b">
        <v>1</v>
      </c>
      <c r="M70" s="4">
        <v>2.4359999999999999</v>
      </c>
      <c r="N70" s="4" t="b">
        <v>0</v>
      </c>
      <c r="O70" s="4" t="s">
        <v>1029</v>
      </c>
      <c r="P70" s="4" t="b">
        <v>0</v>
      </c>
      <c r="Q70" s="4">
        <v>104.988021</v>
      </c>
      <c r="R70" s="4">
        <v>111.076228</v>
      </c>
      <c r="S70" s="4">
        <v>82.687289000000007</v>
      </c>
      <c r="T70" s="4">
        <v>36.622079999999997</v>
      </c>
      <c r="U70" s="4">
        <v>17.510739999999998</v>
      </c>
      <c r="V70" s="4">
        <v>24.393084999999999</v>
      </c>
      <c r="W70" s="4">
        <v>15.904033999999999</v>
      </c>
      <c r="X70" s="4">
        <v>5.6727069999999999</v>
      </c>
      <c r="Y70" s="4">
        <v>17.558788</v>
      </c>
      <c r="Z70" s="4">
        <v>3.1312E-2</v>
      </c>
      <c r="AA70" s="4">
        <v>1.7017000000000001E-2</v>
      </c>
      <c r="AB70" s="4">
        <v>0.10449799999999999</v>
      </c>
      <c r="AC70" s="1" t="s">
        <v>463</v>
      </c>
      <c r="AD70" s="1" t="s">
        <v>2710</v>
      </c>
      <c r="AE70" s="1" t="s">
        <v>2718</v>
      </c>
      <c r="AF70" s="1">
        <v>6.3</v>
      </c>
      <c r="AG70" s="1" t="s">
        <v>1003</v>
      </c>
      <c r="AH70" s="1">
        <v>23.81</v>
      </c>
      <c r="AI70" s="1">
        <v>120.85</v>
      </c>
      <c r="AJ70" s="1">
        <v>7.8</v>
      </c>
      <c r="AK70" s="1" t="s">
        <v>1028</v>
      </c>
      <c r="AL70" s="1" t="s">
        <v>2809</v>
      </c>
      <c r="AM70" s="1">
        <v>360</v>
      </c>
      <c r="AN70" s="1">
        <v>10</v>
      </c>
      <c r="AO70" s="1">
        <v>80</v>
      </c>
      <c r="AP70" s="1"/>
      <c r="AQ70" s="1"/>
      <c r="AR70" s="1"/>
      <c r="AS70" s="1" t="s">
        <v>2808</v>
      </c>
      <c r="AT70" s="1" t="s">
        <v>731</v>
      </c>
      <c r="AU70" s="1"/>
      <c r="AV70" s="1"/>
      <c r="AW70" s="1"/>
      <c r="AX70" s="1"/>
      <c r="AY70" s="1"/>
      <c r="AZ70" s="1" t="s">
        <v>2812</v>
      </c>
      <c r="BA70" t="s">
        <v>2837</v>
      </c>
    </row>
    <row r="71" spans="1:53" ht="19" customHeight="1">
      <c r="A71" s="4" t="s">
        <v>1065</v>
      </c>
      <c r="B71" s="4">
        <v>23.81</v>
      </c>
      <c r="C71" s="4">
        <v>120.85</v>
      </c>
      <c r="D71" s="4">
        <v>7.8</v>
      </c>
      <c r="E71" s="4">
        <v>6.3</v>
      </c>
      <c r="F71" s="4" t="s">
        <v>1028</v>
      </c>
      <c r="G71" s="4" t="s">
        <v>1067</v>
      </c>
      <c r="H71" s="4">
        <v>120.602833</v>
      </c>
      <c r="I71" s="4">
        <v>23.920500000000001</v>
      </c>
      <c r="J71" s="4">
        <v>604.2296</v>
      </c>
      <c r="K71" s="4">
        <v>21.404492999999999</v>
      </c>
      <c r="L71" s="4" t="b">
        <v>1</v>
      </c>
      <c r="M71" s="4">
        <v>2.1168</v>
      </c>
      <c r="N71" s="4" t="b">
        <v>0</v>
      </c>
      <c r="O71" s="4" t="s">
        <v>1029</v>
      </c>
      <c r="P71" s="4" t="b">
        <v>0</v>
      </c>
      <c r="Q71" s="4">
        <v>132.55000000000001</v>
      </c>
      <c r="R71" s="4">
        <v>125.357</v>
      </c>
      <c r="S71" s="4">
        <v>77.361000000000004</v>
      </c>
      <c r="T71" s="4">
        <v>27.050799999999999</v>
      </c>
      <c r="U71" s="4">
        <v>13.4458</v>
      </c>
      <c r="V71" s="4">
        <v>20.361899999999999</v>
      </c>
      <c r="W71" s="4">
        <v>11.0228</v>
      </c>
      <c r="X71" s="4">
        <v>8.0085800000000003</v>
      </c>
      <c r="Y71" s="4">
        <v>9.4161999999999999</v>
      </c>
      <c r="Z71" s="4">
        <v>0.10721600000000001</v>
      </c>
      <c r="AA71" s="4">
        <v>0.26895200000000002</v>
      </c>
      <c r="AB71" s="4">
        <v>-7.5920000000000001E-2</v>
      </c>
      <c r="AC71" s="1" t="s">
        <v>463</v>
      </c>
      <c r="AD71" s="1" t="s">
        <v>2710</v>
      </c>
      <c r="AE71" s="1" t="s">
        <v>2718</v>
      </c>
      <c r="AF71" s="1">
        <v>6.3</v>
      </c>
      <c r="AG71" s="1" t="s">
        <v>1003</v>
      </c>
      <c r="AH71" s="1">
        <v>23.81</v>
      </c>
      <c r="AI71" s="1">
        <v>120.85</v>
      </c>
      <c r="AJ71" s="1">
        <v>7.8</v>
      </c>
      <c r="AK71" s="1" t="s">
        <v>1028</v>
      </c>
      <c r="AL71" s="1" t="s">
        <v>2809</v>
      </c>
      <c r="AM71" s="1">
        <v>360</v>
      </c>
      <c r="AN71" s="1">
        <v>10</v>
      </c>
      <c r="AO71" s="1">
        <v>80</v>
      </c>
      <c r="AP71" s="1"/>
      <c r="AQ71" s="1"/>
      <c r="AR71" s="1"/>
      <c r="AS71" s="1" t="s">
        <v>2808</v>
      </c>
      <c r="AT71" s="1" t="s">
        <v>731</v>
      </c>
      <c r="AU71" s="1"/>
      <c r="AV71" s="1"/>
      <c r="AW71" s="1"/>
      <c r="AX71" s="1"/>
      <c r="AY71" s="1"/>
      <c r="AZ71" s="1" t="s">
        <v>2812</v>
      </c>
      <c r="BA71" t="s">
        <v>2837</v>
      </c>
    </row>
    <row r="72" spans="1:53" ht="19" customHeight="1">
      <c r="A72" s="4" t="s">
        <v>478</v>
      </c>
      <c r="B72" s="4">
        <v>23.864999999999998</v>
      </c>
      <c r="C72" s="4">
        <v>121.0395</v>
      </c>
      <c r="D72" s="4">
        <v>19.079999999999998</v>
      </c>
      <c r="E72" s="4">
        <v>6.19</v>
      </c>
      <c r="F72" s="4" t="s">
        <v>1028</v>
      </c>
      <c r="G72" s="4" t="s">
        <v>894</v>
      </c>
      <c r="H72" s="4">
        <v>120.699833</v>
      </c>
      <c r="I72" s="4">
        <v>24.056166999999999</v>
      </c>
      <c r="J72" s="4">
        <v>290.10730000000001</v>
      </c>
      <c r="K72" s="4">
        <v>34.324221000000001</v>
      </c>
      <c r="L72" s="4" t="b">
        <v>1</v>
      </c>
      <c r="M72" s="4">
        <v>1.806</v>
      </c>
      <c r="N72" s="4" t="b">
        <v>0</v>
      </c>
      <c r="O72" s="4" t="s">
        <v>1029</v>
      </c>
      <c r="P72" s="4" t="b">
        <v>0</v>
      </c>
      <c r="Q72" s="4">
        <v>180.25800000000001</v>
      </c>
      <c r="R72" s="4">
        <v>169.18299999999999</v>
      </c>
      <c r="S72" s="4">
        <v>43.634</v>
      </c>
      <c r="T72" s="4">
        <v>39.633899999999997</v>
      </c>
      <c r="U72" s="4">
        <v>36.973999999999997</v>
      </c>
      <c r="V72" s="4">
        <v>11.5921</v>
      </c>
      <c r="W72" s="4">
        <v>12.9453</v>
      </c>
      <c r="X72" s="4">
        <v>9.0989100000000001</v>
      </c>
      <c r="Y72" s="4">
        <v>4.1209199999999999</v>
      </c>
      <c r="Z72" s="4">
        <v>-1.8911000000000001E-2</v>
      </c>
      <c r="AA72" s="4">
        <v>5.0233E-2</v>
      </c>
      <c r="AB72" s="4">
        <v>4.2313999999999997E-2</v>
      </c>
      <c r="AC72" s="1" t="s">
        <v>477</v>
      </c>
      <c r="AD72" s="1" t="s">
        <v>2839</v>
      </c>
      <c r="AE72" s="1" t="s">
        <v>2840</v>
      </c>
      <c r="AF72" s="1">
        <v>6.19</v>
      </c>
      <c r="AG72" s="1" t="s">
        <v>1003</v>
      </c>
      <c r="AH72" s="1">
        <v>23.864999999999998</v>
      </c>
      <c r="AI72" s="1">
        <v>121.0395</v>
      </c>
      <c r="AJ72" s="1">
        <v>19.079999999999998</v>
      </c>
      <c r="AK72" s="1" t="s">
        <v>1028</v>
      </c>
      <c r="AL72" s="1" t="s">
        <v>2809</v>
      </c>
      <c r="AM72" s="1">
        <v>165</v>
      </c>
      <c r="AN72" s="1">
        <v>70</v>
      </c>
      <c r="AO72" s="1">
        <v>100</v>
      </c>
      <c r="AP72" s="1"/>
      <c r="AQ72" s="1"/>
      <c r="AR72" s="1"/>
      <c r="AS72" s="1" t="s">
        <v>2808</v>
      </c>
      <c r="AT72" s="1" t="s">
        <v>731</v>
      </c>
      <c r="AU72" s="1"/>
      <c r="AV72" s="1"/>
      <c r="AW72" s="1"/>
      <c r="AX72" s="1"/>
      <c r="AY72" s="1"/>
      <c r="AZ72" s="1" t="s">
        <v>2812</v>
      </c>
      <c r="BA72" t="s">
        <v>2842</v>
      </c>
    </row>
    <row r="73" spans="1:53" ht="19" customHeight="1">
      <c r="A73" s="4" t="s">
        <v>478</v>
      </c>
      <c r="B73" s="4">
        <v>23.864999999999998</v>
      </c>
      <c r="C73" s="4">
        <v>121.0395</v>
      </c>
      <c r="D73" s="4">
        <v>19.079999999999998</v>
      </c>
      <c r="E73" s="4">
        <v>6.19</v>
      </c>
      <c r="F73" s="4" t="s">
        <v>1028</v>
      </c>
      <c r="G73" s="4" t="s">
        <v>1068</v>
      </c>
      <c r="H73" s="4">
        <v>120.728167</v>
      </c>
      <c r="I73" s="4">
        <v>24.09</v>
      </c>
      <c r="J73" s="4">
        <v>440.3023</v>
      </c>
      <c r="K73" s="4">
        <v>34.237143000000003</v>
      </c>
      <c r="L73" s="4" t="b">
        <v>1</v>
      </c>
      <c r="M73" s="4">
        <v>1.379</v>
      </c>
      <c r="N73" s="4" t="b">
        <v>0</v>
      </c>
      <c r="O73" s="4" t="s">
        <v>1029</v>
      </c>
      <c r="P73" s="4" t="b">
        <v>0</v>
      </c>
      <c r="Q73" s="4">
        <v>280.69400000000002</v>
      </c>
      <c r="R73" s="4">
        <v>172.559</v>
      </c>
      <c r="S73" s="4">
        <v>109.971</v>
      </c>
      <c r="T73" s="4">
        <v>41.770699999999998</v>
      </c>
      <c r="U73" s="4">
        <v>22.842700000000001</v>
      </c>
      <c r="V73" s="4">
        <v>8.0526099999999996</v>
      </c>
      <c r="W73" s="4">
        <v>8.2027800000000006</v>
      </c>
      <c r="X73" s="4">
        <v>3.3602500000000002</v>
      </c>
      <c r="Y73" s="4">
        <v>3.5007899999999998</v>
      </c>
      <c r="Z73" s="4">
        <v>1.108E-3</v>
      </c>
      <c r="AA73" s="4">
        <v>-2.9024999999999999E-2</v>
      </c>
      <c r="AB73" s="4">
        <v>-5.6480000000000002E-2</v>
      </c>
      <c r="AC73" s="1" t="s">
        <v>477</v>
      </c>
      <c r="AD73" s="1" t="s">
        <v>2839</v>
      </c>
      <c r="AE73" s="1" t="s">
        <v>2840</v>
      </c>
      <c r="AF73" s="1">
        <v>6.19</v>
      </c>
      <c r="AG73" s="1" t="s">
        <v>1003</v>
      </c>
      <c r="AH73" s="1">
        <v>23.864999999999998</v>
      </c>
      <c r="AI73" s="1">
        <v>121.0395</v>
      </c>
      <c r="AJ73" s="1">
        <v>19.079999999999998</v>
      </c>
      <c r="AK73" s="1" t="s">
        <v>1028</v>
      </c>
      <c r="AL73" s="1" t="s">
        <v>2809</v>
      </c>
      <c r="AM73" s="1">
        <v>165</v>
      </c>
      <c r="AN73" s="1">
        <v>70</v>
      </c>
      <c r="AO73" s="1">
        <v>100</v>
      </c>
      <c r="AP73" s="1"/>
      <c r="AQ73" s="1"/>
      <c r="AR73" s="1"/>
      <c r="AS73" s="1" t="s">
        <v>2808</v>
      </c>
      <c r="AT73" s="1" t="s">
        <v>731</v>
      </c>
      <c r="AU73" s="1"/>
      <c r="AV73" s="1"/>
      <c r="AW73" s="1"/>
      <c r="AX73" s="1"/>
      <c r="AY73" s="1"/>
      <c r="AZ73" s="1" t="s">
        <v>2812</v>
      </c>
      <c r="BA73" t="s">
        <v>2842</v>
      </c>
    </row>
    <row r="74" spans="1:53" ht="19" customHeight="1">
      <c r="A74" s="4" t="s">
        <v>478</v>
      </c>
      <c r="B74" s="4">
        <v>23.864999999999998</v>
      </c>
      <c r="C74" s="4">
        <v>121.0395</v>
      </c>
      <c r="D74" s="4">
        <v>19.079999999999998</v>
      </c>
      <c r="E74" s="4">
        <v>6.19</v>
      </c>
      <c r="F74" s="4" t="s">
        <v>1028</v>
      </c>
      <c r="G74" s="4" t="s">
        <v>1069</v>
      </c>
      <c r="H74" s="4">
        <v>120.79516700000001</v>
      </c>
      <c r="I74" s="4">
        <v>23.984000000000002</v>
      </c>
      <c r="J74" s="4">
        <v>614.75409999999999</v>
      </c>
      <c r="K74" s="4">
        <v>23.748746000000001</v>
      </c>
      <c r="L74" s="4" t="b">
        <v>1</v>
      </c>
      <c r="M74" s="4">
        <v>1.736</v>
      </c>
      <c r="N74" s="4" t="b">
        <v>0</v>
      </c>
      <c r="O74" s="4" t="s">
        <v>1029</v>
      </c>
      <c r="P74" s="4" t="b">
        <v>0</v>
      </c>
      <c r="Q74" s="4">
        <v>363.29199999999997</v>
      </c>
      <c r="R74" s="4">
        <v>172.584</v>
      </c>
      <c r="S74" s="4">
        <v>76.289000000000001</v>
      </c>
      <c r="T74" s="4">
        <v>36.048299999999998</v>
      </c>
      <c r="U74" s="4">
        <v>13.565799999999999</v>
      </c>
      <c r="V74" s="4">
        <v>8.5589399999999998</v>
      </c>
      <c r="W74" s="4">
        <v>8.7649600000000003</v>
      </c>
      <c r="X74" s="4">
        <v>2.7779699999999998</v>
      </c>
      <c r="Y74" s="4">
        <v>5.0506399999999996</v>
      </c>
      <c r="Z74" s="4">
        <v>5.4665999999999999E-2</v>
      </c>
      <c r="AA74" s="4">
        <v>2.2440000000000002E-2</v>
      </c>
      <c r="AB74" s="4">
        <v>-6.2490000000000002E-3</v>
      </c>
      <c r="AC74" s="1" t="s">
        <v>477</v>
      </c>
      <c r="AD74" s="1" t="s">
        <v>2839</v>
      </c>
      <c r="AE74" s="1" t="s">
        <v>2840</v>
      </c>
      <c r="AF74" s="1">
        <v>6.19</v>
      </c>
      <c r="AG74" s="1" t="s">
        <v>1003</v>
      </c>
      <c r="AH74" s="1">
        <v>23.864999999999998</v>
      </c>
      <c r="AI74" s="1">
        <v>121.0395</v>
      </c>
      <c r="AJ74" s="1">
        <v>19.079999999999998</v>
      </c>
      <c r="AK74" s="1" t="s">
        <v>1028</v>
      </c>
      <c r="AL74" s="1" t="s">
        <v>2809</v>
      </c>
      <c r="AM74" s="1">
        <v>165</v>
      </c>
      <c r="AN74" s="1">
        <v>70</v>
      </c>
      <c r="AO74" s="1">
        <v>100</v>
      </c>
      <c r="AP74" s="1"/>
      <c r="AQ74" s="1"/>
      <c r="AR74" s="1"/>
      <c r="AS74" s="1" t="s">
        <v>2808</v>
      </c>
      <c r="AT74" s="1" t="s">
        <v>731</v>
      </c>
      <c r="AU74" s="1"/>
      <c r="AV74" s="1"/>
      <c r="AW74" s="1"/>
      <c r="AX74" s="1"/>
      <c r="AY74" s="1"/>
      <c r="AZ74" s="1" t="s">
        <v>2812</v>
      </c>
      <c r="BA74" t="s">
        <v>2842</v>
      </c>
    </row>
    <row r="75" spans="1:53" ht="19" customHeight="1">
      <c r="A75" s="4" t="s">
        <v>478</v>
      </c>
      <c r="B75" s="4">
        <v>23.864999999999998</v>
      </c>
      <c r="C75" s="4">
        <v>121.0395</v>
      </c>
      <c r="D75" s="4">
        <v>19.079999999999998</v>
      </c>
      <c r="E75" s="4">
        <v>6.19</v>
      </c>
      <c r="F75" s="4" t="s">
        <v>1028</v>
      </c>
      <c r="G75" s="4" t="s">
        <v>1070</v>
      </c>
      <c r="H75" s="4">
        <v>120.90216700000001</v>
      </c>
      <c r="I75" s="4">
        <v>23.836832999999999</v>
      </c>
      <c r="J75" s="4">
        <v>353.94049999999999</v>
      </c>
      <c r="K75" s="4">
        <v>17.002390999999999</v>
      </c>
      <c r="L75" s="4" t="b">
        <v>1</v>
      </c>
      <c r="M75" s="4">
        <v>0.61599999999999999</v>
      </c>
      <c r="N75" s="4" t="b">
        <v>0</v>
      </c>
      <c r="O75" s="4" t="s">
        <v>1029</v>
      </c>
      <c r="P75" s="4" t="b">
        <v>0</v>
      </c>
      <c r="Q75" s="4">
        <v>471.51100000000002</v>
      </c>
      <c r="R75" s="4">
        <v>384.82100000000003</v>
      </c>
      <c r="S75" s="4">
        <v>293.44400000000002</v>
      </c>
      <c r="T75" s="4">
        <v>35.181800000000003</v>
      </c>
      <c r="U75" s="4">
        <v>29.2119</v>
      </c>
      <c r="V75" s="4">
        <v>12.641500000000001</v>
      </c>
      <c r="W75" s="4">
        <v>4.4584700000000002</v>
      </c>
      <c r="X75" s="4">
        <v>5.5718100000000002</v>
      </c>
      <c r="Y75" s="4">
        <v>5.2128800000000002</v>
      </c>
      <c r="Z75" s="4">
        <v>0.11744400000000001</v>
      </c>
      <c r="AA75" s="4">
        <v>-0.12903000000000001</v>
      </c>
      <c r="AB75" s="4">
        <v>0.23965700000000001</v>
      </c>
      <c r="AC75" s="1" t="s">
        <v>477</v>
      </c>
      <c r="AD75" s="1" t="s">
        <v>2839</v>
      </c>
      <c r="AE75" s="1" t="s">
        <v>2840</v>
      </c>
      <c r="AF75" s="1">
        <v>6.19</v>
      </c>
      <c r="AG75" s="1" t="s">
        <v>1003</v>
      </c>
      <c r="AH75" s="1">
        <v>23.864999999999998</v>
      </c>
      <c r="AI75" s="1">
        <v>121.0395</v>
      </c>
      <c r="AJ75" s="1">
        <v>19.079999999999998</v>
      </c>
      <c r="AK75" s="1" t="s">
        <v>1028</v>
      </c>
      <c r="AL75" s="1" t="s">
        <v>2809</v>
      </c>
      <c r="AM75" s="1">
        <v>165</v>
      </c>
      <c r="AN75" s="1">
        <v>70</v>
      </c>
      <c r="AO75" s="1">
        <v>100</v>
      </c>
      <c r="AP75" s="1"/>
      <c r="AQ75" s="1"/>
      <c r="AR75" s="1"/>
      <c r="AS75" s="1" t="s">
        <v>2808</v>
      </c>
      <c r="AT75" s="1" t="s">
        <v>731</v>
      </c>
      <c r="AU75" s="1"/>
      <c r="AV75" s="1"/>
      <c r="AW75" s="1"/>
      <c r="AX75" s="1"/>
      <c r="AY75" s="1"/>
      <c r="AZ75" s="1" t="s">
        <v>2812</v>
      </c>
      <c r="BA75" t="s">
        <v>2842</v>
      </c>
    </row>
    <row r="76" spans="1:53" ht="19" customHeight="1">
      <c r="A76" s="4" t="s">
        <v>478</v>
      </c>
      <c r="B76" s="4">
        <v>23.864999999999998</v>
      </c>
      <c r="C76" s="4">
        <v>121.0395</v>
      </c>
      <c r="D76" s="4">
        <v>19.079999999999998</v>
      </c>
      <c r="E76" s="4">
        <v>6.19</v>
      </c>
      <c r="F76" s="4" t="s">
        <v>1028</v>
      </c>
      <c r="G76" s="4" t="s">
        <v>1071</v>
      </c>
      <c r="H76" s="4">
        <v>120.90816700000001</v>
      </c>
      <c r="I76" s="4">
        <v>23.881333000000001</v>
      </c>
      <c r="J76" s="4">
        <v>733.78</v>
      </c>
      <c r="K76" s="4">
        <v>15.919055</v>
      </c>
      <c r="L76" s="4" t="b">
        <v>1</v>
      </c>
      <c r="M76" s="4">
        <v>1.4350000000000001</v>
      </c>
      <c r="N76" s="4" t="b">
        <v>0</v>
      </c>
      <c r="O76" s="4" t="s">
        <v>1029</v>
      </c>
      <c r="P76" s="4" t="b">
        <v>0</v>
      </c>
      <c r="Q76" s="4">
        <v>310.37799999999999</v>
      </c>
      <c r="R76" s="4">
        <v>207.85</v>
      </c>
      <c r="S76" s="4">
        <v>119.062</v>
      </c>
      <c r="T76" s="4">
        <v>50.557400000000001</v>
      </c>
      <c r="U76" s="4">
        <v>39.273899999999998</v>
      </c>
      <c r="V76" s="4">
        <v>15.882400000000001</v>
      </c>
      <c r="W76" s="4">
        <v>12.795500000000001</v>
      </c>
      <c r="X76" s="4">
        <v>10.4846</v>
      </c>
      <c r="Y76" s="4">
        <v>6.49003</v>
      </c>
      <c r="Z76" s="4">
        <v>2.1252E-2</v>
      </c>
      <c r="AA76" s="4">
        <v>-1.5706000000000001E-2</v>
      </c>
      <c r="AB76" s="4">
        <v>1.3204E-2</v>
      </c>
      <c r="AC76" s="1" t="s">
        <v>477</v>
      </c>
      <c r="AD76" s="1" t="s">
        <v>2839</v>
      </c>
      <c r="AE76" s="1" t="s">
        <v>2840</v>
      </c>
      <c r="AF76" s="1">
        <v>6.19</v>
      </c>
      <c r="AG76" s="1" t="s">
        <v>1003</v>
      </c>
      <c r="AH76" s="1">
        <v>23.864999999999998</v>
      </c>
      <c r="AI76" s="1">
        <v>121.0395</v>
      </c>
      <c r="AJ76" s="1">
        <v>19.079999999999998</v>
      </c>
      <c r="AK76" s="1" t="s">
        <v>1028</v>
      </c>
      <c r="AL76" s="1" t="s">
        <v>2809</v>
      </c>
      <c r="AM76" s="1">
        <v>165</v>
      </c>
      <c r="AN76" s="1">
        <v>70</v>
      </c>
      <c r="AO76" s="1">
        <v>100</v>
      </c>
      <c r="AP76" s="1"/>
      <c r="AQ76" s="1"/>
      <c r="AR76" s="1"/>
      <c r="AS76" s="1" t="s">
        <v>2808</v>
      </c>
      <c r="AT76" s="1" t="s">
        <v>731</v>
      </c>
      <c r="AU76" s="1"/>
      <c r="AV76" s="1"/>
      <c r="AW76" s="1"/>
      <c r="AX76" s="1"/>
      <c r="AY76" s="1"/>
      <c r="AZ76" s="1" t="s">
        <v>2812</v>
      </c>
      <c r="BA76" t="s">
        <v>2842</v>
      </c>
    </row>
    <row r="77" spans="1:53" ht="19" customHeight="1">
      <c r="A77" s="4" t="s">
        <v>478</v>
      </c>
      <c r="B77" s="4">
        <v>23.864999999999998</v>
      </c>
      <c r="C77" s="4">
        <v>121.0395</v>
      </c>
      <c r="D77" s="4">
        <v>19.079999999999998</v>
      </c>
      <c r="E77" s="4">
        <v>6.19</v>
      </c>
      <c r="F77" s="4" t="s">
        <v>1028</v>
      </c>
      <c r="G77" s="4" t="s">
        <v>1072</v>
      </c>
      <c r="H77" s="4">
        <v>120.659333</v>
      </c>
      <c r="I77" s="4">
        <v>24.134333000000002</v>
      </c>
      <c r="J77" s="4">
        <v>424.43783999999999</v>
      </c>
      <c r="K77" s="4">
        <v>42.084404999999997</v>
      </c>
      <c r="L77" s="4" t="b">
        <v>1</v>
      </c>
      <c r="M77" s="4">
        <v>0.89600000000000002</v>
      </c>
      <c r="N77" s="4" t="b">
        <v>0</v>
      </c>
      <c r="O77" s="4" t="s">
        <v>1029</v>
      </c>
      <c r="P77" s="4" t="b">
        <v>0</v>
      </c>
      <c r="Q77" s="4">
        <v>281.54500000000002</v>
      </c>
      <c r="R77" s="4">
        <v>170.09299999999999</v>
      </c>
      <c r="S77" s="4">
        <v>55.36</v>
      </c>
      <c r="T77" s="4">
        <v>34.902900000000002</v>
      </c>
      <c r="U77" s="4">
        <v>16.6706</v>
      </c>
      <c r="V77" s="4">
        <v>7.6059400000000004</v>
      </c>
      <c r="W77" s="4">
        <v>9.8092400000000008</v>
      </c>
      <c r="X77" s="4">
        <v>6.6225300000000002</v>
      </c>
      <c r="Y77" s="4">
        <v>3.0242499999999999</v>
      </c>
      <c r="Z77" s="4">
        <v>-4.1439999999999998E-2</v>
      </c>
      <c r="AA77" s="4">
        <v>-1.1980000000000001E-3</v>
      </c>
      <c r="AB77" s="4">
        <v>-3.9734999999999999E-2</v>
      </c>
      <c r="AC77" s="1" t="s">
        <v>477</v>
      </c>
      <c r="AD77" s="1" t="s">
        <v>2839</v>
      </c>
      <c r="AE77" s="1" t="s">
        <v>2840</v>
      </c>
      <c r="AF77" s="1">
        <v>6.19</v>
      </c>
      <c r="AG77" s="1" t="s">
        <v>1003</v>
      </c>
      <c r="AH77" s="1">
        <v>23.864999999999998</v>
      </c>
      <c r="AI77" s="1">
        <v>121.0395</v>
      </c>
      <c r="AJ77" s="1">
        <v>19.079999999999998</v>
      </c>
      <c r="AK77" s="1" t="s">
        <v>1028</v>
      </c>
      <c r="AL77" s="1" t="s">
        <v>2809</v>
      </c>
      <c r="AM77" s="1">
        <v>165</v>
      </c>
      <c r="AN77" s="1">
        <v>70</v>
      </c>
      <c r="AO77" s="1">
        <v>100</v>
      </c>
      <c r="AP77" s="1"/>
      <c r="AQ77" s="1"/>
      <c r="AR77" s="1"/>
      <c r="AS77" s="1" t="s">
        <v>2808</v>
      </c>
      <c r="AT77" s="1" t="s">
        <v>731</v>
      </c>
      <c r="AU77" s="1"/>
      <c r="AV77" s="1"/>
      <c r="AW77" s="1"/>
      <c r="AX77" s="1"/>
      <c r="AY77" s="1"/>
      <c r="AZ77" s="1" t="s">
        <v>2812</v>
      </c>
      <c r="BA77" t="s">
        <v>2842</v>
      </c>
    </row>
    <row r="78" spans="1:53" ht="19" customHeight="1">
      <c r="A78" s="4" t="s">
        <v>1073</v>
      </c>
      <c r="B78" s="4">
        <v>23.87</v>
      </c>
      <c r="C78" s="4">
        <v>121.01</v>
      </c>
      <c r="D78" s="4">
        <v>16</v>
      </c>
      <c r="E78" s="4">
        <v>6.49</v>
      </c>
      <c r="F78" s="4" t="s">
        <v>1028</v>
      </c>
      <c r="G78" s="4" t="s">
        <v>865</v>
      </c>
      <c r="H78" s="4">
        <v>120.57033300000001</v>
      </c>
      <c r="I78" s="4">
        <v>23.6845</v>
      </c>
      <c r="J78" s="4">
        <v>252.36590000000001</v>
      </c>
      <c r="K78" s="4">
        <v>35.200077</v>
      </c>
      <c r="L78" s="4" t="b">
        <v>1</v>
      </c>
      <c r="M78" s="4">
        <v>2.7719999999999998</v>
      </c>
      <c r="N78" s="4" t="b">
        <v>0</v>
      </c>
      <c r="O78" s="4" t="s">
        <v>1029</v>
      </c>
      <c r="P78" s="4" t="b">
        <v>0</v>
      </c>
      <c r="Q78" s="4">
        <v>129.89500000000001</v>
      </c>
      <c r="R78" s="4">
        <v>143.36799999999999</v>
      </c>
      <c r="S78" s="4">
        <v>42.575000000000003</v>
      </c>
      <c r="T78" s="4">
        <v>34.4373</v>
      </c>
      <c r="U78" s="4">
        <v>21.005600000000001</v>
      </c>
      <c r="V78" s="4">
        <v>12.9984</v>
      </c>
      <c r="W78" s="4">
        <v>12.505699999999999</v>
      </c>
      <c r="X78" s="4">
        <v>11.659000000000001</v>
      </c>
      <c r="Y78" s="4">
        <v>7.4922000000000004</v>
      </c>
      <c r="Z78" s="4">
        <v>-0.28503800000000001</v>
      </c>
      <c r="AA78" s="4">
        <v>3.2010700000000001</v>
      </c>
      <c r="AB78" s="4">
        <v>1.54565</v>
      </c>
      <c r="AC78" s="1" t="s">
        <v>484</v>
      </c>
      <c r="AD78" s="1" t="s">
        <v>2722</v>
      </c>
      <c r="AE78" s="1" t="s">
        <v>2723</v>
      </c>
      <c r="AF78" s="1">
        <v>6.49</v>
      </c>
      <c r="AG78" s="1" t="s">
        <v>1003</v>
      </c>
      <c r="AH78" s="1">
        <v>23.87</v>
      </c>
      <c r="AI78" s="1">
        <v>121.01</v>
      </c>
      <c r="AJ78" s="1">
        <v>16</v>
      </c>
      <c r="AK78" s="1" t="s">
        <v>1028</v>
      </c>
      <c r="AL78" s="1" t="s">
        <v>2809</v>
      </c>
      <c r="AM78" s="1">
        <v>5</v>
      </c>
      <c r="AN78" s="1">
        <v>30</v>
      </c>
      <c r="AO78" s="1">
        <v>100</v>
      </c>
      <c r="AP78" s="1"/>
      <c r="AQ78" s="1"/>
      <c r="AR78" s="1"/>
      <c r="AS78" s="1" t="s">
        <v>2808</v>
      </c>
      <c r="AT78" s="1" t="s">
        <v>731</v>
      </c>
      <c r="AU78" s="1"/>
      <c r="AV78" s="1"/>
      <c r="AW78" s="1"/>
      <c r="AX78" s="1"/>
      <c r="AY78" s="1"/>
      <c r="AZ78" s="1" t="s">
        <v>2812</v>
      </c>
      <c r="BA78" t="s">
        <v>2843</v>
      </c>
    </row>
    <row r="79" spans="1:53" ht="19" customHeight="1">
      <c r="A79" s="4" t="s">
        <v>1073</v>
      </c>
      <c r="B79" s="4">
        <v>23.87</v>
      </c>
      <c r="C79" s="4">
        <v>121.01</v>
      </c>
      <c r="D79" s="4">
        <v>16</v>
      </c>
      <c r="E79" s="4">
        <v>6.49</v>
      </c>
      <c r="F79" s="4" t="s">
        <v>1028</v>
      </c>
      <c r="G79" s="4" t="s">
        <v>916</v>
      </c>
      <c r="H79" s="4">
        <v>120.853667</v>
      </c>
      <c r="I79" s="4">
        <v>23.810500000000001</v>
      </c>
      <c r="J79" s="4">
        <v>444.54320000000001</v>
      </c>
      <c r="K79" s="4">
        <v>11.127146</v>
      </c>
      <c r="L79" s="4" t="b">
        <v>1</v>
      </c>
      <c r="M79" s="4">
        <v>4.1509999999999998</v>
      </c>
      <c r="N79" s="4" t="b">
        <v>0</v>
      </c>
      <c r="O79" s="4" t="s">
        <v>1029</v>
      </c>
      <c r="P79" s="4" t="b">
        <v>0</v>
      </c>
      <c r="Q79" s="4">
        <v>261.21300000000002</v>
      </c>
      <c r="R79" s="4">
        <v>379.95100000000002</v>
      </c>
      <c r="S79" s="4">
        <v>305.65800000000002</v>
      </c>
      <c r="T79" s="4">
        <v>40.341999999999999</v>
      </c>
      <c r="U79" s="4">
        <v>34.754399999999997</v>
      </c>
      <c r="V79" s="4">
        <v>21.791599999999999</v>
      </c>
      <c r="W79" s="4">
        <v>14.7159</v>
      </c>
      <c r="X79" s="4">
        <v>8.0892300000000006</v>
      </c>
      <c r="Y79" s="4">
        <v>14.404999999999999</v>
      </c>
      <c r="Z79" s="4">
        <v>5.4549E-2</v>
      </c>
      <c r="AA79" s="4">
        <v>-2.7330000000000002E-3</v>
      </c>
      <c r="AB79" s="4">
        <v>-2.9776E-2</v>
      </c>
      <c r="AC79" s="1" t="s">
        <v>484</v>
      </c>
      <c r="AD79" s="1" t="s">
        <v>2722</v>
      </c>
      <c r="AE79" s="1" t="s">
        <v>2723</v>
      </c>
      <c r="AF79" s="1">
        <v>6.49</v>
      </c>
      <c r="AG79" s="1" t="s">
        <v>1003</v>
      </c>
      <c r="AH79" s="1">
        <v>23.87</v>
      </c>
      <c r="AI79" s="1">
        <v>121.01</v>
      </c>
      <c r="AJ79" s="1">
        <v>16</v>
      </c>
      <c r="AK79" s="1" t="s">
        <v>1028</v>
      </c>
      <c r="AL79" s="1" t="s">
        <v>2809</v>
      </c>
      <c r="AM79" s="1">
        <v>5</v>
      </c>
      <c r="AN79" s="1">
        <v>30</v>
      </c>
      <c r="AO79" s="1">
        <v>100</v>
      </c>
      <c r="AP79" s="1"/>
      <c r="AQ79" s="1"/>
      <c r="AR79" s="1"/>
      <c r="AS79" s="1" t="s">
        <v>2808</v>
      </c>
      <c r="AT79" s="1" t="s">
        <v>731</v>
      </c>
      <c r="AU79" s="1"/>
      <c r="AV79" s="1"/>
      <c r="AW79" s="1"/>
      <c r="AX79" s="1"/>
      <c r="AY79" s="1"/>
      <c r="AZ79" s="1" t="s">
        <v>2812</v>
      </c>
      <c r="BA79" t="s">
        <v>2843</v>
      </c>
    </row>
    <row r="80" spans="1:53" ht="19" customHeight="1">
      <c r="A80" s="4" t="s">
        <v>1073</v>
      </c>
      <c r="B80" s="4">
        <v>23.87</v>
      </c>
      <c r="C80" s="4">
        <v>121.01</v>
      </c>
      <c r="D80" s="4">
        <v>16</v>
      </c>
      <c r="E80" s="4">
        <v>6.49</v>
      </c>
      <c r="F80" s="4" t="s">
        <v>1028</v>
      </c>
      <c r="G80" s="4" t="s">
        <v>1070</v>
      </c>
      <c r="H80" s="4">
        <v>120.90216700000001</v>
      </c>
      <c r="I80" s="4">
        <v>23.836832999999999</v>
      </c>
      <c r="J80" s="4">
        <v>353.94049999999999</v>
      </c>
      <c r="K80" s="4">
        <v>10.002064000000001</v>
      </c>
      <c r="L80" s="4" t="b">
        <v>1</v>
      </c>
      <c r="M80" s="4">
        <v>0.79100000000000004</v>
      </c>
      <c r="N80" s="4" t="b">
        <v>0</v>
      </c>
      <c r="O80" s="4" t="s">
        <v>1029</v>
      </c>
      <c r="P80" s="4" t="b">
        <v>0</v>
      </c>
      <c r="Q80" s="4">
        <v>777.702</v>
      </c>
      <c r="R80" s="4">
        <v>600.048</v>
      </c>
      <c r="S80" s="4">
        <v>573.06600000000003</v>
      </c>
      <c r="T80" s="4">
        <v>49.3523</v>
      </c>
      <c r="U80" s="4">
        <v>30.1387</v>
      </c>
      <c r="V80" s="4">
        <v>17.288399999999999</v>
      </c>
      <c r="W80" s="4">
        <v>10.1846</v>
      </c>
      <c r="X80" s="4">
        <v>5.2798800000000004</v>
      </c>
      <c r="Y80" s="4">
        <v>5.3944200000000002</v>
      </c>
      <c r="Z80" s="4">
        <v>0.27193800000000001</v>
      </c>
      <c r="AA80" s="4">
        <v>-2.2804999999999999E-2</v>
      </c>
      <c r="AB80" s="4">
        <v>-6.9980000000000001E-2</v>
      </c>
      <c r="AC80" s="1" t="s">
        <v>484</v>
      </c>
      <c r="AD80" s="1" t="s">
        <v>2722</v>
      </c>
      <c r="AE80" s="1" t="s">
        <v>2723</v>
      </c>
      <c r="AF80" s="1">
        <v>6.49</v>
      </c>
      <c r="AG80" s="1" t="s">
        <v>1003</v>
      </c>
      <c r="AH80" s="1">
        <v>23.87</v>
      </c>
      <c r="AI80" s="1">
        <v>121.01</v>
      </c>
      <c r="AJ80" s="1">
        <v>16</v>
      </c>
      <c r="AK80" s="1" t="s">
        <v>1028</v>
      </c>
      <c r="AL80" s="1" t="s">
        <v>2809</v>
      </c>
      <c r="AM80" s="1">
        <v>5</v>
      </c>
      <c r="AN80" s="1">
        <v>30</v>
      </c>
      <c r="AO80" s="1">
        <v>100</v>
      </c>
      <c r="AP80" s="1"/>
      <c r="AQ80" s="1"/>
      <c r="AR80" s="1"/>
      <c r="AS80" s="1" t="s">
        <v>2808</v>
      </c>
      <c r="AT80" s="1" t="s">
        <v>731</v>
      </c>
      <c r="AU80" s="1"/>
      <c r="AV80" s="1"/>
      <c r="AW80" s="1"/>
      <c r="AX80" s="1"/>
      <c r="AY80" s="1"/>
      <c r="AZ80" s="1" t="s">
        <v>2812</v>
      </c>
      <c r="BA80" t="s">
        <v>2843</v>
      </c>
    </row>
    <row r="81" spans="1:53" ht="19" customHeight="1">
      <c r="A81" s="4" t="s">
        <v>1073</v>
      </c>
      <c r="B81" s="4">
        <v>23.87</v>
      </c>
      <c r="C81" s="4">
        <v>121.01</v>
      </c>
      <c r="D81" s="4">
        <v>16</v>
      </c>
      <c r="E81" s="4">
        <v>6.49</v>
      </c>
      <c r="F81" s="4" t="s">
        <v>1028</v>
      </c>
      <c r="G81" s="4" t="s">
        <v>918</v>
      </c>
      <c r="H81" s="4">
        <v>120.937833</v>
      </c>
      <c r="I81" s="4">
        <v>23.9</v>
      </c>
      <c r="J81" s="4">
        <v>654.37</v>
      </c>
      <c r="K81" s="4">
        <v>10.383259000000001</v>
      </c>
      <c r="L81" s="4" t="b">
        <v>1</v>
      </c>
      <c r="M81" s="4">
        <v>1.022</v>
      </c>
      <c r="N81" s="4" t="b">
        <v>0</v>
      </c>
      <c r="O81" s="4" t="s">
        <v>1029</v>
      </c>
      <c r="P81" s="4" t="b">
        <v>0</v>
      </c>
      <c r="Q81" s="4">
        <v>462.03699999999998</v>
      </c>
      <c r="R81" s="4">
        <v>529.35599999999999</v>
      </c>
      <c r="S81" s="4">
        <v>470.63499999999999</v>
      </c>
      <c r="T81" s="4">
        <v>29.254200000000001</v>
      </c>
      <c r="U81" s="4">
        <v>36.128999999999998</v>
      </c>
      <c r="V81" s="4">
        <v>12.0869</v>
      </c>
      <c r="W81" s="4">
        <v>5.7306999999999997</v>
      </c>
      <c r="X81" s="4">
        <v>5.9131200000000002</v>
      </c>
      <c r="Y81" s="4">
        <v>4.2798600000000002</v>
      </c>
      <c r="Z81" s="4">
        <v>-4.0819999999999997E-3</v>
      </c>
      <c r="AA81" s="4">
        <v>-6.0270000000000002E-3</v>
      </c>
      <c r="AB81" s="4">
        <v>-3.6779999999999998E-3</v>
      </c>
      <c r="AC81" s="1" t="s">
        <v>484</v>
      </c>
      <c r="AD81" s="1" t="s">
        <v>2722</v>
      </c>
      <c r="AE81" s="1" t="s">
        <v>2723</v>
      </c>
      <c r="AF81" s="1">
        <v>6.49</v>
      </c>
      <c r="AG81" s="1" t="s">
        <v>1003</v>
      </c>
      <c r="AH81" s="1">
        <v>23.87</v>
      </c>
      <c r="AI81" s="1">
        <v>121.01</v>
      </c>
      <c r="AJ81" s="1">
        <v>16</v>
      </c>
      <c r="AK81" s="1" t="s">
        <v>1028</v>
      </c>
      <c r="AL81" s="1" t="s">
        <v>2809</v>
      </c>
      <c r="AM81" s="1">
        <v>5</v>
      </c>
      <c r="AN81" s="1">
        <v>30</v>
      </c>
      <c r="AO81" s="1">
        <v>100</v>
      </c>
      <c r="AP81" s="1"/>
      <c r="AQ81" s="1"/>
      <c r="AR81" s="1"/>
      <c r="AS81" s="1" t="s">
        <v>2808</v>
      </c>
      <c r="AT81" s="1" t="s">
        <v>731</v>
      </c>
      <c r="AU81" s="1"/>
      <c r="AV81" s="1"/>
      <c r="AW81" s="1"/>
      <c r="AX81" s="1"/>
      <c r="AY81" s="1"/>
      <c r="AZ81" s="1" t="s">
        <v>2812</v>
      </c>
      <c r="BA81" t="s">
        <v>2843</v>
      </c>
    </row>
    <row r="82" spans="1:53" ht="19" customHeight="1">
      <c r="A82" s="4" t="s">
        <v>1074</v>
      </c>
      <c r="B82" s="4">
        <v>23.85</v>
      </c>
      <c r="C82" s="4">
        <v>120.82</v>
      </c>
      <c r="D82" s="4">
        <v>8</v>
      </c>
      <c r="E82" s="4">
        <v>7.65</v>
      </c>
      <c r="F82" s="4" t="s">
        <v>1055</v>
      </c>
      <c r="G82" s="4" t="s">
        <v>861</v>
      </c>
      <c r="H82" s="4">
        <v>120.56016700000001</v>
      </c>
      <c r="I82" s="4">
        <v>23.579499999999999</v>
      </c>
      <c r="J82" s="4">
        <v>422.68400000000003</v>
      </c>
      <c r="K82" s="4">
        <v>9.1580349999999999</v>
      </c>
      <c r="L82" s="4" t="b">
        <v>1</v>
      </c>
      <c r="M82" s="4">
        <v>2.5703999999999998</v>
      </c>
      <c r="N82" s="4" t="b">
        <v>0</v>
      </c>
      <c r="O82" s="4" t="s">
        <v>1029</v>
      </c>
      <c r="P82" s="4" t="b">
        <v>1</v>
      </c>
      <c r="Q82" s="4">
        <v>348.04399999999998</v>
      </c>
      <c r="R82" s="4">
        <v>351.488</v>
      </c>
      <c r="S82" s="4">
        <v>210.958</v>
      </c>
      <c r="T82" s="4">
        <v>60.193899999999999</v>
      </c>
      <c r="U82" s="4">
        <v>42.762500000000003</v>
      </c>
      <c r="V82" s="4">
        <v>21.82</v>
      </c>
      <c r="W82" s="4">
        <v>24.9543</v>
      </c>
      <c r="X82" s="4">
        <v>23.861599999999999</v>
      </c>
      <c r="Y82" s="4">
        <v>19.590900000000001</v>
      </c>
      <c r="Z82" s="4">
        <v>7.0395200000000004</v>
      </c>
      <c r="AA82" s="4">
        <v>5.7164099999999998</v>
      </c>
      <c r="AB82" s="4">
        <v>5.3476600000000003</v>
      </c>
      <c r="AC82" s="1" t="s">
        <v>211</v>
      </c>
      <c r="AD82" s="1" t="s">
        <v>2710</v>
      </c>
      <c r="AE82" s="1" t="s">
        <v>2711</v>
      </c>
      <c r="AF82" s="1">
        <v>7.65</v>
      </c>
      <c r="AG82" s="1" t="s">
        <v>1003</v>
      </c>
      <c r="AH82" s="1">
        <v>23.85</v>
      </c>
      <c r="AI82" s="1">
        <v>120.82</v>
      </c>
      <c r="AJ82" s="1">
        <v>8</v>
      </c>
      <c r="AK82" s="1" t="s">
        <v>1055</v>
      </c>
      <c r="AL82" s="1" t="s">
        <v>2834</v>
      </c>
      <c r="AM82" s="1">
        <v>209</v>
      </c>
      <c r="AN82" s="1">
        <v>68</v>
      </c>
      <c r="AO82" s="1">
        <v>89</v>
      </c>
      <c r="AP82" s="1">
        <v>31</v>
      </c>
      <c r="AQ82" s="1">
        <v>21</v>
      </c>
      <c r="AR82" s="1">
        <v>92</v>
      </c>
      <c r="AS82" s="1" t="s">
        <v>2808</v>
      </c>
      <c r="AT82" s="1" t="s">
        <v>862</v>
      </c>
      <c r="AU82" s="1">
        <v>1</v>
      </c>
      <c r="AV82" s="1">
        <v>7.58</v>
      </c>
      <c r="AW82" s="1">
        <v>5.6364999999999998</v>
      </c>
      <c r="AX82" s="1">
        <v>7322.4000000000005</v>
      </c>
      <c r="AY82" s="1" t="s">
        <v>863</v>
      </c>
      <c r="AZ82" s="1" t="s">
        <v>2812</v>
      </c>
      <c r="BA82" t="s">
        <v>2845</v>
      </c>
    </row>
    <row r="83" spans="1:53" ht="19" customHeight="1">
      <c r="A83" s="4" t="s">
        <v>1074</v>
      </c>
      <c r="B83" s="4">
        <v>23.85</v>
      </c>
      <c r="C83" s="4">
        <v>120.82</v>
      </c>
      <c r="D83" s="4">
        <v>8</v>
      </c>
      <c r="E83" s="4">
        <v>7.65</v>
      </c>
      <c r="F83" s="4" t="s">
        <v>1055</v>
      </c>
      <c r="G83" s="4" t="s">
        <v>864</v>
      </c>
      <c r="H83" s="4">
        <v>120.615667</v>
      </c>
      <c r="I83" s="4">
        <v>23.755333</v>
      </c>
      <c r="J83" s="4">
        <v>408.49669999999998</v>
      </c>
      <c r="K83" s="4">
        <v>8.6462869999999992</v>
      </c>
      <c r="L83" s="4" t="b">
        <v>1</v>
      </c>
      <c r="M83" s="4">
        <v>6.6289999999999996</v>
      </c>
      <c r="N83" s="4" t="b">
        <v>1</v>
      </c>
      <c r="O83" s="4">
        <v>5.74</v>
      </c>
      <c r="P83" s="4" t="b">
        <v>1</v>
      </c>
      <c r="Q83" s="4">
        <v>276.37299999999999</v>
      </c>
      <c r="R83" s="4">
        <v>162.18799999999999</v>
      </c>
      <c r="S83" s="4">
        <v>141.429</v>
      </c>
      <c r="T83" s="4">
        <v>51.418599999999998</v>
      </c>
      <c r="U83" s="4">
        <v>42.7836</v>
      </c>
      <c r="V83" s="4">
        <v>47.058199999999999</v>
      </c>
      <c r="W83" s="4">
        <v>100.87</v>
      </c>
      <c r="X83" s="4">
        <v>35.3857</v>
      </c>
      <c r="Y83" s="4">
        <v>28.835999999999999</v>
      </c>
      <c r="Z83" s="4">
        <v>59.178400000000003</v>
      </c>
      <c r="AA83" s="4">
        <v>-10.519600000000001</v>
      </c>
      <c r="AB83" s="4">
        <v>-3.7229299999999999</v>
      </c>
      <c r="AC83" s="1" t="s">
        <v>211</v>
      </c>
      <c r="AD83" s="1" t="s">
        <v>2710</v>
      </c>
      <c r="AE83" s="1" t="s">
        <v>2711</v>
      </c>
      <c r="AF83" s="1">
        <v>7.65</v>
      </c>
      <c r="AG83" s="1" t="s">
        <v>1003</v>
      </c>
      <c r="AH83" s="1">
        <v>23.85</v>
      </c>
      <c r="AI83" s="1">
        <v>120.82</v>
      </c>
      <c r="AJ83" s="1">
        <v>8</v>
      </c>
      <c r="AK83" s="1" t="s">
        <v>1055</v>
      </c>
      <c r="AL83" s="1" t="s">
        <v>2834</v>
      </c>
      <c r="AM83" s="1">
        <v>209</v>
      </c>
      <c r="AN83" s="1">
        <v>68</v>
      </c>
      <c r="AO83" s="1">
        <v>89</v>
      </c>
      <c r="AP83" s="1">
        <v>31</v>
      </c>
      <c r="AQ83" s="1">
        <v>21</v>
      </c>
      <c r="AR83" s="1">
        <v>92</v>
      </c>
      <c r="AS83" s="1" t="s">
        <v>2808</v>
      </c>
      <c r="AT83" s="1" t="s">
        <v>862</v>
      </c>
      <c r="AU83" s="1">
        <v>1</v>
      </c>
      <c r="AV83" s="1">
        <v>7.58</v>
      </c>
      <c r="AW83" s="1">
        <v>5.6364999999999998</v>
      </c>
      <c r="AX83" s="1">
        <v>7322.4000000000005</v>
      </c>
      <c r="AY83" s="1" t="s">
        <v>863</v>
      </c>
      <c r="AZ83" s="1" t="s">
        <v>2812</v>
      </c>
      <c r="BA83" t="s">
        <v>2845</v>
      </c>
    </row>
    <row r="84" spans="1:53" ht="19" customHeight="1">
      <c r="A84" s="4" t="s">
        <v>1074</v>
      </c>
      <c r="B84" s="4">
        <v>23.85</v>
      </c>
      <c r="C84" s="4">
        <v>120.82</v>
      </c>
      <c r="D84" s="4">
        <v>8</v>
      </c>
      <c r="E84" s="4">
        <v>7.65</v>
      </c>
      <c r="F84" s="4" t="s">
        <v>1055</v>
      </c>
      <c r="G84" s="4" t="s">
        <v>865</v>
      </c>
      <c r="H84" s="4">
        <v>120.57033300000001</v>
      </c>
      <c r="I84" s="4">
        <v>23.6845</v>
      </c>
      <c r="J84" s="4">
        <v>252.36590000000001</v>
      </c>
      <c r="K84" s="4">
        <v>9.1501219999999996</v>
      </c>
      <c r="L84" s="4" t="b">
        <v>1</v>
      </c>
      <c r="M84" s="4">
        <v>5.3410000000000002</v>
      </c>
      <c r="N84" s="4" t="b">
        <v>0</v>
      </c>
      <c r="O84" s="4" t="s">
        <v>1029</v>
      </c>
      <c r="P84" s="4" t="b">
        <v>1</v>
      </c>
      <c r="Q84" s="4">
        <v>332.72699999999998</v>
      </c>
      <c r="R84" s="4">
        <v>390.15100000000001</v>
      </c>
      <c r="S84" s="4">
        <v>162.185</v>
      </c>
      <c r="T84" s="4">
        <v>65.985799999999998</v>
      </c>
      <c r="U84" s="4">
        <v>108.67700000000001</v>
      </c>
      <c r="V84" s="4">
        <v>27.3413</v>
      </c>
      <c r="W84" s="4">
        <v>53.628999999999998</v>
      </c>
      <c r="X84" s="4">
        <v>78.893600000000006</v>
      </c>
      <c r="Y84" s="4">
        <v>21.320399999999999</v>
      </c>
      <c r="Z84" s="4">
        <v>-30.4223</v>
      </c>
      <c r="AA84" s="4">
        <v>-12.9404</v>
      </c>
      <c r="AB84" s="4">
        <v>-3.1710199999999999</v>
      </c>
      <c r="AC84" s="1" t="s">
        <v>211</v>
      </c>
      <c r="AD84" s="1" t="s">
        <v>2710</v>
      </c>
      <c r="AE84" s="1" t="s">
        <v>2711</v>
      </c>
      <c r="AF84" s="1">
        <v>7.65</v>
      </c>
      <c r="AG84" s="1" t="s">
        <v>1003</v>
      </c>
      <c r="AH84" s="1">
        <v>23.85</v>
      </c>
      <c r="AI84" s="1">
        <v>120.82</v>
      </c>
      <c r="AJ84" s="1">
        <v>8</v>
      </c>
      <c r="AK84" s="1" t="s">
        <v>1055</v>
      </c>
      <c r="AL84" s="1" t="s">
        <v>2834</v>
      </c>
      <c r="AM84" s="1">
        <v>209</v>
      </c>
      <c r="AN84" s="1">
        <v>68</v>
      </c>
      <c r="AO84" s="1">
        <v>89</v>
      </c>
      <c r="AP84" s="1">
        <v>31</v>
      </c>
      <c r="AQ84" s="1">
        <v>21</v>
      </c>
      <c r="AR84" s="1">
        <v>92</v>
      </c>
      <c r="AS84" s="1" t="s">
        <v>2808</v>
      </c>
      <c r="AT84" s="1" t="s">
        <v>862</v>
      </c>
      <c r="AU84" s="1">
        <v>1</v>
      </c>
      <c r="AV84" s="1">
        <v>7.58</v>
      </c>
      <c r="AW84" s="1">
        <v>5.6364999999999998</v>
      </c>
      <c r="AX84" s="1">
        <v>7322.4000000000005</v>
      </c>
      <c r="AY84" s="1" t="s">
        <v>863</v>
      </c>
      <c r="AZ84" s="1" t="s">
        <v>2812</v>
      </c>
      <c r="BA84" t="s">
        <v>2845</v>
      </c>
    </row>
    <row r="85" spans="1:53" ht="19" customHeight="1">
      <c r="A85" s="4" t="s">
        <v>1074</v>
      </c>
      <c r="B85" s="4">
        <v>23.85</v>
      </c>
      <c r="C85" s="4">
        <v>120.82</v>
      </c>
      <c r="D85" s="4">
        <v>8</v>
      </c>
      <c r="E85" s="4">
        <v>7.65</v>
      </c>
      <c r="F85" s="4" t="s">
        <v>1055</v>
      </c>
      <c r="G85" s="4" t="s">
        <v>866</v>
      </c>
      <c r="H85" s="4">
        <v>121.008833</v>
      </c>
      <c r="I85" s="4">
        <v>24.629667000000001</v>
      </c>
      <c r="J85" s="4">
        <v>807.64570000000003</v>
      </c>
      <c r="K85" s="4">
        <v>38.544469999999997</v>
      </c>
      <c r="L85" s="4" t="b">
        <v>1</v>
      </c>
      <c r="M85" s="4">
        <v>7.875</v>
      </c>
      <c r="N85" s="4" t="b">
        <v>0</v>
      </c>
      <c r="O85" s="4" t="s">
        <v>1029</v>
      </c>
      <c r="P85" s="4" t="b">
        <v>0</v>
      </c>
      <c r="Q85" s="4">
        <v>306.20100000000002</v>
      </c>
      <c r="R85" s="4">
        <v>391.56599999999997</v>
      </c>
      <c r="S85" s="4">
        <v>87.284700000000001</v>
      </c>
      <c r="T85" s="4">
        <v>20.905100000000001</v>
      </c>
      <c r="U85" s="4">
        <v>30.8599</v>
      </c>
      <c r="V85" s="4">
        <v>23.3323</v>
      </c>
      <c r="W85" s="4">
        <v>23.412099999999999</v>
      </c>
      <c r="X85" s="4">
        <v>16.8584</v>
      </c>
      <c r="Y85" s="4">
        <v>8.6565300000000001</v>
      </c>
      <c r="Z85" s="4">
        <v>0.202658</v>
      </c>
      <c r="AA85" s="4">
        <v>-0.12609600000000001</v>
      </c>
      <c r="AB85" s="4">
        <v>2.3385E-2</v>
      </c>
      <c r="AC85" s="1" t="s">
        <v>211</v>
      </c>
      <c r="AD85" s="1" t="s">
        <v>2710</v>
      </c>
      <c r="AE85" s="1" t="s">
        <v>2711</v>
      </c>
      <c r="AF85" s="1">
        <v>7.65</v>
      </c>
      <c r="AG85" s="1" t="s">
        <v>1003</v>
      </c>
      <c r="AH85" s="1">
        <v>23.85</v>
      </c>
      <c r="AI85" s="1">
        <v>120.82</v>
      </c>
      <c r="AJ85" s="1">
        <v>8</v>
      </c>
      <c r="AK85" s="1" t="s">
        <v>1055</v>
      </c>
      <c r="AL85" s="1" t="s">
        <v>2834</v>
      </c>
      <c r="AM85" s="1">
        <v>209</v>
      </c>
      <c r="AN85" s="1">
        <v>68</v>
      </c>
      <c r="AO85" s="1">
        <v>89</v>
      </c>
      <c r="AP85" s="1">
        <v>31</v>
      </c>
      <c r="AQ85" s="1">
        <v>21</v>
      </c>
      <c r="AR85" s="1">
        <v>92</v>
      </c>
      <c r="AS85" s="1" t="s">
        <v>2808</v>
      </c>
      <c r="AT85" s="1" t="s">
        <v>862</v>
      </c>
      <c r="AU85" s="1">
        <v>1</v>
      </c>
      <c r="AV85" s="1">
        <v>7.58</v>
      </c>
      <c r="AW85" s="1">
        <v>5.6364999999999998</v>
      </c>
      <c r="AX85" s="1">
        <v>7322.4000000000005</v>
      </c>
      <c r="AY85" s="1" t="s">
        <v>863</v>
      </c>
      <c r="AZ85" s="1" t="s">
        <v>2812</v>
      </c>
      <c r="BA85" t="s">
        <v>2845</v>
      </c>
    </row>
    <row r="86" spans="1:53" ht="19" customHeight="1">
      <c r="A86" s="4" t="s">
        <v>1074</v>
      </c>
      <c r="B86" s="4">
        <v>23.85</v>
      </c>
      <c r="C86" s="4">
        <v>120.82</v>
      </c>
      <c r="D86" s="4">
        <v>8</v>
      </c>
      <c r="E86" s="4">
        <v>7.65</v>
      </c>
      <c r="F86" s="4" t="s">
        <v>1055</v>
      </c>
      <c r="G86" s="4" t="s">
        <v>869</v>
      </c>
      <c r="H86" s="4">
        <v>121.149333</v>
      </c>
      <c r="I86" s="4">
        <v>24.909500000000001</v>
      </c>
      <c r="J86" s="4">
        <v>612.0575</v>
      </c>
      <c r="K86" s="4">
        <v>72.634472000000002</v>
      </c>
      <c r="L86" s="4" t="b">
        <v>1</v>
      </c>
      <c r="M86" s="4">
        <v>9.1489999999999991</v>
      </c>
      <c r="N86" s="4" t="b">
        <v>0</v>
      </c>
      <c r="O86" s="4" t="s">
        <v>1029</v>
      </c>
      <c r="P86" s="4" t="b">
        <v>0</v>
      </c>
      <c r="Q86" s="4">
        <v>58.796999999999997</v>
      </c>
      <c r="R86" s="4">
        <v>75.524000000000001</v>
      </c>
      <c r="S86" s="4">
        <v>32.944000000000003</v>
      </c>
      <c r="T86" s="4">
        <v>33.764099999999999</v>
      </c>
      <c r="U86" s="4">
        <v>18.875299999999999</v>
      </c>
      <c r="V86" s="4">
        <v>15.777699999999999</v>
      </c>
      <c r="W86" s="4">
        <v>50.432299999999998</v>
      </c>
      <c r="X86" s="4">
        <v>17.059899999999999</v>
      </c>
      <c r="Y86" s="4">
        <v>16.048100000000002</v>
      </c>
      <c r="Z86" s="4">
        <v>-19.707899999999999</v>
      </c>
      <c r="AA86" s="4">
        <v>-14.4171</v>
      </c>
      <c r="AB86" s="4">
        <v>-1.31454</v>
      </c>
      <c r="AC86" s="1" t="s">
        <v>211</v>
      </c>
      <c r="AD86" s="1" t="s">
        <v>2710</v>
      </c>
      <c r="AE86" s="1" t="s">
        <v>2711</v>
      </c>
      <c r="AF86" s="1">
        <v>7.65</v>
      </c>
      <c r="AG86" s="1" t="s">
        <v>1003</v>
      </c>
      <c r="AH86" s="1">
        <v>23.85</v>
      </c>
      <c r="AI86" s="1">
        <v>120.82</v>
      </c>
      <c r="AJ86" s="1">
        <v>8</v>
      </c>
      <c r="AK86" s="1" t="s">
        <v>1055</v>
      </c>
      <c r="AL86" s="1" t="s">
        <v>2834</v>
      </c>
      <c r="AM86" s="1">
        <v>209</v>
      </c>
      <c r="AN86" s="1">
        <v>68</v>
      </c>
      <c r="AO86" s="1">
        <v>89</v>
      </c>
      <c r="AP86" s="1">
        <v>31</v>
      </c>
      <c r="AQ86" s="1">
        <v>21</v>
      </c>
      <c r="AR86" s="1">
        <v>92</v>
      </c>
      <c r="AS86" s="1" t="s">
        <v>2808</v>
      </c>
      <c r="AT86" s="1" t="s">
        <v>862</v>
      </c>
      <c r="AU86" s="1">
        <v>1</v>
      </c>
      <c r="AV86" s="1">
        <v>7.58</v>
      </c>
      <c r="AW86" s="1">
        <v>5.6364999999999998</v>
      </c>
      <c r="AX86" s="1">
        <v>7322.4000000000005</v>
      </c>
      <c r="AY86" s="1" t="s">
        <v>863</v>
      </c>
      <c r="AZ86" s="1" t="s">
        <v>2812</v>
      </c>
      <c r="BA86" t="s">
        <v>2845</v>
      </c>
    </row>
    <row r="87" spans="1:53" ht="19" customHeight="1">
      <c r="A87" s="4" t="s">
        <v>1074</v>
      </c>
      <c r="B87" s="4">
        <v>23.85</v>
      </c>
      <c r="C87" s="4">
        <v>120.82</v>
      </c>
      <c r="D87" s="4">
        <v>8</v>
      </c>
      <c r="E87" s="4">
        <v>7.65</v>
      </c>
      <c r="F87" s="4" t="s">
        <v>1055</v>
      </c>
      <c r="G87" s="4" t="s">
        <v>871</v>
      </c>
      <c r="H87" s="4">
        <v>120.94583299999999</v>
      </c>
      <c r="I87" s="4">
        <v>24.755832999999999</v>
      </c>
      <c r="J87" s="4">
        <v>430.63229999999999</v>
      </c>
      <c r="K87" s="4">
        <v>49.864566000000003</v>
      </c>
      <c r="L87" s="4" t="b">
        <v>1</v>
      </c>
      <c r="M87" s="4">
        <v>8.2319999999999993</v>
      </c>
      <c r="N87" s="4" t="b">
        <v>0</v>
      </c>
      <c r="O87" s="4" t="s">
        <v>1029</v>
      </c>
      <c r="P87" s="4" t="b">
        <v>0</v>
      </c>
      <c r="Q87" s="4">
        <v>104.504</v>
      </c>
      <c r="R87" s="4">
        <v>110.39100000000001</v>
      </c>
      <c r="S87" s="4">
        <v>68.022999999999996</v>
      </c>
      <c r="T87" s="4">
        <v>42.779000000000003</v>
      </c>
      <c r="U87" s="4">
        <v>27.984300000000001</v>
      </c>
      <c r="V87" s="4">
        <v>15.051299999999999</v>
      </c>
      <c r="W87" s="4">
        <v>49.301000000000002</v>
      </c>
      <c r="X87" s="4">
        <v>20.2485</v>
      </c>
      <c r="Y87" s="4">
        <v>11.799899999999999</v>
      </c>
      <c r="Z87" s="4">
        <v>1.4607600000000001</v>
      </c>
      <c r="AA87" s="4">
        <v>-0.75099499999999997</v>
      </c>
      <c r="AB87" s="4">
        <v>-0.41558600000000001</v>
      </c>
      <c r="AC87" s="1" t="s">
        <v>211</v>
      </c>
      <c r="AD87" s="1" t="s">
        <v>2710</v>
      </c>
      <c r="AE87" s="1" t="s">
        <v>2711</v>
      </c>
      <c r="AF87" s="1">
        <v>7.65</v>
      </c>
      <c r="AG87" s="1" t="s">
        <v>1003</v>
      </c>
      <c r="AH87" s="1">
        <v>23.85</v>
      </c>
      <c r="AI87" s="1">
        <v>120.82</v>
      </c>
      <c r="AJ87" s="1">
        <v>8</v>
      </c>
      <c r="AK87" s="1" t="s">
        <v>1055</v>
      </c>
      <c r="AL87" s="1" t="s">
        <v>2834</v>
      </c>
      <c r="AM87" s="1">
        <v>209</v>
      </c>
      <c r="AN87" s="1">
        <v>68</v>
      </c>
      <c r="AO87" s="1">
        <v>89</v>
      </c>
      <c r="AP87" s="1">
        <v>31</v>
      </c>
      <c r="AQ87" s="1">
        <v>21</v>
      </c>
      <c r="AR87" s="1">
        <v>92</v>
      </c>
      <c r="AS87" s="1" t="s">
        <v>2808</v>
      </c>
      <c r="AT87" s="1" t="s">
        <v>862</v>
      </c>
      <c r="AU87" s="1">
        <v>1</v>
      </c>
      <c r="AV87" s="1">
        <v>7.58</v>
      </c>
      <c r="AW87" s="1">
        <v>5.6364999999999998</v>
      </c>
      <c r="AX87" s="1">
        <v>7322.4000000000005</v>
      </c>
      <c r="AY87" s="1" t="s">
        <v>863</v>
      </c>
      <c r="AZ87" s="1" t="s">
        <v>2812</v>
      </c>
      <c r="BA87" t="s">
        <v>2845</v>
      </c>
    </row>
    <row r="88" spans="1:53" ht="19" customHeight="1">
      <c r="A88" s="4" t="s">
        <v>1074</v>
      </c>
      <c r="B88" s="4">
        <v>23.85</v>
      </c>
      <c r="C88" s="4">
        <v>120.82</v>
      </c>
      <c r="D88" s="4">
        <v>8</v>
      </c>
      <c r="E88" s="4">
        <v>7.65</v>
      </c>
      <c r="F88" s="4" t="s">
        <v>1055</v>
      </c>
      <c r="G88" s="4" t="s">
        <v>872</v>
      </c>
      <c r="H88" s="4">
        <v>121.01816700000001</v>
      </c>
      <c r="I88" s="4">
        <v>24.778666999999999</v>
      </c>
      <c r="J88" s="4">
        <v>548.24561400000005</v>
      </c>
      <c r="K88" s="4">
        <v>54.396628</v>
      </c>
      <c r="L88" s="4" t="b">
        <v>1</v>
      </c>
      <c r="M88" s="4">
        <v>8.9250000000000007</v>
      </c>
      <c r="N88" s="4" t="b">
        <v>0</v>
      </c>
      <c r="O88" s="4" t="s">
        <v>1029</v>
      </c>
      <c r="P88" s="4" t="b">
        <v>0</v>
      </c>
      <c r="Q88" s="4">
        <v>82.876000000000005</v>
      </c>
      <c r="R88" s="4">
        <v>122.164</v>
      </c>
      <c r="S88" s="4">
        <v>48.695999999999998</v>
      </c>
      <c r="T88" s="4">
        <v>37.595100000000002</v>
      </c>
      <c r="U88" s="4">
        <v>33.162199999999999</v>
      </c>
      <c r="V88" s="4">
        <v>13.9588</v>
      </c>
      <c r="W88" s="4">
        <v>44.100900000000003</v>
      </c>
      <c r="X88" s="4">
        <v>29.352</v>
      </c>
      <c r="Y88" s="4">
        <v>16.033300000000001</v>
      </c>
      <c r="Z88" s="4">
        <v>7.5002199999999997</v>
      </c>
      <c r="AA88" s="4">
        <v>10.899699999999999</v>
      </c>
      <c r="AB88" s="4">
        <v>11.941000000000001</v>
      </c>
      <c r="AC88" s="1" t="s">
        <v>211</v>
      </c>
      <c r="AD88" s="1" t="s">
        <v>2710</v>
      </c>
      <c r="AE88" s="1" t="s">
        <v>2711</v>
      </c>
      <c r="AF88" s="1">
        <v>7.65</v>
      </c>
      <c r="AG88" s="1" t="s">
        <v>1003</v>
      </c>
      <c r="AH88" s="1">
        <v>23.85</v>
      </c>
      <c r="AI88" s="1">
        <v>120.82</v>
      </c>
      <c r="AJ88" s="1">
        <v>8</v>
      </c>
      <c r="AK88" s="1" t="s">
        <v>1055</v>
      </c>
      <c r="AL88" s="1" t="s">
        <v>2834</v>
      </c>
      <c r="AM88" s="1">
        <v>209</v>
      </c>
      <c r="AN88" s="1">
        <v>68</v>
      </c>
      <c r="AO88" s="1">
        <v>89</v>
      </c>
      <c r="AP88" s="1">
        <v>31</v>
      </c>
      <c r="AQ88" s="1">
        <v>21</v>
      </c>
      <c r="AR88" s="1">
        <v>92</v>
      </c>
      <c r="AS88" s="1" t="s">
        <v>2808</v>
      </c>
      <c r="AT88" s="1" t="s">
        <v>862</v>
      </c>
      <c r="AU88" s="1">
        <v>1</v>
      </c>
      <c r="AV88" s="1">
        <v>7.58</v>
      </c>
      <c r="AW88" s="1">
        <v>5.6364999999999998</v>
      </c>
      <c r="AX88" s="1">
        <v>7322.4000000000005</v>
      </c>
      <c r="AY88" s="1" t="s">
        <v>863</v>
      </c>
      <c r="AZ88" s="1" t="s">
        <v>2812</v>
      </c>
      <c r="BA88" t="s">
        <v>2845</v>
      </c>
    </row>
    <row r="89" spans="1:53" ht="19" customHeight="1">
      <c r="A89" s="4" t="s">
        <v>1074</v>
      </c>
      <c r="B89" s="4">
        <v>23.85</v>
      </c>
      <c r="C89" s="4">
        <v>120.82</v>
      </c>
      <c r="D89" s="4">
        <v>8</v>
      </c>
      <c r="E89" s="4">
        <v>7.65</v>
      </c>
      <c r="F89" s="4" t="s">
        <v>1055</v>
      </c>
      <c r="G89" s="4" t="s">
        <v>873</v>
      </c>
      <c r="H89" s="4">
        <v>121.060833</v>
      </c>
      <c r="I89" s="4">
        <v>24.878667</v>
      </c>
      <c r="J89" s="4">
        <v>619.9</v>
      </c>
      <c r="K89" s="4">
        <v>66.313998999999995</v>
      </c>
      <c r="L89" s="4" t="b">
        <v>1</v>
      </c>
      <c r="M89" s="4">
        <v>10.478999999999999</v>
      </c>
      <c r="N89" s="4" t="b">
        <v>0</v>
      </c>
      <c r="O89" s="4" t="s">
        <v>1029</v>
      </c>
      <c r="P89" s="4" t="b">
        <v>0</v>
      </c>
      <c r="Q89" s="4">
        <v>54.555999999999997</v>
      </c>
      <c r="R89" s="4">
        <v>53.773000000000003</v>
      </c>
      <c r="S89" s="4">
        <v>32.106999999999999</v>
      </c>
      <c r="T89" s="4">
        <v>37.577300000000001</v>
      </c>
      <c r="U89" s="4">
        <v>21.686299999999999</v>
      </c>
      <c r="V89" s="4">
        <v>17.347000000000001</v>
      </c>
      <c r="W89" s="4">
        <v>47.6128</v>
      </c>
      <c r="X89" s="4">
        <v>25.136500000000002</v>
      </c>
      <c r="Y89" s="4">
        <v>19.373200000000001</v>
      </c>
      <c r="Z89" s="4">
        <v>1.5008900000000001</v>
      </c>
      <c r="AA89" s="4">
        <v>0.92008400000000001</v>
      </c>
      <c r="AB89" s="4">
        <v>14.570399999999999</v>
      </c>
      <c r="AC89" s="1" t="s">
        <v>211</v>
      </c>
      <c r="AD89" s="1" t="s">
        <v>2710</v>
      </c>
      <c r="AE89" s="1" t="s">
        <v>2711</v>
      </c>
      <c r="AF89" s="1">
        <v>7.65</v>
      </c>
      <c r="AG89" s="1" t="s">
        <v>1003</v>
      </c>
      <c r="AH89" s="1">
        <v>23.85</v>
      </c>
      <c r="AI89" s="1">
        <v>120.82</v>
      </c>
      <c r="AJ89" s="1">
        <v>8</v>
      </c>
      <c r="AK89" s="1" t="s">
        <v>1055</v>
      </c>
      <c r="AL89" s="1" t="s">
        <v>2834</v>
      </c>
      <c r="AM89" s="1">
        <v>209</v>
      </c>
      <c r="AN89" s="1">
        <v>68</v>
      </c>
      <c r="AO89" s="1">
        <v>89</v>
      </c>
      <c r="AP89" s="1">
        <v>31</v>
      </c>
      <c r="AQ89" s="1">
        <v>21</v>
      </c>
      <c r="AR89" s="1">
        <v>92</v>
      </c>
      <c r="AS89" s="1" t="s">
        <v>2808</v>
      </c>
      <c r="AT89" s="1" t="s">
        <v>862</v>
      </c>
      <c r="AU89" s="1">
        <v>1</v>
      </c>
      <c r="AV89" s="1">
        <v>7.58</v>
      </c>
      <c r="AW89" s="1">
        <v>5.6364999999999998</v>
      </c>
      <c r="AX89" s="1">
        <v>7322.4000000000005</v>
      </c>
      <c r="AY89" s="1" t="s">
        <v>863</v>
      </c>
      <c r="AZ89" s="1" t="s">
        <v>2812</v>
      </c>
      <c r="BA89" t="s">
        <v>2845</v>
      </c>
    </row>
    <row r="90" spans="1:53" ht="19" customHeight="1">
      <c r="A90" s="4" t="s">
        <v>1074</v>
      </c>
      <c r="B90" s="4">
        <v>23.85</v>
      </c>
      <c r="C90" s="4">
        <v>120.82</v>
      </c>
      <c r="D90" s="4">
        <v>8</v>
      </c>
      <c r="E90" s="4">
        <v>7.65</v>
      </c>
      <c r="F90" s="4" t="s">
        <v>1055</v>
      </c>
      <c r="G90" s="4" t="s">
        <v>874</v>
      </c>
      <c r="H90" s="4">
        <v>121.08366700000001</v>
      </c>
      <c r="I90" s="4">
        <v>24.773667</v>
      </c>
      <c r="J90" s="4">
        <v>606.48940000000005</v>
      </c>
      <c r="K90" s="4">
        <v>56.184061</v>
      </c>
      <c r="L90" s="4" t="b">
        <v>1</v>
      </c>
      <c r="M90" s="4">
        <v>8.3719999999999999</v>
      </c>
      <c r="N90" s="4" t="b">
        <v>0</v>
      </c>
      <c r="O90" s="4" t="s">
        <v>1029</v>
      </c>
      <c r="P90" s="4" t="b">
        <v>0</v>
      </c>
      <c r="Q90" s="4">
        <v>116.208</v>
      </c>
      <c r="R90" s="4">
        <v>89.530799999999999</v>
      </c>
      <c r="S90" s="4">
        <v>56.434800000000003</v>
      </c>
      <c r="T90" s="4">
        <v>37.872100000000003</v>
      </c>
      <c r="U90" s="4">
        <v>26.752600000000001</v>
      </c>
      <c r="V90" s="4">
        <v>14.760899999999999</v>
      </c>
      <c r="W90" s="4">
        <v>44.305999999999997</v>
      </c>
      <c r="X90" s="4">
        <v>31.0792</v>
      </c>
      <c r="Y90" s="4">
        <v>20.397099999999998</v>
      </c>
      <c r="Z90" s="4">
        <v>-8.8827000000000003E-2</v>
      </c>
      <c r="AA90" s="4">
        <v>-9.604E-2</v>
      </c>
      <c r="AB90" s="4">
        <v>1.4900999999999999E-2</v>
      </c>
      <c r="AC90" s="1" t="s">
        <v>211</v>
      </c>
      <c r="AD90" s="1" t="s">
        <v>2710</v>
      </c>
      <c r="AE90" s="1" t="s">
        <v>2711</v>
      </c>
      <c r="AF90" s="1">
        <v>7.65</v>
      </c>
      <c r="AG90" s="1" t="s">
        <v>1003</v>
      </c>
      <c r="AH90" s="1">
        <v>23.85</v>
      </c>
      <c r="AI90" s="1">
        <v>120.82</v>
      </c>
      <c r="AJ90" s="1">
        <v>8</v>
      </c>
      <c r="AK90" s="1" t="s">
        <v>1055</v>
      </c>
      <c r="AL90" s="1" t="s">
        <v>2834</v>
      </c>
      <c r="AM90" s="1">
        <v>209</v>
      </c>
      <c r="AN90" s="1">
        <v>68</v>
      </c>
      <c r="AO90" s="1">
        <v>89</v>
      </c>
      <c r="AP90" s="1">
        <v>31</v>
      </c>
      <c r="AQ90" s="1">
        <v>21</v>
      </c>
      <c r="AR90" s="1">
        <v>92</v>
      </c>
      <c r="AS90" s="1" t="s">
        <v>2808</v>
      </c>
      <c r="AT90" s="1" t="s">
        <v>862</v>
      </c>
      <c r="AU90" s="1">
        <v>1</v>
      </c>
      <c r="AV90" s="1">
        <v>7.58</v>
      </c>
      <c r="AW90" s="1">
        <v>5.6364999999999998</v>
      </c>
      <c r="AX90" s="1">
        <v>7322.4000000000005</v>
      </c>
      <c r="AY90" s="1" t="s">
        <v>863</v>
      </c>
      <c r="AZ90" s="1" t="s">
        <v>2812</v>
      </c>
      <c r="BA90" t="s">
        <v>2845</v>
      </c>
    </row>
    <row r="91" spans="1:53" ht="19" customHeight="1">
      <c r="A91" s="4" t="s">
        <v>1074</v>
      </c>
      <c r="B91" s="4">
        <v>23.85</v>
      </c>
      <c r="C91" s="4">
        <v>120.82</v>
      </c>
      <c r="D91" s="4">
        <v>8</v>
      </c>
      <c r="E91" s="4">
        <v>7.65</v>
      </c>
      <c r="F91" s="4" t="s">
        <v>1055</v>
      </c>
      <c r="G91" s="4" t="s">
        <v>875</v>
      </c>
      <c r="H91" s="4">
        <v>120.75749999999999</v>
      </c>
      <c r="I91" s="4">
        <v>24.557666999999999</v>
      </c>
      <c r="J91" s="4">
        <v>404.83100000000002</v>
      </c>
      <c r="K91" s="4">
        <v>27.654657</v>
      </c>
      <c r="L91" s="4" t="b">
        <v>1</v>
      </c>
      <c r="M91" s="4">
        <v>5.2709999999999999</v>
      </c>
      <c r="N91" s="4" t="b">
        <v>0</v>
      </c>
      <c r="O91" s="4" t="s">
        <v>1029</v>
      </c>
      <c r="P91" s="4" t="b">
        <v>1</v>
      </c>
      <c r="Q91" s="4">
        <v>154.655</v>
      </c>
      <c r="R91" s="4">
        <v>194.381</v>
      </c>
      <c r="S91" s="4">
        <v>62.248899999999999</v>
      </c>
      <c r="T91" s="4">
        <v>35.885100000000001</v>
      </c>
      <c r="U91" s="4">
        <v>51.708199999999998</v>
      </c>
      <c r="V91" s="4">
        <v>20.833400000000001</v>
      </c>
      <c r="W91" s="4">
        <v>67.046800000000005</v>
      </c>
      <c r="X91" s="4">
        <v>58.624499999999998</v>
      </c>
      <c r="Y91" s="4">
        <v>27.5596</v>
      </c>
      <c r="Z91" s="4">
        <v>43.8264</v>
      </c>
      <c r="AA91" s="4">
        <v>-22.388200000000001</v>
      </c>
      <c r="AB91" s="4">
        <v>0.27594299999999999</v>
      </c>
      <c r="AC91" s="1" t="s">
        <v>211</v>
      </c>
      <c r="AD91" s="1" t="s">
        <v>2710</v>
      </c>
      <c r="AE91" s="1" t="s">
        <v>2711</v>
      </c>
      <c r="AF91" s="1">
        <v>7.65</v>
      </c>
      <c r="AG91" s="1" t="s">
        <v>1003</v>
      </c>
      <c r="AH91" s="1">
        <v>23.85</v>
      </c>
      <c r="AI91" s="1">
        <v>120.82</v>
      </c>
      <c r="AJ91" s="1">
        <v>8</v>
      </c>
      <c r="AK91" s="1" t="s">
        <v>1055</v>
      </c>
      <c r="AL91" s="1" t="s">
        <v>2834</v>
      </c>
      <c r="AM91" s="1">
        <v>209</v>
      </c>
      <c r="AN91" s="1">
        <v>68</v>
      </c>
      <c r="AO91" s="1">
        <v>89</v>
      </c>
      <c r="AP91" s="1">
        <v>31</v>
      </c>
      <c r="AQ91" s="1">
        <v>21</v>
      </c>
      <c r="AR91" s="1">
        <v>92</v>
      </c>
      <c r="AS91" s="1" t="s">
        <v>2808</v>
      </c>
      <c r="AT91" s="1" t="s">
        <v>862</v>
      </c>
      <c r="AU91" s="1">
        <v>1</v>
      </c>
      <c r="AV91" s="1">
        <v>7.58</v>
      </c>
      <c r="AW91" s="1">
        <v>5.6364999999999998</v>
      </c>
      <c r="AX91" s="1">
        <v>7322.4000000000005</v>
      </c>
      <c r="AY91" s="1" t="s">
        <v>863</v>
      </c>
      <c r="AZ91" s="1" t="s">
        <v>2812</v>
      </c>
      <c r="BA91" t="s">
        <v>2845</v>
      </c>
    </row>
    <row r="92" spans="1:53" ht="19" customHeight="1">
      <c r="A92" s="4" t="s">
        <v>1074</v>
      </c>
      <c r="B92" s="4">
        <v>23.85</v>
      </c>
      <c r="C92" s="4">
        <v>120.82</v>
      </c>
      <c r="D92" s="4">
        <v>8</v>
      </c>
      <c r="E92" s="4">
        <v>7.65</v>
      </c>
      <c r="F92" s="4" t="s">
        <v>1055</v>
      </c>
      <c r="G92" s="4" t="s">
        <v>876</v>
      </c>
      <c r="H92" s="4">
        <v>120.709667</v>
      </c>
      <c r="I92" s="4">
        <v>24.559332999999999</v>
      </c>
      <c r="J92" s="4">
        <v>476.3039</v>
      </c>
      <c r="K92" s="4">
        <v>29.543451000000001</v>
      </c>
      <c r="L92" s="4" t="b">
        <v>1</v>
      </c>
      <c r="M92" s="4">
        <v>5.9290000000000003</v>
      </c>
      <c r="N92" s="4" t="b">
        <v>0</v>
      </c>
      <c r="O92" s="4" t="s">
        <v>1029</v>
      </c>
      <c r="P92" s="4" t="b">
        <v>1</v>
      </c>
      <c r="Q92" s="4">
        <v>112.413</v>
      </c>
      <c r="R92" s="4">
        <v>122.56399999999999</v>
      </c>
      <c r="S92" s="4">
        <v>65.251099999999994</v>
      </c>
      <c r="T92" s="4">
        <v>54.045699999999997</v>
      </c>
      <c r="U92" s="4">
        <v>47.235500000000002</v>
      </c>
      <c r="V92" s="4">
        <v>26.5138</v>
      </c>
      <c r="W92" s="4">
        <v>75.996899999999997</v>
      </c>
      <c r="X92" s="4">
        <v>31.159300000000002</v>
      </c>
      <c r="Y92" s="4">
        <v>32.238500000000002</v>
      </c>
      <c r="Z92" s="4">
        <v>-16.8874</v>
      </c>
      <c r="AA92" s="4">
        <v>-6.9202500000000002</v>
      </c>
      <c r="AB92" s="4">
        <v>18.270199999999999</v>
      </c>
      <c r="AC92" s="1" t="s">
        <v>211</v>
      </c>
      <c r="AD92" s="1" t="s">
        <v>2710</v>
      </c>
      <c r="AE92" s="1" t="s">
        <v>2711</v>
      </c>
      <c r="AF92" s="1">
        <v>7.65</v>
      </c>
      <c r="AG92" s="1" t="s">
        <v>1003</v>
      </c>
      <c r="AH92" s="1">
        <v>23.85</v>
      </c>
      <c r="AI92" s="1">
        <v>120.82</v>
      </c>
      <c r="AJ92" s="1">
        <v>8</v>
      </c>
      <c r="AK92" s="1" t="s">
        <v>1055</v>
      </c>
      <c r="AL92" s="1" t="s">
        <v>2834</v>
      </c>
      <c r="AM92" s="1">
        <v>209</v>
      </c>
      <c r="AN92" s="1">
        <v>68</v>
      </c>
      <c r="AO92" s="1">
        <v>89</v>
      </c>
      <c r="AP92" s="1">
        <v>31</v>
      </c>
      <c r="AQ92" s="1">
        <v>21</v>
      </c>
      <c r="AR92" s="1">
        <v>92</v>
      </c>
      <c r="AS92" s="1" t="s">
        <v>2808</v>
      </c>
      <c r="AT92" s="1" t="s">
        <v>862</v>
      </c>
      <c r="AU92" s="1">
        <v>1</v>
      </c>
      <c r="AV92" s="1">
        <v>7.58</v>
      </c>
      <c r="AW92" s="1">
        <v>5.6364999999999998</v>
      </c>
      <c r="AX92" s="1">
        <v>7322.4000000000005</v>
      </c>
      <c r="AY92" s="1" t="s">
        <v>863</v>
      </c>
      <c r="AZ92" s="1" t="s">
        <v>2812</v>
      </c>
      <c r="BA92" t="s">
        <v>2845</v>
      </c>
    </row>
    <row r="93" spans="1:53" ht="19" customHeight="1">
      <c r="A93" s="4" t="s">
        <v>1074</v>
      </c>
      <c r="B93" s="4">
        <v>23.85</v>
      </c>
      <c r="C93" s="4">
        <v>120.82</v>
      </c>
      <c r="D93" s="4">
        <v>8</v>
      </c>
      <c r="E93" s="4">
        <v>7.65</v>
      </c>
      <c r="F93" s="4" t="s">
        <v>1055</v>
      </c>
      <c r="G93" s="4" t="s">
        <v>877</v>
      </c>
      <c r="H93" s="4">
        <v>120.870333</v>
      </c>
      <c r="I93" s="4">
        <v>24.683499999999999</v>
      </c>
      <c r="J93" s="4">
        <v>420.55090000000001</v>
      </c>
      <c r="K93" s="4">
        <v>40.694814999999998</v>
      </c>
      <c r="L93" s="4" t="b">
        <v>1</v>
      </c>
      <c r="M93" s="4">
        <v>8.9740000000000002</v>
      </c>
      <c r="N93" s="4" t="b">
        <v>0</v>
      </c>
      <c r="O93" s="4" t="s">
        <v>1029</v>
      </c>
      <c r="P93" s="4" t="b">
        <v>0</v>
      </c>
      <c r="Q93" s="4">
        <v>154.541</v>
      </c>
      <c r="R93" s="4">
        <v>181.81</v>
      </c>
      <c r="S93" s="4">
        <v>73.018500000000003</v>
      </c>
      <c r="T93" s="4">
        <v>41.550199999999997</v>
      </c>
      <c r="U93" s="4">
        <v>24.0181</v>
      </c>
      <c r="V93" s="4">
        <v>15.124499999999999</v>
      </c>
      <c r="W93" s="4">
        <v>49.3932</v>
      </c>
      <c r="X93" s="4">
        <v>18.978999999999999</v>
      </c>
      <c r="Y93" s="4">
        <v>15.0708</v>
      </c>
      <c r="Z93" s="4">
        <v>-0.18764700000000001</v>
      </c>
      <c r="AA93" s="4">
        <v>-0.14413000000000001</v>
      </c>
      <c r="AB93" s="4">
        <v>1.9207999999999999E-2</v>
      </c>
      <c r="AC93" s="1" t="s">
        <v>211</v>
      </c>
      <c r="AD93" s="1" t="s">
        <v>2710</v>
      </c>
      <c r="AE93" s="1" t="s">
        <v>2711</v>
      </c>
      <c r="AF93" s="1">
        <v>7.65</v>
      </c>
      <c r="AG93" s="1" t="s">
        <v>1003</v>
      </c>
      <c r="AH93" s="1">
        <v>23.85</v>
      </c>
      <c r="AI93" s="1">
        <v>120.82</v>
      </c>
      <c r="AJ93" s="1">
        <v>8</v>
      </c>
      <c r="AK93" s="1" t="s">
        <v>1055</v>
      </c>
      <c r="AL93" s="1" t="s">
        <v>2834</v>
      </c>
      <c r="AM93" s="1">
        <v>209</v>
      </c>
      <c r="AN93" s="1">
        <v>68</v>
      </c>
      <c r="AO93" s="1">
        <v>89</v>
      </c>
      <c r="AP93" s="1">
        <v>31</v>
      </c>
      <c r="AQ93" s="1">
        <v>21</v>
      </c>
      <c r="AR93" s="1">
        <v>92</v>
      </c>
      <c r="AS93" s="1" t="s">
        <v>2808</v>
      </c>
      <c r="AT93" s="1" t="s">
        <v>862</v>
      </c>
      <c r="AU93" s="1">
        <v>1</v>
      </c>
      <c r="AV93" s="1">
        <v>7.58</v>
      </c>
      <c r="AW93" s="1">
        <v>5.6364999999999998</v>
      </c>
      <c r="AX93" s="1">
        <v>7322.4000000000005</v>
      </c>
      <c r="AY93" s="1" t="s">
        <v>863</v>
      </c>
      <c r="AZ93" s="1" t="s">
        <v>2812</v>
      </c>
      <c r="BA93" t="s">
        <v>2845</v>
      </c>
    </row>
    <row r="94" spans="1:53" ht="19" customHeight="1">
      <c r="A94" s="4" t="s">
        <v>1074</v>
      </c>
      <c r="B94" s="4">
        <v>23.85</v>
      </c>
      <c r="C94" s="4">
        <v>120.82</v>
      </c>
      <c r="D94" s="4">
        <v>8</v>
      </c>
      <c r="E94" s="4">
        <v>7.65</v>
      </c>
      <c r="F94" s="4" t="s">
        <v>1055</v>
      </c>
      <c r="G94" s="4" t="s">
        <v>878</v>
      </c>
      <c r="H94" s="4">
        <v>120.86533300000001</v>
      </c>
      <c r="I94" s="4">
        <v>24.638000000000002</v>
      </c>
      <c r="J94" s="4">
        <v>391.56819999999999</v>
      </c>
      <c r="K94" s="4">
        <v>35.610543</v>
      </c>
      <c r="L94" s="4" t="b">
        <v>1</v>
      </c>
      <c r="M94" s="4">
        <v>8.8689999999999998</v>
      </c>
      <c r="N94" s="4" t="b">
        <v>0</v>
      </c>
      <c r="O94" s="4" t="s">
        <v>1029</v>
      </c>
      <c r="P94" s="4" t="b">
        <v>1</v>
      </c>
      <c r="Q94" s="4">
        <v>247.935</v>
      </c>
      <c r="R94" s="4">
        <v>103.25</v>
      </c>
      <c r="S94" s="4">
        <v>70.258499999999998</v>
      </c>
      <c r="T94" s="4">
        <v>43.2119</v>
      </c>
      <c r="U94" s="4">
        <v>24.278500000000001</v>
      </c>
      <c r="V94" s="4">
        <v>12.0738</v>
      </c>
      <c r="W94" s="4">
        <v>48.303899999999999</v>
      </c>
      <c r="X94" s="4">
        <v>20.1539</v>
      </c>
      <c r="Y94" s="4">
        <v>13.175700000000001</v>
      </c>
      <c r="Z94" s="4">
        <v>-6.8035199999999998</v>
      </c>
      <c r="AA94" s="4">
        <v>-3.6987100000000002</v>
      </c>
      <c r="AB94" s="4">
        <v>4.3638300000000001</v>
      </c>
      <c r="AC94" s="1" t="s">
        <v>211</v>
      </c>
      <c r="AD94" s="1" t="s">
        <v>2710</v>
      </c>
      <c r="AE94" s="1" t="s">
        <v>2711</v>
      </c>
      <c r="AF94" s="1">
        <v>7.65</v>
      </c>
      <c r="AG94" s="1" t="s">
        <v>1003</v>
      </c>
      <c r="AH94" s="1">
        <v>23.85</v>
      </c>
      <c r="AI94" s="1">
        <v>120.82</v>
      </c>
      <c r="AJ94" s="1">
        <v>8</v>
      </c>
      <c r="AK94" s="1" t="s">
        <v>1055</v>
      </c>
      <c r="AL94" s="1" t="s">
        <v>2834</v>
      </c>
      <c r="AM94" s="1">
        <v>209</v>
      </c>
      <c r="AN94" s="1">
        <v>68</v>
      </c>
      <c r="AO94" s="1">
        <v>89</v>
      </c>
      <c r="AP94" s="1">
        <v>31</v>
      </c>
      <c r="AQ94" s="1">
        <v>21</v>
      </c>
      <c r="AR94" s="1">
        <v>92</v>
      </c>
      <c r="AS94" s="1" t="s">
        <v>2808</v>
      </c>
      <c r="AT94" s="1" t="s">
        <v>862</v>
      </c>
      <c r="AU94" s="1">
        <v>1</v>
      </c>
      <c r="AV94" s="1">
        <v>7.58</v>
      </c>
      <c r="AW94" s="1">
        <v>5.6364999999999998</v>
      </c>
      <c r="AX94" s="1">
        <v>7322.4000000000005</v>
      </c>
      <c r="AY94" s="1" t="s">
        <v>863</v>
      </c>
      <c r="AZ94" s="1" t="s">
        <v>2812</v>
      </c>
      <c r="BA94" t="s">
        <v>2845</v>
      </c>
    </row>
    <row r="95" spans="1:53" ht="19" customHeight="1">
      <c r="A95" s="4" t="s">
        <v>1074</v>
      </c>
      <c r="B95" s="4">
        <v>23.85</v>
      </c>
      <c r="C95" s="4">
        <v>120.82</v>
      </c>
      <c r="D95" s="4">
        <v>8</v>
      </c>
      <c r="E95" s="4">
        <v>7.65</v>
      </c>
      <c r="F95" s="4" t="s">
        <v>1055</v>
      </c>
      <c r="G95" s="4" t="s">
        <v>879</v>
      </c>
      <c r="H95" s="4">
        <v>120.70483299999999</v>
      </c>
      <c r="I95" s="4">
        <v>24.446833000000002</v>
      </c>
      <c r="J95" s="4">
        <v>483.13069999999999</v>
      </c>
      <c r="K95" s="4">
        <v>19.331235</v>
      </c>
      <c r="L95" s="4" t="b">
        <v>1</v>
      </c>
      <c r="M95" s="4">
        <v>5.383</v>
      </c>
      <c r="N95" s="4" t="b">
        <v>0</v>
      </c>
      <c r="O95" s="4" t="s">
        <v>1029</v>
      </c>
      <c r="P95" s="4" t="b">
        <v>1</v>
      </c>
      <c r="Q95" s="4">
        <v>134.31200000000001</v>
      </c>
      <c r="R95" s="4">
        <v>122.274</v>
      </c>
      <c r="S95" s="4">
        <v>60.9679</v>
      </c>
      <c r="T95" s="4">
        <v>60.256999999999998</v>
      </c>
      <c r="U95" s="4">
        <v>46.825200000000002</v>
      </c>
      <c r="V95" s="4">
        <v>22.961500000000001</v>
      </c>
      <c r="W95" s="4">
        <v>100.598</v>
      </c>
      <c r="X95" s="4">
        <v>77.734300000000005</v>
      </c>
      <c r="Y95" s="4">
        <v>19.755299999999998</v>
      </c>
      <c r="Z95" s="4">
        <v>65.720799999999997</v>
      </c>
      <c r="AA95" s="4">
        <v>-28.434999999999999</v>
      </c>
      <c r="AB95" s="4">
        <v>11.231299999999999</v>
      </c>
      <c r="AC95" s="1" t="s">
        <v>211</v>
      </c>
      <c r="AD95" s="1" t="s">
        <v>2710</v>
      </c>
      <c r="AE95" s="1" t="s">
        <v>2711</v>
      </c>
      <c r="AF95" s="1">
        <v>7.65</v>
      </c>
      <c r="AG95" s="1" t="s">
        <v>1003</v>
      </c>
      <c r="AH95" s="1">
        <v>23.85</v>
      </c>
      <c r="AI95" s="1">
        <v>120.82</v>
      </c>
      <c r="AJ95" s="1">
        <v>8</v>
      </c>
      <c r="AK95" s="1" t="s">
        <v>1055</v>
      </c>
      <c r="AL95" s="1" t="s">
        <v>2834</v>
      </c>
      <c r="AM95" s="1">
        <v>209</v>
      </c>
      <c r="AN95" s="1">
        <v>68</v>
      </c>
      <c r="AO95" s="1">
        <v>89</v>
      </c>
      <c r="AP95" s="1">
        <v>31</v>
      </c>
      <c r="AQ95" s="1">
        <v>21</v>
      </c>
      <c r="AR95" s="1">
        <v>92</v>
      </c>
      <c r="AS95" s="1" t="s">
        <v>2808</v>
      </c>
      <c r="AT95" s="1" t="s">
        <v>862</v>
      </c>
      <c r="AU95" s="1">
        <v>1</v>
      </c>
      <c r="AV95" s="1">
        <v>7.58</v>
      </c>
      <c r="AW95" s="1">
        <v>5.6364999999999998</v>
      </c>
      <c r="AX95" s="1">
        <v>7322.4000000000005</v>
      </c>
      <c r="AY95" s="1" t="s">
        <v>863</v>
      </c>
      <c r="AZ95" s="1" t="s">
        <v>2812</v>
      </c>
      <c r="BA95" t="s">
        <v>2845</v>
      </c>
    </row>
    <row r="96" spans="1:53" ht="19" customHeight="1">
      <c r="A96" s="4" t="s">
        <v>1074</v>
      </c>
      <c r="B96" s="4">
        <v>23.85</v>
      </c>
      <c r="C96" s="4">
        <v>120.82</v>
      </c>
      <c r="D96" s="4">
        <v>8</v>
      </c>
      <c r="E96" s="4">
        <v>7.65</v>
      </c>
      <c r="F96" s="4" t="s">
        <v>1055</v>
      </c>
      <c r="G96" s="4" t="s">
        <v>880</v>
      </c>
      <c r="H96" s="4">
        <v>120.674167</v>
      </c>
      <c r="I96" s="4">
        <v>24.491167000000001</v>
      </c>
      <c r="J96" s="4">
        <v>306.01293800000002</v>
      </c>
      <c r="K96" s="4">
        <v>24.999455000000001</v>
      </c>
      <c r="L96" s="4" t="b">
        <v>1</v>
      </c>
      <c r="M96" s="4">
        <v>9.5760000000000005</v>
      </c>
      <c r="N96" s="4" t="b">
        <v>1</v>
      </c>
      <c r="O96" s="4">
        <v>5.46</v>
      </c>
      <c r="P96" s="4" t="b">
        <v>1</v>
      </c>
      <c r="Q96" s="4">
        <v>142.31399999999999</v>
      </c>
      <c r="R96" s="4">
        <v>142.667</v>
      </c>
      <c r="S96" s="4">
        <v>65.813599999999994</v>
      </c>
      <c r="T96" s="4">
        <v>56.907200000000003</v>
      </c>
      <c r="U96" s="4">
        <v>39.012099999999997</v>
      </c>
      <c r="V96" s="4">
        <v>32.921399999999998</v>
      </c>
      <c r="W96" s="4">
        <v>68.314599999999999</v>
      </c>
      <c r="X96" s="4">
        <v>64.818399999999997</v>
      </c>
      <c r="Y96" s="4">
        <v>26.690100000000001</v>
      </c>
      <c r="Z96" s="4">
        <v>23.908100000000001</v>
      </c>
      <c r="AA96" s="4">
        <v>-21.6539</v>
      </c>
      <c r="AB96" s="4">
        <v>9.5164500000000007</v>
      </c>
      <c r="AC96" s="1" t="s">
        <v>211</v>
      </c>
      <c r="AD96" s="1" t="s">
        <v>2710</v>
      </c>
      <c r="AE96" s="1" t="s">
        <v>2711</v>
      </c>
      <c r="AF96" s="1">
        <v>7.65</v>
      </c>
      <c r="AG96" s="1" t="s">
        <v>1003</v>
      </c>
      <c r="AH96" s="1">
        <v>23.85</v>
      </c>
      <c r="AI96" s="1">
        <v>120.82</v>
      </c>
      <c r="AJ96" s="1">
        <v>8</v>
      </c>
      <c r="AK96" s="1" t="s">
        <v>1055</v>
      </c>
      <c r="AL96" s="1" t="s">
        <v>2834</v>
      </c>
      <c r="AM96" s="1">
        <v>209</v>
      </c>
      <c r="AN96" s="1">
        <v>68</v>
      </c>
      <c r="AO96" s="1">
        <v>89</v>
      </c>
      <c r="AP96" s="1">
        <v>31</v>
      </c>
      <c r="AQ96" s="1">
        <v>21</v>
      </c>
      <c r="AR96" s="1">
        <v>92</v>
      </c>
      <c r="AS96" s="1" t="s">
        <v>2808</v>
      </c>
      <c r="AT96" s="1" t="s">
        <v>862</v>
      </c>
      <c r="AU96" s="1">
        <v>1</v>
      </c>
      <c r="AV96" s="1">
        <v>7.58</v>
      </c>
      <c r="AW96" s="1">
        <v>5.6364999999999998</v>
      </c>
      <c r="AX96" s="1">
        <v>7322.4000000000005</v>
      </c>
      <c r="AY96" s="1" t="s">
        <v>863</v>
      </c>
      <c r="AZ96" s="1" t="s">
        <v>2812</v>
      </c>
      <c r="BA96" t="s">
        <v>2845</v>
      </c>
    </row>
    <row r="97" spans="1:53" ht="19" customHeight="1">
      <c r="A97" s="4" t="s">
        <v>1074</v>
      </c>
      <c r="B97" s="4">
        <v>23.85</v>
      </c>
      <c r="C97" s="4">
        <v>120.82</v>
      </c>
      <c r="D97" s="4">
        <v>8</v>
      </c>
      <c r="E97" s="4">
        <v>7.65</v>
      </c>
      <c r="F97" s="4" t="s">
        <v>1055</v>
      </c>
      <c r="G97" s="4" t="s">
        <v>881</v>
      </c>
      <c r="H97" s="4">
        <v>120.79083300000001</v>
      </c>
      <c r="I97" s="4">
        <v>24.489667000000001</v>
      </c>
      <c r="J97" s="4">
        <v>549.55119999999999</v>
      </c>
      <c r="K97" s="4">
        <v>19.483107</v>
      </c>
      <c r="L97" s="4" t="b">
        <v>1</v>
      </c>
      <c r="M97" s="4">
        <v>9.3309999999999995</v>
      </c>
      <c r="N97" s="4" t="b">
        <v>1</v>
      </c>
      <c r="O97" s="4">
        <v>5.74</v>
      </c>
      <c r="P97" s="4" t="b">
        <v>1</v>
      </c>
      <c r="Q97" s="4">
        <v>193.321</v>
      </c>
      <c r="R97" s="4">
        <v>136.02799999999999</v>
      </c>
      <c r="S97" s="4">
        <v>121.819</v>
      </c>
      <c r="T97" s="4">
        <v>55.253599999999999</v>
      </c>
      <c r="U97" s="4">
        <v>57.277500000000003</v>
      </c>
      <c r="V97" s="4">
        <v>52.478299999999997</v>
      </c>
      <c r="W97" s="4">
        <v>66.811700000000002</v>
      </c>
      <c r="X97" s="4">
        <v>73.206400000000002</v>
      </c>
      <c r="Y97" s="4">
        <v>45.589100000000002</v>
      </c>
      <c r="Z97" s="4">
        <v>10.722300000000001</v>
      </c>
      <c r="AA97" s="4">
        <v>-25.969000000000001</v>
      </c>
      <c r="AB97" s="4">
        <v>28.939900000000002</v>
      </c>
      <c r="AC97" s="1" t="s">
        <v>211</v>
      </c>
      <c r="AD97" s="1" t="s">
        <v>2710</v>
      </c>
      <c r="AE97" s="1" t="s">
        <v>2711</v>
      </c>
      <c r="AF97" s="1">
        <v>7.65</v>
      </c>
      <c r="AG97" s="1" t="s">
        <v>1003</v>
      </c>
      <c r="AH97" s="1">
        <v>23.85</v>
      </c>
      <c r="AI97" s="1">
        <v>120.82</v>
      </c>
      <c r="AJ97" s="1">
        <v>8</v>
      </c>
      <c r="AK97" s="1" t="s">
        <v>1055</v>
      </c>
      <c r="AL97" s="1" t="s">
        <v>2834</v>
      </c>
      <c r="AM97" s="1">
        <v>209</v>
      </c>
      <c r="AN97" s="1">
        <v>68</v>
      </c>
      <c r="AO97" s="1">
        <v>89</v>
      </c>
      <c r="AP97" s="1">
        <v>31</v>
      </c>
      <c r="AQ97" s="1">
        <v>21</v>
      </c>
      <c r="AR97" s="1">
        <v>92</v>
      </c>
      <c r="AS97" s="1" t="s">
        <v>2808</v>
      </c>
      <c r="AT97" s="1" t="s">
        <v>862</v>
      </c>
      <c r="AU97" s="1">
        <v>1</v>
      </c>
      <c r="AV97" s="1">
        <v>7.58</v>
      </c>
      <c r="AW97" s="1">
        <v>5.6364999999999998</v>
      </c>
      <c r="AX97" s="1">
        <v>7322.4000000000005</v>
      </c>
      <c r="AY97" s="1" t="s">
        <v>863</v>
      </c>
      <c r="AZ97" s="1" t="s">
        <v>2812</v>
      </c>
      <c r="BA97" t="s">
        <v>2845</v>
      </c>
    </row>
    <row r="98" spans="1:53" ht="19" customHeight="1">
      <c r="A98" s="4" t="s">
        <v>1074</v>
      </c>
      <c r="B98" s="4">
        <v>23.85</v>
      </c>
      <c r="C98" s="4">
        <v>120.82</v>
      </c>
      <c r="D98" s="4">
        <v>8</v>
      </c>
      <c r="E98" s="4">
        <v>7.65</v>
      </c>
      <c r="F98" s="4" t="s">
        <v>1055</v>
      </c>
      <c r="G98" s="4" t="s">
        <v>882</v>
      </c>
      <c r="H98" s="4">
        <v>120.655</v>
      </c>
      <c r="I98" s="4">
        <v>24.448833</v>
      </c>
      <c r="J98" s="4">
        <v>336.19099999999997</v>
      </c>
      <c r="K98" s="4">
        <v>21.483913999999999</v>
      </c>
      <c r="L98" s="4" t="b">
        <v>1</v>
      </c>
      <c r="M98" s="4">
        <v>6.4119999999999999</v>
      </c>
      <c r="N98" s="4" t="b">
        <v>0</v>
      </c>
      <c r="O98" s="4" t="s">
        <v>1029</v>
      </c>
      <c r="P98" s="4" t="b">
        <v>1</v>
      </c>
      <c r="Q98" s="4">
        <v>158.90600000000001</v>
      </c>
      <c r="R98" s="4">
        <v>121.941</v>
      </c>
      <c r="S98" s="4">
        <v>78.9756</v>
      </c>
      <c r="T98" s="4">
        <v>56.600900000000003</v>
      </c>
      <c r="U98" s="4">
        <v>47.285899999999998</v>
      </c>
      <c r="V98" s="4">
        <v>18.1157</v>
      </c>
      <c r="W98" s="4">
        <v>73.231899999999996</v>
      </c>
      <c r="X98" s="4">
        <v>69.263800000000003</v>
      </c>
      <c r="Y98" s="4">
        <v>17.302</v>
      </c>
      <c r="Z98" s="4">
        <v>24.6325</v>
      </c>
      <c r="AA98" s="4">
        <v>-17.7333</v>
      </c>
      <c r="AB98" s="4">
        <v>3.9460500000000001</v>
      </c>
      <c r="AC98" s="1" t="s">
        <v>211</v>
      </c>
      <c r="AD98" s="1" t="s">
        <v>2710</v>
      </c>
      <c r="AE98" s="1" t="s">
        <v>2711</v>
      </c>
      <c r="AF98" s="1">
        <v>7.65</v>
      </c>
      <c r="AG98" s="1" t="s">
        <v>1003</v>
      </c>
      <c r="AH98" s="1">
        <v>23.85</v>
      </c>
      <c r="AI98" s="1">
        <v>120.82</v>
      </c>
      <c r="AJ98" s="1">
        <v>8</v>
      </c>
      <c r="AK98" s="1" t="s">
        <v>1055</v>
      </c>
      <c r="AL98" s="1" t="s">
        <v>2834</v>
      </c>
      <c r="AM98" s="1">
        <v>209</v>
      </c>
      <c r="AN98" s="1">
        <v>68</v>
      </c>
      <c r="AO98" s="1">
        <v>89</v>
      </c>
      <c r="AP98" s="1">
        <v>31</v>
      </c>
      <c r="AQ98" s="1">
        <v>21</v>
      </c>
      <c r="AR98" s="1">
        <v>92</v>
      </c>
      <c r="AS98" s="1" t="s">
        <v>2808</v>
      </c>
      <c r="AT98" s="1" t="s">
        <v>862</v>
      </c>
      <c r="AU98" s="1">
        <v>1</v>
      </c>
      <c r="AV98" s="1">
        <v>7.58</v>
      </c>
      <c r="AW98" s="1">
        <v>5.6364999999999998</v>
      </c>
      <c r="AX98" s="1">
        <v>7322.4000000000005</v>
      </c>
      <c r="AY98" s="1" t="s">
        <v>863</v>
      </c>
      <c r="AZ98" s="1" t="s">
        <v>2812</v>
      </c>
      <c r="BA98" t="s">
        <v>2845</v>
      </c>
    </row>
    <row r="99" spans="1:53" ht="19" customHeight="1">
      <c r="A99" s="4" t="s">
        <v>1074</v>
      </c>
      <c r="B99" s="4">
        <v>23.85</v>
      </c>
      <c r="C99" s="4">
        <v>120.82</v>
      </c>
      <c r="D99" s="4">
        <v>8</v>
      </c>
      <c r="E99" s="4">
        <v>7.65</v>
      </c>
      <c r="F99" s="4" t="s">
        <v>1055</v>
      </c>
      <c r="G99" s="4" t="s">
        <v>1075</v>
      </c>
      <c r="H99" s="4">
        <v>120.815</v>
      </c>
      <c r="I99" s="4">
        <v>24.552667</v>
      </c>
      <c r="J99" s="4">
        <v>573.50409999999999</v>
      </c>
      <c r="K99" s="4">
        <v>26.058855000000001</v>
      </c>
      <c r="L99" s="4" t="b">
        <v>1</v>
      </c>
      <c r="M99" s="4">
        <v>9.8559999999999999</v>
      </c>
      <c r="N99" s="4" t="b">
        <v>0</v>
      </c>
      <c r="O99" s="4" t="s">
        <v>1029</v>
      </c>
      <c r="P99" s="4" t="b">
        <v>0</v>
      </c>
      <c r="Q99" s="4">
        <v>242.84700000000001</v>
      </c>
      <c r="R99" s="4">
        <v>207.536</v>
      </c>
      <c r="S99" s="4">
        <v>82.909000000000006</v>
      </c>
      <c r="T99" s="4">
        <v>41.645200000000003</v>
      </c>
      <c r="U99" s="4">
        <v>37.050899999999999</v>
      </c>
      <c r="V99" s="4">
        <v>17.8401</v>
      </c>
      <c r="W99" s="4">
        <v>40.188000000000002</v>
      </c>
      <c r="X99" s="4">
        <v>26.662500000000001</v>
      </c>
      <c r="Y99" s="4">
        <v>21.881599999999999</v>
      </c>
      <c r="Z99" s="4">
        <v>6.3752700000000004</v>
      </c>
      <c r="AA99" s="4">
        <v>-6.0071300000000001</v>
      </c>
      <c r="AB99" s="4">
        <v>-1.70668</v>
      </c>
      <c r="AC99" s="1" t="s">
        <v>211</v>
      </c>
      <c r="AD99" s="1" t="s">
        <v>2710</v>
      </c>
      <c r="AE99" s="1" t="s">
        <v>2711</v>
      </c>
      <c r="AF99" s="1">
        <v>7.65</v>
      </c>
      <c r="AG99" s="1" t="s">
        <v>1003</v>
      </c>
      <c r="AH99" s="1">
        <v>23.85</v>
      </c>
      <c r="AI99" s="1">
        <v>120.82</v>
      </c>
      <c r="AJ99" s="1">
        <v>8</v>
      </c>
      <c r="AK99" s="1" t="s">
        <v>1055</v>
      </c>
      <c r="AL99" s="1" t="s">
        <v>2834</v>
      </c>
      <c r="AM99" s="1">
        <v>209</v>
      </c>
      <c r="AN99" s="1">
        <v>68</v>
      </c>
      <c r="AO99" s="1">
        <v>89</v>
      </c>
      <c r="AP99" s="1">
        <v>31</v>
      </c>
      <c r="AQ99" s="1">
        <v>21</v>
      </c>
      <c r="AR99" s="1">
        <v>92</v>
      </c>
      <c r="AS99" s="1" t="s">
        <v>2808</v>
      </c>
      <c r="AT99" s="1" t="s">
        <v>862</v>
      </c>
      <c r="AU99" s="1">
        <v>1</v>
      </c>
      <c r="AV99" s="1">
        <v>7.58</v>
      </c>
      <c r="AW99" s="1">
        <v>5.6364999999999998</v>
      </c>
      <c r="AX99" s="1">
        <v>7322.4000000000005</v>
      </c>
      <c r="AY99" s="1" t="s">
        <v>863</v>
      </c>
      <c r="AZ99" s="1" t="s">
        <v>2812</v>
      </c>
      <c r="BA99" t="s">
        <v>2845</v>
      </c>
    </row>
    <row r="100" spans="1:53" ht="19" customHeight="1">
      <c r="A100" s="4" t="s">
        <v>1074</v>
      </c>
      <c r="B100" s="4">
        <v>23.85</v>
      </c>
      <c r="C100" s="4">
        <v>120.82</v>
      </c>
      <c r="D100" s="4">
        <v>8</v>
      </c>
      <c r="E100" s="4">
        <v>7.65</v>
      </c>
      <c r="F100" s="4" t="s">
        <v>1055</v>
      </c>
      <c r="G100" s="4" t="s">
        <v>883</v>
      </c>
      <c r="H100" s="4">
        <v>120.9205</v>
      </c>
      <c r="I100" s="4">
        <v>24.539833000000002</v>
      </c>
      <c r="J100" s="4">
        <v>706.96360000000004</v>
      </c>
      <c r="K100" s="4">
        <v>26.059996000000002</v>
      </c>
      <c r="L100" s="4" t="b">
        <v>1</v>
      </c>
      <c r="M100" s="4">
        <v>9.3309999999999995</v>
      </c>
      <c r="N100" s="4" t="b">
        <v>0</v>
      </c>
      <c r="O100" s="4" t="s">
        <v>1029</v>
      </c>
      <c r="P100" s="4" t="b">
        <v>1</v>
      </c>
      <c r="Q100" s="4">
        <v>463.34199999999998</v>
      </c>
      <c r="R100" s="4">
        <v>511.65899999999999</v>
      </c>
      <c r="S100" s="4">
        <v>353.20100000000002</v>
      </c>
      <c r="T100" s="4">
        <v>49.634999999999998</v>
      </c>
      <c r="U100" s="4">
        <v>46.729599999999998</v>
      </c>
      <c r="V100" s="4">
        <v>20.211200000000002</v>
      </c>
      <c r="W100" s="4">
        <v>47.058399999999999</v>
      </c>
      <c r="X100" s="4">
        <v>33.421399999999998</v>
      </c>
      <c r="Y100" s="4">
        <v>21.939</v>
      </c>
      <c r="Z100" s="4">
        <v>-25.132899999999999</v>
      </c>
      <c r="AA100" s="4">
        <v>-17.993500000000001</v>
      </c>
      <c r="AB100" s="4">
        <v>4.8323799999999997</v>
      </c>
      <c r="AC100" s="1" t="s">
        <v>211</v>
      </c>
      <c r="AD100" s="1" t="s">
        <v>2710</v>
      </c>
      <c r="AE100" s="1" t="s">
        <v>2711</v>
      </c>
      <c r="AF100" s="1">
        <v>7.65</v>
      </c>
      <c r="AG100" s="1" t="s">
        <v>1003</v>
      </c>
      <c r="AH100" s="1">
        <v>23.85</v>
      </c>
      <c r="AI100" s="1">
        <v>120.82</v>
      </c>
      <c r="AJ100" s="1">
        <v>8</v>
      </c>
      <c r="AK100" s="1" t="s">
        <v>1055</v>
      </c>
      <c r="AL100" s="1" t="s">
        <v>2834</v>
      </c>
      <c r="AM100" s="1">
        <v>209</v>
      </c>
      <c r="AN100" s="1">
        <v>68</v>
      </c>
      <c r="AO100" s="1">
        <v>89</v>
      </c>
      <c r="AP100" s="1">
        <v>31</v>
      </c>
      <c r="AQ100" s="1">
        <v>21</v>
      </c>
      <c r="AR100" s="1">
        <v>92</v>
      </c>
      <c r="AS100" s="1" t="s">
        <v>2808</v>
      </c>
      <c r="AT100" s="1" t="s">
        <v>862</v>
      </c>
      <c r="AU100" s="1">
        <v>1</v>
      </c>
      <c r="AV100" s="1">
        <v>7.58</v>
      </c>
      <c r="AW100" s="1">
        <v>5.6364999999999998</v>
      </c>
      <c r="AX100" s="1">
        <v>7322.4000000000005</v>
      </c>
      <c r="AY100" s="1" t="s">
        <v>863</v>
      </c>
      <c r="AZ100" s="1" t="s">
        <v>2812</v>
      </c>
      <c r="BA100" t="s">
        <v>2845</v>
      </c>
    </row>
    <row r="101" spans="1:53" ht="19" customHeight="1">
      <c r="A101" s="4" t="s">
        <v>1074</v>
      </c>
      <c r="B101" s="4">
        <v>23.85</v>
      </c>
      <c r="C101" s="4">
        <v>120.82</v>
      </c>
      <c r="D101" s="4">
        <v>8</v>
      </c>
      <c r="E101" s="4">
        <v>7.65</v>
      </c>
      <c r="F101" s="4" t="s">
        <v>1055</v>
      </c>
      <c r="G101" s="4" t="s">
        <v>884</v>
      </c>
      <c r="H101" s="4">
        <v>120.86116699999999</v>
      </c>
      <c r="I101" s="4">
        <v>24.466166999999999</v>
      </c>
      <c r="J101" s="4">
        <v>462.60599999999999</v>
      </c>
      <c r="K101" s="4">
        <v>16.594709000000002</v>
      </c>
      <c r="L101" s="4" t="b">
        <v>1</v>
      </c>
      <c r="M101" s="4">
        <v>10.401999999999999</v>
      </c>
      <c r="N101" s="4" t="b">
        <v>1</v>
      </c>
      <c r="O101" s="4">
        <v>5.8869999999999996</v>
      </c>
      <c r="P101" s="4" t="b">
        <v>1</v>
      </c>
      <c r="Q101" s="4">
        <v>139.501</v>
      </c>
      <c r="R101" s="4">
        <v>116.32599999999999</v>
      </c>
      <c r="S101" s="4">
        <v>96.689599999999999</v>
      </c>
      <c r="T101" s="4">
        <v>28.917899999999999</v>
      </c>
      <c r="U101" s="4">
        <v>25.473299999999998</v>
      </c>
      <c r="V101" s="4">
        <v>33.386699999999998</v>
      </c>
      <c r="W101" s="4">
        <v>49.719200000000001</v>
      </c>
      <c r="X101" s="4">
        <v>56.615000000000002</v>
      </c>
      <c r="Y101" s="4">
        <v>43.652000000000001</v>
      </c>
      <c r="Z101" s="4">
        <v>12.408300000000001</v>
      </c>
      <c r="AA101" s="4">
        <v>-38.959000000000003</v>
      </c>
      <c r="AB101" s="4">
        <v>-20.410399999999999</v>
      </c>
      <c r="AC101" s="1" t="s">
        <v>211</v>
      </c>
      <c r="AD101" s="1" t="s">
        <v>2710</v>
      </c>
      <c r="AE101" s="1" t="s">
        <v>2711</v>
      </c>
      <c r="AF101" s="1">
        <v>7.65</v>
      </c>
      <c r="AG101" s="1" t="s">
        <v>1003</v>
      </c>
      <c r="AH101" s="1">
        <v>23.85</v>
      </c>
      <c r="AI101" s="1">
        <v>120.82</v>
      </c>
      <c r="AJ101" s="1">
        <v>8</v>
      </c>
      <c r="AK101" s="1" t="s">
        <v>1055</v>
      </c>
      <c r="AL101" s="1" t="s">
        <v>2834</v>
      </c>
      <c r="AM101" s="1">
        <v>209</v>
      </c>
      <c r="AN101" s="1">
        <v>68</v>
      </c>
      <c r="AO101" s="1">
        <v>89</v>
      </c>
      <c r="AP101" s="1">
        <v>31</v>
      </c>
      <c r="AQ101" s="1">
        <v>21</v>
      </c>
      <c r="AR101" s="1">
        <v>92</v>
      </c>
      <c r="AS101" s="1" t="s">
        <v>2808</v>
      </c>
      <c r="AT101" s="1" t="s">
        <v>862</v>
      </c>
      <c r="AU101" s="1">
        <v>1</v>
      </c>
      <c r="AV101" s="1">
        <v>7.58</v>
      </c>
      <c r="AW101" s="1">
        <v>5.6364999999999998</v>
      </c>
      <c r="AX101" s="1">
        <v>7322.4000000000005</v>
      </c>
      <c r="AY101" s="1" t="s">
        <v>863</v>
      </c>
      <c r="AZ101" s="1" t="s">
        <v>2812</v>
      </c>
      <c r="BA101" t="s">
        <v>2845</v>
      </c>
    </row>
    <row r="102" spans="1:53" ht="19" customHeight="1">
      <c r="A102" s="4" t="s">
        <v>1074</v>
      </c>
      <c r="B102" s="4">
        <v>23.85</v>
      </c>
      <c r="C102" s="4">
        <v>120.82</v>
      </c>
      <c r="D102" s="4">
        <v>8</v>
      </c>
      <c r="E102" s="4">
        <v>7.65</v>
      </c>
      <c r="F102" s="4" t="s">
        <v>1055</v>
      </c>
      <c r="G102" s="4" t="s">
        <v>885</v>
      </c>
      <c r="H102" s="4">
        <v>120.946167</v>
      </c>
      <c r="I102" s="4">
        <v>24.617667000000001</v>
      </c>
      <c r="J102" s="4">
        <v>522.96699999999998</v>
      </c>
      <c r="K102" s="4">
        <v>35.094971000000001</v>
      </c>
      <c r="L102" s="4" t="b">
        <v>1</v>
      </c>
      <c r="M102" s="4">
        <v>12.313000000000001</v>
      </c>
      <c r="N102" s="4" t="b">
        <v>0</v>
      </c>
      <c r="O102" s="4" t="s">
        <v>1029</v>
      </c>
      <c r="P102" s="4" t="b">
        <v>1</v>
      </c>
      <c r="Q102" s="4">
        <v>291.75700000000001</v>
      </c>
      <c r="R102" s="4">
        <v>399.42</v>
      </c>
      <c r="S102" s="4">
        <v>261.00700000000001</v>
      </c>
      <c r="T102" s="4">
        <v>42.223799999999997</v>
      </c>
      <c r="U102" s="4">
        <v>34.8249</v>
      </c>
      <c r="V102" s="4">
        <v>21.514099999999999</v>
      </c>
      <c r="W102" s="4">
        <v>42.894199999999998</v>
      </c>
      <c r="X102" s="4">
        <v>35.801900000000003</v>
      </c>
      <c r="Y102" s="4">
        <v>34.842300000000002</v>
      </c>
      <c r="Z102" s="4">
        <v>0.121196</v>
      </c>
      <c r="AA102" s="4">
        <v>-9.0450199999999992</v>
      </c>
      <c r="AB102" s="4">
        <v>-14.4368</v>
      </c>
      <c r="AC102" s="1" t="s">
        <v>211</v>
      </c>
      <c r="AD102" s="1" t="s">
        <v>2710</v>
      </c>
      <c r="AE102" s="1" t="s">
        <v>2711</v>
      </c>
      <c r="AF102" s="1">
        <v>7.65</v>
      </c>
      <c r="AG102" s="1" t="s">
        <v>1003</v>
      </c>
      <c r="AH102" s="1">
        <v>23.85</v>
      </c>
      <c r="AI102" s="1">
        <v>120.82</v>
      </c>
      <c r="AJ102" s="1">
        <v>8</v>
      </c>
      <c r="AK102" s="1" t="s">
        <v>1055</v>
      </c>
      <c r="AL102" s="1" t="s">
        <v>2834</v>
      </c>
      <c r="AM102" s="1">
        <v>209</v>
      </c>
      <c r="AN102" s="1">
        <v>68</v>
      </c>
      <c r="AO102" s="1">
        <v>89</v>
      </c>
      <c r="AP102" s="1">
        <v>31</v>
      </c>
      <c r="AQ102" s="1">
        <v>21</v>
      </c>
      <c r="AR102" s="1">
        <v>92</v>
      </c>
      <c r="AS102" s="1" t="s">
        <v>2808</v>
      </c>
      <c r="AT102" s="1" t="s">
        <v>862</v>
      </c>
      <c r="AU102" s="1">
        <v>1</v>
      </c>
      <c r="AV102" s="1">
        <v>7.58</v>
      </c>
      <c r="AW102" s="1">
        <v>5.6364999999999998</v>
      </c>
      <c r="AX102" s="1">
        <v>7322.4000000000005</v>
      </c>
      <c r="AY102" s="1" t="s">
        <v>863</v>
      </c>
      <c r="AZ102" s="1" t="s">
        <v>2812</v>
      </c>
      <c r="BA102" t="s">
        <v>2845</v>
      </c>
    </row>
    <row r="103" spans="1:53" ht="19" customHeight="1">
      <c r="A103" s="4" t="s">
        <v>1074</v>
      </c>
      <c r="B103" s="4">
        <v>23.85</v>
      </c>
      <c r="C103" s="4">
        <v>120.82</v>
      </c>
      <c r="D103" s="4">
        <v>8</v>
      </c>
      <c r="E103" s="4">
        <v>7.65</v>
      </c>
      <c r="F103" s="4" t="s">
        <v>1055</v>
      </c>
      <c r="G103" s="4" t="s">
        <v>886</v>
      </c>
      <c r="H103" s="4">
        <v>120.69966700000001</v>
      </c>
      <c r="I103" s="4">
        <v>24.177333000000001</v>
      </c>
      <c r="J103" s="4">
        <v>469.74090000000001</v>
      </c>
      <c r="K103" s="4">
        <v>2.794384</v>
      </c>
      <c r="L103" s="4" t="b">
        <v>1</v>
      </c>
      <c r="M103" s="4">
        <v>10.220000000000001</v>
      </c>
      <c r="N103" s="4" t="b">
        <v>0</v>
      </c>
      <c r="O103" s="4" t="s">
        <v>1029</v>
      </c>
      <c r="P103" s="4" t="b">
        <v>1</v>
      </c>
      <c r="Q103" s="4">
        <v>273.399</v>
      </c>
      <c r="R103" s="4">
        <v>241.958</v>
      </c>
      <c r="S103" s="4">
        <v>177.97900000000001</v>
      </c>
      <c r="T103" s="4">
        <v>56.863500000000002</v>
      </c>
      <c r="U103" s="4">
        <v>59.388500000000001</v>
      </c>
      <c r="V103" s="4">
        <v>26.765899999999998</v>
      </c>
      <c r="W103" s="4">
        <v>125.117</v>
      </c>
      <c r="X103" s="4">
        <v>115.77200000000001</v>
      </c>
      <c r="Y103" s="4">
        <v>29.216200000000001</v>
      </c>
      <c r="Z103" s="4">
        <v>68.618499999999997</v>
      </c>
      <c r="AA103" s="4">
        <v>-67.293999999999997</v>
      </c>
      <c r="AB103" s="4">
        <v>-21.447399999999998</v>
      </c>
      <c r="AC103" s="1" t="s">
        <v>211</v>
      </c>
      <c r="AD103" s="1" t="s">
        <v>2710</v>
      </c>
      <c r="AE103" s="1" t="s">
        <v>2711</v>
      </c>
      <c r="AF103" s="1">
        <v>7.65</v>
      </c>
      <c r="AG103" s="1" t="s">
        <v>1003</v>
      </c>
      <c r="AH103" s="1">
        <v>23.85</v>
      </c>
      <c r="AI103" s="1">
        <v>120.82</v>
      </c>
      <c r="AJ103" s="1">
        <v>8</v>
      </c>
      <c r="AK103" s="1" t="s">
        <v>1055</v>
      </c>
      <c r="AL103" s="1" t="s">
        <v>2834</v>
      </c>
      <c r="AM103" s="1">
        <v>209</v>
      </c>
      <c r="AN103" s="1">
        <v>68</v>
      </c>
      <c r="AO103" s="1">
        <v>89</v>
      </c>
      <c r="AP103" s="1">
        <v>31</v>
      </c>
      <c r="AQ103" s="1">
        <v>21</v>
      </c>
      <c r="AR103" s="1">
        <v>92</v>
      </c>
      <c r="AS103" s="1" t="s">
        <v>2808</v>
      </c>
      <c r="AT103" s="1" t="s">
        <v>862</v>
      </c>
      <c r="AU103" s="1">
        <v>1</v>
      </c>
      <c r="AV103" s="1">
        <v>7.58</v>
      </c>
      <c r="AW103" s="1">
        <v>5.6364999999999998</v>
      </c>
      <c r="AX103" s="1">
        <v>7322.4000000000005</v>
      </c>
      <c r="AY103" s="1" t="s">
        <v>863</v>
      </c>
      <c r="AZ103" s="1" t="s">
        <v>2812</v>
      </c>
      <c r="BA103" t="s">
        <v>2845</v>
      </c>
    </row>
    <row r="104" spans="1:53" ht="19" customHeight="1">
      <c r="A104" s="4" t="s">
        <v>1074</v>
      </c>
      <c r="B104" s="4">
        <v>23.85</v>
      </c>
      <c r="C104" s="4">
        <v>120.82</v>
      </c>
      <c r="D104" s="4">
        <v>8</v>
      </c>
      <c r="E104" s="4">
        <v>7.65</v>
      </c>
      <c r="F104" s="4" t="s">
        <v>1055</v>
      </c>
      <c r="G104" s="4" t="s">
        <v>1076</v>
      </c>
      <c r="H104" s="4">
        <v>120.641667</v>
      </c>
      <c r="I104" s="4">
        <v>24.18</v>
      </c>
      <c r="J104" s="4">
        <v>539.32579999999996</v>
      </c>
      <c r="K104" s="4">
        <v>8.6810489999999998</v>
      </c>
      <c r="L104" s="4" t="b">
        <v>0</v>
      </c>
      <c r="M104" s="4" t="s">
        <v>1029</v>
      </c>
      <c r="N104" s="4" t="b">
        <v>1</v>
      </c>
      <c r="O104" s="4">
        <v>6.0620000000000003</v>
      </c>
      <c r="P104" s="4" t="b">
        <v>0</v>
      </c>
      <c r="Q104" s="4">
        <v>143</v>
      </c>
      <c r="R104" s="4">
        <v>128.518</v>
      </c>
      <c r="S104" s="4">
        <v>91.09</v>
      </c>
      <c r="T104" s="4">
        <v>34.299100000000003</v>
      </c>
      <c r="U104" s="4">
        <v>43.4313</v>
      </c>
      <c r="V104" s="4">
        <v>41.541800000000002</v>
      </c>
      <c r="W104" s="4">
        <v>71.573899999999995</v>
      </c>
      <c r="X104" s="4">
        <v>45.689399999999999</v>
      </c>
      <c r="Y104" s="4">
        <v>34.240699999999997</v>
      </c>
      <c r="Z104" s="4">
        <v>-2.0686</v>
      </c>
      <c r="AA104" s="4">
        <v>0.30505599999999999</v>
      </c>
      <c r="AB104" s="4">
        <v>5.5417199999999998</v>
      </c>
      <c r="AC104" s="1" t="s">
        <v>211</v>
      </c>
      <c r="AD104" s="1" t="s">
        <v>2710</v>
      </c>
      <c r="AE104" s="1" t="s">
        <v>2711</v>
      </c>
      <c r="AF104" s="1">
        <v>7.65</v>
      </c>
      <c r="AG104" s="1" t="s">
        <v>1003</v>
      </c>
      <c r="AH104" s="1">
        <v>23.85</v>
      </c>
      <c r="AI104" s="1">
        <v>120.82</v>
      </c>
      <c r="AJ104" s="1">
        <v>8</v>
      </c>
      <c r="AK104" s="1" t="s">
        <v>1055</v>
      </c>
      <c r="AL104" s="1" t="s">
        <v>2834</v>
      </c>
      <c r="AM104" s="1">
        <v>209</v>
      </c>
      <c r="AN104" s="1">
        <v>68</v>
      </c>
      <c r="AO104" s="1">
        <v>89</v>
      </c>
      <c r="AP104" s="1">
        <v>31</v>
      </c>
      <c r="AQ104" s="1">
        <v>21</v>
      </c>
      <c r="AR104" s="1">
        <v>92</v>
      </c>
      <c r="AS104" s="1" t="s">
        <v>2808</v>
      </c>
      <c r="AT104" s="1" t="s">
        <v>862</v>
      </c>
      <c r="AU104" s="1">
        <v>1</v>
      </c>
      <c r="AV104" s="1">
        <v>7.58</v>
      </c>
      <c r="AW104" s="1">
        <v>5.6364999999999998</v>
      </c>
      <c r="AX104" s="1">
        <v>7322.4000000000005</v>
      </c>
      <c r="AY104" s="1" t="s">
        <v>863</v>
      </c>
      <c r="AZ104" s="1" t="s">
        <v>2812</v>
      </c>
      <c r="BA104" t="s">
        <v>2845</v>
      </c>
    </row>
    <row r="105" spans="1:53" ht="19" customHeight="1">
      <c r="A105" s="4" t="s">
        <v>1074</v>
      </c>
      <c r="B105" s="4">
        <v>23.85</v>
      </c>
      <c r="C105" s="4">
        <v>120.82</v>
      </c>
      <c r="D105" s="4">
        <v>8</v>
      </c>
      <c r="E105" s="4">
        <v>7.65</v>
      </c>
      <c r="F105" s="4" t="s">
        <v>1055</v>
      </c>
      <c r="G105" s="4" t="s">
        <v>887</v>
      </c>
      <c r="H105" s="4">
        <v>120.659667</v>
      </c>
      <c r="I105" s="4">
        <v>24.159832999999999</v>
      </c>
      <c r="J105" s="4">
        <v>420.106426</v>
      </c>
      <c r="K105" s="4">
        <v>6.8291909999999998</v>
      </c>
      <c r="L105" s="4" t="b">
        <v>1</v>
      </c>
      <c r="M105" s="4">
        <v>10.381</v>
      </c>
      <c r="N105" s="4" t="b">
        <v>0</v>
      </c>
      <c r="O105" s="4" t="s">
        <v>1029</v>
      </c>
      <c r="P105" s="4" t="b">
        <v>1</v>
      </c>
      <c r="Q105" s="4">
        <v>156.71799999999999</v>
      </c>
      <c r="R105" s="4">
        <v>230.73</v>
      </c>
      <c r="S105" s="4">
        <v>109.732</v>
      </c>
      <c r="T105" s="4">
        <v>51.335900000000002</v>
      </c>
      <c r="U105" s="4">
        <v>42.3264</v>
      </c>
      <c r="V105" s="4">
        <v>29.950399999999998</v>
      </c>
      <c r="W105" s="4">
        <v>124.306</v>
      </c>
      <c r="X105" s="4">
        <v>74.750600000000006</v>
      </c>
      <c r="Y105" s="4">
        <v>35.597000000000001</v>
      </c>
      <c r="Z105" s="4">
        <v>64.364000000000004</v>
      </c>
      <c r="AA105" s="4">
        <v>-32.069899999999997</v>
      </c>
      <c r="AB105" s="4">
        <v>10.6432</v>
      </c>
      <c r="AC105" s="1" t="s">
        <v>211</v>
      </c>
      <c r="AD105" s="1" t="s">
        <v>2710</v>
      </c>
      <c r="AE105" s="1" t="s">
        <v>2711</v>
      </c>
      <c r="AF105" s="1">
        <v>7.65</v>
      </c>
      <c r="AG105" s="1" t="s">
        <v>1003</v>
      </c>
      <c r="AH105" s="1">
        <v>23.85</v>
      </c>
      <c r="AI105" s="1">
        <v>120.82</v>
      </c>
      <c r="AJ105" s="1">
        <v>8</v>
      </c>
      <c r="AK105" s="1" t="s">
        <v>1055</v>
      </c>
      <c r="AL105" s="1" t="s">
        <v>2834</v>
      </c>
      <c r="AM105" s="1">
        <v>209</v>
      </c>
      <c r="AN105" s="1">
        <v>68</v>
      </c>
      <c r="AO105" s="1">
        <v>89</v>
      </c>
      <c r="AP105" s="1">
        <v>31</v>
      </c>
      <c r="AQ105" s="1">
        <v>21</v>
      </c>
      <c r="AR105" s="1">
        <v>92</v>
      </c>
      <c r="AS105" s="1" t="s">
        <v>2808</v>
      </c>
      <c r="AT105" s="1" t="s">
        <v>862</v>
      </c>
      <c r="AU105" s="1">
        <v>1</v>
      </c>
      <c r="AV105" s="1">
        <v>7.58</v>
      </c>
      <c r="AW105" s="1">
        <v>5.6364999999999998</v>
      </c>
      <c r="AX105" s="1">
        <v>7322.4000000000005</v>
      </c>
      <c r="AY105" s="1" t="s">
        <v>863</v>
      </c>
      <c r="AZ105" s="1" t="s">
        <v>2812</v>
      </c>
      <c r="BA105" t="s">
        <v>2845</v>
      </c>
    </row>
    <row r="106" spans="1:53" ht="19" customHeight="1">
      <c r="A106" s="4" t="s">
        <v>1074</v>
      </c>
      <c r="B106" s="4">
        <v>23.85</v>
      </c>
      <c r="C106" s="4">
        <v>120.82</v>
      </c>
      <c r="D106" s="4">
        <v>8</v>
      </c>
      <c r="E106" s="4">
        <v>7.65</v>
      </c>
      <c r="F106" s="4" t="s">
        <v>1055</v>
      </c>
      <c r="G106" s="4" t="s">
        <v>888</v>
      </c>
      <c r="H106" s="4">
        <v>120.748</v>
      </c>
      <c r="I106" s="4">
        <v>24.195833</v>
      </c>
      <c r="J106" s="4">
        <v>589.21730000000002</v>
      </c>
      <c r="K106" s="4">
        <v>1.039873</v>
      </c>
      <c r="L106" s="4" t="b">
        <v>1</v>
      </c>
      <c r="M106" s="4">
        <v>12.292</v>
      </c>
      <c r="N106" s="4" t="b">
        <v>1</v>
      </c>
      <c r="O106" s="4">
        <v>10.241</v>
      </c>
      <c r="P106" s="4" t="b">
        <v>1</v>
      </c>
      <c r="Q106" s="4">
        <v>348.654</v>
      </c>
      <c r="R106" s="4">
        <v>438.69299999999998</v>
      </c>
      <c r="S106" s="4">
        <v>193.95400000000001</v>
      </c>
      <c r="T106" s="4">
        <v>183.80600000000001</v>
      </c>
      <c r="U106" s="4">
        <v>220.62200000000001</v>
      </c>
      <c r="V106" s="4">
        <v>170.072</v>
      </c>
      <c r="W106" s="4">
        <v>515.322</v>
      </c>
      <c r="X106" s="4">
        <v>718.81</v>
      </c>
      <c r="Y106" s="4">
        <v>415.7</v>
      </c>
      <c r="Z106" s="4">
        <v>-439.10700000000003</v>
      </c>
      <c r="AA106" s="4">
        <v>652.44000000000005</v>
      </c>
      <c r="AB106" s="4">
        <v>365.66199999999998</v>
      </c>
      <c r="AC106" s="1" t="s">
        <v>211</v>
      </c>
      <c r="AD106" s="1" t="s">
        <v>2710</v>
      </c>
      <c r="AE106" s="1" t="s">
        <v>2711</v>
      </c>
      <c r="AF106" s="1">
        <v>7.65</v>
      </c>
      <c r="AG106" s="1" t="s">
        <v>1003</v>
      </c>
      <c r="AH106" s="1">
        <v>23.85</v>
      </c>
      <c r="AI106" s="1">
        <v>120.82</v>
      </c>
      <c r="AJ106" s="1">
        <v>8</v>
      </c>
      <c r="AK106" s="1" t="s">
        <v>1055</v>
      </c>
      <c r="AL106" s="1" t="s">
        <v>2834</v>
      </c>
      <c r="AM106" s="1">
        <v>209</v>
      </c>
      <c r="AN106" s="1">
        <v>68</v>
      </c>
      <c r="AO106" s="1">
        <v>89</v>
      </c>
      <c r="AP106" s="1">
        <v>31</v>
      </c>
      <c r="AQ106" s="1">
        <v>21</v>
      </c>
      <c r="AR106" s="1">
        <v>92</v>
      </c>
      <c r="AS106" s="1" t="s">
        <v>2808</v>
      </c>
      <c r="AT106" s="1" t="s">
        <v>862</v>
      </c>
      <c r="AU106" s="1">
        <v>1</v>
      </c>
      <c r="AV106" s="1">
        <v>7.58</v>
      </c>
      <c r="AW106" s="1">
        <v>5.6364999999999998</v>
      </c>
      <c r="AX106" s="1">
        <v>7322.4000000000005</v>
      </c>
      <c r="AY106" s="1" t="s">
        <v>863</v>
      </c>
      <c r="AZ106" s="1" t="s">
        <v>2812</v>
      </c>
      <c r="BA106" t="s">
        <v>2845</v>
      </c>
    </row>
    <row r="107" spans="1:53" ht="19" customHeight="1">
      <c r="A107" s="4" t="s">
        <v>1074</v>
      </c>
      <c r="B107" s="4">
        <v>23.85</v>
      </c>
      <c r="C107" s="4">
        <v>120.82</v>
      </c>
      <c r="D107" s="4">
        <v>8</v>
      </c>
      <c r="E107" s="4">
        <v>7.65</v>
      </c>
      <c r="F107" s="4" t="s">
        <v>1055</v>
      </c>
      <c r="G107" s="4" t="s">
        <v>889</v>
      </c>
      <c r="H107" s="4">
        <v>120.678833</v>
      </c>
      <c r="I107" s="4">
        <v>24.191666999999999</v>
      </c>
      <c r="J107" s="4">
        <v>452.11360000000002</v>
      </c>
      <c r="K107" s="4">
        <v>4.9331680000000002</v>
      </c>
      <c r="L107" s="4" t="b">
        <v>1</v>
      </c>
      <c r="M107" s="4">
        <v>13.118</v>
      </c>
      <c r="N107" s="4" t="b">
        <v>0</v>
      </c>
      <c r="O107" s="4" t="s">
        <v>1029</v>
      </c>
      <c r="P107" s="4" t="b">
        <v>1</v>
      </c>
      <c r="Q107" s="4">
        <v>224.87299999999999</v>
      </c>
      <c r="R107" s="4">
        <v>132.036</v>
      </c>
      <c r="S107" s="4">
        <v>120.852</v>
      </c>
      <c r="T107" s="4">
        <v>42.991300000000003</v>
      </c>
      <c r="U107" s="4">
        <v>44.303800000000003</v>
      </c>
      <c r="V107" s="4">
        <v>32.3095</v>
      </c>
      <c r="W107" s="4">
        <v>118.85599999999999</v>
      </c>
      <c r="X107" s="4">
        <v>96.781599999999997</v>
      </c>
      <c r="Y107" s="4">
        <v>27.217099999999999</v>
      </c>
      <c r="Z107" s="4">
        <v>66.223500000000001</v>
      </c>
      <c r="AA107" s="4">
        <v>-43.815600000000003</v>
      </c>
      <c r="AB107" s="4">
        <v>-3.2547999999999999</v>
      </c>
      <c r="AC107" s="1" t="s">
        <v>211</v>
      </c>
      <c r="AD107" s="1" t="s">
        <v>2710</v>
      </c>
      <c r="AE107" s="1" t="s">
        <v>2711</v>
      </c>
      <c r="AF107" s="1">
        <v>7.65</v>
      </c>
      <c r="AG107" s="1" t="s">
        <v>1003</v>
      </c>
      <c r="AH107" s="1">
        <v>23.85</v>
      </c>
      <c r="AI107" s="1">
        <v>120.82</v>
      </c>
      <c r="AJ107" s="1">
        <v>8</v>
      </c>
      <c r="AK107" s="1" t="s">
        <v>1055</v>
      </c>
      <c r="AL107" s="1" t="s">
        <v>2834</v>
      </c>
      <c r="AM107" s="1">
        <v>209</v>
      </c>
      <c r="AN107" s="1">
        <v>68</v>
      </c>
      <c r="AO107" s="1">
        <v>89</v>
      </c>
      <c r="AP107" s="1">
        <v>31</v>
      </c>
      <c r="AQ107" s="1">
        <v>21</v>
      </c>
      <c r="AR107" s="1">
        <v>92</v>
      </c>
      <c r="AS107" s="1" t="s">
        <v>2808</v>
      </c>
      <c r="AT107" s="1" t="s">
        <v>862</v>
      </c>
      <c r="AU107" s="1">
        <v>1</v>
      </c>
      <c r="AV107" s="1">
        <v>7.58</v>
      </c>
      <c r="AW107" s="1">
        <v>5.6364999999999998</v>
      </c>
      <c r="AX107" s="1">
        <v>7322.4000000000005</v>
      </c>
      <c r="AY107" s="1" t="s">
        <v>863</v>
      </c>
      <c r="AZ107" s="1" t="s">
        <v>2812</v>
      </c>
      <c r="BA107" t="s">
        <v>2845</v>
      </c>
    </row>
    <row r="108" spans="1:53" ht="19" customHeight="1">
      <c r="A108" s="4" t="s">
        <v>1074</v>
      </c>
      <c r="B108" s="4">
        <v>23.85</v>
      </c>
      <c r="C108" s="4">
        <v>120.82</v>
      </c>
      <c r="D108" s="4">
        <v>8</v>
      </c>
      <c r="E108" s="4">
        <v>7.65</v>
      </c>
      <c r="F108" s="4" t="s">
        <v>1055</v>
      </c>
      <c r="G108" s="4" t="s">
        <v>1077</v>
      </c>
      <c r="H108" s="4">
        <v>120.684833</v>
      </c>
      <c r="I108" s="4">
        <v>24.16</v>
      </c>
      <c r="J108" s="4">
        <v>436.99919999999997</v>
      </c>
      <c r="K108" s="4">
        <v>4.2830919999999999</v>
      </c>
      <c r="L108" s="4" t="b">
        <v>1</v>
      </c>
      <c r="M108" s="4">
        <v>11.837</v>
      </c>
      <c r="N108" s="4" t="b">
        <v>0</v>
      </c>
      <c r="O108" s="4" t="s">
        <v>1029</v>
      </c>
      <c r="P108" s="4" t="b">
        <v>0</v>
      </c>
      <c r="Q108" s="4">
        <v>143.89400000000001</v>
      </c>
      <c r="R108" s="4">
        <v>189.69900000000001</v>
      </c>
      <c r="S108" s="4">
        <v>130.846</v>
      </c>
      <c r="T108" s="4">
        <v>51.268700000000003</v>
      </c>
      <c r="U108" s="4">
        <v>37.972099999999998</v>
      </c>
      <c r="V108" s="4">
        <v>30.540600000000001</v>
      </c>
      <c r="W108" s="4">
        <v>96.224299999999999</v>
      </c>
      <c r="X108" s="4">
        <v>73.192499999999995</v>
      </c>
      <c r="Y108" s="4">
        <v>24.4054</v>
      </c>
      <c r="Z108" s="4">
        <v>-10.035600000000001</v>
      </c>
      <c r="AA108" s="4">
        <v>56.163400000000003</v>
      </c>
      <c r="AB108" s="4">
        <v>6.9961599999999997</v>
      </c>
      <c r="AC108" s="1" t="s">
        <v>211</v>
      </c>
      <c r="AD108" s="1" t="s">
        <v>2710</v>
      </c>
      <c r="AE108" s="1" t="s">
        <v>2711</v>
      </c>
      <c r="AF108" s="1">
        <v>7.65</v>
      </c>
      <c r="AG108" s="1" t="s">
        <v>1003</v>
      </c>
      <c r="AH108" s="1">
        <v>23.85</v>
      </c>
      <c r="AI108" s="1">
        <v>120.82</v>
      </c>
      <c r="AJ108" s="1">
        <v>8</v>
      </c>
      <c r="AK108" s="1" t="s">
        <v>1055</v>
      </c>
      <c r="AL108" s="1" t="s">
        <v>2834</v>
      </c>
      <c r="AM108" s="1">
        <v>209</v>
      </c>
      <c r="AN108" s="1">
        <v>68</v>
      </c>
      <c r="AO108" s="1">
        <v>89</v>
      </c>
      <c r="AP108" s="1">
        <v>31</v>
      </c>
      <c r="AQ108" s="1">
        <v>21</v>
      </c>
      <c r="AR108" s="1">
        <v>92</v>
      </c>
      <c r="AS108" s="1" t="s">
        <v>2808</v>
      </c>
      <c r="AT108" s="1" t="s">
        <v>862</v>
      </c>
      <c r="AU108" s="1">
        <v>1</v>
      </c>
      <c r="AV108" s="1">
        <v>7.58</v>
      </c>
      <c r="AW108" s="1">
        <v>5.6364999999999998</v>
      </c>
      <c r="AX108" s="1">
        <v>7322.4000000000005</v>
      </c>
      <c r="AY108" s="1" t="s">
        <v>863</v>
      </c>
      <c r="AZ108" s="1" t="s">
        <v>2812</v>
      </c>
      <c r="BA108" t="s">
        <v>2845</v>
      </c>
    </row>
    <row r="109" spans="1:53" ht="19" customHeight="1">
      <c r="A109" s="4" t="s">
        <v>1074</v>
      </c>
      <c r="B109" s="4">
        <v>23.85</v>
      </c>
      <c r="C109" s="4">
        <v>120.82</v>
      </c>
      <c r="D109" s="4">
        <v>8</v>
      </c>
      <c r="E109" s="4">
        <v>7.65</v>
      </c>
      <c r="F109" s="4" t="s">
        <v>1055</v>
      </c>
      <c r="G109" s="4" t="s">
        <v>1078</v>
      </c>
      <c r="H109" s="4">
        <v>120.6748</v>
      </c>
      <c r="I109" s="4">
        <v>24.138200000000001</v>
      </c>
      <c r="J109" s="4">
        <v>423.81</v>
      </c>
      <c r="K109" s="4">
        <v>5.2839</v>
      </c>
      <c r="L109" s="4" t="b">
        <v>0</v>
      </c>
      <c r="M109" s="4" t="s">
        <v>1029</v>
      </c>
      <c r="N109" s="4" t="b">
        <v>1</v>
      </c>
      <c r="O109" s="4">
        <v>5.992</v>
      </c>
      <c r="P109" s="4" t="b">
        <v>0</v>
      </c>
      <c r="Q109" s="4">
        <v>222.178482</v>
      </c>
      <c r="R109" s="4">
        <v>201.280179</v>
      </c>
      <c r="S109" s="4">
        <v>160.268372</v>
      </c>
      <c r="T109" s="4">
        <v>36.326779999999999</v>
      </c>
      <c r="U109" s="4">
        <v>32.517924999999998</v>
      </c>
      <c r="V109" s="4">
        <v>44.745085000000003</v>
      </c>
      <c r="W109" s="4">
        <v>27.815196</v>
      </c>
      <c r="X109" s="4">
        <v>18.643820999999999</v>
      </c>
      <c r="Y109" s="4">
        <v>34.158679999999997</v>
      </c>
      <c r="Z109" s="4">
        <v>-1.2733129999999999</v>
      </c>
      <c r="AA109" s="4">
        <v>-1.3636299999999999</v>
      </c>
      <c r="AB109" s="4">
        <v>8.7804649999999995</v>
      </c>
      <c r="AC109" s="1" t="s">
        <v>211</v>
      </c>
      <c r="AD109" s="1" t="s">
        <v>2710</v>
      </c>
      <c r="AE109" s="1" t="s">
        <v>2711</v>
      </c>
      <c r="AF109" s="1">
        <v>7.65</v>
      </c>
      <c r="AG109" s="1" t="s">
        <v>1003</v>
      </c>
      <c r="AH109" s="1">
        <v>23.85</v>
      </c>
      <c r="AI109" s="1">
        <v>120.82</v>
      </c>
      <c r="AJ109" s="1">
        <v>8</v>
      </c>
      <c r="AK109" s="1" t="s">
        <v>1055</v>
      </c>
      <c r="AL109" s="1" t="s">
        <v>2834</v>
      </c>
      <c r="AM109" s="1">
        <v>209</v>
      </c>
      <c r="AN109" s="1">
        <v>68</v>
      </c>
      <c r="AO109" s="1">
        <v>89</v>
      </c>
      <c r="AP109" s="1">
        <v>31</v>
      </c>
      <c r="AQ109" s="1">
        <v>21</v>
      </c>
      <c r="AR109" s="1">
        <v>92</v>
      </c>
      <c r="AS109" s="1" t="s">
        <v>2808</v>
      </c>
      <c r="AT109" s="1" t="s">
        <v>862</v>
      </c>
      <c r="AU109" s="1">
        <v>1</v>
      </c>
      <c r="AV109" s="1">
        <v>7.58</v>
      </c>
      <c r="AW109" s="1">
        <v>5.6364999999999998</v>
      </c>
      <c r="AX109" s="1">
        <v>7322.4000000000005</v>
      </c>
      <c r="AY109" s="1" t="s">
        <v>863</v>
      </c>
      <c r="AZ109" s="1" t="s">
        <v>2812</v>
      </c>
      <c r="BA109" t="s">
        <v>2845</v>
      </c>
    </row>
    <row r="110" spans="1:53" ht="19" customHeight="1">
      <c r="A110" s="4" t="s">
        <v>1074</v>
      </c>
      <c r="B110" s="4">
        <v>23.85</v>
      </c>
      <c r="C110" s="4">
        <v>120.82</v>
      </c>
      <c r="D110" s="4">
        <v>8</v>
      </c>
      <c r="E110" s="4">
        <v>7.65</v>
      </c>
      <c r="F110" s="4" t="s">
        <v>1055</v>
      </c>
      <c r="G110" s="4" t="s">
        <v>890</v>
      </c>
      <c r="H110" s="4">
        <v>120.6335</v>
      </c>
      <c r="I110" s="4">
        <v>24.157</v>
      </c>
      <c r="J110" s="4">
        <v>401.1902</v>
      </c>
      <c r="K110" s="4">
        <v>9.4835960000000004</v>
      </c>
      <c r="L110" s="4" t="b">
        <v>1</v>
      </c>
      <c r="M110" s="4">
        <v>9.0299999999999994</v>
      </c>
      <c r="N110" s="4" t="b">
        <v>0</v>
      </c>
      <c r="O110" s="4" t="s">
        <v>1029</v>
      </c>
      <c r="P110" s="4" t="b">
        <v>1</v>
      </c>
      <c r="Q110" s="4">
        <v>153.815</v>
      </c>
      <c r="R110" s="4">
        <v>140.316</v>
      </c>
      <c r="S110" s="4">
        <v>116.845</v>
      </c>
      <c r="T110" s="4">
        <v>41.148000000000003</v>
      </c>
      <c r="U110" s="4">
        <v>39.289499999999997</v>
      </c>
      <c r="V110" s="4">
        <v>40.806100000000001</v>
      </c>
      <c r="W110" s="4">
        <v>112.252</v>
      </c>
      <c r="X110" s="4">
        <v>85.797300000000007</v>
      </c>
      <c r="Y110" s="4">
        <v>37.955599999999997</v>
      </c>
      <c r="Z110" s="4">
        <v>65.025300000000001</v>
      </c>
      <c r="AA110" s="4">
        <v>-43.721600000000002</v>
      </c>
      <c r="AB110" s="4">
        <v>-9.6624599999999994</v>
      </c>
      <c r="AC110" s="1" t="s">
        <v>211</v>
      </c>
      <c r="AD110" s="1" t="s">
        <v>2710</v>
      </c>
      <c r="AE110" s="1" t="s">
        <v>2711</v>
      </c>
      <c r="AF110" s="1">
        <v>7.65</v>
      </c>
      <c r="AG110" s="1" t="s">
        <v>1003</v>
      </c>
      <c r="AH110" s="1">
        <v>23.85</v>
      </c>
      <c r="AI110" s="1">
        <v>120.82</v>
      </c>
      <c r="AJ110" s="1">
        <v>8</v>
      </c>
      <c r="AK110" s="1" t="s">
        <v>1055</v>
      </c>
      <c r="AL110" s="1" t="s">
        <v>2834</v>
      </c>
      <c r="AM110" s="1">
        <v>209</v>
      </c>
      <c r="AN110" s="1">
        <v>68</v>
      </c>
      <c r="AO110" s="1">
        <v>89</v>
      </c>
      <c r="AP110" s="1">
        <v>31</v>
      </c>
      <c r="AQ110" s="1">
        <v>21</v>
      </c>
      <c r="AR110" s="1">
        <v>92</v>
      </c>
      <c r="AS110" s="1" t="s">
        <v>2808</v>
      </c>
      <c r="AT110" s="1" t="s">
        <v>862</v>
      </c>
      <c r="AU110" s="1">
        <v>1</v>
      </c>
      <c r="AV110" s="1">
        <v>7.58</v>
      </c>
      <c r="AW110" s="1">
        <v>5.6364999999999998</v>
      </c>
      <c r="AX110" s="1">
        <v>7322.4000000000005</v>
      </c>
      <c r="AY110" s="1" t="s">
        <v>863</v>
      </c>
      <c r="AZ110" s="1" t="s">
        <v>2812</v>
      </c>
      <c r="BA110" t="s">
        <v>2845</v>
      </c>
    </row>
    <row r="111" spans="1:53" ht="19" customHeight="1">
      <c r="A111" s="4" t="s">
        <v>1074</v>
      </c>
      <c r="B111" s="4">
        <v>23.85</v>
      </c>
      <c r="C111" s="4">
        <v>120.82</v>
      </c>
      <c r="D111" s="4">
        <v>8</v>
      </c>
      <c r="E111" s="4">
        <v>7.65</v>
      </c>
      <c r="F111" s="4" t="s">
        <v>1055</v>
      </c>
      <c r="G111" s="4" t="s">
        <v>891</v>
      </c>
      <c r="H111" s="4">
        <v>120.571833</v>
      </c>
      <c r="I111" s="4">
        <v>24.266999999999999</v>
      </c>
      <c r="J111" s="4">
        <v>232.1892</v>
      </c>
      <c r="K111" s="4">
        <v>16.255703</v>
      </c>
      <c r="L111" s="4" t="b">
        <v>1</v>
      </c>
      <c r="M111" s="4">
        <v>7.7839999999999998</v>
      </c>
      <c r="N111" s="4" t="b">
        <v>0</v>
      </c>
      <c r="O111" s="4" t="s">
        <v>1029</v>
      </c>
      <c r="P111" s="4" t="b">
        <v>1</v>
      </c>
      <c r="Q111" s="4">
        <v>156.73400000000001</v>
      </c>
      <c r="R111" s="4">
        <v>161.86699999999999</v>
      </c>
      <c r="S111" s="4">
        <v>64.483099999999993</v>
      </c>
      <c r="T111" s="4">
        <v>50.771799999999999</v>
      </c>
      <c r="U111" s="4">
        <v>53.844200000000001</v>
      </c>
      <c r="V111" s="4">
        <v>14.2843</v>
      </c>
      <c r="W111" s="4">
        <v>84.582099999999997</v>
      </c>
      <c r="X111" s="4">
        <v>77.403000000000006</v>
      </c>
      <c r="Y111" s="4">
        <v>24.328399999999998</v>
      </c>
      <c r="Z111" s="4">
        <v>43.6798</v>
      </c>
      <c r="AA111" s="4">
        <v>-33.329300000000003</v>
      </c>
      <c r="AB111" s="4">
        <v>9.2062399999999993</v>
      </c>
      <c r="AC111" s="1" t="s">
        <v>211</v>
      </c>
      <c r="AD111" s="1" t="s">
        <v>2710</v>
      </c>
      <c r="AE111" s="1" t="s">
        <v>2711</v>
      </c>
      <c r="AF111" s="1">
        <v>7.65</v>
      </c>
      <c r="AG111" s="1" t="s">
        <v>1003</v>
      </c>
      <c r="AH111" s="1">
        <v>23.85</v>
      </c>
      <c r="AI111" s="1">
        <v>120.82</v>
      </c>
      <c r="AJ111" s="1">
        <v>8</v>
      </c>
      <c r="AK111" s="1" t="s">
        <v>1055</v>
      </c>
      <c r="AL111" s="1" t="s">
        <v>2834</v>
      </c>
      <c r="AM111" s="1">
        <v>209</v>
      </c>
      <c r="AN111" s="1">
        <v>68</v>
      </c>
      <c r="AO111" s="1">
        <v>89</v>
      </c>
      <c r="AP111" s="1">
        <v>31</v>
      </c>
      <c r="AQ111" s="1">
        <v>21</v>
      </c>
      <c r="AR111" s="1">
        <v>92</v>
      </c>
      <c r="AS111" s="1" t="s">
        <v>2808</v>
      </c>
      <c r="AT111" s="1" t="s">
        <v>862</v>
      </c>
      <c r="AU111" s="1">
        <v>1</v>
      </c>
      <c r="AV111" s="1">
        <v>7.58</v>
      </c>
      <c r="AW111" s="1">
        <v>5.6364999999999998</v>
      </c>
      <c r="AX111" s="1">
        <v>7322.4000000000005</v>
      </c>
      <c r="AY111" s="1" t="s">
        <v>863</v>
      </c>
      <c r="AZ111" s="1" t="s">
        <v>2812</v>
      </c>
      <c r="BA111" t="s">
        <v>2845</v>
      </c>
    </row>
    <row r="112" spans="1:53" ht="19" customHeight="1">
      <c r="A112" s="4" t="s">
        <v>1074</v>
      </c>
      <c r="B112" s="4">
        <v>23.85</v>
      </c>
      <c r="C112" s="4">
        <v>120.82</v>
      </c>
      <c r="D112" s="4">
        <v>8</v>
      </c>
      <c r="E112" s="4">
        <v>7.65</v>
      </c>
      <c r="F112" s="4" t="s">
        <v>1055</v>
      </c>
      <c r="G112" s="4" t="s">
        <v>892</v>
      </c>
      <c r="H112" s="4">
        <v>120.623833</v>
      </c>
      <c r="I112" s="4">
        <v>24.107832999999999</v>
      </c>
      <c r="J112" s="4">
        <v>476.15269999999998</v>
      </c>
      <c r="K112" s="4">
        <v>9.0694669999999995</v>
      </c>
      <c r="L112" s="4" t="b">
        <v>1</v>
      </c>
      <c r="M112" s="4">
        <v>6.5519999999999996</v>
      </c>
      <c r="N112" s="4" t="b">
        <v>0</v>
      </c>
      <c r="O112" s="4" t="s">
        <v>1029</v>
      </c>
      <c r="P112" s="4" t="b">
        <v>1</v>
      </c>
      <c r="Q112" s="4">
        <v>179.41399999999999</v>
      </c>
      <c r="R112" s="4">
        <v>129.98699999999999</v>
      </c>
      <c r="S112" s="4">
        <v>132.99700000000001</v>
      </c>
      <c r="T112" s="4">
        <v>44.383600000000001</v>
      </c>
      <c r="U112" s="4">
        <v>82.262</v>
      </c>
      <c r="V112" s="4">
        <v>57.037199999999999</v>
      </c>
      <c r="W112" s="4">
        <v>107.90600000000001</v>
      </c>
      <c r="X112" s="4">
        <v>73.687299999999993</v>
      </c>
      <c r="Y112" s="4">
        <v>53.228499999999997</v>
      </c>
      <c r="Z112" s="4">
        <v>72.1982</v>
      </c>
      <c r="AA112" s="4">
        <v>-21.9559</v>
      </c>
      <c r="AB112" s="4">
        <v>10.0901</v>
      </c>
      <c r="AC112" s="1" t="s">
        <v>211</v>
      </c>
      <c r="AD112" s="1" t="s">
        <v>2710</v>
      </c>
      <c r="AE112" s="1" t="s">
        <v>2711</v>
      </c>
      <c r="AF112" s="1">
        <v>7.65</v>
      </c>
      <c r="AG112" s="1" t="s">
        <v>1003</v>
      </c>
      <c r="AH112" s="1">
        <v>23.85</v>
      </c>
      <c r="AI112" s="1">
        <v>120.82</v>
      </c>
      <c r="AJ112" s="1">
        <v>8</v>
      </c>
      <c r="AK112" s="1" t="s">
        <v>1055</v>
      </c>
      <c r="AL112" s="1" t="s">
        <v>2834</v>
      </c>
      <c r="AM112" s="1">
        <v>209</v>
      </c>
      <c r="AN112" s="1">
        <v>68</v>
      </c>
      <c r="AO112" s="1">
        <v>89</v>
      </c>
      <c r="AP112" s="1">
        <v>31</v>
      </c>
      <c r="AQ112" s="1">
        <v>21</v>
      </c>
      <c r="AR112" s="1">
        <v>92</v>
      </c>
      <c r="AS112" s="1" t="s">
        <v>2808</v>
      </c>
      <c r="AT112" s="1" t="s">
        <v>862</v>
      </c>
      <c r="AU112" s="1">
        <v>1</v>
      </c>
      <c r="AV112" s="1">
        <v>7.58</v>
      </c>
      <c r="AW112" s="1">
        <v>5.6364999999999998</v>
      </c>
      <c r="AX112" s="1">
        <v>7322.4000000000005</v>
      </c>
      <c r="AY112" s="1" t="s">
        <v>863</v>
      </c>
      <c r="AZ112" s="1" t="s">
        <v>2812</v>
      </c>
      <c r="BA112" t="s">
        <v>2845</v>
      </c>
    </row>
    <row r="113" spans="1:53" ht="19" customHeight="1">
      <c r="A113" s="4" t="s">
        <v>1074</v>
      </c>
      <c r="B113" s="4">
        <v>23.85</v>
      </c>
      <c r="C113" s="4">
        <v>120.82</v>
      </c>
      <c r="D113" s="4">
        <v>8</v>
      </c>
      <c r="E113" s="4">
        <v>7.65</v>
      </c>
      <c r="F113" s="4" t="s">
        <v>1055</v>
      </c>
      <c r="G113" s="4" t="s">
        <v>893</v>
      </c>
      <c r="H113" s="4">
        <v>120.619333</v>
      </c>
      <c r="I113" s="4">
        <v>24.3445</v>
      </c>
      <c r="J113" s="4">
        <v>646.97</v>
      </c>
      <c r="K113" s="4">
        <v>15.701266</v>
      </c>
      <c r="L113" s="4" t="b">
        <v>1</v>
      </c>
      <c r="M113" s="4">
        <v>8.4559999999999995</v>
      </c>
      <c r="N113" s="4" t="b">
        <v>0</v>
      </c>
      <c r="O113" s="4" t="s">
        <v>1029</v>
      </c>
      <c r="P113" s="4" t="b">
        <v>1</v>
      </c>
      <c r="Q113" s="4">
        <v>108.94799999999999</v>
      </c>
      <c r="R113" s="4">
        <v>113.45099999999999</v>
      </c>
      <c r="S113" s="4">
        <v>82.3566</v>
      </c>
      <c r="T113" s="4">
        <v>45.342300000000002</v>
      </c>
      <c r="U113" s="4">
        <v>55.6738</v>
      </c>
      <c r="V113" s="4">
        <v>33.348799999999997</v>
      </c>
      <c r="W113" s="4">
        <v>92.375900000000001</v>
      </c>
      <c r="X113" s="4">
        <v>83.691100000000006</v>
      </c>
      <c r="Y113" s="4">
        <v>43.719700000000003</v>
      </c>
      <c r="Z113" s="4">
        <v>61.743899999999996</v>
      </c>
      <c r="AA113" s="4">
        <v>-26.734999999999999</v>
      </c>
      <c r="AB113" s="4">
        <v>34.897300000000001</v>
      </c>
      <c r="AC113" s="1" t="s">
        <v>211</v>
      </c>
      <c r="AD113" s="1" t="s">
        <v>2710</v>
      </c>
      <c r="AE113" s="1" t="s">
        <v>2711</v>
      </c>
      <c r="AF113" s="1">
        <v>7.65</v>
      </c>
      <c r="AG113" s="1" t="s">
        <v>1003</v>
      </c>
      <c r="AH113" s="1">
        <v>23.85</v>
      </c>
      <c r="AI113" s="1">
        <v>120.82</v>
      </c>
      <c r="AJ113" s="1">
        <v>8</v>
      </c>
      <c r="AK113" s="1" t="s">
        <v>1055</v>
      </c>
      <c r="AL113" s="1" t="s">
        <v>2834</v>
      </c>
      <c r="AM113" s="1">
        <v>209</v>
      </c>
      <c r="AN113" s="1">
        <v>68</v>
      </c>
      <c r="AO113" s="1">
        <v>89</v>
      </c>
      <c r="AP113" s="1">
        <v>31</v>
      </c>
      <c r="AQ113" s="1">
        <v>21</v>
      </c>
      <c r="AR113" s="1">
        <v>92</v>
      </c>
      <c r="AS113" s="1" t="s">
        <v>2808</v>
      </c>
      <c r="AT113" s="1" t="s">
        <v>862</v>
      </c>
      <c r="AU113" s="1">
        <v>1</v>
      </c>
      <c r="AV113" s="1">
        <v>7.58</v>
      </c>
      <c r="AW113" s="1">
        <v>5.6364999999999998</v>
      </c>
      <c r="AX113" s="1">
        <v>7322.4000000000005</v>
      </c>
      <c r="AY113" s="1" t="s">
        <v>863</v>
      </c>
      <c r="AZ113" s="1" t="s">
        <v>2812</v>
      </c>
      <c r="BA113" t="s">
        <v>2845</v>
      </c>
    </row>
    <row r="114" spans="1:53" ht="19" customHeight="1">
      <c r="A114" s="4" t="s">
        <v>1074</v>
      </c>
      <c r="B114" s="4">
        <v>23.85</v>
      </c>
      <c r="C114" s="4">
        <v>120.82</v>
      </c>
      <c r="D114" s="4">
        <v>8</v>
      </c>
      <c r="E114" s="4">
        <v>7.65</v>
      </c>
      <c r="F114" s="4" t="s">
        <v>1055</v>
      </c>
      <c r="G114" s="4" t="s">
        <v>894</v>
      </c>
      <c r="H114" s="4">
        <v>120.699833</v>
      </c>
      <c r="I114" s="4">
        <v>24.056166999999999</v>
      </c>
      <c r="J114" s="4">
        <v>290.10730000000001</v>
      </c>
      <c r="K114" s="4">
        <v>0.17556099999999999</v>
      </c>
      <c r="L114" s="4" t="b">
        <v>1</v>
      </c>
      <c r="M114" s="4">
        <v>5.74</v>
      </c>
      <c r="N114" s="4" t="b">
        <v>1</v>
      </c>
      <c r="O114" s="4">
        <v>4.8579999999999997</v>
      </c>
      <c r="P114" s="4" t="b">
        <v>1</v>
      </c>
      <c r="Q114" s="4">
        <v>773.67499999999995</v>
      </c>
      <c r="R114" s="4">
        <v>563.30700000000002</v>
      </c>
      <c r="S114" s="4">
        <v>257.74099999999999</v>
      </c>
      <c r="T114" s="4">
        <v>132.55699999999999</v>
      </c>
      <c r="U114" s="4">
        <v>90.242599999999996</v>
      </c>
      <c r="V114" s="4">
        <v>68.365399999999994</v>
      </c>
      <c r="W114" s="4">
        <v>186.56</v>
      </c>
      <c r="X114" s="4">
        <v>138.75700000000001</v>
      </c>
      <c r="Y114" s="4">
        <v>68.891300000000001</v>
      </c>
      <c r="Z114" s="4">
        <v>133.21600000000001</v>
      </c>
      <c r="AA114" s="4">
        <v>-86.197699999999998</v>
      </c>
      <c r="AB114" s="4">
        <v>-19.285499999999999</v>
      </c>
      <c r="AC114" s="1" t="s">
        <v>211</v>
      </c>
      <c r="AD114" s="1" t="s">
        <v>2710</v>
      </c>
      <c r="AE114" s="1" t="s">
        <v>2711</v>
      </c>
      <c r="AF114" s="1">
        <v>7.65</v>
      </c>
      <c r="AG114" s="1" t="s">
        <v>1003</v>
      </c>
      <c r="AH114" s="1">
        <v>23.85</v>
      </c>
      <c r="AI114" s="1">
        <v>120.82</v>
      </c>
      <c r="AJ114" s="1">
        <v>8</v>
      </c>
      <c r="AK114" s="1" t="s">
        <v>1055</v>
      </c>
      <c r="AL114" s="1" t="s">
        <v>2834</v>
      </c>
      <c r="AM114" s="1">
        <v>209</v>
      </c>
      <c r="AN114" s="1">
        <v>68</v>
      </c>
      <c r="AO114" s="1">
        <v>89</v>
      </c>
      <c r="AP114" s="1">
        <v>31</v>
      </c>
      <c r="AQ114" s="1">
        <v>21</v>
      </c>
      <c r="AR114" s="1">
        <v>92</v>
      </c>
      <c r="AS114" s="1" t="s">
        <v>2808</v>
      </c>
      <c r="AT114" s="1" t="s">
        <v>862</v>
      </c>
      <c r="AU114" s="1">
        <v>1</v>
      </c>
      <c r="AV114" s="1">
        <v>7.58</v>
      </c>
      <c r="AW114" s="1">
        <v>5.6364999999999998</v>
      </c>
      <c r="AX114" s="1">
        <v>7322.4000000000005</v>
      </c>
      <c r="AY114" s="1" t="s">
        <v>863</v>
      </c>
      <c r="AZ114" s="1" t="s">
        <v>2812</v>
      </c>
      <c r="BA114" t="s">
        <v>2845</v>
      </c>
    </row>
    <row r="115" spans="1:53" ht="19" customHeight="1">
      <c r="A115" s="4" t="s">
        <v>1074</v>
      </c>
      <c r="B115" s="4">
        <v>23.85</v>
      </c>
      <c r="C115" s="4">
        <v>120.82</v>
      </c>
      <c r="D115" s="4">
        <v>8</v>
      </c>
      <c r="E115" s="4">
        <v>7.65</v>
      </c>
      <c r="F115" s="4" t="s">
        <v>1055</v>
      </c>
      <c r="G115" s="4" t="s">
        <v>1068</v>
      </c>
      <c r="H115" s="4">
        <v>120.728167</v>
      </c>
      <c r="I115" s="4">
        <v>24.09</v>
      </c>
      <c r="J115" s="4">
        <v>440.3023</v>
      </c>
      <c r="K115" s="4">
        <v>0.10695300000000001</v>
      </c>
      <c r="L115" s="4" t="b">
        <v>0</v>
      </c>
      <c r="M115" s="4" t="s">
        <v>1029</v>
      </c>
      <c r="N115" s="4" t="b">
        <v>1</v>
      </c>
      <c r="O115" s="4">
        <v>5.8449999999999998</v>
      </c>
      <c r="P115" s="4" t="b">
        <v>1</v>
      </c>
      <c r="Q115" s="4">
        <v>488.80099999999999</v>
      </c>
      <c r="R115" s="4">
        <v>312.887</v>
      </c>
      <c r="S115" s="4">
        <v>230.364</v>
      </c>
      <c r="T115" s="4">
        <v>97.560400000000001</v>
      </c>
      <c r="U115" s="4">
        <v>55.170900000000003</v>
      </c>
      <c r="V115" s="4">
        <v>49.453899999999997</v>
      </c>
      <c r="W115" s="4">
        <v>186.244</v>
      </c>
      <c r="X115" s="4">
        <v>95.653999999999996</v>
      </c>
      <c r="Y115" s="4">
        <v>47.991100000000003</v>
      </c>
      <c r="Z115" s="4">
        <v>133.52199999999999</v>
      </c>
      <c r="AA115" s="4">
        <v>-50.859200000000001</v>
      </c>
      <c r="AB115" s="4">
        <v>-6.6316899999999999</v>
      </c>
      <c r="AC115" s="1" t="s">
        <v>211</v>
      </c>
      <c r="AD115" s="1" t="s">
        <v>2710</v>
      </c>
      <c r="AE115" s="1" t="s">
        <v>2711</v>
      </c>
      <c r="AF115" s="1">
        <v>7.65</v>
      </c>
      <c r="AG115" s="1" t="s">
        <v>1003</v>
      </c>
      <c r="AH115" s="1">
        <v>23.85</v>
      </c>
      <c r="AI115" s="1">
        <v>120.82</v>
      </c>
      <c r="AJ115" s="1">
        <v>8</v>
      </c>
      <c r="AK115" s="1" t="s">
        <v>1055</v>
      </c>
      <c r="AL115" s="1" t="s">
        <v>2834</v>
      </c>
      <c r="AM115" s="1">
        <v>209</v>
      </c>
      <c r="AN115" s="1">
        <v>68</v>
      </c>
      <c r="AO115" s="1">
        <v>89</v>
      </c>
      <c r="AP115" s="1">
        <v>31</v>
      </c>
      <c r="AQ115" s="1">
        <v>21</v>
      </c>
      <c r="AR115" s="1">
        <v>92</v>
      </c>
      <c r="AS115" s="1" t="s">
        <v>2808</v>
      </c>
      <c r="AT115" s="1" t="s">
        <v>862</v>
      </c>
      <c r="AU115" s="1">
        <v>1</v>
      </c>
      <c r="AV115" s="1">
        <v>7.58</v>
      </c>
      <c r="AW115" s="1">
        <v>5.6364999999999998</v>
      </c>
      <c r="AX115" s="1">
        <v>7322.4000000000005</v>
      </c>
      <c r="AY115" s="1" t="s">
        <v>863</v>
      </c>
      <c r="AZ115" s="1" t="s">
        <v>2812</v>
      </c>
      <c r="BA115" t="s">
        <v>2845</v>
      </c>
    </row>
    <row r="116" spans="1:53" ht="19" customHeight="1">
      <c r="A116" s="4" t="s">
        <v>1074</v>
      </c>
      <c r="B116" s="4">
        <v>23.85</v>
      </c>
      <c r="C116" s="4">
        <v>120.82</v>
      </c>
      <c r="D116" s="4">
        <v>8</v>
      </c>
      <c r="E116" s="4">
        <v>7.65</v>
      </c>
      <c r="F116" s="4" t="s">
        <v>1055</v>
      </c>
      <c r="G116" s="4" t="s">
        <v>895</v>
      </c>
      <c r="H116" s="4">
        <v>120.773167</v>
      </c>
      <c r="I116" s="4">
        <v>24.276</v>
      </c>
      <c r="J116" s="4">
        <v>489.99590000000001</v>
      </c>
      <c r="K116" s="4">
        <v>0.42922300000000002</v>
      </c>
      <c r="L116" s="4" t="b">
        <v>1</v>
      </c>
      <c r="M116" s="4">
        <v>12.285</v>
      </c>
      <c r="N116" s="4" t="b">
        <v>1</v>
      </c>
      <c r="O116" s="4">
        <v>10.744999999999999</v>
      </c>
      <c r="P116" s="4" t="b">
        <v>1</v>
      </c>
      <c r="Q116" s="4">
        <v>501.55700000000002</v>
      </c>
      <c r="R116" s="4">
        <v>361.92200000000003</v>
      </c>
      <c r="S116" s="4">
        <v>519.39800000000002</v>
      </c>
      <c r="T116" s="4">
        <v>280.11200000000002</v>
      </c>
      <c r="U116" s="4">
        <v>305.71899999999999</v>
      </c>
      <c r="V116" s="4">
        <v>228.77699999999999</v>
      </c>
      <c r="W116" s="4">
        <v>699.67499999999995</v>
      </c>
      <c r="X116" s="4">
        <v>944.21900000000005</v>
      </c>
      <c r="Y116" s="4">
        <v>453.81799999999998</v>
      </c>
      <c r="Z116" s="4">
        <v>-514.18299999999999</v>
      </c>
      <c r="AA116" s="4">
        <v>931.80600000000004</v>
      </c>
      <c r="AB116" s="4">
        <v>337.31400000000002</v>
      </c>
      <c r="AC116" s="1" t="s">
        <v>211</v>
      </c>
      <c r="AD116" s="1" t="s">
        <v>2710</v>
      </c>
      <c r="AE116" s="1" t="s">
        <v>2711</v>
      </c>
      <c r="AF116" s="1">
        <v>7.65</v>
      </c>
      <c r="AG116" s="1" t="s">
        <v>1003</v>
      </c>
      <c r="AH116" s="1">
        <v>23.85</v>
      </c>
      <c r="AI116" s="1">
        <v>120.82</v>
      </c>
      <c r="AJ116" s="1">
        <v>8</v>
      </c>
      <c r="AK116" s="1" t="s">
        <v>1055</v>
      </c>
      <c r="AL116" s="1" t="s">
        <v>2834</v>
      </c>
      <c r="AM116" s="1">
        <v>209</v>
      </c>
      <c r="AN116" s="1">
        <v>68</v>
      </c>
      <c r="AO116" s="1">
        <v>89</v>
      </c>
      <c r="AP116" s="1">
        <v>31</v>
      </c>
      <c r="AQ116" s="1">
        <v>21</v>
      </c>
      <c r="AR116" s="1">
        <v>92</v>
      </c>
      <c r="AS116" s="1" t="s">
        <v>2808</v>
      </c>
      <c r="AT116" s="1" t="s">
        <v>862</v>
      </c>
      <c r="AU116" s="1">
        <v>1</v>
      </c>
      <c r="AV116" s="1">
        <v>7.58</v>
      </c>
      <c r="AW116" s="1">
        <v>5.6364999999999998</v>
      </c>
      <c r="AX116" s="1">
        <v>7322.4000000000005</v>
      </c>
      <c r="AY116" s="1" t="s">
        <v>863</v>
      </c>
      <c r="AZ116" s="1" t="s">
        <v>2812</v>
      </c>
      <c r="BA116" t="s">
        <v>2845</v>
      </c>
    </row>
    <row r="117" spans="1:53" ht="19" customHeight="1">
      <c r="A117" s="4" t="s">
        <v>1074</v>
      </c>
      <c r="B117" s="4">
        <v>23.85</v>
      </c>
      <c r="C117" s="4">
        <v>120.82</v>
      </c>
      <c r="D117" s="4">
        <v>8</v>
      </c>
      <c r="E117" s="4">
        <v>7.65</v>
      </c>
      <c r="F117" s="4" t="s">
        <v>1055</v>
      </c>
      <c r="G117" s="4" t="s">
        <v>1069</v>
      </c>
      <c r="H117" s="4">
        <v>120.79519999999999</v>
      </c>
      <c r="I117" s="4">
        <v>23.984000000000002</v>
      </c>
      <c r="J117" s="4">
        <v>614.75</v>
      </c>
      <c r="K117" s="4">
        <v>4.7282000000000002</v>
      </c>
      <c r="L117" s="4" t="b">
        <v>0</v>
      </c>
      <c r="M117" s="4" t="s">
        <v>1029</v>
      </c>
      <c r="N117" s="4" t="b">
        <v>1</v>
      </c>
      <c r="O117" s="4">
        <v>7.5949999999999998</v>
      </c>
      <c r="P117" s="4" t="b">
        <v>0</v>
      </c>
      <c r="Q117" s="4">
        <v>520.58466699999997</v>
      </c>
      <c r="R117" s="4">
        <v>701.11469399999999</v>
      </c>
      <c r="S117" s="4">
        <v>422.805995</v>
      </c>
      <c r="T117" s="4">
        <v>51.631019999999999</v>
      </c>
      <c r="U117" s="4">
        <v>42.710909999999998</v>
      </c>
      <c r="V117" s="4">
        <v>48.771115000000002</v>
      </c>
      <c r="W117" s="4">
        <v>24.313393000000001</v>
      </c>
      <c r="X117" s="4">
        <v>11.110416000000001</v>
      </c>
      <c r="Y117" s="4">
        <v>45.664603999999997</v>
      </c>
      <c r="Z117" s="4">
        <v>-0.425178</v>
      </c>
      <c r="AA117" s="4">
        <v>8.3320000000000009E-3</v>
      </c>
      <c r="AB117" s="4">
        <v>-5.5856999999999997E-2</v>
      </c>
      <c r="AC117" s="1" t="s">
        <v>211</v>
      </c>
      <c r="AD117" s="1" t="s">
        <v>2710</v>
      </c>
      <c r="AE117" s="1" t="s">
        <v>2711</v>
      </c>
      <c r="AF117" s="1">
        <v>7.65</v>
      </c>
      <c r="AG117" s="1" t="s">
        <v>1003</v>
      </c>
      <c r="AH117" s="1">
        <v>23.85</v>
      </c>
      <c r="AI117" s="1">
        <v>120.82</v>
      </c>
      <c r="AJ117" s="1">
        <v>8</v>
      </c>
      <c r="AK117" s="1" t="s">
        <v>1055</v>
      </c>
      <c r="AL117" s="1" t="s">
        <v>2834</v>
      </c>
      <c r="AM117" s="1">
        <v>209</v>
      </c>
      <c r="AN117" s="1">
        <v>68</v>
      </c>
      <c r="AO117" s="1">
        <v>89</v>
      </c>
      <c r="AP117" s="1">
        <v>31</v>
      </c>
      <c r="AQ117" s="1">
        <v>21</v>
      </c>
      <c r="AR117" s="1">
        <v>92</v>
      </c>
      <c r="AS117" s="1" t="s">
        <v>2808</v>
      </c>
      <c r="AT117" s="1" t="s">
        <v>862</v>
      </c>
      <c r="AU117" s="1">
        <v>1</v>
      </c>
      <c r="AV117" s="1">
        <v>7.58</v>
      </c>
      <c r="AW117" s="1">
        <v>5.6364999999999998</v>
      </c>
      <c r="AX117" s="1">
        <v>7322.4000000000005</v>
      </c>
      <c r="AY117" s="1" t="s">
        <v>863</v>
      </c>
      <c r="AZ117" s="1" t="s">
        <v>2812</v>
      </c>
      <c r="BA117" t="s">
        <v>2845</v>
      </c>
    </row>
    <row r="118" spans="1:53" ht="19" customHeight="1">
      <c r="A118" s="4" t="s">
        <v>1074</v>
      </c>
      <c r="B118" s="4">
        <v>23.85</v>
      </c>
      <c r="C118" s="4">
        <v>120.82</v>
      </c>
      <c r="D118" s="4">
        <v>8</v>
      </c>
      <c r="E118" s="4">
        <v>7.65</v>
      </c>
      <c r="F118" s="4" t="s">
        <v>1055</v>
      </c>
      <c r="G118" s="4" t="s">
        <v>896</v>
      </c>
      <c r="H118" s="4">
        <v>120.687667</v>
      </c>
      <c r="I118" s="4">
        <v>23.9815</v>
      </c>
      <c r="J118" s="4">
        <v>521.24059999999997</v>
      </c>
      <c r="K118" s="4">
        <v>6.6804000000000002E-2</v>
      </c>
      <c r="L118" s="4" t="b">
        <v>1</v>
      </c>
      <c r="M118" s="4">
        <v>4.984</v>
      </c>
      <c r="N118" s="4" t="b">
        <v>1</v>
      </c>
      <c r="O118" s="4">
        <v>4.2</v>
      </c>
      <c r="P118" s="4" t="b">
        <v>1</v>
      </c>
      <c r="Q118" s="4">
        <v>325.38200000000001</v>
      </c>
      <c r="R118" s="4">
        <v>257.27</v>
      </c>
      <c r="S118" s="4">
        <v>223.863</v>
      </c>
      <c r="T118" s="4">
        <v>116.413</v>
      </c>
      <c r="U118" s="4">
        <v>37.166600000000003</v>
      </c>
      <c r="V118" s="4">
        <v>49.746299999999998</v>
      </c>
      <c r="W118" s="4">
        <v>174.45599999999999</v>
      </c>
      <c r="X118" s="4">
        <v>57.685299999999998</v>
      </c>
      <c r="Y118" s="4">
        <v>44.306800000000003</v>
      </c>
      <c r="Z118" s="4">
        <v>120.70399999999999</v>
      </c>
      <c r="AA118" s="4">
        <v>-32.676400000000001</v>
      </c>
      <c r="AB118" s="4">
        <v>-18.0275</v>
      </c>
      <c r="AC118" s="1" t="s">
        <v>211</v>
      </c>
      <c r="AD118" s="1" t="s">
        <v>2710</v>
      </c>
      <c r="AE118" s="1" t="s">
        <v>2711</v>
      </c>
      <c r="AF118" s="1">
        <v>7.65</v>
      </c>
      <c r="AG118" s="1" t="s">
        <v>1003</v>
      </c>
      <c r="AH118" s="1">
        <v>23.85</v>
      </c>
      <c r="AI118" s="1">
        <v>120.82</v>
      </c>
      <c r="AJ118" s="1">
        <v>8</v>
      </c>
      <c r="AK118" s="1" t="s">
        <v>1055</v>
      </c>
      <c r="AL118" s="1" t="s">
        <v>2834</v>
      </c>
      <c r="AM118" s="1">
        <v>209</v>
      </c>
      <c r="AN118" s="1">
        <v>68</v>
      </c>
      <c r="AO118" s="1">
        <v>89</v>
      </c>
      <c r="AP118" s="1">
        <v>31</v>
      </c>
      <c r="AQ118" s="1">
        <v>21</v>
      </c>
      <c r="AR118" s="1">
        <v>92</v>
      </c>
      <c r="AS118" s="1" t="s">
        <v>2808</v>
      </c>
      <c r="AT118" s="1" t="s">
        <v>862</v>
      </c>
      <c r="AU118" s="1">
        <v>1</v>
      </c>
      <c r="AV118" s="1">
        <v>7.58</v>
      </c>
      <c r="AW118" s="1">
        <v>5.6364999999999998</v>
      </c>
      <c r="AX118" s="1">
        <v>7322.4000000000005</v>
      </c>
      <c r="AY118" s="1" t="s">
        <v>863</v>
      </c>
      <c r="AZ118" s="1" t="s">
        <v>2812</v>
      </c>
      <c r="BA118" t="s">
        <v>2845</v>
      </c>
    </row>
    <row r="119" spans="1:53" ht="19" customHeight="1">
      <c r="A119" s="4" t="s">
        <v>1074</v>
      </c>
      <c r="B119" s="4">
        <v>23.85</v>
      </c>
      <c r="C119" s="4">
        <v>120.82</v>
      </c>
      <c r="D119" s="4">
        <v>8</v>
      </c>
      <c r="E119" s="4">
        <v>7.65</v>
      </c>
      <c r="F119" s="4" t="s">
        <v>1055</v>
      </c>
      <c r="G119" s="4" t="s">
        <v>897</v>
      </c>
      <c r="H119" s="4">
        <v>120.6835</v>
      </c>
      <c r="I119" s="4">
        <v>23.906500000000001</v>
      </c>
      <c r="J119" s="4">
        <v>573.23</v>
      </c>
      <c r="K119" s="4">
        <v>1.9529000000000001</v>
      </c>
      <c r="L119" s="4" t="b">
        <v>1</v>
      </c>
      <c r="M119" s="4">
        <v>4.0810000000000004</v>
      </c>
      <c r="N119" s="4" t="b">
        <v>0</v>
      </c>
      <c r="O119" s="4" t="s">
        <v>1029</v>
      </c>
      <c r="P119" s="4" t="b">
        <v>0</v>
      </c>
      <c r="Q119" s="4">
        <v>291.44108599999998</v>
      </c>
      <c r="R119" s="4">
        <v>379.65000300000003</v>
      </c>
      <c r="S119" s="4">
        <v>264.74887699999999</v>
      </c>
      <c r="T119" s="4">
        <v>62.007429999999999</v>
      </c>
      <c r="U119" s="4">
        <v>65.218834999999999</v>
      </c>
      <c r="V119" s="4">
        <v>27.263394999999999</v>
      </c>
      <c r="W119" s="4">
        <v>31.882560999999999</v>
      </c>
      <c r="X119" s="4">
        <v>23.218240000000002</v>
      </c>
      <c r="Y119" s="4">
        <v>14.593202</v>
      </c>
      <c r="Z119" s="4">
        <v>0.146458</v>
      </c>
      <c r="AA119" s="4">
        <v>-0.58447499999999997</v>
      </c>
      <c r="AB119" s="4">
        <v>-0.228072</v>
      </c>
      <c r="AC119" s="1" t="s">
        <v>211</v>
      </c>
      <c r="AD119" s="1" t="s">
        <v>2710</v>
      </c>
      <c r="AE119" s="1" t="s">
        <v>2711</v>
      </c>
      <c r="AF119" s="1">
        <v>7.65</v>
      </c>
      <c r="AG119" s="1" t="s">
        <v>1003</v>
      </c>
      <c r="AH119" s="1">
        <v>23.85</v>
      </c>
      <c r="AI119" s="1">
        <v>120.82</v>
      </c>
      <c r="AJ119" s="1">
        <v>8</v>
      </c>
      <c r="AK119" s="1" t="s">
        <v>1055</v>
      </c>
      <c r="AL119" s="1" t="s">
        <v>2834</v>
      </c>
      <c r="AM119" s="1">
        <v>209</v>
      </c>
      <c r="AN119" s="1">
        <v>68</v>
      </c>
      <c r="AO119" s="1">
        <v>89</v>
      </c>
      <c r="AP119" s="1">
        <v>31</v>
      </c>
      <c r="AQ119" s="1">
        <v>21</v>
      </c>
      <c r="AR119" s="1">
        <v>92</v>
      </c>
      <c r="AS119" s="1" t="s">
        <v>2808</v>
      </c>
      <c r="AT119" s="1" t="s">
        <v>862</v>
      </c>
      <c r="AU119" s="1">
        <v>1</v>
      </c>
      <c r="AV119" s="1">
        <v>7.58</v>
      </c>
      <c r="AW119" s="1">
        <v>5.6364999999999998</v>
      </c>
      <c r="AX119" s="1">
        <v>7322.4000000000005</v>
      </c>
      <c r="AY119" s="1" t="s">
        <v>863</v>
      </c>
      <c r="AZ119" s="1" t="s">
        <v>2812</v>
      </c>
      <c r="BA119" t="s">
        <v>2845</v>
      </c>
    </row>
    <row r="120" spans="1:53" ht="19" customHeight="1">
      <c r="A120" s="4" t="s">
        <v>1074</v>
      </c>
      <c r="B120" s="4">
        <v>23.85</v>
      </c>
      <c r="C120" s="4">
        <v>120.82</v>
      </c>
      <c r="D120" s="4">
        <v>8</v>
      </c>
      <c r="E120" s="4">
        <v>7.65</v>
      </c>
      <c r="F120" s="4" t="s">
        <v>1055</v>
      </c>
      <c r="G120" s="4" t="s">
        <v>898</v>
      </c>
      <c r="H120" s="4">
        <v>121.014167</v>
      </c>
      <c r="I120" s="4">
        <v>24.828333000000001</v>
      </c>
      <c r="J120" s="4">
        <v>427.13749999999999</v>
      </c>
      <c r="K120" s="4">
        <v>59.484960999999998</v>
      </c>
      <c r="L120" s="4" t="b">
        <v>1</v>
      </c>
      <c r="M120" s="4">
        <v>9.6180000000000003</v>
      </c>
      <c r="N120" s="4" t="b">
        <v>0</v>
      </c>
      <c r="O120" s="4" t="s">
        <v>1029</v>
      </c>
      <c r="P120" s="4" t="b">
        <v>0</v>
      </c>
      <c r="Q120" s="4">
        <v>76.438000000000002</v>
      </c>
      <c r="R120" s="4">
        <v>93.013000000000005</v>
      </c>
      <c r="S120" s="4">
        <v>35.564999999999998</v>
      </c>
      <c r="T120" s="4">
        <v>41.310499999999998</v>
      </c>
      <c r="U120" s="4">
        <v>33.691800000000001</v>
      </c>
      <c r="V120" s="4">
        <v>17.148800000000001</v>
      </c>
      <c r="W120" s="4">
        <v>49.362499999999997</v>
      </c>
      <c r="X120" s="4">
        <v>26.508400000000002</v>
      </c>
      <c r="Y120" s="4">
        <v>17.652899999999999</v>
      </c>
      <c r="Z120" s="4">
        <v>4.3692099999999998</v>
      </c>
      <c r="AA120" s="4">
        <v>8.2113600000000009</v>
      </c>
      <c r="AB120" s="4">
        <v>7.4142799999999998</v>
      </c>
      <c r="AC120" s="1" t="s">
        <v>211</v>
      </c>
      <c r="AD120" s="1" t="s">
        <v>2710</v>
      </c>
      <c r="AE120" s="1" t="s">
        <v>2711</v>
      </c>
      <c r="AF120" s="1">
        <v>7.65</v>
      </c>
      <c r="AG120" s="1" t="s">
        <v>1003</v>
      </c>
      <c r="AH120" s="1">
        <v>23.85</v>
      </c>
      <c r="AI120" s="1">
        <v>120.82</v>
      </c>
      <c r="AJ120" s="1">
        <v>8</v>
      </c>
      <c r="AK120" s="1" t="s">
        <v>1055</v>
      </c>
      <c r="AL120" s="1" t="s">
        <v>2834</v>
      </c>
      <c r="AM120" s="1">
        <v>209</v>
      </c>
      <c r="AN120" s="1">
        <v>68</v>
      </c>
      <c r="AO120" s="1">
        <v>89</v>
      </c>
      <c r="AP120" s="1">
        <v>31</v>
      </c>
      <c r="AQ120" s="1">
        <v>21</v>
      </c>
      <c r="AR120" s="1">
        <v>92</v>
      </c>
      <c r="AS120" s="1" t="s">
        <v>2808</v>
      </c>
      <c r="AT120" s="1" t="s">
        <v>862</v>
      </c>
      <c r="AU120" s="1">
        <v>1</v>
      </c>
      <c r="AV120" s="1">
        <v>7.58</v>
      </c>
      <c r="AW120" s="1">
        <v>5.6364999999999998</v>
      </c>
      <c r="AX120" s="1">
        <v>7322.4000000000005</v>
      </c>
      <c r="AY120" s="1" t="s">
        <v>863</v>
      </c>
      <c r="AZ120" s="1" t="s">
        <v>2812</v>
      </c>
      <c r="BA120" t="s">
        <v>2845</v>
      </c>
    </row>
    <row r="121" spans="1:53" ht="19" customHeight="1">
      <c r="A121" s="4" t="s">
        <v>1074</v>
      </c>
      <c r="B121" s="4">
        <v>23.85</v>
      </c>
      <c r="C121" s="4">
        <v>120.82</v>
      </c>
      <c r="D121" s="4">
        <v>8</v>
      </c>
      <c r="E121" s="4">
        <v>7.65</v>
      </c>
      <c r="F121" s="4" t="s">
        <v>1055</v>
      </c>
      <c r="G121" s="4" t="s">
        <v>899</v>
      </c>
      <c r="H121" s="4">
        <v>120.684167</v>
      </c>
      <c r="I121" s="4">
        <v>24.145667</v>
      </c>
      <c r="J121" s="4">
        <v>469.3734</v>
      </c>
      <c r="K121" s="4">
        <v>4.3252300000000004</v>
      </c>
      <c r="L121" s="4" t="b">
        <v>1</v>
      </c>
      <c r="M121" s="4">
        <v>8.0990000000000002</v>
      </c>
      <c r="N121" s="4" t="b">
        <v>0</v>
      </c>
      <c r="O121" s="4" t="s">
        <v>1029</v>
      </c>
      <c r="P121" s="4" t="b">
        <v>1</v>
      </c>
      <c r="Q121" s="4">
        <v>221.02799999999999</v>
      </c>
      <c r="R121" s="4">
        <v>182.51300000000001</v>
      </c>
      <c r="S121" s="4">
        <v>129.21799999999999</v>
      </c>
      <c r="T121" s="4">
        <v>51.504399999999997</v>
      </c>
      <c r="U121" s="4">
        <v>43.028399999999998</v>
      </c>
      <c r="V121" s="4">
        <v>35.442399999999999</v>
      </c>
      <c r="W121" s="4">
        <v>153.209</v>
      </c>
      <c r="X121" s="4">
        <v>97.104799999999997</v>
      </c>
      <c r="Y121" s="4">
        <v>31.653700000000001</v>
      </c>
      <c r="Z121" s="4">
        <v>78.972200000000001</v>
      </c>
      <c r="AA121" s="4">
        <v>-52.0321</v>
      </c>
      <c r="AB121" s="4">
        <v>-9.6518999999999995</v>
      </c>
      <c r="AC121" s="1" t="s">
        <v>211</v>
      </c>
      <c r="AD121" s="1" t="s">
        <v>2710</v>
      </c>
      <c r="AE121" s="1" t="s">
        <v>2711</v>
      </c>
      <c r="AF121" s="1">
        <v>7.65</v>
      </c>
      <c r="AG121" s="1" t="s">
        <v>1003</v>
      </c>
      <c r="AH121" s="1">
        <v>23.85</v>
      </c>
      <c r="AI121" s="1">
        <v>120.82</v>
      </c>
      <c r="AJ121" s="1">
        <v>8</v>
      </c>
      <c r="AK121" s="1" t="s">
        <v>1055</v>
      </c>
      <c r="AL121" s="1" t="s">
        <v>2834</v>
      </c>
      <c r="AM121" s="1">
        <v>209</v>
      </c>
      <c r="AN121" s="1">
        <v>68</v>
      </c>
      <c r="AO121" s="1">
        <v>89</v>
      </c>
      <c r="AP121" s="1">
        <v>31</v>
      </c>
      <c r="AQ121" s="1">
        <v>21</v>
      </c>
      <c r="AR121" s="1">
        <v>92</v>
      </c>
      <c r="AS121" s="1" t="s">
        <v>2808</v>
      </c>
      <c r="AT121" s="1" t="s">
        <v>862</v>
      </c>
      <c r="AU121" s="1">
        <v>1</v>
      </c>
      <c r="AV121" s="1">
        <v>7.58</v>
      </c>
      <c r="AW121" s="1">
        <v>5.6364999999999998</v>
      </c>
      <c r="AX121" s="1">
        <v>7322.4000000000005</v>
      </c>
      <c r="AY121" s="1" t="s">
        <v>863</v>
      </c>
      <c r="AZ121" s="1" t="s">
        <v>2812</v>
      </c>
      <c r="BA121" t="s">
        <v>2845</v>
      </c>
    </row>
    <row r="122" spans="1:53" ht="19" customHeight="1">
      <c r="A122" s="4" t="s">
        <v>1074</v>
      </c>
      <c r="B122" s="4">
        <v>23.85</v>
      </c>
      <c r="C122" s="4">
        <v>120.82</v>
      </c>
      <c r="D122" s="4">
        <v>8</v>
      </c>
      <c r="E122" s="4">
        <v>7.65</v>
      </c>
      <c r="F122" s="4" t="s">
        <v>1055</v>
      </c>
      <c r="G122" s="4" t="s">
        <v>900</v>
      </c>
      <c r="H122" s="4">
        <v>120.780833</v>
      </c>
      <c r="I122" s="4">
        <v>24.346499999999999</v>
      </c>
      <c r="J122" s="4">
        <v>460.48</v>
      </c>
      <c r="K122" s="4">
        <v>6.2147550000000003</v>
      </c>
      <c r="L122" s="4" t="b">
        <v>1</v>
      </c>
      <c r="M122" s="4">
        <v>10.395</v>
      </c>
      <c r="N122" s="4" t="b">
        <v>1</v>
      </c>
      <c r="O122" s="4">
        <v>5.3550000000000004</v>
      </c>
      <c r="P122" s="4" t="b">
        <v>1</v>
      </c>
      <c r="Q122" s="4">
        <v>119.096</v>
      </c>
      <c r="R122" s="4">
        <v>111.524</v>
      </c>
      <c r="S122" s="4">
        <v>91.071799999999996</v>
      </c>
      <c r="T122" s="4">
        <v>42.667200000000001</v>
      </c>
      <c r="U122" s="4">
        <v>45.183500000000002</v>
      </c>
      <c r="V122" s="4">
        <v>58.46</v>
      </c>
      <c r="W122" s="4">
        <v>86.489199999999997</v>
      </c>
      <c r="X122" s="4">
        <v>90.635499999999993</v>
      </c>
      <c r="Y122" s="4">
        <v>58.214300000000001</v>
      </c>
      <c r="Z122" s="4">
        <v>31.8428</v>
      </c>
      <c r="AA122" s="4">
        <v>-65.370400000000004</v>
      </c>
      <c r="AB122" s="4">
        <v>-9.6117100000000004</v>
      </c>
      <c r="AC122" s="1" t="s">
        <v>211</v>
      </c>
      <c r="AD122" s="1" t="s">
        <v>2710</v>
      </c>
      <c r="AE122" s="1" t="s">
        <v>2711</v>
      </c>
      <c r="AF122" s="1">
        <v>7.65</v>
      </c>
      <c r="AG122" s="1" t="s">
        <v>1003</v>
      </c>
      <c r="AH122" s="1">
        <v>23.85</v>
      </c>
      <c r="AI122" s="1">
        <v>120.82</v>
      </c>
      <c r="AJ122" s="1">
        <v>8</v>
      </c>
      <c r="AK122" s="1" t="s">
        <v>1055</v>
      </c>
      <c r="AL122" s="1" t="s">
        <v>2834</v>
      </c>
      <c r="AM122" s="1">
        <v>209</v>
      </c>
      <c r="AN122" s="1">
        <v>68</v>
      </c>
      <c r="AO122" s="1">
        <v>89</v>
      </c>
      <c r="AP122" s="1">
        <v>31</v>
      </c>
      <c r="AQ122" s="1">
        <v>21</v>
      </c>
      <c r="AR122" s="1">
        <v>92</v>
      </c>
      <c r="AS122" s="1" t="s">
        <v>2808</v>
      </c>
      <c r="AT122" s="1" t="s">
        <v>862</v>
      </c>
      <c r="AU122" s="1">
        <v>1</v>
      </c>
      <c r="AV122" s="1">
        <v>7.58</v>
      </c>
      <c r="AW122" s="1">
        <v>5.6364999999999998</v>
      </c>
      <c r="AX122" s="1">
        <v>7322.4000000000005</v>
      </c>
      <c r="AY122" s="1" t="s">
        <v>863</v>
      </c>
      <c r="AZ122" s="1" t="s">
        <v>2812</v>
      </c>
      <c r="BA122" t="s">
        <v>2845</v>
      </c>
    </row>
    <row r="123" spans="1:53" ht="19" customHeight="1">
      <c r="A123" s="4" t="s">
        <v>1074</v>
      </c>
      <c r="B123" s="4">
        <v>23.85</v>
      </c>
      <c r="C123" s="4">
        <v>120.82</v>
      </c>
      <c r="D123" s="4">
        <v>8</v>
      </c>
      <c r="E123" s="4">
        <v>7.65</v>
      </c>
      <c r="F123" s="4" t="s">
        <v>1055</v>
      </c>
      <c r="G123" s="4" t="s">
        <v>902</v>
      </c>
      <c r="H123" s="4">
        <v>121.058167</v>
      </c>
      <c r="I123" s="4">
        <v>24.766999999999999</v>
      </c>
      <c r="J123" s="4">
        <v>581.45169999999996</v>
      </c>
      <c r="K123" s="4">
        <v>54.567636</v>
      </c>
      <c r="L123" s="4" t="b">
        <v>1</v>
      </c>
      <c r="M123" s="4">
        <v>8.5890000000000004</v>
      </c>
      <c r="N123" s="4" t="b">
        <v>0</v>
      </c>
      <c r="O123" s="4" t="s">
        <v>1029</v>
      </c>
      <c r="P123" s="4" t="b">
        <v>0</v>
      </c>
      <c r="Q123" s="4">
        <v>67.632000000000005</v>
      </c>
      <c r="R123" s="4">
        <v>89.369</v>
      </c>
      <c r="S123" s="4">
        <v>39.031999999999996</v>
      </c>
      <c r="T123" s="4">
        <v>37.709099999999999</v>
      </c>
      <c r="U123" s="4">
        <v>26.116</v>
      </c>
      <c r="V123" s="4">
        <v>16.799499999999998</v>
      </c>
      <c r="W123" s="4">
        <v>43.902900000000002</v>
      </c>
      <c r="X123" s="4">
        <v>24.624300000000002</v>
      </c>
      <c r="Y123" s="4">
        <v>21.202200000000001</v>
      </c>
      <c r="Z123" s="4">
        <v>20.249600000000001</v>
      </c>
      <c r="AA123" s="4">
        <v>1.9245699999999999</v>
      </c>
      <c r="AB123" s="4">
        <v>-6.7644999999999997E-2</v>
      </c>
      <c r="AC123" s="1" t="s">
        <v>211</v>
      </c>
      <c r="AD123" s="1" t="s">
        <v>2710</v>
      </c>
      <c r="AE123" s="1" t="s">
        <v>2711</v>
      </c>
      <c r="AF123" s="1">
        <v>7.65</v>
      </c>
      <c r="AG123" s="1" t="s">
        <v>1003</v>
      </c>
      <c r="AH123" s="1">
        <v>23.85</v>
      </c>
      <c r="AI123" s="1">
        <v>120.82</v>
      </c>
      <c r="AJ123" s="1">
        <v>8</v>
      </c>
      <c r="AK123" s="1" t="s">
        <v>1055</v>
      </c>
      <c r="AL123" s="1" t="s">
        <v>2834</v>
      </c>
      <c r="AM123" s="1">
        <v>209</v>
      </c>
      <c r="AN123" s="1">
        <v>68</v>
      </c>
      <c r="AO123" s="1">
        <v>89</v>
      </c>
      <c r="AP123" s="1">
        <v>31</v>
      </c>
      <c r="AQ123" s="1">
        <v>21</v>
      </c>
      <c r="AR123" s="1">
        <v>92</v>
      </c>
      <c r="AS123" s="1" t="s">
        <v>2808</v>
      </c>
      <c r="AT123" s="1" t="s">
        <v>862</v>
      </c>
      <c r="AU123" s="1">
        <v>1</v>
      </c>
      <c r="AV123" s="1">
        <v>7.58</v>
      </c>
      <c r="AW123" s="1">
        <v>5.6364999999999998</v>
      </c>
      <c r="AX123" s="1">
        <v>7322.4000000000005</v>
      </c>
      <c r="AY123" s="1" t="s">
        <v>863</v>
      </c>
      <c r="AZ123" s="1" t="s">
        <v>2812</v>
      </c>
      <c r="BA123" t="s">
        <v>2845</v>
      </c>
    </row>
    <row r="124" spans="1:53" ht="19" customHeight="1">
      <c r="A124" s="4" t="s">
        <v>1074</v>
      </c>
      <c r="B124" s="4">
        <v>23.85</v>
      </c>
      <c r="C124" s="4">
        <v>120.82</v>
      </c>
      <c r="D124" s="4">
        <v>8</v>
      </c>
      <c r="E124" s="4">
        <v>7.65</v>
      </c>
      <c r="F124" s="4" t="s">
        <v>1055</v>
      </c>
      <c r="G124" s="4" t="s">
        <v>903</v>
      </c>
      <c r="H124" s="4">
        <v>121.02</v>
      </c>
      <c r="I124" s="4">
        <v>24.688832999999999</v>
      </c>
      <c r="J124" s="4">
        <v>454.09820000000002</v>
      </c>
      <c r="K124" s="4">
        <v>45.076472000000003</v>
      </c>
      <c r="L124" s="4" t="b">
        <v>1</v>
      </c>
      <c r="M124" s="4">
        <v>8.6869999999999994</v>
      </c>
      <c r="N124" s="4" t="b">
        <v>0</v>
      </c>
      <c r="O124" s="4" t="s">
        <v>1029</v>
      </c>
      <c r="P124" s="4" t="b">
        <v>0</v>
      </c>
      <c r="Q124" s="4">
        <v>381.16300000000001</v>
      </c>
      <c r="R124" s="4">
        <v>704.93799999999999</v>
      </c>
      <c r="S124" s="4">
        <v>244.4</v>
      </c>
      <c r="T124" s="4">
        <v>57.994100000000003</v>
      </c>
      <c r="U124" s="4">
        <v>49.284100000000002</v>
      </c>
      <c r="V124" s="4">
        <v>23.605799999999999</v>
      </c>
      <c r="W124" s="4">
        <v>32.536200000000001</v>
      </c>
      <c r="X124" s="4">
        <v>23.551100000000002</v>
      </c>
      <c r="Y124" s="4">
        <v>15.5792</v>
      </c>
      <c r="Z124" s="4">
        <v>0.75937100000000002</v>
      </c>
      <c r="AA124" s="4">
        <v>1.74244</v>
      </c>
      <c r="AB124" s="4">
        <v>0.69275399999999998</v>
      </c>
      <c r="AC124" s="1" t="s">
        <v>211</v>
      </c>
      <c r="AD124" s="1" t="s">
        <v>2710</v>
      </c>
      <c r="AE124" s="1" t="s">
        <v>2711</v>
      </c>
      <c r="AF124" s="1">
        <v>7.65</v>
      </c>
      <c r="AG124" s="1" t="s">
        <v>1003</v>
      </c>
      <c r="AH124" s="1">
        <v>23.85</v>
      </c>
      <c r="AI124" s="1">
        <v>120.82</v>
      </c>
      <c r="AJ124" s="1">
        <v>8</v>
      </c>
      <c r="AK124" s="1" t="s">
        <v>1055</v>
      </c>
      <c r="AL124" s="1" t="s">
        <v>2834</v>
      </c>
      <c r="AM124" s="1">
        <v>209</v>
      </c>
      <c r="AN124" s="1">
        <v>68</v>
      </c>
      <c r="AO124" s="1">
        <v>89</v>
      </c>
      <c r="AP124" s="1">
        <v>31</v>
      </c>
      <c r="AQ124" s="1">
        <v>21</v>
      </c>
      <c r="AR124" s="1">
        <v>92</v>
      </c>
      <c r="AS124" s="1" t="s">
        <v>2808</v>
      </c>
      <c r="AT124" s="1" t="s">
        <v>862</v>
      </c>
      <c r="AU124" s="1">
        <v>1</v>
      </c>
      <c r="AV124" s="1">
        <v>7.58</v>
      </c>
      <c r="AW124" s="1">
        <v>5.6364999999999998</v>
      </c>
      <c r="AX124" s="1">
        <v>7322.4000000000005</v>
      </c>
      <c r="AY124" s="1" t="s">
        <v>863</v>
      </c>
      <c r="AZ124" s="1" t="s">
        <v>2812</v>
      </c>
      <c r="BA124" t="s">
        <v>2845</v>
      </c>
    </row>
    <row r="125" spans="1:53" ht="19" customHeight="1">
      <c r="A125" s="4" t="s">
        <v>1074</v>
      </c>
      <c r="B125" s="4">
        <v>23.85</v>
      </c>
      <c r="C125" s="4">
        <v>120.82</v>
      </c>
      <c r="D125" s="4">
        <v>8</v>
      </c>
      <c r="E125" s="4">
        <v>7.65</v>
      </c>
      <c r="F125" s="4" t="s">
        <v>1055</v>
      </c>
      <c r="G125" s="4" t="s">
        <v>904</v>
      </c>
      <c r="H125" s="4">
        <v>120.96599999999999</v>
      </c>
      <c r="I125" s="4">
        <v>24.792332999999999</v>
      </c>
      <c r="J125" s="4">
        <v>456.89920000000001</v>
      </c>
      <c r="K125" s="4">
        <v>54.290481</v>
      </c>
      <c r="L125" s="4" t="b">
        <v>1</v>
      </c>
      <c r="M125" s="4">
        <v>8.4559999999999995</v>
      </c>
      <c r="N125" s="4" t="b">
        <v>0</v>
      </c>
      <c r="O125" s="4" t="s">
        <v>1029</v>
      </c>
      <c r="P125" s="4" t="b">
        <v>0</v>
      </c>
      <c r="Q125" s="4">
        <v>61.091999999999999</v>
      </c>
      <c r="R125" s="4">
        <v>105.67</v>
      </c>
      <c r="S125" s="4">
        <v>33.780999999999999</v>
      </c>
      <c r="T125" s="4">
        <v>26.4407</v>
      </c>
      <c r="U125" s="4">
        <v>24.279599999999999</v>
      </c>
      <c r="V125" s="4">
        <v>15.241300000000001</v>
      </c>
      <c r="W125" s="4">
        <v>38.7102</v>
      </c>
      <c r="X125" s="4">
        <v>27.549099999999999</v>
      </c>
      <c r="Y125" s="4">
        <v>10.921799999999999</v>
      </c>
      <c r="Z125" s="4">
        <v>-9.7270999999999996E-2</v>
      </c>
      <c r="AA125" s="4">
        <v>1.95747</v>
      </c>
      <c r="AB125" s="4">
        <v>0.39347199999999999</v>
      </c>
      <c r="AC125" s="1" t="s">
        <v>211</v>
      </c>
      <c r="AD125" s="1" t="s">
        <v>2710</v>
      </c>
      <c r="AE125" s="1" t="s">
        <v>2711</v>
      </c>
      <c r="AF125" s="1">
        <v>7.65</v>
      </c>
      <c r="AG125" s="1" t="s">
        <v>1003</v>
      </c>
      <c r="AH125" s="1">
        <v>23.85</v>
      </c>
      <c r="AI125" s="1">
        <v>120.82</v>
      </c>
      <c r="AJ125" s="1">
        <v>8</v>
      </c>
      <c r="AK125" s="1" t="s">
        <v>1055</v>
      </c>
      <c r="AL125" s="1" t="s">
        <v>2834</v>
      </c>
      <c r="AM125" s="1">
        <v>209</v>
      </c>
      <c r="AN125" s="1">
        <v>68</v>
      </c>
      <c r="AO125" s="1">
        <v>89</v>
      </c>
      <c r="AP125" s="1">
        <v>31</v>
      </c>
      <c r="AQ125" s="1">
        <v>21</v>
      </c>
      <c r="AR125" s="1">
        <v>92</v>
      </c>
      <c r="AS125" s="1" t="s">
        <v>2808</v>
      </c>
      <c r="AT125" s="1" t="s">
        <v>862</v>
      </c>
      <c r="AU125" s="1">
        <v>1</v>
      </c>
      <c r="AV125" s="1">
        <v>7.58</v>
      </c>
      <c r="AW125" s="1">
        <v>5.6364999999999998</v>
      </c>
      <c r="AX125" s="1">
        <v>7322.4000000000005</v>
      </c>
      <c r="AY125" s="1" t="s">
        <v>863</v>
      </c>
      <c r="AZ125" s="1" t="s">
        <v>2812</v>
      </c>
      <c r="BA125" t="s">
        <v>2845</v>
      </c>
    </row>
    <row r="126" spans="1:53" ht="19" customHeight="1">
      <c r="A126" s="4" t="s">
        <v>1074</v>
      </c>
      <c r="B126" s="4">
        <v>23.85</v>
      </c>
      <c r="C126" s="4">
        <v>120.82</v>
      </c>
      <c r="D126" s="4">
        <v>8</v>
      </c>
      <c r="E126" s="4">
        <v>7.65</v>
      </c>
      <c r="F126" s="4" t="s">
        <v>1055</v>
      </c>
      <c r="G126" s="4" t="s">
        <v>905</v>
      </c>
      <c r="H126" s="4">
        <v>120.907167</v>
      </c>
      <c r="I126" s="4">
        <v>24.742000000000001</v>
      </c>
      <c r="J126" s="4">
        <v>346.286113</v>
      </c>
      <c r="K126" s="4">
        <v>47.611621999999997</v>
      </c>
      <c r="L126" s="4" t="b">
        <v>1</v>
      </c>
      <c r="M126" s="4">
        <v>9.4849999999999994</v>
      </c>
      <c r="N126" s="4" t="b">
        <v>0</v>
      </c>
      <c r="O126" s="4" t="s">
        <v>1029</v>
      </c>
      <c r="P126" s="4" t="b">
        <v>0</v>
      </c>
      <c r="Q126" s="4">
        <v>100.45399999999999</v>
      </c>
      <c r="R126" s="4">
        <v>96.712999999999994</v>
      </c>
      <c r="S126" s="4">
        <v>48.805</v>
      </c>
      <c r="T126" s="4">
        <v>44.221600000000002</v>
      </c>
      <c r="U126" s="4">
        <v>27.215900000000001</v>
      </c>
      <c r="V126" s="4">
        <v>15.5267</v>
      </c>
      <c r="W126" s="4">
        <v>43.890900000000002</v>
      </c>
      <c r="X126" s="4">
        <v>26.8916</v>
      </c>
      <c r="Y126" s="4">
        <v>16.396100000000001</v>
      </c>
      <c r="Z126" s="4">
        <v>8.0452200000000005</v>
      </c>
      <c r="AA126" s="4">
        <v>-6.46495</v>
      </c>
      <c r="AB126" s="4">
        <v>-1.02582</v>
      </c>
      <c r="AC126" s="1" t="s">
        <v>211</v>
      </c>
      <c r="AD126" s="1" t="s">
        <v>2710</v>
      </c>
      <c r="AE126" s="1" t="s">
        <v>2711</v>
      </c>
      <c r="AF126" s="1">
        <v>7.65</v>
      </c>
      <c r="AG126" s="1" t="s">
        <v>1003</v>
      </c>
      <c r="AH126" s="1">
        <v>23.85</v>
      </c>
      <c r="AI126" s="1">
        <v>120.82</v>
      </c>
      <c r="AJ126" s="1">
        <v>8</v>
      </c>
      <c r="AK126" s="1" t="s">
        <v>1055</v>
      </c>
      <c r="AL126" s="1" t="s">
        <v>2834</v>
      </c>
      <c r="AM126" s="1">
        <v>209</v>
      </c>
      <c r="AN126" s="1">
        <v>68</v>
      </c>
      <c r="AO126" s="1">
        <v>89</v>
      </c>
      <c r="AP126" s="1">
        <v>31</v>
      </c>
      <c r="AQ126" s="1">
        <v>21</v>
      </c>
      <c r="AR126" s="1">
        <v>92</v>
      </c>
      <c r="AS126" s="1" t="s">
        <v>2808</v>
      </c>
      <c r="AT126" s="1" t="s">
        <v>862</v>
      </c>
      <c r="AU126" s="1">
        <v>1</v>
      </c>
      <c r="AV126" s="1">
        <v>7.58</v>
      </c>
      <c r="AW126" s="1">
        <v>5.6364999999999998</v>
      </c>
      <c r="AX126" s="1">
        <v>7322.4000000000005</v>
      </c>
      <c r="AY126" s="1" t="s">
        <v>863</v>
      </c>
      <c r="AZ126" s="1" t="s">
        <v>2812</v>
      </c>
      <c r="BA126" t="s">
        <v>2845</v>
      </c>
    </row>
    <row r="127" spans="1:53" ht="19" customHeight="1">
      <c r="A127" s="4" t="s">
        <v>1074</v>
      </c>
      <c r="B127" s="4">
        <v>23.85</v>
      </c>
      <c r="C127" s="4">
        <v>120.82</v>
      </c>
      <c r="D127" s="4">
        <v>8</v>
      </c>
      <c r="E127" s="4">
        <v>7.65</v>
      </c>
      <c r="F127" s="4" t="s">
        <v>1055</v>
      </c>
      <c r="G127" s="4" t="s">
        <v>1079</v>
      </c>
      <c r="H127" s="4">
        <v>120.625</v>
      </c>
      <c r="I127" s="4">
        <v>24.183833</v>
      </c>
      <c r="J127" s="4">
        <v>500.81730800000003</v>
      </c>
      <c r="K127" s="4">
        <v>10.379778</v>
      </c>
      <c r="L127" s="4" t="b">
        <v>0</v>
      </c>
      <c r="M127" s="4" t="s">
        <v>1029</v>
      </c>
      <c r="N127" s="4" t="b">
        <v>1</v>
      </c>
      <c r="O127" s="4">
        <v>5.3129999999999997</v>
      </c>
      <c r="P127" s="4" t="b">
        <v>0</v>
      </c>
      <c r="Q127" s="4">
        <v>110.779</v>
      </c>
      <c r="R127" s="4">
        <v>112.062</v>
      </c>
      <c r="S127" s="4">
        <v>84.841999999999999</v>
      </c>
      <c r="T127" s="4">
        <v>32.018700000000003</v>
      </c>
      <c r="U127" s="4">
        <v>41.8262</v>
      </c>
      <c r="V127" s="4">
        <v>37.892699999999998</v>
      </c>
      <c r="W127" s="4">
        <v>66.936199999999999</v>
      </c>
      <c r="X127" s="4">
        <v>54.059399999999997</v>
      </c>
      <c r="Y127" s="4">
        <v>35.147100000000002</v>
      </c>
      <c r="Z127" s="4">
        <v>12.3972</v>
      </c>
      <c r="AA127" s="4">
        <v>21.634499999999999</v>
      </c>
      <c r="AB127" s="4">
        <v>-0.58621400000000001</v>
      </c>
      <c r="AC127" s="1" t="s">
        <v>211</v>
      </c>
      <c r="AD127" s="1" t="s">
        <v>2710</v>
      </c>
      <c r="AE127" s="1" t="s">
        <v>2711</v>
      </c>
      <c r="AF127" s="1">
        <v>7.65</v>
      </c>
      <c r="AG127" s="1" t="s">
        <v>1003</v>
      </c>
      <c r="AH127" s="1">
        <v>23.85</v>
      </c>
      <c r="AI127" s="1">
        <v>120.82</v>
      </c>
      <c r="AJ127" s="1">
        <v>8</v>
      </c>
      <c r="AK127" s="1" t="s">
        <v>1055</v>
      </c>
      <c r="AL127" s="1" t="s">
        <v>2834</v>
      </c>
      <c r="AM127" s="1">
        <v>209</v>
      </c>
      <c r="AN127" s="1">
        <v>68</v>
      </c>
      <c r="AO127" s="1">
        <v>89</v>
      </c>
      <c r="AP127" s="1">
        <v>31</v>
      </c>
      <c r="AQ127" s="1">
        <v>21</v>
      </c>
      <c r="AR127" s="1">
        <v>92</v>
      </c>
      <c r="AS127" s="1" t="s">
        <v>2808</v>
      </c>
      <c r="AT127" s="1" t="s">
        <v>862</v>
      </c>
      <c r="AU127" s="1">
        <v>1</v>
      </c>
      <c r="AV127" s="1">
        <v>7.58</v>
      </c>
      <c r="AW127" s="1">
        <v>5.6364999999999998</v>
      </c>
      <c r="AX127" s="1">
        <v>7322.4000000000005</v>
      </c>
      <c r="AY127" s="1" t="s">
        <v>863</v>
      </c>
      <c r="AZ127" s="1" t="s">
        <v>2812</v>
      </c>
      <c r="BA127" t="s">
        <v>2845</v>
      </c>
    </row>
    <row r="128" spans="1:53" ht="19" customHeight="1">
      <c r="A128" s="4" t="s">
        <v>1074</v>
      </c>
      <c r="B128" s="4">
        <v>23.85</v>
      </c>
      <c r="C128" s="4">
        <v>120.82</v>
      </c>
      <c r="D128" s="4">
        <v>8</v>
      </c>
      <c r="E128" s="4">
        <v>7.65</v>
      </c>
      <c r="F128" s="4" t="s">
        <v>1055</v>
      </c>
      <c r="G128" s="4" t="s">
        <v>906</v>
      </c>
      <c r="H128" s="4">
        <v>120.717167</v>
      </c>
      <c r="I128" s="4">
        <v>24.239332999999998</v>
      </c>
      <c r="J128" s="4">
        <v>720.69</v>
      </c>
      <c r="K128" s="4">
        <v>1.2435879999999999</v>
      </c>
      <c r="L128" s="4" t="b">
        <v>1</v>
      </c>
      <c r="M128" s="4">
        <v>10.318</v>
      </c>
      <c r="N128" s="4" t="b">
        <v>1</v>
      </c>
      <c r="O128" s="4">
        <v>5.194</v>
      </c>
      <c r="P128" s="4" t="b">
        <v>0</v>
      </c>
      <c r="Q128" s="4">
        <v>207.89400000000001</v>
      </c>
      <c r="R128" s="4">
        <v>253.57900000000001</v>
      </c>
      <c r="S128" s="4">
        <v>164.02799999999999</v>
      </c>
      <c r="T128" s="4">
        <v>76.813900000000004</v>
      </c>
      <c r="U128" s="4">
        <v>50.974299999999999</v>
      </c>
      <c r="V128" s="4">
        <v>46.703499999999998</v>
      </c>
      <c r="W128" s="4">
        <v>73.462400000000002</v>
      </c>
      <c r="X128" s="4">
        <v>35.964799999999997</v>
      </c>
      <c r="Y128" s="4">
        <v>48.365400000000001</v>
      </c>
      <c r="Z128" s="4">
        <v>-0.55395899999999998</v>
      </c>
      <c r="AA128" s="4">
        <v>0.203149</v>
      </c>
      <c r="AB128" s="4">
        <v>-0.49779699999999999</v>
      </c>
      <c r="AC128" s="1" t="s">
        <v>211</v>
      </c>
      <c r="AD128" s="1" t="s">
        <v>2710</v>
      </c>
      <c r="AE128" s="1" t="s">
        <v>2711</v>
      </c>
      <c r="AF128" s="1">
        <v>7.65</v>
      </c>
      <c r="AG128" s="1" t="s">
        <v>1003</v>
      </c>
      <c r="AH128" s="1">
        <v>23.85</v>
      </c>
      <c r="AI128" s="1">
        <v>120.82</v>
      </c>
      <c r="AJ128" s="1">
        <v>8</v>
      </c>
      <c r="AK128" s="1" t="s">
        <v>1055</v>
      </c>
      <c r="AL128" s="1" t="s">
        <v>2834</v>
      </c>
      <c r="AM128" s="1">
        <v>209</v>
      </c>
      <c r="AN128" s="1">
        <v>68</v>
      </c>
      <c r="AO128" s="1">
        <v>89</v>
      </c>
      <c r="AP128" s="1">
        <v>31</v>
      </c>
      <c r="AQ128" s="1">
        <v>21</v>
      </c>
      <c r="AR128" s="1">
        <v>92</v>
      </c>
      <c r="AS128" s="1" t="s">
        <v>2808</v>
      </c>
      <c r="AT128" s="1" t="s">
        <v>862</v>
      </c>
      <c r="AU128" s="1">
        <v>1</v>
      </c>
      <c r="AV128" s="1">
        <v>7.58</v>
      </c>
      <c r="AW128" s="1">
        <v>5.6364999999999998</v>
      </c>
      <c r="AX128" s="1">
        <v>7322.4000000000005</v>
      </c>
      <c r="AY128" s="1" t="s">
        <v>863</v>
      </c>
      <c r="AZ128" s="1" t="s">
        <v>2812</v>
      </c>
      <c r="BA128" t="s">
        <v>2845</v>
      </c>
    </row>
    <row r="129" spans="1:53" ht="19" customHeight="1">
      <c r="A129" s="4" t="s">
        <v>1074</v>
      </c>
      <c r="B129" s="4">
        <v>23.85</v>
      </c>
      <c r="C129" s="4">
        <v>120.82</v>
      </c>
      <c r="D129" s="4">
        <v>8</v>
      </c>
      <c r="E129" s="4">
        <v>7.65</v>
      </c>
      <c r="F129" s="4" t="s">
        <v>1055</v>
      </c>
      <c r="G129" s="4" t="s">
        <v>907</v>
      </c>
      <c r="H129" s="4">
        <v>120.728667</v>
      </c>
      <c r="I129" s="4">
        <v>24.247</v>
      </c>
      <c r="J129" s="4">
        <v>706.20540000000005</v>
      </c>
      <c r="K129" s="4">
        <v>0.66602899999999998</v>
      </c>
      <c r="L129" s="4" t="b">
        <v>1</v>
      </c>
      <c r="M129" s="4">
        <v>9.6460000000000008</v>
      </c>
      <c r="N129" s="4" t="b">
        <v>1</v>
      </c>
      <c r="O129" s="4">
        <v>3.157</v>
      </c>
      <c r="P129" s="4" t="b">
        <v>1</v>
      </c>
      <c r="Q129" s="4">
        <v>298.387</v>
      </c>
      <c r="R129" s="4">
        <v>169.018</v>
      </c>
      <c r="S129" s="4">
        <v>173.33099999999999</v>
      </c>
      <c r="T129" s="4">
        <v>87.717299999999994</v>
      </c>
      <c r="U129" s="4">
        <v>72.254000000000005</v>
      </c>
      <c r="V129" s="4">
        <v>68.256299999999996</v>
      </c>
      <c r="W129" s="4">
        <v>166.22499999999999</v>
      </c>
      <c r="X129" s="4">
        <v>123.995</v>
      </c>
      <c r="Y129" s="4">
        <v>54.7943</v>
      </c>
      <c r="Z129" s="4">
        <v>74.019499999999994</v>
      </c>
      <c r="AA129" s="4">
        <v>-87.728800000000007</v>
      </c>
      <c r="AB129" s="4">
        <v>-5.6905999999999999</v>
      </c>
      <c r="AC129" s="1" t="s">
        <v>211</v>
      </c>
      <c r="AD129" s="1" t="s">
        <v>2710</v>
      </c>
      <c r="AE129" s="1" t="s">
        <v>2711</v>
      </c>
      <c r="AF129" s="1">
        <v>7.65</v>
      </c>
      <c r="AG129" s="1" t="s">
        <v>1003</v>
      </c>
      <c r="AH129" s="1">
        <v>23.85</v>
      </c>
      <c r="AI129" s="1">
        <v>120.82</v>
      </c>
      <c r="AJ129" s="1">
        <v>8</v>
      </c>
      <c r="AK129" s="1" t="s">
        <v>1055</v>
      </c>
      <c r="AL129" s="1" t="s">
        <v>2834</v>
      </c>
      <c r="AM129" s="1">
        <v>209</v>
      </c>
      <c r="AN129" s="1">
        <v>68</v>
      </c>
      <c r="AO129" s="1">
        <v>89</v>
      </c>
      <c r="AP129" s="1">
        <v>31</v>
      </c>
      <c r="AQ129" s="1">
        <v>21</v>
      </c>
      <c r="AR129" s="1">
        <v>92</v>
      </c>
      <c r="AS129" s="1" t="s">
        <v>2808</v>
      </c>
      <c r="AT129" s="1" t="s">
        <v>862</v>
      </c>
      <c r="AU129" s="1">
        <v>1</v>
      </c>
      <c r="AV129" s="1">
        <v>7.58</v>
      </c>
      <c r="AW129" s="1">
        <v>5.6364999999999998</v>
      </c>
      <c r="AX129" s="1">
        <v>7322.4000000000005</v>
      </c>
      <c r="AY129" s="1" t="s">
        <v>863</v>
      </c>
      <c r="AZ129" s="1" t="s">
        <v>2812</v>
      </c>
      <c r="BA129" t="s">
        <v>2845</v>
      </c>
    </row>
    <row r="130" spans="1:53" ht="19" customHeight="1">
      <c r="A130" s="4" t="s">
        <v>1074</v>
      </c>
      <c r="B130" s="4">
        <v>23.85</v>
      </c>
      <c r="C130" s="4">
        <v>120.82</v>
      </c>
      <c r="D130" s="4">
        <v>8</v>
      </c>
      <c r="E130" s="4">
        <v>7.65</v>
      </c>
      <c r="F130" s="4" t="s">
        <v>1055</v>
      </c>
      <c r="G130" s="4" t="s">
        <v>908</v>
      </c>
      <c r="H130" s="4">
        <v>120.715</v>
      </c>
      <c r="I130" s="4">
        <v>24.307500000000001</v>
      </c>
      <c r="J130" s="4">
        <v>488.6789</v>
      </c>
      <c r="K130" s="4">
        <v>5.2803849999999999</v>
      </c>
      <c r="L130" s="4" t="b">
        <v>1</v>
      </c>
      <c r="M130" s="4">
        <v>8.6869999999999994</v>
      </c>
      <c r="N130" s="4" t="b">
        <v>1</v>
      </c>
      <c r="O130" s="4">
        <v>6.8529999999999998</v>
      </c>
      <c r="P130" s="4" t="b">
        <v>1</v>
      </c>
      <c r="Q130" s="4">
        <v>126.432</v>
      </c>
      <c r="R130" s="4">
        <v>149.25</v>
      </c>
      <c r="S130" s="4">
        <v>142.285</v>
      </c>
      <c r="T130" s="4">
        <v>68.588700000000003</v>
      </c>
      <c r="U130" s="4">
        <v>22.4513</v>
      </c>
      <c r="V130" s="4">
        <v>60.793100000000003</v>
      </c>
      <c r="W130" s="4">
        <v>98.488699999999994</v>
      </c>
      <c r="X130" s="4">
        <v>77.251099999999994</v>
      </c>
      <c r="Y130" s="4">
        <v>54.076300000000003</v>
      </c>
      <c r="Z130" s="4">
        <v>46.520899999999997</v>
      </c>
      <c r="AA130" s="4">
        <v>-56.764800000000001</v>
      </c>
      <c r="AB130" s="4">
        <v>7.3743400000000001</v>
      </c>
      <c r="AC130" s="1" t="s">
        <v>211</v>
      </c>
      <c r="AD130" s="1" t="s">
        <v>2710</v>
      </c>
      <c r="AE130" s="1" t="s">
        <v>2711</v>
      </c>
      <c r="AF130" s="1">
        <v>7.65</v>
      </c>
      <c r="AG130" s="1" t="s">
        <v>1003</v>
      </c>
      <c r="AH130" s="1">
        <v>23.85</v>
      </c>
      <c r="AI130" s="1">
        <v>120.82</v>
      </c>
      <c r="AJ130" s="1">
        <v>8</v>
      </c>
      <c r="AK130" s="1" t="s">
        <v>1055</v>
      </c>
      <c r="AL130" s="1" t="s">
        <v>2834</v>
      </c>
      <c r="AM130" s="1">
        <v>209</v>
      </c>
      <c r="AN130" s="1">
        <v>68</v>
      </c>
      <c r="AO130" s="1">
        <v>89</v>
      </c>
      <c r="AP130" s="1">
        <v>31</v>
      </c>
      <c r="AQ130" s="1">
        <v>21</v>
      </c>
      <c r="AR130" s="1">
        <v>92</v>
      </c>
      <c r="AS130" s="1" t="s">
        <v>2808</v>
      </c>
      <c r="AT130" s="1" t="s">
        <v>862</v>
      </c>
      <c r="AU130" s="1">
        <v>1</v>
      </c>
      <c r="AV130" s="1">
        <v>7.58</v>
      </c>
      <c r="AW130" s="1">
        <v>5.6364999999999998</v>
      </c>
      <c r="AX130" s="1">
        <v>7322.4000000000005</v>
      </c>
      <c r="AY130" s="1" t="s">
        <v>863</v>
      </c>
      <c r="AZ130" s="1" t="s">
        <v>2812</v>
      </c>
      <c r="BA130" t="s">
        <v>2845</v>
      </c>
    </row>
    <row r="131" spans="1:53" ht="19" customHeight="1">
      <c r="A131" s="4" t="s">
        <v>1074</v>
      </c>
      <c r="B131" s="4">
        <v>23.85</v>
      </c>
      <c r="C131" s="4">
        <v>120.82</v>
      </c>
      <c r="D131" s="4">
        <v>8</v>
      </c>
      <c r="E131" s="4">
        <v>7.65</v>
      </c>
      <c r="F131" s="4" t="s">
        <v>1055</v>
      </c>
      <c r="G131" s="4" t="s">
        <v>909</v>
      </c>
      <c r="H131" s="4">
        <v>120.609167</v>
      </c>
      <c r="I131" s="4">
        <v>24.244333000000001</v>
      </c>
      <c r="J131" s="4">
        <v>403.46980000000002</v>
      </c>
      <c r="K131" s="4">
        <v>12.099795</v>
      </c>
      <c r="L131" s="4" t="b">
        <v>1</v>
      </c>
      <c r="M131" s="4">
        <v>7.1890000000000001</v>
      </c>
      <c r="N131" s="4" t="b">
        <v>0</v>
      </c>
      <c r="O131" s="4" t="s">
        <v>1029</v>
      </c>
      <c r="P131" s="4" t="b">
        <v>1</v>
      </c>
      <c r="Q131" s="4">
        <v>101.479</v>
      </c>
      <c r="R131" s="4">
        <v>86.819800000000001</v>
      </c>
      <c r="S131" s="4">
        <v>90.461500000000001</v>
      </c>
      <c r="T131" s="4">
        <v>30.709900000000001</v>
      </c>
      <c r="U131" s="4">
        <v>48.776800000000001</v>
      </c>
      <c r="V131" s="4">
        <v>23.3216</v>
      </c>
      <c r="W131" s="4">
        <v>69.388300000000001</v>
      </c>
      <c r="X131" s="4">
        <v>96.382300000000001</v>
      </c>
      <c r="Y131" s="4">
        <v>18.970099999999999</v>
      </c>
      <c r="Z131" s="4">
        <v>41.994599999999998</v>
      </c>
      <c r="AA131" s="4">
        <v>-43.773000000000003</v>
      </c>
      <c r="AB131" s="4">
        <v>-1.3539000000000001</v>
      </c>
      <c r="AC131" s="1" t="s">
        <v>211</v>
      </c>
      <c r="AD131" s="1" t="s">
        <v>2710</v>
      </c>
      <c r="AE131" s="1" t="s">
        <v>2711</v>
      </c>
      <c r="AF131" s="1">
        <v>7.65</v>
      </c>
      <c r="AG131" s="1" t="s">
        <v>1003</v>
      </c>
      <c r="AH131" s="1">
        <v>23.85</v>
      </c>
      <c r="AI131" s="1">
        <v>120.82</v>
      </c>
      <c r="AJ131" s="1">
        <v>8</v>
      </c>
      <c r="AK131" s="1" t="s">
        <v>1055</v>
      </c>
      <c r="AL131" s="1" t="s">
        <v>2834</v>
      </c>
      <c r="AM131" s="1">
        <v>209</v>
      </c>
      <c r="AN131" s="1">
        <v>68</v>
      </c>
      <c r="AO131" s="1">
        <v>89</v>
      </c>
      <c r="AP131" s="1">
        <v>31</v>
      </c>
      <c r="AQ131" s="1">
        <v>21</v>
      </c>
      <c r="AR131" s="1">
        <v>92</v>
      </c>
      <c r="AS131" s="1" t="s">
        <v>2808</v>
      </c>
      <c r="AT131" s="1" t="s">
        <v>862</v>
      </c>
      <c r="AU131" s="1">
        <v>1</v>
      </c>
      <c r="AV131" s="1">
        <v>7.58</v>
      </c>
      <c r="AW131" s="1">
        <v>5.6364999999999998</v>
      </c>
      <c r="AX131" s="1">
        <v>7322.4000000000005</v>
      </c>
      <c r="AY131" s="1" t="s">
        <v>863</v>
      </c>
      <c r="AZ131" s="1" t="s">
        <v>2812</v>
      </c>
      <c r="BA131" t="s">
        <v>2845</v>
      </c>
    </row>
    <row r="132" spans="1:53" ht="19" customHeight="1">
      <c r="A132" s="4" t="s">
        <v>1074</v>
      </c>
      <c r="B132" s="4">
        <v>23.85</v>
      </c>
      <c r="C132" s="4">
        <v>120.82</v>
      </c>
      <c r="D132" s="4">
        <v>8</v>
      </c>
      <c r="E132" s="4">
        <v>7.65</v>
      </c>
      <c r="F132" s="4" t="s">
        <v>1055</v>
      </c>
      <c r="G132" s="4" t="s">
        <v>910</v>
      </c>
      <c r="H132" s="4">
        <v>120.769667</v>
      </c>
      <c r="I132" s="4">
        <v>24.4145</v>
      </c>
      <c r="J132" s="4">
        <v>591.94949999999994</v>
      </c>
      <c r="K132" s="4">
        <v>12.46795</v>
      </c>
      <c r="L132" s="4" t="b">
        <v>1</v>
      </c>
      <c r="M132" s="4">
        <v>9.0440000000000005</v>
      </c>
      <c r="N132" s="4" t="b">
        <v>1</v>
      </c>
      <c r="O132" s="4">
        <v>5.0469999999999997</v>
      </c>
      <c r="P132" s="4" t="b">
        <v>1</v>
      </c>
      <c r="Q132" s="4">
        <v>141.19200000000001</v>
      </c>
      <c r="R132" s="4">
        <v>163.17699999999999</v>
      </c>
      <c r="S132" s="4">
        <v>90.374799999999993</v>
      </c>
      <c r="T132" s="4">
        <v>62.640599999999999</v>
      </c>
      <c r="U132" s="4">
        <v>62.508000000000003</v>
      </c>
      <c r="V132" s="4">
        <v>46.916400000000003</v>
      </c>
      <c r="W132" s="4">
        <v>75.787400000000005</v>
      </c>
      <c r="X132" s="4">
        <v>90.411100000000005</v>
      </c>
      <c r="Y132" s="4">
        <v>43.549500000000002</v>
      </c>
      <c r="Z132" s="4">
        <v>32.318600000000004</v>
      </c>
      <c r="AA132" s="4">
        <v>-40.422699999999999</v>
      </c>
      <c r="AB132" s="4">
        <v>30.9237</v>
      </c>
      <c r="AC132" s="1" t="s">
        <v>211</v>
      </c>
      <c r="AD132" s="1" t="s">
        <v>2710</v>
      </c>
      <c r="AE132" s="1" t="s">
        <v>2711</v>
      </c>
      <c r="AF132" s="1">
        <v>7.65</v>
      </c>
      <c r="AG132" s="1" t="s">
        <v>1003</v>
      </c>
      <c r="AH132" s="1">
        <v>23.85</v>
      </c>
      <c r="AI132" s="1">
        <v>120.82</v>
      </c>
      <c r="AJ132" s="1">
        <v>8</v>
      </c>
      <c r="AK132" s="1" t="s">
        <v>1055</v>
      </c>
      <c r="AL132" s="1" t="s">
        <v>2834</v>
      </c>
      <c r="AM132" s="1">
        <v>209</v>
      </c>
      <c r="AN132" s="1">
        <v>68</v>
      </c>
      <c r="AO132" s="1">
        <v>89</v>
      </c>
      <c r="AP132" s="1">
        <v>31</v>
      </c>
      <c r="AQ132" s="1">
        <v>21</v>
      </c>
      <c r="AR132" s="1">
        <v>92</v>
      </c>
      <c r="AS132" s="1" t="s">
        <v>2808</v>
      </c>
      <c r="AT132" s="1" t="s">
        <v>862</v>
      </c>
      <c r="AU132" s="1">
        <v>1</v>
      </c>
      <c r="AV132" s="1">
        <v>7.58</v>
      </c>
      <c r="AW132" s="1">
        <v>5.6364999999999998</v>
      </c>
      <c r="AX132" s="1">
        <v>7322.4000000000005</v>
      </c>
      <c r="AY132" s="1" t="s">
        <v>863</v>
      </c>
      <c r="AZ132" s="1" t="s">
        <v>2812</v>
      </c>
      <c r="BA132" t="s">
        <v>2845</v>
      </c>
    </row>
    <row r="133" spans="1:53" ht="19" customHeight="1">
      <c r="A133" s="4" t="s">
        <v>1074</v>
      </c>
      <c r="B133" s="4">
        <v>23.85</v>
      </c>
      <c r="C133" s="4">
        <v>120.82</v>
      </c>
      <c r="D133" s="4">
        <v>8</v>
      </c>
      <c r="E133" s="4">
        <v>7.65</v>
      </c>
      <c r="F133" s="4" t="s">
        <v>1055</v>
      </c>
      <c r="G133" s="4" t="s">
        <v>1080</v>
      </c>
      <c r="H133" s="4">
        <v>120.6925</v>
      </c>
      <c r="I133" s="4">
        <v>23.8765</v>
      </c>
      <c r="J133" s="4">
        <v>506.45729999999998</v>
      </c>
      <c r="K133" s="4">
        <v>0.99049799999999999</v>
      </c>
      <c r="L133" s="4" t="b">
        <v>1</v>
      </c>
      <c r="M133" s="4">
        <v>8.1270000000000007</v>
      </c>
      <c r="N133" s="4" t="b">
        <v>0</v>
      </c>
      <c r="O133" s="4" t="s">
        <v>1029</v>
      </c>
      <c r="P133" s="4" t="b">
        <v>1</v>
      </c>
      <c r="Q133" s="4">
        <v>961.678</v>
      </c>
      <c r="R133" s="4">
        <v>601.46299999999997</v>
      </c>
      <c r="S133" s="4">
        <v>331.18799999999999</v>
      </c>
      <c r="T133" s="4">
        <v>68.898799999999994</v>
      </c>
      <c r="U133" s="4">
        <v>54.470199999999998</v>
      </c>
      <c r="V133" s="4">
        <v>37.764400000000002</v>
      </c>
      <c r="W133" s="4">
        <v>158.70699999999999</v>
      </c>
      <c r="X133" s="4">
        <v>51.952100000000002</v>
      </c>
      <c r="Y133" s="4">
        <v>34.947099999999999</v>
      </c>
      <c r="Z133" s="4">
        <v>155.328</v>
      </c>
      <c r="AA133" s="4">
        <v>-45.936999999999998</v>
      </c>
      <c r="AB133" s="4">
        <v>-7.9420900000000003</v>
      </c>
      <c r="AC133" s="1" t="s">
        <v>211</v>
      </c>
      <c r="AD133" s="1" t="s">
        <v>2710</v>
      </c>
      <c r="AE133" s="1" t="s">
        <v>2711</v>
      </c>
      <c r="AF133" s="1">
        <v>7.65</v>
      </c>
      <c r="AG133" s="1" t="s">
        <v>1003</v>
      </c>
      <c r="AH133" s="1">
        <v>23.85</v>
      </c>
      <c r="AI133" s="1">
        <v>120.82</v>
      </c>
      <c r="AJ133" s="1">
        <v>8</v>
      </c>
      <c r="AK133" s="1" t="s">
        <v>1055</v>
      </c>
      <c r="AL133" s="1" t="s">
        <v>2834</v>
      </c>
      <c r="AM133" s="1">
        <v>209</v>
      </c>
      <c r="AN133" s="1">
        <v>68</v>
      </c>
      <c r="AO133" s="1">
        <v>89</v>
      </c>
      <c r="AP133" s="1">
        <v>31</v>
      </c>
      <c r="AQ133" s="1">
        <v>21</v>
      </c>
      <c r="AR133" s="1">
        <v>92</v>
      </c>
      <c r="AS133" s="1" t="s">
        <v>2808</v>
      </c>
      <c r="AT133" s="1" t="s">
        <v>862</v>
      </c>
      <c r="AU133" s="1">
        <v>1</v>
      </c>
      <c r="AV133" s="1">
        <v>7.58</v>
      </c>
      <c r="AW133" s="1">
        <v>5.6364999999999998</v>
      </c>
      <c r="AX133" s="1">
        <v>7322.4000000000005</v>
      </c>
      <c r="AY133" s="1" t="s">
        <v>863</v>
      </c>
      <c r="AZ133" s="1" t="s">
        <v>2812</v>
      </c>
      <c r="BA133" t="s">
        <v>2845</v>
      </c>
    </row>
    <row r="134" spans="1:53" ht="19" customHeight="1">
      <c r="A134" s="4" t="s">
        <v>1074</v>
      </c>
      <c r="B134" s="4">
        <v>23.85</v>
      </c>
      <c r="C134" s="4">
        <v>120.82</v>
      </c>
      <c r="D134" s="4">
        <v>8</v>
      </c>
      <c r="E134" s="4">
        <v>7.65</v>
      </c>
      <c r="F134" s="4" t="s">
        <v>1055</v>
      </c>
      <c r="G134" s="4" t="s">
        <v>1072</v>
      </c>
      <c r="H134" s="4">
        <v>120.659333</v>
      </c>
      <c r="I134" s="4">
        <v>24.134333000000002</v>
      </c>
      <c r="J134" s="4">
        <v>424.43783999999999</v>
      </c>
      <c r="K134" s="4">
        <v>6.8535009999999996</v>
      </c>
      <c r="L134" s="4" t="b">
        <v>1</v>
      </c>
      <c r="M134" s="4">
        <v>7.4032</v>
      </c>
      <c r="N134" s="4" t="b">
        <v>1</v>
      </c>
      <c r="O134" s="4">
        <v>5.8071999999999999</v>
      </c>
      <c r="P134" s="4" t="b">
        <v>1</v>
      </c>
      <c r="Q134" s="4">
        <v>281.45299999999997</v>
      </c>
      <c r="R134" s="4">
        <v>258.89299999999997</v>
      </c>
      <c r="S134" s="4">
        <v>238.31700000000001</v>
      </c>
      <c r="T134" s="4">
        <v>72.8202</v>
      </c>
      <c r="U134" s="4">
        <v>81.422399999999996</v>
      </c>
      <c r="V134" s="4">
        <v>68.079499999999996</v>
      </c>
      <c r="W134" s="4">
        <v>191.036</v>
      </c>
      <c r="X134" s="4">
        <v>109.15300000000001</v>
      </c>
      <c r="Y134" s="4">
        <v>60.733400000000003</v>
      </c>
      <c r="Z134" s="4">
        <v>-101.944</v>
      </c>
      <c r="AA134" s="4">
        <v>-4.6140299999999996</v>
      </c>
      <c r="AB134" s="4">
        <v>-40.981400000000001</v>
      </c>
      <c r="AC134" s="1" t="s">
        <v>211</v>
      </c>
      <c r="AD134" s="1" t="s">
        <v>2710</v>
      </c>
      <c r="AE134" s="1" t="s">
        <v>2711</v>
      </c>
      <c r="AF134" s="1">
        <v>7.65</v>
      </c>
      <c r="AG134" s="1" t="s">
        <v>1003</v>
      </c>
      <c r="AH134" s="1">
        <v>23.85</v>
      </c>
      <c r="AI134" s="1">
        <v>120.82</v>
      </c>
      <c r="AJ134" s="1">
        <v>8</v>
      </c>
      <c r="AK134" s="1" t="s">
        <v>1055</v>
      </c>
      <c r="AL134" s="1" t="s">
        <v>2834</v>
      </c>
      <c r="AM134" s="1">
        <v>209</v>
      </c>
      <c r="AN134" s="1">
        <v>68</v>
      </c>
      <c r="AO134" s="1">
        <v>89</v>
      </c>
      <c r="AP134" s="1">
        <v>31</v>
      </c>
      <c r="AQ134" s="1">
        <v>21</v>
      </c>
      <c r="AR134" s="1">
        <v>92</v>
      </c>
      <c r="AS134" s="1" t="s">
        <v>2808</v>
      </c>
      <c r="AT134" s="1" t="s">
        <v>862</v>
      </c>
      <c r="AU134" s="1">
        <v>1</v>
      </c>
      <c r="AV134" s="1">
        <v>7.58</v>
      </c>
      <c r="AW134" s="1">
        <v>5.6364999999999998</v>
      </c>
      <c r="AX134" s="1">
        <v>7322.4000000000005</v>
      </c>
      <c r="AY134" s="1" t="s">
        <v>863</v>
      </c>
      <c r="AZ134" s="1" t="s">
        <v>2812</v>
      </c>
      <c r="BA134" t="s">
        <v>2845</v>
      </c>
    </row>
    <row r="135" spans="1:53" ht="19" customHeight="1">
      <c r="A135" s="4" t="s">
        <v>1074</v>
      </c>
      <c r="B135" s="4">
        <v>23.85</v>
      </c>
      <c r="C135" s="4">
        <v>120.82</v>
      </c>
      <c r="D135" s="4">
        <v>8</v>
      </c>
      <c r="E135" s="4">
        <v>7.65</v>
      </c>
      <c r="F135" s="4" t="s">
        <v>1055</v>
      </c>
      <c r="G135" s="4" t="s">
        <v>911</v>
      </c>
      <c r="H135" s="4">
        <v>120.65866699999999</v>
      </c>
      <c r="I135" s="4">
        <v>24.258333</v>
      </c>
      <c r="J135" s="4">
        <v>458.01530000000002</v>
      </c>
      <c r="K135" s="4">
        <v>7.5277890000000003</v>
      </c>
      <c r="L135" s="4" t="b">
        <v>1</v>
      </c>
      <c r="M135" s="4">
        <v>8.8816000000000006</v>
      </c>
      <c r="N135" s="4" t="b">
        <v>0</v>
      </c>
      <c r="O135" s="4" t="s">
        <v>1029</v>
      </c>
      <c r="P135" s="4" t="b">
        <v>1</v>
      </c>
      <c r="Q135" s="4">
        <v>166.80600000000001</v>
      </c>
      <c r="R135" s="4">
        <v>170.83199999999999</v>
      </c>
      <c r="S135" s="4">
        <v>111.651</v>
      </c>
      <c r="T135" s="4">
        <v>43.476500000000001</v>
      </c>
      <c r="U135" s="4">
        <v>53.1614</v>
      </c>
      <c r="V135" s="4">
        <v>31.991099999999999</v>
      </c>
      <c r="W135" s="4">
        <v>109.663</v>
      </c>
      <c r="X135" s="4">
        <v>93.570099999999996</v>
      </c>
      <c r="Y135" s="4">
        <v>47.343800000000002</v>
      </c>
      <c r="Z135" s="4">
        <v>52.906700000000001</v>
      </c>
      <c r="AA135" s="4">
        <v>-49.996600000000001</v>
      </c>
      <c r="AB135" s="4">
        <v>36.759500000000003</v>
      </c>
      <c r="AC135" s="1" t="s">
        <v>211</v>
      </c>
      <c r="AD135" s="1" t="s">
        <v>2710</v>
      </c>
      <c r="AE135" s="1" t="s">
        <v>2711</v>
      </c>
      <c r="AF135" s="1">
        <v>7.65</v>
      </c>
      <c r="AG135" s="1" t="s">
        <v>1003</v>
      </c>
      <c r="AH135" s="1">
        <v>23.85</v>
      </c>
      <c r="AI135" s="1">
        <v>120.82</v>
      </c>
      <c r="AJ135" s="1">
        <v>8</v>
      </c>
      <c r="AK135" s="1" t="s">
        <v>1055</v>
      </c>
      <c r="AL135" s="1" t="s">
        <v>2834</v>
      </c>
      <c r="AM135" s="1">
        <v>209</v>
      </c>
      <c r="AN135" s="1">
        <v>68</v>
      </c>
      <c r="AO135" s="1">
        <v>89</v>
      </c>
      <c r="AP135" s="1">
        <v>31</v>
      </c>
      <c r="AQ135" s="1">
        <v>21</v>
      </c>
      <c r="AR135" s="1">
        <v>92</v>
      </c>
      <c r="AS135" s="1" t="s">
        <v>2808</v>
      </c>
      <c r="AT135" s="1" t="s">
        <v>862</v>
      </c>
      <c r="AU135" s="1">
        <v>1</v>
      </c>
      <c r="AV135" s="1">
        <v>7.58</v>
      </c>
      <c r="AW135" s="1">
        <v>5.6364999999999998</v>
      </c>
      <c r="AX135" s="1">
        <v>7322.4000000000005</v>
      </c>
      <c r="AY135" s="1" t="s">
        <v>863</v>
      </c>
      <c r="AZ135" s="1" t="s">
        <v>2812</v>
      </c>
      <c r="BA135" t="s">
        <v>2845</v>
      </c>
    </row>
    <row r="136" spans="1:53" ht="19" customHeight="1">
      <c r="A136" s="4" t="s">
        <v>1074</v>
      </c>
      <c r="B136" s="4">
        <v>23.85</v>
      </c>
      <c r="C136" s="4">
        <v>120.82</v>
      </c>
      <c r="D136" s="4">
        <v>8</v>
      </c>
      <c r="E136" s="4">
        <v>7.65</v>
      </c>
      <c r="F136" s="4" t="s">
        <v>1055</v>
      </c>
      <c r="G136" s="4" t="s">
        <v>1081</v>
      </c>
      <c r="H136" s="4">
        <v>120.930167</v>
      </c>
      <c r="I136" s="4">
        <v>24.183499999999999</v>
      </c>
      <c r="J136" s="4">
        <v>533.62</v>
      </c>
      <c r="K136" s="4">
        <v>7.8723590000000003</v>
      </c>
      <c r="L136" s="4" t="b">
        <v>1</v>
      </c>
      <c r="M136" s="4">
        <v>15.0808</v>
      </c>
      <c r="N136" s="4" t="b">
        <v>1</v>
      </c>
      <c r="O136" s="4">
        <v>15.086399999999999</v>
      </c>
      <c r="P136" s="4" t="b">
        <v>1</v>
      </c>
      <c r="Q136" s="4">
        <v>514.42700000000002</v>
      </c>
      <c r="R136" s="4">
        <v>402.14800000000002</v>
      </c>
      <c r="S136" s="4">
        <v>321.58999999999997</v>
      </c>
      <c r="T136" s="4">
        <v>82.099199999999996</v>
      </c>
      <c r="U136" s="4">
        <v>73.628299999999996</v>
      </c>
      <c r="V136" s="4">
        <v>80.292299999999997</v>
      </c>
      <c r="W136" s="4">
        <v>247.08699999999999</v>
      </c>
      <c r="X136" s="4">
        <v>246.2</v>
      </c>
      <c r="Y136" s="4">
        <v>258.80500000000001</v>
      </c>
      <c r="Z136" s="4">
        <v>-185.78200000000001</v>
      </c>
      <c r="AA136" s="4">
        <v>183.49199999999999</v>
      </c>
      <c r="AB136" s="4">
        <v>208.58199999999999</v>
      </c>
      <c r="AC136" s="1" t="s">
        <v>211</v>
      </c>
      <c r="AD136" s="1" t="s">
        <v>2710</v>
      </c>
      <c r="AE136" s="1" t="s">
        <v>2711</v>
      </c>
      <c r="AF136" s="1">
        <v>7.65</v>
      </c>
      <c r="AG136" s="1" t="s">
        <v>1003</v>
      </c>
      <c r="AH136" s="1">
        <v>23.85</v>
      </c>
      <c r="AI136" s="1">
        <v>120.82</v>
      </c>
      <c r="AJ136" s="1">
        <v>8</v>
      </c>
      <c r="AK136" s="1" t="s">
        <v>1055</v>
      </c>
      <c r="AL136" s="1" t="s">
        <v>2834</v>
      </c>
      <c r="AM136" s="1">
        <v>209</v>
      </c>
      <c r="AN136" s="1">
        <v>68</v>
      </c>
      <c r="AO136" s="1">
        <v>89</v>
      </c>
      <c r="AP136" s="1">
        <v>31</v>
      </c>
      <c r="AQ136" s="1">
        <v>21</v>
      </c>
      <c r="AR136" s="1">
        <v>92</v>
      </c>
      <c r="AS136" s="1" t="s">
        <v>2808</v>
      </c>
      <c r="AT136" s="1" t="s">
        <v>862</v>
      </c>
      <c r="AU136" s="1">
        <v>1</v>
      </c>
      <c r="AV136" s="1">
        <v>7.58</v>
      </c>
      <c r="AW136" s="1">
        <v>5.6364999999999998</v>
      </c>
      <c r="AX136" s="1">
        <v>7322.4000000000005</v>
      </c>
      <c r="AY136" s="1" t="s">
        <v>863</v>
      </c>
      <c r="AZ136" s="1" t="s">
        <v>2812</v>
      </c>
      <c r="BA136" t="s">
        <v>2845</v>
      </c>
    </row>
    <row r="137" spans="1:53" ht="19" customHeight="1">
      <c r="A137" s="4" t="s">
        <v>448</v>
      </c>
      <c r="B137" s="4">
        <v>23.529199999999999</v>
      </c>
      <c r="C137" s="4">
        <v>120.45059999999999</v>
      </c>
      <c r="D137" s="4">
        <v>16</v>
      </c>
      <c r="E137" s="4">
        <v>5.86</v>
      </c>
      <c r="F137" s="4" t="s">
        <v>1028</v>
      </c>
      <c r="G137" s="4" t="s">
        <v>861</v>
      </c>
      <c r="H137" s="4">
        <v>120.56016700000001</v>
      </c>
      <c r="I137" s="4">
        <v>23.579499999999999</v>
      </c>
      <c r="J137" s="4">
        <v>422.68400000000003</v>
      </c>
      <c r="K137" s="4">
        <v>14.08405</v>
      </c>
      <c r="L137" s="4" t="b">
        <v>1</v>
      </c>
      <c r="M137" s="4">
        <v>0.72240000000000004</v>
      </c>
      <c r="N137" s="4" t="b">
        <v>0</v>
      </c>
      <c r="O137" s="4" t="s">
        <v>1029</v>
      </c>
      <c r="P137" s="4" t="b">
        <v>0</v>
      </c>
      <c r="Q137" s="4">
        <v>387.05399999999997</v>
      </c>
      <c r="R137" s="4">
        <v>193.54900000000001</v>
      </c>
      <c r="S137" s="4">
        <v>126.81699999999999</v>
      </c>
      <c r="T137" s="4">
        <v>27.1737</v>
      </c>
      <c r="U137" s="4">
        <v>12.7217</v>
      </c>
      <c r="V137" s="4">
        <v>6.5263799999999996</v>
      </c>
      <c r="W137" s="4">
        <v>3.7330899999999998</v>
      </c>
      <c r="X137" s="4">
        <v>3.4804900000000001</v>
      </c>
      <c r="Y137" s="4">
        <v>0.89027599999999996</v>
      </c>
      <c r="Z137" s="4">
        <v>-1.9408000000000002E-2</v>
      </c>
      <c r="AA137" s="4">
        <v>-7.5779999999999997E-3</v>
      </c>
      <c r="AB137" s="4">
        <v>-2.3869000000000001E-2</v>
      </c>
      <c r="AC137" s="1" t="s">
        <v>447</v>
      </c>
      <c r="AD137" s="1" t="s">
        <v>2847</v>
      </c>
      <c r="AE137" s="1" t="s">
        <v>2848</v>
      </c>
      <c r="AF137" s="1">
        <v>5.86</v>
      </c>
      <c r="AG137" s="1" t="s">
        <v>1003</v>
      </c>
      <c r="AH137" s="1">
        <v>23.529199999999999</v>
      </c>
      <c r="AI137" s="1">
        <v>120.45059999999999</v>
      </c>
      <c r="AJ137" s="1">
        <v>16</v>
      </c>
      <c r="AK137" s="1" t="s">
        <v>1028</v>
      </c>
      <c r="AL137" s="1" t="s">
        <v>2834</v>
      </c>
      <c r="AM137" s="1">
        <v>178</v>
      </c>
      <c r="AN137" s="1">
        <v>49</v>
      </c>
      <c r="AO137" s="1">
        <v>54</v>
      </c>
      <c r="AP137" s="1">
        <v>46</v>
      </c>
      <c r="AQ137" s="1">
        <v>52</v>
      </c>
      <c r="AR137" s="1">
        <v>125</v>
      </c>
      <c r="AS137" s="1" t="s">
        <v>2808</v>
      </c>
      <c r="AT137" s="1" t="s">
        <v>731</v>
      </c>
      <c r="AU137" s="1"/>
      <c r="AV137" s="1"/>
      <c r="AW137" s="1"/>
      <c r="AX137" s="1"/>
      <c r="AY137" s="1"/>
      <c r="AZ137" s="1" t="s">
        <v>2812</v>
      </c>
      <c r="BA137" t="s">
        <v>2850</v>
      </c>
    </row>
    <row r="138" spans="1:53" ht="19" customHeight="1">
      <c r="A138" s="4" t="s">
        <v>448</v>
      </c>
      <c r="B138" s="4">
        <v>23.529199999999999</v>
      </c>
      <c r="C138" s="4">
        <v>120.45059999999999</v>
      </c>
      <c r="D138" s="4">
        <v>16</v>
      </c>
      <c r="E138" s="4">
        <v>5.86</v>
      </c>
      <c r="F138" s="4" t="s">
        <v>1028</v>
      </c>
      <c r="G138" s="4" t="s">
        <v>1082</v>
      </c>
      <c r="H138" s="4">
        <v>120.41633299999999</v>
      </c>
      <c r="I138" s="4">
        <v>23.472667000000001</v>
      </c>
      <c r="J138" s="4">
        <v>226.1079</v>
      </c>
      <c r="K138" s="4">
        <v>7.4184429999999999</v>
      </c>
      <c r="L138" s="4" t="b">
        <v>1</v>
      </c>
      <c r="M138" s="4">
        <v>1.1872</v>
      </c>
      <c r="N138" s="4" t="b">
        <v>0</v>
      </c>
      <c r="O138" s="4" t="s">
        <v>1029</v>
      </c>
      <c r="P138" s="4" t="b">
        <v>0</v>
      </c>
      <c r="Q138" s="4">
        <v>327.363</v>
      </c>
      <c r="R138" s="4">
        <v>188.64699999999999</v>
      </c>
      <c r="S138" s="4">
        <v>408.42700000000002</v>
      </c>
      <c r="T138" s="4">
        <v>39.615400000000001</v>
      </c>
      <c r="U138" s="4">
        <v>27.141999999999999</v>
      </c>
      <c r="V138" s="4">
        <v>9.3440799999999999</v>
      </c>
      <c r="W138" s="4">
        <v>12.281700000000001</v>
      </c>
      <c r="X138" s="4">
        <v>5.5514000000000001</v>
      </c>
      <c r="Y138" s="4">
        <v>2.2793299999999999</v>
      </c>
      <c r="Z138" s="4">
        <v>0.131521</v>
      </c>
      <c r="AA138" s="4">
        <v>6.9281999999999996E-2</v>
      </c>
      <c r="AB138" s="4">
        <v>-8.0940000000000005E-3</v>
      </c>
      <c r="AC138" s="1" t="s">
        <v>447</v>
      </c>
      <c r="AD138" s="1" t="s">
        <v>2847</v>
      </c>
      <c r="AE138" s="1" t="s">
        <v>2848</v>
      </c>
      <c r="AF138" s="1">
        <v>5.86</v>
      </c>
      <c r="AG138" s="1" t="s">
        <v>1003</v>
      </c>
      <c r="AH138" s="1">
        <v>23.529199999999999</v>
      </c>
      <c r="AI138" s="1">
        <v>120.45059999999999</v>
      </c>
      <c r="AJ138" s="1">
        <v>16</v>
      </c>
      <c r="AK138" s="1" t="s">
        <v>1028</v>
      </c>
      <c r="AL138" s="1" t="s">
        <v>2834</v>
      </c>
      <c r="AM138" s="1">
        <v>178</v>
      </c>
      <c r="AN138" s="1">
        <v>49</v>
      </c>
      <c r="AO138" s="1">
        <v>54</v>
      </c>
      <c r="AP138" s="1">
        <v>46</v>
      </c>
      <c r="AQ138" s="1">
        <v>52</v>
      </c>
      <c r="AR138" s="1">
        <v>125</v>
      </c>
      <c r="AS138" s="1" t="s">
        <v>2808</v>
      </c>
      <c r="AT138" s="1" t="s">
        <v>731</v>
      </c>
      <c r="AU138" s="1"/>
      <c r="AV138" s="1"/>
      <c r="AW138" s="1"/>
      <c r="AX138" s="1"/>
      <c r="AY138" s="1"/>
      <c r="AZ138" s="1" t="s">
        <v>2812</v>
      </c>
      <c r="BA138" t="s">
        <v>2850</v>
      </c>
    </row>
    <row r="139" spans="1:53" ht="19" customHeight="1">
      <c r="A139" s="4" t="s">
        <v>448</v>
      </c>
      <c r="B139" s="4">
        <v>23.529199999999999</v>
      </c>
      <c r="C139" s="4">
        <v>120.45059999999999</v>
      </c>
      <c r="D139" s="4">
        <v>16</v>
      </c>
      <c r="E139" s="4">
        <v>5.86</v>
      </c>
      <c r="F139" s="4" t="s">
        <v>1028</v>
      </c>
      <c r="G139" s="4" t="s">
        <v>1083</v>
      </c>
      <c r="H139" s="4">
        <v>120.553</v>
      </c>
      <c r="I139" s="4">
        <v>23.463000000000001</v>
      </c>
      <c r="J139" s="4">
        <v>816.86</v>
      </c>
      <c r="K139" s="4">
        <v>16.384063999999999</v>
      </c>
      <c r="L139" s="4" t="b">
        <v>1</v>
      </c>
      <c r="M139" s="4">
        <v>0.57679999999999998</v>
      </c>
      <c r="N139" s="4" t="b">
        <v>0</v>
      </c>
      <c r="O139" s="4" t="s">
        <v>1029</v>
      </c>
      <c r="P139" s="4" t="b">
        <v>0</v>
      </c>
      <c r="Q139" s="4">
        <v>458.91199999999998</v>
      </c>
      <c r="R139" s="4">
        <v>532.11500000000001</v>
      </c>
      <c r="S139" s="4">
        <v>671.351</v>
      </c>
      <c r="T139" s="4">
        <v>42.147500000000001</v>
      </c>
      <c r="U139" s="4">
        <v>15.987299999999999</v>
      </c>
      <c r="V139" s="4">
        <v>11.9451</v>
      </c>
      <c r="W139" s="4">
        <v>6.9137599999999999</v>
      </c>
      <c r="X139" s="4">
        <v>1.7101500000000001</v>
      </c>
      <c r="Y139" s="4">
        <v>3.6751499999999999</v>
      </c>
      <c r="Z139" s="4">
        <v>2.2235999999999999E-2</v>
      </c>
      <c r="AA139" s="4">
        <v>-5.4911000000000001E-2</v>
      </c>
      <c r="AB139" s="4">
        <v>-2.4795000000000001E-2</v>
      </c>
      <c r="AC139" s="1" t="s">
        <v>447</v>
      </c>
      <c r="AD139" s="1" t="s">
        <v>2847</v>
      </c>
      <c r="AE139" s="1" t="s">
        <v>2848</v>
      </c>
      <c r="AF139" s="1">
        <v>5.86</v>
      </c>
      <c r="AG139" s="1" t="s">
        <v>1003</v>
      </c>
      <c r="AH139" s="1">
        <v>23.529199999999999</v>
      </c>
      <c r="AI139" s="1">
        <v>120.45059999999999</v>
      </c>
      <c r="AJ139" s="1">
        <v>16</v>
      </c>
      <c r="AK139" s="1" t="s">
        <v>1028</v>
      </c>
      <c r="AL139" s="1" t="s">
        <v>2834</v>
      </c>
      <c r="AM139" s="1">
        <v>178</v>
      </c>
      <c r="AN139" s="1">
        <v>49</v>
      </c>
      <c r="AO139" s="1">
        <v>54</v>
      </c>
      <c r="AP139" s="1">
        <v>46</v>
      </c>
      <c r="AQ139" s="1">
        <v>52</v>
      </c>
      <c r="AR139" s="1">
        <v>125</v>
      </c>
      <c r="AS139" s="1" t="s">
        <v>2808</v>
      </c>
      <c r="AT139" s="1" t="s">
        <v>731</v>
      </c>
      <c r="AU139" s="1"/>
      <c r="AV139" s="1"/>
      <c r="AW139" s="1"/>
      <c r="AX139" s="1"/>
      <c r="AY139" s="1"/>
      <c r="AZ139" s="1" t="s">
        <v>2812</v>
      </c>
      <c r="BA139" t="s">
        <v>2850</v>
      </c>
    </row>
    <row r="140" spans="1:53" ht="19" customHeight="1">
      <c r="A140" s="4" t="s">
        <v>448</v>
      </c>
      <c r="B140" s="4">
        <v>23.529199999999999</v>
      </c>
      <c r="C140" s="4">
        <v>120.45059999999999</v>
      </c>
      <c r="D140" s="4">
        <v>16</v>
      </c>
      <c r="E140" s="4">
        <v>5.86</v>
      </c>
      <c r="F140" s="4" t="s">
        <v>1028</v>
      </c>
      <c r="G140" s="4" t="s">
        <v>1084</v>
      </c>
      <c r="H140" s="4">
        <v>120.55249999999999</v>
      </c>
      <c r="I140" s="4">
        <v>23.520667</v>
      </c>
      <c r="J140" s="4">
        <v>383.14179999999999</v>
      </c>
      <c r="K140" s="4">
        <v>14.407868000000001</v>
      </c>
      <c r="L140" s="4" t="b">
        <v>1</v>
      </c>
      <c r="M140" s="4">
        <v>1.3495999999999999</v>
      </c>
      <c r="N140" s="4" t="b">
        <v>0</v>
      </c>
      <c r="O140" s="4" t="s">
        <v>1029</v>
      </c>
      <c r="P140" s="4" t="b">
        <v>0</v>
      </c>
      <c r="Q140" s="4">
        <v>273.584</v>
      </c>
      <c r="R140" s="4">
        <v>173.05799999999999</v>
      </c>
      <c r="S140" s="4">
        <v>143.35</v>
      </c>
      <c r="T140" s="4">
        <v>39.403500000000001</v>
      </c>
      <c r="U140" s="4">
        <v>19.776199999999999</v>
      </c>
      <c r="V140" s="4">
        <v>6.3854199999999999</v>
      </c>
      <c r="W140" s="4">
        <v>6.3141100000000003</v>
      </c>
      <c r="X140" s="4">
        <v>3.8291300000000001</v>
      </c>
      <c r="Y140" s="4">
        <v>1.84419</v>
      </c>
      <c r="Z140" s="4">
        <v>4.5014999999999999E-2</v>
      </c>
      <c r="AA140" s="4">
        <v>-5.5050000000000003E-3</v>
      </c>
      <c r="AB140" s="4">
        <v>6.7100999999999994E-2</v>
      </c>
      <c r="AC140" s="1" t="s">
        <v>447</v>
      </c>
      <c r="AD140" s="1" t="s">
        <v>2847</v>
      </c>
      <c r="AE140" s="1" t="s">
        <v>2848</v>
      </c>
      <c r="AF140" s="1">
        <v>5.86</v>
      </c>
      <c r="AG140" s="1" t="s">
        <v>1003</v>
      </c>
      <c r="AH140" s="1">
        <v>23.529199999999999</v>
      </c>
      <c r="AI140" s="1">
        <v>120.45059999999999</v>
      </c>
      <c r="AJ140" s="1">
        <v>16</v>
      </c>
      <c r="AK140" s="1" t="s">
        <v>1028</v>
      </c>
      <c r="AL140" s="1" t="s">
        <v>2834</v>
      </c>
      <c r="AM140" s="1">
        <v>178</v>
      </c>
      <c r="AN140" s="1">
        <v>49</v>
      </c>
      <c r="AO140" s="1">
        <v>54</v>
      </c>
      <c r="AP140" s="1">
        <v>46</v>
      </c>
      <c r="AQ140" s="1">
        <v>52</v>
      </c>
      <c r="AR140" s="1">
        <v>125</v>
      </c>
      <c r="AS140" s="1" t="s">
        <v>2808</v>
      </c>
      <c r="AT140" s="1" t="s">
        <v>731</v>
      </c>
      <c r="AU140" s="1"/>
      <c r="AV140" s="1"/>
      <c r="AW140" s="1"/>
      <c r="AX140" s="1"/>
      <c r="AY140" s="1"/>
      <c r="AZ140" s="1" t="s">
        <v>2812</v>
      </c>
      <c r="BA140" t="s">
        <v>2850</v>
      </c>
    </row>
    <row r="141" spans="1:53" ht="19" customHeight="1">
      <c r="A141" s="4" t="s">
        <v>448</v>
      </c>
      <c r="B141" s="4">
        <v>23.529199999999999</v>
      </c>
      <c r="C141" s="4">
        <v>120.45059999999999</v>
      </c>
      <c r="D141" s="4">
        <v>16</v>
      </c>
      <c r="E141" s="4">
        <v>5.86</v>
      </c>
      <c r="F141" s="4" t="s">
        <v>1028</v>
      </c>
      <c r="G141" s="4" t="s">
        <v>1085</v>
      </c>
      <c r="H141" s="4">
        <v>120.488</v>
      </c>
      <c r="I141" s="4">
        <v>23.605167000000002</v>
      </c>
      <c r="J141" s="4">
        <v>236.0532</v>
      </c>
      <c r="K141" s="4">
        <v>9.4980189999999993</v>
      </c>
      <c r="L141" s="4" t="b">
        <v>1</v>
      </c>
      <c r="M141" s="4">
        <v>1.099</v>
      </c>
      <c r="N141" s="4" t="b">
        <v>0</v>
      </c>
      <c r="O141" s="4" t="s">
        <v>1029</v>
      </c>
      <c r="P141" s="4" t="b">
        <v>0</v>
      </c>
      <c r="Q141" s="4">
        <v>264.161</v>
      </c>
      <c r="R141" s="4">
        <v>435.29300000000001</v>
      </c>
      <c r="S141" s="4">
        <v>206.779</v>
      </c>
      <c r="T141" s="4">
        <v>26.006699999999999</v>
      </c>
      <c r="U141" s="4">
        <v>22.439800000000002</v>
      </c>
      <c r="V141" s="4">
        <v>2.8513199999999999</v>
      </c>
      <c r="W141" s="4">
        <v>3.5798700000000001</v>
      </c>
      <c r="X141" s="4">
        <v>3.6360800000000002</v>
      </c>
      <c r="Y141" s="4">
        <v>0.45875100000000002</v>
      </c>
      <c r="Z141" s="4">
        <v>-1.1605000000000001E-2</v>
      </c>
      <c r="AA141" s="4">
        <v>9.9260000000000008E-3</v>
      </c>
      <c r="AB141" s="4">
        <v>-5.0913E-2</v>
      </c>
      <c r="AC141" s="1" t="s">
        <v>447</v>
      </c>
      <c r="AD141" s="1" t="s">
        <v>2847</v>
      </c>
      <c r="AE141" s="1" t="s">
        <v>2848</v>
      </c>
      <c r="AF141" s="1">
        <v>5.86</v>
      </c>
      <c r="AG141" s="1" t="s">
        <v>1003</v>
      </c>
      <c r="AH141" s="1">
        <v>23.529199999999999</v>
      </c>
      <c r="AI141" s="1">
        <v>120.45059999999999</v>
      </c>
      <c r="AJ141" s="1">
        <v>16</v>
      </c>
      <c r="AK141" s="1" t="s">
        <v>1028</v>
      </c>
      <c r="AL141" s="1" t="s">
        <v>2834</v>
      </c>
      <c r="AM141" s="1">
        <v>178</v>
      </c>
      <c r="AN141" s="1">
        <v>49</v>
      </c>
      <c r="AO141" s="1">
        <v>54</v>
      </c>
      <c r="AP141" s="1">
        <v>46</v>
      </c>
      <c r="AQ141" s="1">
        <v>52</v>
      </c>
      <c r="AR141" s="1">
        <v>125</v>
      </c>
      <c r="AS141" s="1" t="s">
        <v>2808</v>
      </c>
      <c r="AT141" s="1" t="s">
        <v>731</v>
      </c>
      <c r="AU141" s="1"/>
      <c r="AV141" s="1"/>
      <c r="AW141" s="1"/>
      <c r="AX141" s="1"/>
      <c r="AY141" s="1"/>
      <c r="AZ141" s="1" t="s">
        <v>2812</v>
      </c>
      <c r="BA141" t="s">
        <v>2850</v>
      </c>
    </row>
    <row r="142" spans="1:53" ht="19" customHeight="1">
      <c r="A142" s="4" t="s">
        <v>448</v>
      </c>
      <c r="B142" s="4">
        <v>23.529199999999999</v>
      </c>
      <c r="C142" s="4">
        <v>120.45059999999999</v>
      </c>
      <c r="D142" s="4">
        <v>16</v>
      </c>
      <c r="E142" s="4">
        <v>5.86</v>
      </c>
      <c r="F142" s="4" t="s">
        <v>1028</v>
      </c>
      <c r="G142" s="4" t="s">
        <v>1086</v>
      </c>
      <c r="H142" s="4">
        <v>120.42916700000001</v>
      </c>
      <c r="I142" s="4">
        <v>23.554500000000001</v>
      </c>
      <c r="J142" s="4">
        <v>208.77549999999999</v>
      </c>
      <c r="K142" s="4">
        <v>7.3521450000000002</v>
      </c>
      <c r="L142" s="4" t="b">
        <v>1</v>
      </c>
      <c r="M142" s="4">
        <v>1.204</v>
      </c>
      <c r="N142" s="4" t="b">
        <v>0</v>
      </c>
      <c r="O142" s="4" t="s">
        <v>1029</v>
      </c>
      <c r="P142" s="4" t="b">
        <v>0</v>
      </c>
      <c r="Q142" s="4">
        <v>357.11</v>
      </c>
      <c r="R142" s="4">
        <v>217.96</v>
      </c>
      <c r="S142" s="4">
        <v>222.75700000000001</v>
      </c>
      <c r="T142" s="4">
        <v>43.623899999999999</v>
      </c>
      <c r="U142" s="4">
        <v>30.038499999999999</v>
      </c>
      <c r="V142" s="4">
        <v>5.2310800000000004</v>
      </c>
      <c r="W142" s="4">
        <v>8.5289400000000004</v>
      </c>
      <c r="X142" s="4">
        <v>9.7834800000000008</v>
      </c>
      <c r="Y142" s="4">
        <v>0.55447100000000005</v>
      </c>
      <c r="Z142" s="4">
        <v>-2.1985000000000001E-2</v>
      </c>
      <c r="AA142" s="4">
        <v>-0.124413</v>
      </c>
      <c r="AB142" s="4">
        <v>3.4909000000000003E-2</v>
      </c>
      <c r="AC142" s="1" t="s">
        <v>447</v>
      </c>
      <c r="AD142" s="1" t="s">
        <v>2847</v>
      </c>
      <c r="AE142" s="1" t="s">
        <v>2848</v>
      </c>
      <c r="AF142" s="1">
        <v>5.86</v>
      </c>
      <c r="AG142" s="1" t="s">
        <v>1003</v>
      </c>
      <c r="AH142" s="1">
        <v>23.529199999999999</v>
      </c>
      <c r="AI142" s="1">
        <v>120.45059999999999</v>
      </c>
      <c r="AJ142" s="1">
        <v>16</v>
      </c>
      <c r="AK142" s="1" t="s">
        <v>1028</v>
      </c>
      <c r="AL142" s="1" t="s">
        <v>2834</v>
      </c>
      <c r="AM142" s="1">
        <v>178</v>
      </c>
      <c r="AN142" s="1">
        <v>49</v>
      </c>
      <c r="AO142" s="1">
        <v>54</v>
      </c>
      <c r="AP142" s="1">
        <v>46</v>
      </c>
      <c r="AQ142" s="1">
        <v>52</v>
      </c>
      <c r="AR142" s="1">
        <v>125</v>
      </c>
      <c r="AS142" s="1" t="s">
        <v>2808</v>
      </c>
      <c r="AT142" s="1" t="s">
        <v>731</v>
      </c>
      <c r="AU142" s="1"/>
      <c r="AV142" s="1"/>
      <c r="AW142" s="1"/>
      <c r="AX142" s="1"/>
      <c r="AY142" s="1"/>
      <c r="AZ142" s="1" t="s">
        <v>2812</v>
      </c>
      <c r="BA142" t="s">
        <v>2850</v>
      </c>
    </row>
    <row r="143" spans="1:53" ht="19" customHeight="1">
      <c r="A143" s="4" t="s">
        <v>448</v>
      </c>
      <c r="B143" s="4">
        <v>23.529199999999999</v>
      </c>
      <c r="C143" s="4">
        <v>120.45059999999999</v>
      </c>
      <c r="D143" s="4">
        <v>16</v>
      </c>
      <c r="E143" s="4">
        <v>5.86</v>
      </c>
      <c r="F143" s="4" t="s">
        <v>1028</v>
      </c>
      <c r="G143" s="4" t="s">
        <v>1087</v>
      </c>
      <c r="H143" s="4">
        <v>120.4555</v>
      </c>
      <c r="I143" s="4">
        <v>23.534333</v>
      </c>
      <c r="J143" s="4">
        <v>372.87920000000003</v>
      </c>
      <c r="K143" s="4">
        <v>7.7683669999999996</v>
      </c>
      <c r="L143" s="4" t="b">
        <v>1</v>
      </c>
      <c r="M143" s="4">
        <v>0.73360000000000003</v>
      </c>
      <c r="N143" s="4" t="b">
        <v>0</v>
      </c>
      <c r="O143" s="4" t="s">
        <v>1029</v>
      </c>
      <c r="P143" s="4" t="b">
        <v>0</v>
      </c>
      <c r="Q143" s="4">
        <v>735.11900000000003</v>
      </c>
      <c r="R143" s="4">
        <v>398.35199999999998</v>
      </c>
      <c r="S143" s="4">
        <v>236.852</v>
      </c>
      <c r="T143" s="4">
        <v>41.7134</v>
      </c>
      <c r="U143" s="4">
        <v>30.8063</v>
      </c>
      <c r="V143" s="4">
        <v>7.4676</v>
      </c>
      <c r="W143" s="4">
        <v>3.96245</v>
      </c>
      <c r="X143" s="4">
        <v>5.9800399999999998</v>
      </c>
      <c r="Y143" s="4">
        <v>2.2958099999999999</v>
      </c>
      <c r="Z143" s="4">
        <v>7.0116999999999999E-2</v>
      </c>
      <c r="AA143" s="4">
        <v>-4.15E-3</v>
      </c>
      <c r="AB143" s="4">
        <v>0.196546</v>
      </c>
      <c r="AC143" s="1" t="s">
        <v>447</v>
      </c>
      <c r="AD143" s="1" t="s">
        <v>2847</v>
      </c>
      <c r="AE143" s="1" t="s">
        <v>2848</v>
      </c>
      <c r="AF143" s="1">
        <v>5.86</v>
      </c>
      <c r="AG143" s="1" t="s">
        <v>1003</v>
      </c>
      <c r="AH143" s="1">
        <v>23.529199999999999</v>
      </c>
      <c r="AI143" s="1">
        <v>120.45059999999999</v>
      </c>
      <c r="AJ143" s="1">
        <v>16</v>
      </c>
      <c r="AK143" s="1" t="s">
        <v>1028</v>
      </c>
      <c r="AL143" s="1" t="s">
        <v>2834</v>
      </c>
      <c r="AM143" s="1">
        <v>178</v>
      </c>
      <c r="AN143" s="1">
        <v>49</v>
      </c>
      <c r="AO143" s="1">
        <v>54</v>
      </c>
      <c r="AP143" s="1">
        <v>46</v>
      </c>
      <c r="AQ143" s="1">
        <v>52</v>
      </c>
      <c r="AR143" s="1">
        <v>125</v>
      </c>
      <c r="AS143" s="1" t="s">
        <v>2808</v>
      </c>
      <c r="AT143" s="1" t="s">
        <v>731</v>
      </c>
      <c r="AU143" s="1"/>
      <c r="AV143" s="1"/>
      <c r="AW143" s="1"/>
      <c r="AX143" s="1"/>
      <c r="AY143" s="1"/>
      <c r="AZ143" s="1" t="s">
        <v>2812</v>
      </c>
      <c r="BA143" t="s">
        <v>2850</v>
      </c>
    </row>
    <row r="144" spans="1:53" ht="19" customHeight="1">
      <c r="A144" s="4" t="s">
        <v>448</v>
      </c>
      <c r="B144" s="4">
        <v>23.529199999999999</v>
      </c>
      <c r="C144" s="4">
        <v>120.45059999999999</v>
      </c>
      <c r="D144" s="4">
        <v>16</v>
      </c>
      <c r="E144" s="4">
        <v>5.86</v>
      </c>
      <c r="F144" s="4" t="s">
        <v>1028</v>
      </c>
      <c r="G144" s="4" t="s">
        <v>1088</v>
      </c>
      <c r="H144" s="4">
        <v>120.471333</v>
      </c>
      <c r="I144" s="4">
        <v>23.475332999999999</v>
      </c>
      <c r="J144" s="4">
        <v>446.46179999999998</v>
      </c>
      <c r="K144" s="4">
        <v>9.6974540000000005</v>
      </c>
      <c r="L144" s="4" t="b">
        <v>1</v>
      </c>
      <c r="M144" s="4">
        <v>1.4630000000000001</v>
      </c>
      <c r="N144" s="4" t="b">
        <v>0</v>
      </c>
      <c r="O144" s="4" t="s">
        <v>1029</v>
      </c>
      <c r="P144" s="4" t="b">
        <v>0</v>
      </c>
      <c r="Q144" s="4">
        <v>308.702</v>
      </c>
      <c r="R144" s="4">
        <v>257.82</v>
      </c>
      <c r="S144" s="4">
        <v>256.06900000000002</v>
      </c>
      <c r="T144" s="4">
        <v>31.4969</v>
      </c>
      <c r="U144" s="4">
        <v>17.9834</v>
      </c>
      <c r="V144" s="4">
        <v>10.123699999999999</v>
      </c>
      <c r="W144" s="4">
        <v>8.0268599999999992</v>
      </c>
      <c r="X144" s="4">
        <v>3.5619200000000002</v>
      </c>
      <c r="Y144" s="4">
        <v>1.2283599999999999</v>
      </c>
      <c r="Z144" s="4">
        <v>1.9907999999999999E-2</v>
      </c>
      <c r="AA144" s="4">
        <v>3.7499999999999999E-2</v>
      </c>
      <c r="AB144" s="4">
        <v>-4.4079999999999996E-3</v>
      </c>
      <c r="AC144" s="1" t="s">
        <v>447</v>
      </c>
      <c r="AD144" s="1" t="s">
        <v>2847</v>
      </c>
      <c r="AE144" s="1" t="s">
        <v>2848</v>
      </c>
      <c r="AF144" s="1">
        <v>5.86</v>
      </c>
      <c r="AG144" s="1" t="s">
        <v>1003</v>
      </c>
      <c r="AH144" s="1">
        <v>23.529199999999999</v>
      </c>
      <c r="AI144" s="1">
        <v>120.45059999999999</v>
      </c>
      <c r="AJ144" s="1">
        <v>16</v>
      </c>
      <c r="AK144" s="1" t="s">
        <v>1028</v>
      </c>
      <c r="AL144" s="1" t="s">
        <v>2834</v>
      </c>
      <c r="AM144" s="1">
        <v>178</v>
      </c>
      <c r="AN144" s="1">
        <v>49</v>
      </c>
      <c r="AO144" s="1">
        <v>54</v>
      </c>
      <c r="AP144" s="1">
        <v>46</v>
      </c>
      <c r="AQ144" s="1">
        <v>52</v>
      </c>
      <c r="AR144" s="1">
        <v>125</v>
      </c>
      <c r="AS144" s="1" t="s">
        <v>2808</v>
      </c>
      <c r="AT144" s="1" t="s">
        <v>731</v>
      </c>
      <c r="AU144" s="1"/>
      <c r="AV144" s="1"/>
      <c r="AW144" s="1"/>
      <c r="AX144" s="1"/>
      <c r="AY144" s="1"/>
      <c r="AZ144" s="1" t="s">
        <v>2812</v>
      </c>
      <c r="BA144" t="s">
        <v>2850</v>
      </c>
    </row>
    <row r="145" spans="1:53" ht="19" customHeight="1">
      <c r="A145" s="4" t="s">
        <v>448</v>
      </c>
      <c r="B145" s="4">
        <v>23.529199999999999</v>
      </c>
      <c r="C145" s="4">
        <v>120.45059999999999</v>
      </c>
      <c r="D145" s="4">
        <v>16</v>
      </c>
      <c r="E145" s="4">
        <v>5.86</v>
      </c>
      <c r="F145" s="4" t="s">
        <v>1028</v>
      </c>
      <c r="G145" s="4" t="s">
        <v>1089</v>
      </c>
      <c r="H145" s="4">
        <v>120.455333</v>
      </c>
      <c r="I145" s="4">
        <v>23.493666999999999</v>
      </c>
      <c r="J145" s="4">
        <v>183.51740000000001</v>
      </c>
      <c r="K145" s="4">
        <v>8.4032929999999997</v>
      </c>
      <c r="L145" s="4" t="b">
        <v>1</v>
      </c>
      <c r="M145" s="4">
        <v>0.69440000000000002</v>
      </c>
      <c r="N145" s="4" t="b">
        <v>0</v>
      </c>
      <c r="O145" s="4" t="s">
        <v>1029</v>
      </c>
      <c r="P145" s="4" t="b">
        <v>0</v>
      </c>
      <c r="Q145" s="4">
        <v>352.57499999999999</v>
      </c>
      <c r="R145" s="4">
        <v>510.12599999999998</v>
      </c>
      <c r="S145" s="4">
        <v>351.94900000000001</v>
      </c>
      <c r="T145" s="4">
        <v>23.901900000000001</v>
      </c>
      <c r="U145" s="4">
        <v>35.500500000000002</v>
      </c>
      <c r="V145" s="4">
        <v>11.397399999999999</v>
      </c>
      <c r="W145" s="4">
        <v>3.2651599999999998</v>
      </c>
      <c r="X145" s="4">
        <v>6.9032299999999998</v>
      </c>
      <c r="Y145" s="4">
        <v>4.1173799999999998</v>
      </c>
      <c r="Z145" s="4">
        <v>-2.0871000000000001E-2</v>
      </c>
      <c r="AA145" s="4">
        <v>-9.4879999999999999E-3</v>
      </c>
      <c r="AB145" s="4">
        <v>4.5844999999999997E-2</v>
      </c>
      <c r="AC145" s="1" t="s">
        <v>447</v>
      </c>
      <c r="AD145" s="1" t="s">
        <v>2847</v>
      </c>
      <c r="AE145" s="1" t="s">
        <v>2848</v>
      </c>
      <c r="AF145" s="1">
        <v>5.86</v>
      </c>
      <c r="AG145" s="1" t="s">
        <v>1003</v>
      </c>
      <c r="AH145" s="1">
        <v>23.529199999999999</v>
      </c>
      <c r="AI145" s="1">
        <v>120.45059999999999</v>
      </c>
      <c r="AJ145" s="1">
        <v>16</v>
      </c>
      <c r="AK145" s="1" t="s">
        <v>1028</v>
      </c>
      <c r="AL145" s="1" t="s">
        <v>2834</v>
      </c>
      <c r="AM145" s="1">
        <v>178</v>
      </c>
      <c r="AN145" s="1">
        <v>49</v>
      </c>
      <c r="AO145" s="1">
        <v>54</v>
      </c>
      <c r="AP145" s="1">
        <v>46</v>
      </c>
      <c r="AQ145" s="1">
        <v>52</v>
      </c>
      <c r="AR145" s="1">
        <v>125</v>
      </c>
      <c r="AS145" s="1" t="s">
        <v>2808</v>
      </c>
      <c r="AT145" s="1" t="s">
        <v>731</v>
      </c>
      <c r="AU145" s="1"/>
      <c r="AV145" s="1"/>
      <c r="AW145" s="1"/>
      <c r="AX145" s="1"/>
      <c r="AY145" s="1"/>
      <c r="AZ145" s="1" t="s">
        <v>2812</v>
      </c>
      <c r="BA145" t="s">
        <v>2850</v>
      </c>
    </row>
    <row r="146" spans="1:53" ht="19" customHeight="1">
      <c r="A146" s="4" t="s">
        <v>448</v>
      </c>
      <c r="B146" s="4">
        <v>23.529199999999999</v>
      </c>
      <c r="C146" s="4">
        <v>120.45059999999999</v>
      </c>
      <c r="D146" s="4">
        <v>16</v>
      </c>
      <c r="E146" s="4">
        <v>5.86</v>
      </c>
      <c r="F146" s="4" t="s">
        <v>1028</v>
      </c>
      <c r="G146" s="4" t="s">
        <v>1090</v>
      </c>
      <c r="H146" s="4">
        <v>120.4325</v>
      </c>
      <c r="I146" s="4">
        <v>23.496333</v>
      </c>
      <c r="J146" s="4">
        <v>201.47749999999999</v>
      </c>
      <c r="K146" s="4">
        <v>7.548565</v>
      </c>
      <c r="L146" s="4" t="b">
        <v>1</v>
      </c>
      <c r="M146" s="4">
        <v>1.127</v>
      </c>
      <c r="N146" s="4" t="b">
        <v>0</v>
      </c>
      <c r="O146" s="4" t="s">
        <v>1029</v>
      </c>
      <c r="P146" s="4" t="b">
        <v>0</v>
      </c>
      <c r="Q146" s="4">
        <v>430.49799999999999</v>
      </c>
      <c r="R146" s="4">
        <v>314.27699999999999</v>
      </c>
      <c r="S146" s="4">
        <v>327.08800000000002</v>
      </c>
      <c r="T146" s="4">
        <v>49.020299999999999</v>
      </c>
      <c r="U146" s="4">
        <v>35.540799999999997</v>
      </c>
      <c r="V146" s="4">
        <v>6.7093800000000003</v>
      </c>
      <c r="W146" s="4">
        <v>12.1907</v>
      </c>
      <c r="X146" s="4">
        <v>7.4131600000000004</v>
      </c>
      <c r="Y146" s="4">
        <v>1.52905</v>
      </c>
      <c r="Z146" s="4">
        <v>-5.4501000000000001E-2</v>
      </c>
      <c r="AA146" s="4">
        <v>0.139817</v>
      </c>
      <c r="AB146" s="4">
        <v>1.9300000000000001E-2</v>
      </c>
      <c r="AC146" s="1" t="s">
        <v>447</v>
      </c>
      <c r="AD146" s="1" t="s">
        <v>2847</v>
      </c>
      <c r="AE146" s="1" t="s">
        <v>2848</v>
      </c>
      <c r="AF146" s="1">
        <v>5.86</v>
      </c>
      <c r="AG146" s="1" t="s">
        <v>1003</v>
      </c>
      <c r="AH146" s="1">
        <v>23.529199999999999</v>
      </c>
      <c r="AI146" s="1">
        <v>120.45059999999999</v>
      </c>
      <c r="AJ146" s="1">
        <v>16</v>
      </c>
      <c r="AK146" s="1" t="s">
        <v>1028</v>
      </c>
      <c r="AL146" s="1" t="s">
        <v>2834</v>
      </c>
      <c r="AM146" s="1">
        <v>178</v>
      </c>
      <c r="AN146" s="1">
        <v>49</v>
      </c>
      <c r="AO146" s="1">
        <v>54</v>
      </c>
      <c r="AP146" s="1">
        <v>46</v>
      </c>
      <c r="AQ146" s="1">
        <v>52</v>
      </c>
      <c r="AR146" s="1">
        <v>125</v>
      </c>
      <c r="AS146" s="1" t="s">
        <v>2808</v>
      </c>
      <c r="AT146" s="1" t="s">
        <v>731</v>
      </c>
      <c r="AU146" s="1"/>
      <c r="AV146" s="1"/>
      <c r="AW146" s="1"/>
      <c r="AX146" s="1"/>
      <c r="AY146" s="1"/>
      <c r="AZ146" s="1" t="s">
        <v>2812</v>
      </c>
      <c r="BA146" t="s">
        <v>2850</v>
      </c>
    </row>
    <row r="147" spans="1:53" ht="19" customHeight="1">
      <c r="A147" s="4" t="s">
        <v>448</v>
      </c>
      <c r="B147" s="4">
        <v>23.529199999999999</v>
      </c>
      <c r="C147" s="4">
        <v>120.45059999999999</v>
      </c>
      <c r="D147" s="4">
        <v>16</v>
      </c>
      <c r="E147" s="4">
        <v>5.86</v>
      </c>
      <c r="F147" s="4" t="s">
        <v>1028</v>
      </c>
      <c r="G147" s="4" t="s">
        <v>1091</v>
      </c>
      <c r="H147" s="4">
        <v>120.41466699999999</v>
      </c>
      <c r="I147" s="4">
        <v>23.436333000000001</v>
      </c>
      <c r="J147" s="4">
        <v>227.63489999999999</v>
      </c>
      <c r="K147" s="4">
        <v>8.7103470000000005</v>
      </c>
      <c r="L147" s="4" t="b">
        <v>1</v>
      </c>
      <c r="M147" s="4">
        <v>1.4448000000000001</v>
      </c>
      <c r="N147" s="4" t="b">
        <v>0</v>
      </c>
      <c r="O147" s="4" t="s">
        <v>1029</v>
      </c>
      <c r="P147" s="4" t="b">
        <v>0</v>
      </c>
      <c r="Q147" s="4">
        <v>352.94099999999997</v>
      </c>
      <c r="R147" s="4">
        <v>359.363</v>
      </c>
      <c r="S147" s="4">
        <v>658.16399999999999</v>
      </c>
      <c r="T147" s="4">
        <v>41.6066</v>
      </c>
      <c r="U147" s="4">
        <v>32.536299999999997</v>
      </c>
      <c r="V147" s="4">
        <v>14.101000000000001</v>
      </c>
      <c r="W147" s="4">
        <v>10.379300000000001</v>
      </c>
      <c r="X147" s="4">
        <v>4.6121299999999996</v>
      </c>
      <c r="Y147" s="4">
        <v>1.43791</v>
      </c>
      <c r="Z147" s="4">
        <v>-0.23208300000000001</v>
      </c>
      <c r="AA147" s="4">
        <v>-7.2431999999999996E-2</v>
      </c>
      <c r="AB147" s="4">
        <v>-1.4408000000000001E-2</v>
      </c>
      <c r="AC147" s="1" t="s">
        <v>447</v>
      </c>
      <c r="AD147" s="1" t="s">
        <v>2847</v>
      </c>
      <c r="AE147" s="1" t="s">
        <v>2848</v>
      </c>
      <c r="AF147" s="1">
        <v>5.86</v>
      </c>
      <c r="AG147" s="1" t="s">
        <v>1003</v>
      </c>
      <c r="AH147" s="1">
        <v>23.529199999999999</v>
      </c>
      <c r="AI147" s="1">
        <v>120.45059999999999</v>
      </c>
      <c r="AJ147" s="1">
        <v>16</v>
      </c>
      <c r="AK147" s="1" t="s">
        <v>1028</v>
      </c>
      <c r="AL147" s="1" t="s">
        <v>2834</v>
      </c>
      <c r="AM147" s="1">
        <v>178</v>
      </c>
      <c r="AN147" s="1">
        <v>49</v>
      </c>
      <c r="AO147" s="1">
        <v>54</v>
      </c>
      <c r="AP147" s="1">
        <v>46</v>
      </c>
      <c r="AQ147" s="1">
        <v>52</v>
      </c>
      <c r="AR147" s="1">
        <v>125</v>
      </c>
      <c r="AS147" s="1" t="s">
        <v>2808</v>
      </c>
      <c r="AT147" s="1" t="s">
        <v>731</v>
      </c>
      <c r="AU147" s="1"/>
      <c r="AV147" s="1"/>
      <c r="AW147" s="1"/>
      <c r="AX147" s="1"/>
      <c r="AY147" s="1"/>
      <c r="AZ147" s="1" t="s">
        <v>2812</v>
      </c>
      <c r="BA147" t="s">
        <v>2850</v>
      </c>
    </row>
    <row r="148" spans="1:53" ht="19" customHeight="1">
      <c r="A148" s="4" t="s">
        <v>454</v>
      </c>
      <c r="B148" s="4">
        <v>23.533100000000001</v>
      </c>
      <c r="C148" s="4">
        <v>120.4308</v>
      </c>
      <c r="D148" s="4">
        <v>16.739999999999998</v>
      </c>
      <c r="E148" s="4">
        <v>5.57</v>
      </c>
      <c r="F148" s="4" t="s">
        <v>1032</v>
      </c>
      <c r="G148" s="4" t="s">
        <v>1092</v>
      </c>
      <c r="H148" s="4">
        <v>120.2775</v>
      </c>
      <c r="I148" s="4">
        <v>23.483699999999999</v>
      </c>
      <c r="J148" s="4">
        <v>209.5</v>
      </c>
      <c r="K148" s="4">
        <v>18.480699999999999</v>
      </c>
      <c r="L148" s="4" t="b">
        <v>1</v>
      </c>
      <c r="M148" s="4">
        <v>1.0136000000000001</v>
      </c>
      <c r="N148" s="4" t="b">
        <v>0</v>
      </c>
      <c r="O148" s="4" t="s">
        <v>1029</v>
      </c>
      <c r="P148" s="4" t="b">
        <v>0</v>
      </c>
      <c r="Q148" s="4">
        <v>213.03416000000001</v>
      </c>
      <c r="R148" s="4">
        <v>241.81049400000001</v>
      </c>
      <c r="S148" s="4">
        <v>154.99900099999999</v>
      </c>
      <c r="T148" s="4">
        <v>19.792124000000001</v>
      </c>
      <c r="U148" s="4">
        <v>25.245944000000001</v>
      </c>
      <c r="V148" s="4">
        <v>7.6075759999999999</v>
      </c>
      <c r="W148" s="4">
        <v>1.4945440000000001</v>
      </c>
      <c r="X148" s="4">
        <v>3.184177</v>
      </c>
      <c r="Y148" s="4">
        <v>0.56513199999999997</v>
      </c>
      <c r="Z148" s="4">
        <v>2.7729999999999999E-3</v>
      </c>
      <c r="AA148" s="4">
        <v>-1.7929E-2</v>
      </c>
      <c r="AB148" s="4">
        <v>2.1329999999999999E-3</v>
      </c>
      <c r="AC148" s="1" t="s">
        <v>453</v>
      </c>
      <c r="AD148" s="1" t="s">
        <v>2847</v>
      </c>
      <c r="AE148" s="1" t="s">
        <v>2852</v>
      </c>
      <c r="AF148" s="1">
        <v>5.57</v>
      </c>
      <c r="AG148" s="1" t="s">
        <v>1003</v>
      </c>
      <c r="AH148" s="1">
        <v>23.533100000000001</v>
      </c>
      <c r="AI148" s="1">
        <v>120.4308</v>
      </c>
      <c r="AJ148" s="1">
        <v>16.739999999999998</v>
      </c>
      <c r="AK148" s="1" t="s">
        <v>1032</v>
      </c>
      <c r="AL148" s="1" t="s">
        <v>2834</v>
      </c>
      <c r="AM148" s="1">
        <v>327</v>
      </c>
      <c r="AN148" s="1">
        <v>78</v>
      </c>
      <c r="AO148" s="1">
        <v>0</v>
      </c>
      <c r="AP148" s="1">
        <v>237</v>
      </c>
      <c r="AQ148" s="1">
        <v>90</v>
      </c>
      <c r="AR148" s="1">
        <v>168</v>
      </c>
      <c r="AS148" s="1" t="s">
        <v>2808</v>
      </c>
      <c r="AT148" s="1" t="s">
        <v>731</v>
      </c>
      <c r="AU148" s="1"/>
      <c r="AV148" s="1"/>
      <c r="AW148" s="1"/>
      <c r="AX148" s="1"/>
      <c r="AY148" s="1"/>
      <c r="AZ148" s="1" t="s">
        <v>2812</v>
      </c>
      <c r="BA148" t="s">
        <v>2854</v>
      </c>
    </row>
    <row r="149" spans="1:53" ht="19" customHeight="1">
      <c r="A149" s="4" t="s">
        <v>454</v>
      </c>
      <c r="B149" s="4">
        <v>23.533100000000001</v>
      </c>
      <c r="C149" s="4">
        <v>120.4308</v>
      </c>
      <c r="D149" s="4">
        <v>16.739999999999998</v>
      </c>
      <c r="E149" s="4">
        <v>5.57</v>
      </c>
      <c r="F149" s="4" t="s">
        <v>1032</v>
      </c>
      <c r="G149" s="4" t="s">
        <v>1082</v>
      </c>
      <c r="H149" s="4">
        <v>120.41633299999999</v>
      </c>
      <c r="I149" s="4">
        <v>23.472667000000001</v>
      </c>
      <c r="J149" s="4">
        <v>226.1079</v>
      </c>
      <c r="K149" s="4">
        <v>15.452185999999999</v>
      </c>
      <c r="L149" s="4" t="b">
        <v>1</v>
      </c>
      <c r="M149" s="4">
        <v>0.91839999999999999</v>
      </c>
      <c r="N149" s="4" t="b">
        <v>0</v>
      </c>
      <c r="O149" s="4" t="s">
        <v>1029</v>
      </c>
      <c r="P149" s="4" t="b">
        <v>0</v>
      </c>
      <c r="Q149" s="4">
        <v>233.46700000000001</v>
      </c>
      <c r="R149" s="4">
        <v>183.63900000000001</v>
      </c>
      <c r="S149" s="4">
        <v>188.60900000000001</v>
      </c>
      <c r="T149" s="4">
        <v>23.164999999999999</v>
      </c>
      <c r="U149" s="4">
        <v>13.9191</v>
      </c>
      <c r="V149" s="4">
        <v>6.1157599999999999</v>
      </c>
      <c r="W149" s="4">
        <v>3.25475</v>
      </c>
      <c r="X149" s="4">
        <v>2.7266699999999999</v>
      </c>
      <c r="Y149" s="4">
        <v>0.74903600000000004</v>
      </c>
      <c r="Z149" s="4">
        <v>-7.9249999999999998E-3</v>
      </c>
      <c r="AA149" s="4">
        <v>2.1419999999999998E-3</v>
      </c>
      <c r="AB149" s="4">
        <v>-1.8564000000000001E-2</v>
      </c>
      <c r="AC149" s="1" t="s">
        <v>453</v>
      </c>
      <c r="AD149" s="1" t="s">
        <v>2847</v>
      </c>
      <c r="AE149" s="1" t="s">
        <v>2852</v>
      </c>
      <c r="AF149" s="1">
        <v>5.57</v>
      </c>
      <c r="AG149" s="1" t="s">
        <v>1003</v>
      </c>
      <c r="AH149" s="1">
        <v>23.533100000000001</v>
      </c>
      <c r="AI149" s="1">
        <v>120.4308</v>
      </c>
      <c r="AJ149" s="1">
        <v>16.739999999999998</v>
      </c>
      <c r="AK149" s="1" t="s">
        <v>1032</v>
      </c>
      <c r="AL149" s="1" t="s">
        <v>2834</v>
      </c>
      <c r="AM149" s="1">
        <v>327</v>
      </c>
      <c r="AN149" s="1">
        <v>78</v>
      </c>
      <c r="AO149" s="1">
        <v>0</v>
      </c>
      <c r="AP149" s="1">
        <v>237</v>
      </c>
      <c r="AQ149" s="1">
        <v>90</v>
      </c>
      <c r="AR149" s="1">
        <v>168</v>
      </c>
      <c r="AS149" s="1" t="s">
        <v>2808</v>
      </c>
      <c r="AT149" s="1" t="s">
        <v>731</v>
      </c>
      <c r="AU149" s="1"/>
      <c r="AV149" s="1"/>
      <c r="AW149" s="1"/>
      <c r="AX149" s="1"/>
      <c r="AY149" s="1"/>
      <c r="AZ149" s="1" t="s">
        <v>2812</v>
      </c>
      <c r="BA149" t="s">
        <v>2854</v>
      </c>
    </row>
    <row r="150" spans="1:53" ht="19" customHeight="1">
      <c r="A150" s="4" t="s">
        <v>454</v>
      </c>
      <c r="B150" s="4">
        <v>23.533100000000001</v>
      </c>
      <c r="C150" s="4">
        <v>120.4308</v>
      </c>
      <c r="D150" s="4">
        <v>16.739999999999998</v>
      </c>
      <c r="E150" s="4">
        <v>5.57</v>
      </c>
      <c r="F150" s="4" t="s">
        <v>1032</v>
      </c>
      <c r="G150" s="4" t="s">
        <v>1093</v>
      </c>
      <c r="H150" s="4">
        <v>120.273833</v>
      </c>
      <c r="I150" s="4">
        <v>23.356166999999999</v>
      </c>
      <c r="J150" s="4">
        <v>216.23179999999999</v>
      </c>
      <c r="K150" s="4">
        <v>26.799876999999999</v>
      </c>
      <c r="L150" s="4" t="b">
        <v>1</v>
      </c>
      <c r="M150" s="4">
        <v>0.83440000000000003</v>
      </c>
      <c r="N150" s="4" t="b">
        <v>0</v>
      </c>
      <c r="O150" s="4" t="s">
        <v>1029</v>
      </c>
      <c r="P150" s="4" t="b">
        <v>0</v>
      </c>
      <c r="Q150" s="4">
        <v>289.714</v>
      </c>
      <c r="R150" s="4">
        <v>160.518</v>
      </c>
      <c r="S150" s="4">
        <v>98.572000000000003</v>
      </c>
      <c r="T150" s="4">
        <v>26.490200000000002</v>
      </c>
      <c r="U150" s="4">
        <v>15.7805</v>
      </c>
      <c r="V150" s="4">
        <v>7.6263899999999998</v>
      </c>
      <c r="W150" s="4">
        <v>4.7481499999999999</v>
      </c>
      <c r="X150" s="4">
        <v>3.1005600000000002</v>
      </c>
      <c r="Y150" s="4">
        <v>1.3976599999999999</v>
      </c>
      <c r="Z150" s="4">
        <v>-1.9651999999999999E-2</v>
      </c>
      <c r="AA150" s="4">
        <v>-5.5449999999999996E-3</v>
      </c>
      <c r="AB150" s="4">
        <v>-1.077E-2</v>
      </c>
      <c r="AC150" s="1" t="s">
        <v>453</v>
      </c>
      <c r="AD150" s="1" t="s">
        <v>2847</v>
      </c>
      <c r="AE150" s="1" t="s">
        <v>2852</v>
      </c>
      <c r="AF150" s="1">
        <v>5.57</v>
      </c>
      <c r="AG150" s="1" t="s">
        <v>1003</v>
      </c>
      <c r="AH150" s="1">
        <v>23.533100000000001</v>
      </c>
      <c r="AI150" s="1">
        <v>120.4308</v>
      </c>
      <c r="AJ150" s="1">
        <v>16.739999999999998</v>
      </c>
      <c r="AK150" s="1" t="s">
        <v>1032</v>
      </c>
      <c r="AL150" s="1" t="s">
        <v>2834</v>
      </c>
      <c r="AM150" s="1">
        <v>327</v>
      </c>
      <c r="AN150" s="1">
        <v>78</v>
      </c>
      <c r="AO150" s="1">
        <v>0</v>
      </c>
      <c r="AP150" s="1">
        <v>237</v>
      </c>
      <c r="AQ150" s="1">
        <v>90</v>
      </c>
      <c r="AR150" s="1">
        <v>168</v>
      </c>
      <c r="AS150" s="1" t="s">
        <v>2808</v>
      </c>
      <c r="AT150" s="1" t="s">
        <v>731</v>
      </c>
      <c r="AU150" s="1"/>
      <c r="AV150" s="1"/>
      <c r="AW150" s="1"/>
      <c r="AX150" s="1"/>
      <c r="AY150" s="1"/>
      <c r="AZ150" s="1" t="s">
        <v>2812</v>
      </c>
      <c r="BA150" t="s">
        <v>2854</v>
      </c>
    </row>
    <row r="151" spans="1:53" ht="19" customHeight="1">
      <c r="A151" s="4" t="s">
        <v>454</v>
      </c>
      <c r="B151" s="4">
        <v>23.533100000000001</v>
      </c>
      <c r="C151" s="4">
        <v>120.4308</v>
      </c>
      <c r="D151" s="4">
        <v>16.739999999999998</v>
      </c>
      <c r="E151" s="4">
        <v>5.57</v>
      </c>
      <c r="F151" s="4" t="s">
        <v>1032</v>
      </c>
      <c r="G151" s="4" t="s">
        <v>1094</v>
      </c>
      <c r="H151" s="4">
        <v>120.301833</v>
      </c>
      <c r="I151" s="4">
        <v>23.577000000000002</v>
      </c>
      <c r="J151" s="4">
        <v>192.5669</v>
      </c>
      <c r="K151" s="4">
        <v>19.697555000000001</v>
      </c>
      <c r="L151" s="4" t="b">
        <v>1</v>
      </c>
      <c r="M151" s="4">
        <v>1.1759999999999999</v>
      </c>
      <c r="N151" s="4" t="b">
        <v>0</v>
      </c>
      <c r="O151" s="4" t="s">
        <v>1029</v>
      </c>
      <c r="P151" s="4" t="b">
        <v>0</v>
      </c>
      <c r="Q151" s="4">
        <v>163.44200000000001</v>
      </c>
      <c r="R151" s="4">
        <v>118.648</v>
      </c>
      <c r="S151" s="4">
        <v>158.99</v>
      </c>
      <c r="T151" s="4">
        <v>18.653300000000002</v>
      </c>
      <c r="U151" s="4">
        <v>14.457800000000001</v>
      </c>
      <c r="V151" s="4">
        <v>2.2013799999999999</v>
      </c>
      <c r="W151" s="4">
        <v>3.9338299999999999</v>
      </c>
      <c r="X151" s="4">
        <v>3.4679099999999998</v>
      </c>
      <c r="Y151" s="4">
        <v>0.49738300000000002</v>
      </c>
      <c r="Z151" s="4">
        <v>1.0276E-2</v>
      </c>
      <c r="AA151" s="4">
        <v>6.535E-3</v>
      </c>
      <c r="AB151" s="4">
        <v>-1.8828999999999999E-2</v>
      </c>
      <c r="AC151" s="1" t="s">
        <v>453</v>
      </c>
      <c r="AD151" s="1" t="s">
        <v>2847</v>
      </c>
      <c r="AE151" s="1" t="s">
        <v>2852</v>
      </c>
      <c r="AF151" s="1">
        <v>5.57</v>
      </c>
      <c r="AG151" s="1" t="s">
        <v>1003</v>
      </c>
      <c r="AH151" s="1">
        <v>23.533100000000001</v>
      </c>
      <c r="AI151" s="1">
        <v>120.4308</v>
      </c>
      <c r="AJ151" s="1">
        <v>16.739999999999998</v>
      </c>
      <c r="AK151" s="1" t="s">
        <v>1032</v>
      </c>
      <c r="AL151" s="1" t="s">
        <v>2834</v>
      </c>
      <c r="AM151" s="1">
        <v>327</v>
      </c>
      <c r="AN151" s="1">
        <v>78</v>
      </c>
      <c r="AO151" s="1">
        <v>0</v>
      </c>
      <c r="AP151" s="1">
        <v>237</v>
      </c>
      <c r="AQ151" s="1">
        <v>90</v>
      </c>
      <c r="AR151" s="1">
        <v>168</v>
      </c>
      <c r="AS151" s="1" t="s">
        <v>2808</v>
      </c>
      <c r="AT151" s="1" t="s">
        <v>731</v>
      </c>
      <c r="AU151" s="1"/>
      <c r="AV151" s="1"/>
      <c r="AW151" s="1"/>
      <c r="AX151" s="1"/>
      <c r="AY151" s="1"/>
      <c r="AZ151" s="1" t="s">
        <v>2812</v>
      </c>
      <c r="BA151" t="s">
        <v>2854</v>
      </c>
    </row>
    <row r="152" spans="1:53" ht="19" customHeight="1">
      <c r="A152" s="4" t="s">
        <v>454</v>
      </c>
      <c r="B152" s="4">
        <v>23.533100000000001</v>
      </c>
      <c r="C152" s="4">
        <v>120.4308</v>
      </c>
      <c r="D152" s="4">
        <v>16.739999999999998</v>
      </c>
      <c r="E152" s="4">
        <v>5.57</v>
      </c>
      <c r="F152" s="4" t="s">
        <v>1032</v>
      </c>
      <c r="G152" s="4" t="s">
        <v>1095</v>
      </c>
      <c r="H152" s="4">
        <v>120.351167</v>
      </c>
      <c r="I152" s="4">
        <v>23.519333</v>
      </c>
      <c r="J152" s="4">
        <v>195.14949999999999</v>
      </c>
      <c r="K152" s="4">
        <v>15.923492</v>
      </c>
      <c r="L152" s="4" t="b">
        <v>1</v>
      </c>
      <c r="M152" s="4">
        <v>1.022</v>
      </c>
      <c r="N152" s="4" t="b">
        <v>0</v>
      </c>
      <c r="O152" s="4" t="s">
        <v>1029</v>
      </c>
      <c r="P152" s="4" t="b">
        <v>0</v>
      </c>
      <c r="Q152" s="4">
        <v>226.78200000000001</v>
      </c>
      <c r="R152" s="4">
        <v>123.806</v>
      </c>
      <c r="S152" s="4">
        <v>128.35300000000001</v>
      </c>
      <c r="T152" s="4">
        <v>24.549600000000002</v>
      </c>
      <c r="U152" s="4">
        <v>8.9145500000000002</v>
      </c>
      <c r="V152" s="4">
        <v>3.5866400000000001</v>
      </c>
      <c r="W152" s="4">
        <v>4.3805100000000001</v>
      </c>
      <c r="X152" s="4">
        <v>1.4347399999999999</v>
      </c>
      <c r="Y152" s="4">
        <v>0.40001500000000001</v>
      </c>
      <c r="Z152" s="4">
        <v>2.0005999999999999E-2</v>
      </c>
      <c r="AA152" s="4">
        <v>-4.2523999999999999E-2</v>
      </c>
      <c r="AB152" s="4">
        <v>-9.1299999999999992E-3</v>
      </c>
      <c r="AC152" s="1" t="s">
        <v>453</v>
      </c>
      <c r="AD152" s="1" t="s">
        <v>2847</v>
      </c>
      <c r="AE152" s="1" t="s">
        <v>2852</v>
      </c>
      <c r="AF152" s="1">
        <v>5.57</v>
      </c>
      <c r="AG152" s="1" t="s">
        <v>1003</v>
      </c>
      <c r="AH152" s="1">
        <v>23.533100000000001</v>
      </c>
      <c r="AI152" s="1">
        <v>120.4308</v>
      </c>
      <c r="AJ152" s="1">
        <v>16.739999999999998</v>
      </c>
      <c r="AK152" s="1" t="s">
        <v>1032</v>
      </c>
      <c r="AL152" s="1" t="s">
        <v>2834</v>
      </c>
      <c r="AM152" s="1">
        <v>327</v>
      </c>
      <c r="AN152" s="1">
        <v>78</v>
      </c>
      <c r="AO152" s="1">
        <v>0</v>
      </c>
      <c r="AP152" s="1">
        <v>237</v>
      </c>
      <c r="AQ152" s="1">
        <v>90</v>
      </c>
      <c r="AR152" s="1">
        <v>168</v>
      </c>
      <c r="AS152" s="1" t="s">
        <v>2808</v>
      </c>
      <c r="AT152" s="1" t="s">
        <v>731</v>
      </c>
      <c r="AU152" s="1"/>
      <c r="AV152" s="1"/>
      <c r="AW152" s="1"/>
      <c r="AX152" s="1"/>
      <c r="AY152" s="1"/>
      <c r="AZ152" s="1" t="s">
        <v>2812</v>
      </c>
      <c r="BA152" t="s">
        <v>2854</v>
      </c>
    </row>
    <row r="153" spans="1:53" ht="19" customHeight="1">
      <c r="A153" s="4" t="s">
        <v>454</v>
      </c>
      <c r="B153" s="4">
        <v>23.533100000000001</v>
      </c>
      <c r="C153" s="4">
        <v>120.4308</v>
      </c>
      <c r="D153" s="4">
        <v>16.739999999999998</v>
      </c>
      <c r="E153" s="4">
        <v>5.57</v>
      </c>
      <c r="F153" s="4" t="s">
        <v>1032</v>
      </c>
      <c r="G153" s="4" t="s">
        <v>1096</v>
      </c>
      <c r="H153" s="4">
        <v>120.33066700000001</v>
      </c>
      <c r="I153" s="4">
        <v>23.456</v>
      </c>
      <c r="J153" s="4">
        <v>216.36439999999999</v>
      </c>
      <c r="K153" s="4">
        <v>18.007390000000001</v>
      </c>
      <c r="L153" s="4" t="b">
        <v>1</v>
      </c>
      <c r="M153" s="4">
        <v>0.99680000000000002</v>
      </c>
      <c r="N153" s="4" t="b">
        <v>0</v>
      </c>
      <c r="O153" s="4" t="s">
        <v>1029</v>
      </c>
      <c r="P153" s="4" t="b">
        <v>0</v>
      </c>
      <c r="Q153" s="4">
        <v>271.63</v>
      </c>
      <c r="R153" s="4">
        <v>245.02099999999999</v>
      </c>
      <c r="S153" s="4">
        <v>107.94</v>
      </c>
      <c r="T153" s="4">
        <v>24.733499999999999</v>
      </c>
      <c r="U153" s="4">
        <v>24.307200000000002</v>
      </c>
      <c r="V153" s="4">
        <v>7.4413499999999999</v>
      </c>
      <c r="W153" s="4">
        <v>5.1051200000000003</v>
      </c>
      <c r="X153" s="4">
        <v>5.9922800000000001</v>
      </c>
      <c r="Y153" s="4">
        <v>1.70377</v>
      </c>
      <c r="Z153" s="4">
        <v>-2.4316999999999998E-2</v>
      </c>
      <c r="AA153" s="4">
        <v>-2.0778000000000001E-2</v>
      </c>
      <c r="AB153" s="4">
        <v>-3.4112999999999997E-2</v>
      </c>
      <c r="AC153" s="1" t="s">
        <v>453</v>
      </c>
      <c r="AD153" s="1" t="s">
        <v>2847</v>
      </c>
      <c r="AE153" s="1" t="s">
        <v>2852</v>
      </c>
      <c r="AF153" s="1">
        <v>5.57</v>
      </c>
      <c r="AG153" s="1" t="s">
        <v>1003</v>
      </c>
      <c r="AH153" s="1">
        <v>23.533100000000001</v>
      </c>
      <c r="AI153" s="1">
        <v>120.4308</v>
      </c>
      <c r="AJ153" s="1">
        <v>16.739999999999998</v>
      </c>
      <c r="AK153" s="1" t="s">
        <v>1032</v>
      </c>
      <c r="AL153" s="1" t="s">
        <v>2834</v>
      </c>
      <c r="AM153" s="1">
        <v>327</v>
      </c>
      <c r="AN153" s="1">
        <v>78</v>
      </c>
      <c r="AO153" s="1">
        <v>0</v>
      </c>
      <c r="AP153" s="1">
        <v>237</v>
      </c>
      <c r="AQ153" s="1">
        <v>90</v>
      </c>
      <c r="AR153" s="1">
        <v>168</v>
      </c>
      <c r="AS153" s="1" t="s">
        <v>2808</v>
      </c>
      <c r="AT153" s="1" t="s">
        <v>731</v>
      </c>
      <c r="AU153" s="1"/>
      <c r="AV153" s="1"/>
      <c r="AW153" s="1"/>
      <c r="AX153" s="1"/>
      <c r="AY153" s="1"/>
      <c r="AZ153" s="1" t="s">
        <v>2812</v>
      </c>
      <c r="BA153" t="s">
        <v>2854</v>
      </c>
    </row>
    <row r="154" spans="1:53" ht="19" customHeight="1">
      <c r="A154" s="4" t="s">
        <v>454</v>
      </c>
      <c r="B154" s="4">
        <v>23.533100000000001</v>
      </c>
      <c r="C154" s="4">
        <v>120.4308</v>
      </c>
      <c r="D154" s="4">
        <v>16.739999999999998</v>
      </c>
      <c r="E154" s="4">
        <v>5.57</v>
      </c>
      <c r="F154" s="4" t="s">
        <v>1032</v>
      </c>
      <c r="G154" s="4" t="s">
        <v>1091</v>
      </c>
      <c r="H154" s="4">
        <v>120.4147</v>
      </c>
      <c r="I154" s="4">
        <v>23.436299999999999</v>
      </c>
      <c r="J154" s="4">
        <v>227.63</v>
      </c>
      <c r="K154" s="4">
        <v>12.957599999999999</v>
      </c>
      <c r="L154" s="4" t="b">
        <v>1</v>
      </c>
      <c r="M154" s="4">
        <v>1.0136000000000001</v>
      </c>
      <c r="N154" s="4" t="b">
        <v>0</v>
      </c>
      <c r="O154" s="4" t="s">
        <v>1029</v>
      </c>
      <c r="P154" s="4" t="b">
        <v>0</v>
      </c>
      <c r="Q154" s="4">
        <v>371.36055299999998</v>
      </c>
      <c r="R154" s="4">
        <v>328.95032099999997</v>
      </c>
      <c r="S154" s="4">
        <v>231.25673599999999</v>
      </c>
      <c r="T154" s="4">
        <v>22.927420000000001</v>
      </c>
      <c r="U154" s="4">
        <v>27.006091999999999</v>
      </c>
      <c r="V154" s="4">
        <v>4.4931840000000003</v>
      </c>
      <c r="W154" s="4">
        <v>3.2205560000000002</v>
      </c>
      <c r="X154" s="4">
        <v>2.885856</v>
      </c>
      <c r="Y154" s="4">
        <v>0.38480799999999998</v>
      </c>
      <c r="Z154" s="4">
        <v>2.8349999999999998E-3</v>
      </c>
      <c r="AA154" s="4">
        <v>2.1429999999999999E-3</v>
      </c>
      <c r="AB154" s="4">
        <v>-3.5119999999999999E-3</v>
      </c>
      <c r="AC154" s="1" t="s">
        <v>453</v>
      </c>
      <c r="AD154" s="1" t="s">
        <v>2847</v>
      </c>
      <c r="AE154" s="1" t="s">
        <v>2852</v>
      </c>
      <c r="AF154" s="1">
        <v>5.57</v>
      </c>
      <c r="AG154" s="1" t="s">
        <v>1003</v>
      </c>
      <c r="AH154" s="1">
        <v>23.533100000000001</v>
      </c>
      <c r="AI154" s="1">
        <v>120.4308</v>
      </c>
      <c r="AJ154" s="1">
        <v>16.739999999999998</v>
      </c>
      <c r="AK154" s="1" t="s">
        <v>1032</v>
      </c>
      <c r="AL154" s="1" t="s">
        <v>2834</v>
      </c>
      <c r="AM154" s="1">
        <v>327</v>
      </c>
      <c r="AN154" s="1">
        <v>78</v>
      </c>
      <c r="AO154" s="1">
        <v>0</v>
      </c>
      <c r="AP154" s="1">
        <v>237</v>
      </c>
      <c r="AQ154" s="1">
        <v>90</v>
      </c>
      <c r="AR154" s="1">
        <v>168</v>
      </c>
      <c r="AS154" s="1" t="s">
        <v>2808</v>
      </c>
      <c r="AT154" s="1" t="s">
        <v>731</v>
      </c>
      <c r="AU154" s="1"/>
      <c r="AV154" s="1"/>
      <c r="AW154" s="1"/>
      <c r="AX154" s="1"/>
      <c r="AY154" s="1"/>
      <c r="AZ154" s="1" t="s">
        <v>2812</v>
      </c>
      <c r="BA154" t="s">
        <v>2854</v>
      </c>
    </row>
    <row r="155" spans="1:53" ht="19" customHeight="1">
      <c r="A155" s="4" t="s">
        <v>1097</v>
      </c>
      <c r="B155" s="4">
        <v>23.6</v>
      </c>
      <c r="C155" s="4">
        <v>120.82</v>
      </c>
      <c r="D155" s="4">
        <v>18</v>
      </c>
      <c r="E155" s="4">
        <v>6.42</v>
      </c>
      <c r="F155" s="4" t="s">
        <v>1032</v>
      </c>
      <c r="G155" s="4" t="s">
        <v>920</v>
      </c>
      <c r="H155" s="4">
        <v>120.813333</v>
      </c>
      <c r="I155" s="4">
        <v>23.508333</v>
      </c>
      <c r="J155" s="4">
        <v>524.61310000000003</v>
      </c>
      <c r="K155" s="4">
        <v>5.6140650000000001</v>
      </c>
      <c r="L155" s="4" t="b">
        <v>1</v>
      </c>
      <c r="M155" s="4">
        <v>2.4359999999999999</v>
      </c>
      <c r="N155" s="4" t="b">
        <v>0</v>
      </c>
      <c r="O155" s="4" t="s">
        <v>1029</v>
      </c>
      <c r="P155" s="4" t="b">
        <v>0</v>
      </c>
      <c r="Q155" s="4">
        <v>316.13499999999999</v>
      </c>
      <c r="R155" s="4">
        <v>334.73700000000002</v>
      </c>
      <c r="S155" s="4">
        <v>291.79899999999998</v>
      </c>
      <c r="T155" s="4">
        <v>32.881799999999998</v>
      </c>
      <c r="U155" s="4">
        <v>43.517200000000003</v>
      </c>
      <c r="V155" s="4">
        <v>16.695599999999999</v>
      </c>
      <c r="W155" s="4">
        <v>10.1267</v>
      </c>
      <c r="X155" s="4">
        <v>16.173200000000001</v>
      </c>
      <c r="Y155" s="4">
        <v>5.2738399999999999</v>
      </c>
      <c r="Z155" s="4">
        <v>3.1931000000000001E-2</v>
      </c>
      <c r="AA155" s="4">
        <v>3.4099999999999998E-2</v>
      </c>
      <c r="AB155" s="4">
        <v>5.6099999999999998E-4</v>
      </c>
      <c r="AC155" s="1" t="s">
        <v>469</v>
      </c>
      <c r="AD155" s="1" t="s">
        <v>2710</v>
      </c>
      <c r="AE155" s="1" t="s">
        <v>2727</v>
      </c>
      <c r="AF155" s="1">
        <v>6.42</v>
      </c>
      <c r="AG155" s="1" t="s">
        <v>1003</v>
      </c>
      <c r="AH155" s="1">
        <v>23.6</v>
      </c>
      <c r="AI155" s="1">
        <v>120.82</v>
      </c>
      <c r="AJ155" s="1">
        <v>18</v>
      </c>
      <c r="AK155" s="1" t="s">
        <v>1032</v>
      </c>
      <c r="AL155" s="1" t="s">
        <v>2809</v>
      </c>
      <c r="AM155" s="1">
        <v>330</v>
      </c>
      <c r="AN155" s="1">
        <v>89</v>
      </c>
      <c r="AO155" s="1">
        <v>15</v>
      </c>
      <c r="AP155" s="1"/>
      <c r="AQ155" s="1"/>
      <c r="AR155" s="1"/>
      <c r="AS155" s="1" t="s">
        <v>2808</v>
      </c>
      <c r="AT155" s="1" t="s">
        <v>731</v>
      </c>
      <c r="AU155" s="1"/>
      <c r="AV155" s="1"/>
      <c r="AW155" s="1"/>
      <c r="AX155" s="1"/>
      <c r="AY155" s="1"/>
      <c r="AZ155" s="1" t="s">
        <v>2812</v>
      </c>
      <c r="BA155" t="s">
        <v>2855</v>
      </c>
    </row>
    <row r="156" spans="1:53" ht="19" customHeight="1">
      <c r="A156" s="4" t="s">
        <v>1098</v>
      </c>
      <c r="B156" s="4">
        <v>40.834499999999998</v>
      </c>
      <c r="C156" s="4">
        <v>31.134599999999999</v>
      </c>
      <c r="D156" s="4">
        <v>14</v>
      </c>
      <c r="E156" s="4">
        <v>7.1</v>
      </c>
      <c r="F156" s="4" t="s">
        <v>1032</v>
      </c>
      <c r="G156" s="4" t="s">
        <v>922</v>
      </c>
      <c r="H156" s="4">
        <v>31.61</v>
      </c>
      <c r="I156" s="4">
        <v>40.744999999999997</v>
      </c>
      <c r="J156" s="4">
        <v>293.57</v>
      </c>
      <c r="K156" s="4">
        <v>12.04</v>
      </c>
      <c r="L156" s="4" t="b">
        <v>1</v>
      </c>
      <c r="M156" s="4">
        <v>0.88200000000000001</v>
      </c>
      <c r="N156" s="4" t="b">
        <v>0</v>
      </c>
      <c r="O156" s="4" t="s">
        <v>1029</v>
      </c>
      <c r="P156" s="4" t="b">
        <v>0</v>
      </c>
      <c r="Q156" s="4">
        <v>725.20100000000002</v>
      </c>
      <c r="R156" s="4">
        <v>790.37199999999996</v>
      </c>
      <c r="S156" s="4">
        <v>196.244</v>
      </c>
      <c r="T156" s="4">
        <v>55.945900000000002</v>
      </c>
      <c r="U156" s="4">
        <v>65.936000000000007</v>
      </c>
      <c r="V156" s="4">
        <v>23.599299999999999</v>
      </c>
      <c r="W156" s="4">
        <v>25.5717</v>
      </c>
      <c r="X156" s="4">
        <v>13.0867</v>
      </c>
      <c r="Y156" s="4">
        <v>13.9711</v>
      </c>
      <c r="Z156" s="4">
        <v>0.102143</v>
      </c>
      <c r="AA156" s="4">
        <v>7.3264999999999997E-2</v>
      </c>
      <c r="AB156" s="4">
        <v>-2.5135000000000001E-2</v>
      </c>
      <c r="AC156" s="1" t="s">
        <v>491</v>
      </c>
      <c r="AD156" s="1" t="s">
        <v>2730</v>
      </c>
      <c r="AE156" s="1" t="s">
        <v>2731</v>
      </c>
      <c r="AF156" s="1">
        <v>7.1</v>
      </c>
      <c r="AG156" s="1" t="s">
        <v>1003</v>
      </c>
      <c r="AH156" s="1">
        <v>40.834499999999998</v>
      </c>
      <c r="AI156" s="1">
        <v>31.134599999999999</v>
      </c>
      <c r="AJ156" s="1">
        <v>14</v>
      </c>
      <c r="AK156" s="1" t="s">
        <v>1032</v>
      </c>
      <c r="AL156" s="1" t="s">
        <v>2809</v>
      </c>
      <c r="AM156" s="1">
        <v>270</v>
      </c>
      <c r="AN156" s="1">
        <v>65</v>
      </c>
      <c r="AO156" s="1">
        <v>-178</v>
      </c>
      <c r="AP156" s="1"/>
      <c r="AQ156" s="1"/>
      <c r="AR156" s="1"/>
      <c r="AS156" s="1" t="s">
        <v>2808</v>
      </c>
      <c r="AT156" s="1" t="s">
        <v>731</v>
      </c>
      <c r="AU156" s="1"/>
      <c r="AV156" s="1"/>
      <c r="AW156" s="1"/>
      <c r="AX156" s="1"/>
      <c r="AY156" s="1"/>
      <c r="AZ156" s="1" t="s">
        <v>2812</v>
      </c>
      <c r="BA156" t="s">
        <v>2856</v>
      </c>
    </row>
    <row r="157" spans="1:53" ht="19" customHeight="1">
      <c r="A157" s="4" t="s">
        <v>1098</v>
      </c>
      <c r="B157" s="4">
        <v>40.834499999999998</v>
      </c>
      <c r="C157" s="4">
        <v>31.134599999999999</v>
      </c>
      <c r="D157" s="4">
        <v>14</v>
      </c>
      <c r="E157" s="4">
        <v>7.1</v>
      </c>
      <c r="F157" s="4" t="s">
        <v>1032</v>
      </c>
      <c r="G157" s="4" t="s">
        <v>923</v>
      </c>
      <c r="H157" s="4">
        <v>30.889199999999999</v>
      </c>
      <c r="I157" s="4">
        <v>40.748930000000001</v>
      </c>
      <c r="J157" s="4">
        <v>690</v>
      </c>
      <c r="K157" s="4">
        <v>2.65</v>
      </c>
      <c r="L157" s="4" t="b">
        <v>1</v>
      </c>
      <c r="M157" s="4">
        <v>10.052</v>
      </c>
      <c r="N157" s="4" t="b">
        <v>0</v>
      </c>
      <c r="O157" s="4" t="s">
        <v>1029</v>
      </c>
      <c r="P157" s="4" t="b">
        <v>0</v>
      </c>
      <c r="Q157" s="4">
        <v>276.86599999999999</v>
      </c>
      <c r="R157" s="4">
        <v>297.59800000000001</v>
      </c>
      <c r="S157" s="4">
        <v>225.11699999999999</v>
      </c>
      <c r="T157" s="4">
        <v>28.972899999999999</v>
      </c>
      <c r="U157" s="4">
        <v>38.949800000000003</v>
      </c>
      <c r="V157" s="4">
        <v>14.7334</v>
      </c>
      <c r="W157" s="4">
        <v>16.641500000000001</v>
      </c>
      <c r="X157" s="4">
        <v>20.092400000000001</v>
      </c>
      <c r="Y157" s="4">
        <v>14.165800000000001</v>
      </c>
      <c r="Z157" s="4">
        <v>9.6041000000000001E-2</v>
      </c>
      <c r="AA157" s="4">
        <v>-4.156E-2</v>
      </c>
      <c r="AB157" s="4">
        <v>-5.6675999999999997E-2</v>
      </c>
      <c r="AC157" s="1" t="s">
        <v>491</v>
      </c>
      <c r="AD157" s="1" t="s">
        <v>2730</v>
      </c>
      <c r="AE157" s="1" t="s">
        <v>2731</v>
      </c>
      <c r="AF157" s="1">
        <v>7.1</v>
      </c>
      <c r="AG157" s="1" t="s">
        <v>1003</v>
      </c>
      <c r="AH157" s="1">
        <v>40.834499999999998</v>
      </c>
      <c r="AI157" s="1">
        <v>31.134599999999999</v>
      </c>
      <c r="AJ157" s="1">
        <v>14</v>
      </c>
      <c r="AK157" s="1" t="s">
        <v>1032</v>
      </c>
      <c r="AL157" s="1" t="s">
        <v>2809</v>
      </c>
      <c r="AM157" s="1">
        <v>270</v>
      </c>
      <c r="AN157" s="1">
        <v>65</v>
      </c>
      <c r="AO157" s="1">
        <v>-178</v>
      </c>
      <c r="AP157" s="1"/>
      <c r="AQ157" s="1"/>
      <c r="AR157" s="1"/>
      <c r="AS157" s="1" t="s">
        <v>2808</v>
      </c>
      <c r="AT157" s="1" t="s">
        <v>731</v>
      </c>
      <c r="AU157" s="1"/>
      <c r="AV157" s="1"/>
      <c r="AW157" s="1"/>
      <c r="AX157" s="1"/>
      <c r="AY157" s="1"/>
      <c r="AZ157" s="1" t="s">
        <v>2812</v>
      </c>
      <c r="BA157" t="s">
        <v>2856</v>
      </c>
    </row>
    <row r="158" spans="1:53" ht="19" customHeight="1">
      <c r="A158" s="4" t="s">
        <v>498</v>
      </c>
      <c r="B158" s="4">
        <v>23.3688</v>
      </c>
      <c r="C158" s="4">
        <v>121.693</v>
      </c>
      <c r="D158" s="4">
        <v>33.369999999999997</v>
      </c>
      <c r="E158" s="4">
        <v>6.31</v>
      </c>
      <c r="F158" s="4" t="s">
        <v>1028</v>
      </c>
      <c r="G158" s="4" t="s">
        <v>1099</v>
      </c>
      <c r="H158" s="4">
        <v>121.59483299999999</v>
      </c>
      <c r="I158" s="4">
        <v>23.995332999999999</v>
      </c>
      <c r="J158" s="4">
        <v>360.83714199999997</v>
      </c>
      <c r="K158" s="4">
        <v>65.466391999999999</v>
      </c>
      <c r="L158" s="4" t="b">
        <v>1</v>
      </c>
      <c r="M158" s="4">
        <v>1.82</v>
      </c>
      <c r="N158" s="4" t="b">
        <v>0</v>
      </c>
      <c r="O158" s="4" t="s">
        <v>1029</v>
      </c>
      <c r="P158" s="4" t="b">
        <v>0</v>
      </c>
      <c r="Q158" s="4">
        <v>122.36199999999999</v>
      </c>
      <c r="R158" s="4">
        <v>118.65300000000001</v>
      </c>
      <c r="S158" s="4">
        <v>49.259</v>
      </c>
      <c r="T158" s="4">
        <v>24.170200000000001</v>
      </c>
      <c r="U158" s="4">
        <v>22.224399999999999</v>
      </c>
      <c r="V158" s="4">
        <v>7.9183000000000003</v>
      </c>
      <c r="W158" s="4">
        <v>6.5567000000000002</v>
      </c>
      <c r="X158" s="4">
        <v>7.2532300000000003</v>
      </c>
      <c r="Y158" s="4">
        <v>1.7350699999999999</v>
      </c>
      <c r="Z158" s="4">
        <v>4.0294000000000003E-2</v>
      </c>
      <c r="AA158" s="4">
        <v>-5.9900000000000003E-4</v>
      </c>
      <c r="AB158" s="4">
        <v>6.4469999999999996E-3</v>
      </c>
      <c r="AC158" s="1" t="s">
        <v>497</v>
      </c>
      <c r="AD158" s="1" t="s">
        <v>2858</v>
      </c>
      <c r="AE158" s="1" t="s">
        <v>2859</v>
      </c>
      <c r="AF158" s="1">
        <v>6.31</v>
      </c>
      <c r="AG158" s="1" t="s">
        <v>1003</v>
      </c>
      <c r="AH158" s="1">
        <v>23.3688</v>
      </c>
      <c r="AI158" s="1">
        <v>121.693</v>
      </c>
      <c r="AJ158" s="1">
        <v>33.369999999999997</v>
      </c>
      <c r="AK158" s="1" t="s">
        <v>1028</v>
      </c>
      <c r="AL158" s="1" t="s">
        <v>2834</v>
      </c>
      <c r="AM158" s="1">
        <v>218</v>
      </c>
      <c r="AN158" s="1">
        <v>38</v>
      </c>
      <c r="AO158" s="1">
        <v>108</v>
      </c>
      <c r="AP158" s="1">
        <v>15</v>
      </c>
      <c r="AQ158" s="1">
        <v>54</v>
      </c>
      <c r="AR158" s="1">
        <v>76</v>
      </c>
      <c r="AS158" s="1" t="s">
        <v>2808</v>
      </c>
      <c r="AT158" s="1" t="s">
        <v>731</v>
      </c>
      <c r="AU158" s="1"/>
      <c r="AV158" s="1"/>
      <c r="AW158" s="1"/>
      <c r="AX158" s="1"/>
      <c r="AY158" s="1"/>
      <c r="AZ158" s="1" t="s">
        <v>2812</v>
      </c>
      <c r="BA158" t="s">
        <v>2861</v>
      </c>
    </row>
    <row r="159" spans="1:53" ht="19" customHeight="1">
      <c r="A159" s="4" t="s">
        <v>498</v>
      </c>
      <c r="B159" s="4">
        <v>23.3688</v>
      </c>
      <c r="C159" s="4">
        <v>121.693</v>
      </c>
      <c r="D159" s="4">
        <v>33.369999999999997</v>
      </c>
      <c r="E159" s="4">
        <v>6.31</v>
      </c>
      <c r="F159" s="4" t="s">
        <v>1028</v>
      </c>
      <c r="G159" s="4" t="s">
        <v>1100</v>
      </c>
      <c r="H159" s="4">
        <v>121.48269999999999</v>
      </c>
      <c r="I159" s="4">
        <v>23.6845</v>
      </c>
      <c r="J159" s="4">
        <v>392.75</v>
      </c>
      <c r="K159" s="4">
        <v>50.002400000000002</v>
      </c>
      <c r="L159" s="4" t="b">
        <v>1</v>
      </c>
      <c r="M159" s="4">
        <v>2.2890000000000001</v>
      </c>
      <c r="N159" s="4" t="b">
        <v>0</v>
      </c>
      <c r="O159" s="4" t="s">
        <v>1029</v>
      </c>
      <c r="P159" s="4" t="b">
        <v>0</v>
      </c>
      <c r="Q159" s="4">
        <v>190.522212</v>
      </c>
      <c r="R159" s="4">
        <v>160.875992</v>
      </c>
      <c r="S159" s="4">
        <v>73.012427000000002</v>
      </c>
      <c r="T159" s="4">
        <v>29.963384999999999</v>
      </c>
      <c r="U159" s="4">
        <v>22.835065</v>
      </c>
      <c r="V159" s="4">
        <v>7.6229849999999999</v>
      </c>
      <c r="W159" s="4">
        <v>7.2695049999999997</v>
      </c>
      <c r="X159" s="4">
        <v>5.0520509999999996</v>
      </c>
      <c r="Y159" s="4">
        <v>1.9893730000000001</v>
      </c>
      <c r="Z159" s="4">
        <v>-5.1596999999999997E-2</v>
      </c>
      <c r="AA159" s="4">
        <v>-1.7943000000000001E-2</v>
      </c>
      <c r="AB159" s="4">
        <v>-2.6904999999999998E-2</v>
      </c>
      <c r="AC159" s="1" t="s">
        <v>497</v>
      </c>
      <c r="AD159" s="1" t="s">
        <v>2858</v>
      </c>
      <c r="AE159" s="1" t="s">
        <v>2859</v>
      </c>
      <c r="AF159" s="1">
        <v>6.31</v>
      </c>
      <c r="AG159" s="1" t="s">
        <v>1003</v>
      </c>
      <c r="AH159" s="1">
        <v>23.3688</v>
      </c>
      <c r="AI159" s="1">
        <v>121.693</v>
      </c>
      <c r="AJ159" s="1">
        <v>33.369999999999997</v>
      </c>
      <c r="AK159" s="1" t="s">
        <v>1028</v>
      </c>
      <c r="AL159" s="1" t="s">
        <v>2834</v>
      </c>
      <c r="AM159" s="1">
        <v>218</v>
      </c>
      <c r="AN159" s="1">
        <v>38</v>
      </c>
      <c r="AO159" s="1">
        <v>108</v>
      </c>
      <c r="AP159" s="1">
        <v>15</v>
      </c>
      <c r="AQ159" s="1">
        <v>54</v>
      </c>
      <c r="AR159" s="1">
        <v>76</v>
      </c>
      <c r="AS159" s="1" t="s">
        <v>2808</v>
      </c>
      <c r="AT159" s="1" t="s">
        <v>731</v>
      </c>
      <c r="AU159" s="1"/>
      <c r="AV159" s="1"/>
      <c r="AW159" s="1"/>
      <c r="AX159" s="1"/>
      <c r="AY159" s="1"/>
      <c r="AZ159" s="1" t="s">
        <v>2812</v>
      </c>
      <c r="BA159" t="s">
        <v>2861</v>
      </c>
    </row>
    <row r="160" spans="1:53" ht="19" customHeight="1">
      <c r="A160" s="4" t="s">
        <v>498</v>
      </c>
      <c r="B160" s="4">
        <v>23.3688</v>
      </c>
      <c r="C160" s="4">
        <v>121.693</v>
      </c>
      <c r="D160" s="4">
        <v>33.369999999999997</v>
      </c>
      <c r="E160" s="4">
        <v>6.31</v>
      </c>
      <c r="F160" s="4" t="s">
        <v>1028</v>
      </c>
      <c r="G160" s="4" t="s">
        <v>1101</v>
      </c>
      <c r="H160" s="4">
        <v>121.5645</v>
      </c>
      <c r="I160" s="4">
        <v>23.993167</v>
      </c>
      <c r="J160" s="4">
        <v>509.33786099999998</v>
      </c>
      <c r="K160" s="4">
        <v>66.086511999999999</v>
      </c>
      <c r="L160" s="4" t="b">
        <v>1</v>
      </c>
      <c r="M160" s="4">
        <v>1.7584</v>
      </c>
      <c r="N160" s="4" t="b">
        <v>0</v>
      </c>
      <c r="O160" s="4" t="s">
        <v>1029</v>
      </c>
      <c r="P160" s="4" t="b">
        <v>0</v>
      </c>
      <c r="Q160" s="4">
        <v>102.13500000000001</v>
      </c>
      <c r="R160" s="4">
        <v>105.68300000000001</v>
      </c>
      <c r="S160" s="4">
        <v>39.069000000000003</v>
      </c>
      <c r="T160" s="4">
        <v>23.041699999999999</v>
      </c>
      <c r="U160" s="4">
        <v>21.7379</v>
      </c>
      <c r="V160" s="4">
        <v>4.7935999999999996</v>
      </c>
      <c r="W160" s="4">
        <v>6.8311700000000002</v>
      </c>
      <c r="X160" s="4">
        <v>5.9106100000000001</v>
      </c>
      <c r="Y160" s="4">
        <v>1.3918699999999999</v>
      </c>
      <c r="Z160" s="4">
        <v>2.5838E-2</v>
      </c>
      <c r="AA160" s="4">
        <v>2.845E-2</v>
      </c>
      <c r="AB160" s="4">
        <v>-1.1417E-2</v>
      </c>
      <c r="AC160" s="1" t="s">
        <v>497</v>
      </c>
      <c r="AD160" s="1" t="s">
        <v>2858</v>
      </c>
      <c r="AE160" s="1" t="s">
        <v>2859</v>
      </c>
      <c r="AF160" s="1">
        <v>6.31</v>
      </c>
      <c r="AG160" s="1" t="s">
        <v>1003</v>
      </c>
      <c r="AH160" s="1">
        <v>23.3688</v>
      </c>
      <c r="AI160" s="1">
        <v>121.693</v>
      </c>
      <c r="AJ160" s="1">
        <v>33.369999999999997</v>
      </c>
      <c r="AK160" s="1" t="s">
        <v>1028</v>
      </c>
      <c r="AL160" s="1" t="s">
        <v>2834</v>
      </c>
      <c r="AM160" s="1">
        <v>218</v>
      </c>
      <c r="AN160" s="1">
        <v>38</v>
      </c>
      <c r="AO160" s="1">
        <v>108</v>
      </c>
      <c r="AP160" s="1">
        <v>15</v>
      </c>
      <c r="AQ160" s="1">
        <v>54</v>
      </c>
      <c r="AR160" s="1">
        <v>76</v>
      </c>
      <c r="AS160" s="1" t="s">
        <v>2808</v>
      </c>
      <c r="AT160" s="1" t="s">
        <v>731</v>
      </c>
      <c r="AU160" s="1"/>
      <c r="AV160" s="1"/>
      <c r="AW160" s="1"/>
      <c r="AX160" s="1"/>
      <c r="AY160" s="1"/>
      <c r="AZ160" s="1" t="s">
        <v>2812</v>
      </c>
      <c r="BA160" t="s">
        <v>2861</v>
      </c>
    </row>
    <row r="161" spans="1:53" ht="19" customHeight="1">
      <c r="A161" s="4" t="s">
        <v>498</v>
      </c>
      <c r="B161" s="4">
        <v>23.3688</v>
      </c>
      <c r="C161" s="4">
        <v>121.693</v>
      </c>
      <c r="D161" s="4">
        <v>33.369999999999997</v>
      </c>
      <c r="E161" s="4">
        <v>6.31</v>
      </c>
      <c r="F161" s="4" t="s">
        <v>1028</v>
      </c>
      <c r="G161" s="4" t="s">
        <v>1102</v>
      </c>
      <c r="H161" s="4">
        <v>121.556833</v>
      </c>
      <c r="I161" s="4">
        <v>23.867667000000001</v>
      </c>
      <c r="J161" s="4">
        <v>449.74209999999999</v>
      </c>
      <c r="K161" s="4">
        <v>56.635292999999997</v>
      </c>
      <c r="L161" s="4" t="b">
        <v>1</v>
      </c>
      <c r="M161" s="4">
        <v>1.2096</v>
      </c>
      <c r="N161" s="4" t="b">
        <v>0</v>
      </c>
      <c r="O161" s="4" t="s">
        <v>1029</v>
      </c>
      <c r="P161" s="4" t="b">
        <v>0</v>
      </c>
      <c r="Q161" s="4">
        <v>231.03299999999999</v>
      </c>
      <c r="R161" s="4">
        <v>273.92700000000002</v>
      </c>
      <c r="S161" s="4">
        <v>78.790999999999997</v>
      </c>
      <c r="T161" s="4">
        <v>32.348300000000002</v>
      </c>
      <c r="U161" s="4">
        <v>36.354700000000001</v>
      </c>
      <c r="V161" s="4">
        <v>8.3910699999999991</v>
      </c>
      <c r="W161" s="4">
        <v>4.64541</v>
      </c>
      <c r="X161" s="4">
        <v>5.6870000000000003</v>
      </c>
      <c r="Y161" s="4">
        <v>2.1261399999999999</v>
      </c>
      <c r="Z161" s="4">
        <v>-1.0664E-2</v>
      </c>
      <c r="AA161" s="4">
        <v>-6.2001000000000001E-2</v>
      </c>
      <c r="AB161" s="4">
        <v>-6.4989999999999996E-3</v>
      </c>
      <c r="AC161" s="1" t="s">
        <v>497</v>
      </c>
      <c r="AD161" s="1" t="s">
        <v>2858</v>
      </c>
      <c r="AE161" s="1" t="s">
        <v>2859</v>
      </c>
      <c r="AF161" s="1">
        <v>6.31</v>
      </c>
      <c r="AG161" s="1" t="s">
        <v>1003</v>
      </c>
      <c r="AH161" s="1">
        <v>23.3688</v>
      </c>
      <c r="AI161" s="1">
        <v>121.693</v>
      </c>
      <c r="AJ161" s="1">
        <v>33.369999999999997</v>
      </c>
      <c r="AK161" s="1" t="s">
        <v>1028</v>
      </c>
      <c r="AL161" s="1" t="s">
        <v>2834</v>
      </c>
      <c r="AM161" s="1">
        <v>218</v>
      </c>
      <c r="AN161" s="1">
        <v>38</v>
      </c>
      <c r="AO161" s="1">
        <v>108</v>
      </c>
      <c r="AP161" s="1">
        <v>15</v>
      </c>
      <c r="AQ161" s="1">
        <v>54</v>
      </c>
      <c r="AR161" s="1">
        <v>76</v>
      </c>
      <c r="AS161" s="1" t="s">
        <v>2808</v>
      </c>
      <c r="AT161" s="1" t="s">
        <v>731</v>
      </c>
      <c r="AU161" s="1"/>
      <c r="AV161" s="1"/>
      <c r="AW161" s="1"/>
      <c r="AX161" s="1"/>
      <c r="AY161" s="1"/>
      <c r="AZ161" s="1" t="s">
        <v>2812</v>
      </c>
      <c r="BA161" t="s">
        <v>2861</v>
      </c>
    </row>
    <row r="162" spans="1:53" ht="19" customHeight="1">
      <c r="A162" s="4" t="s">
        <v>498</v>
      </c>
      <c r="B162" s="4">
        <v>23.3688</v>
      </c>
      <c r="C162" s="4">
        <v>121.693</v>
      </c>
      <c r="D162" s="4">
        <v>33.369999999999997</v>
      </c>
      <c r="E162" s="4">
        <v>6.31</v>
      </c>
      <c r="F162" s="4" t="s">
        <v>1028</v>
      </c>
      <c r="G162" s="4" t="s">
        <v>1103</v>
      </c>
      <c r="H162" s="4">
        <v>121.34</v>
      </c>
      <c r="I162" s="4">
        <v>23.320667</v>
      </c>
      <c r="J162" s="4">
        <v>524.43438100000003</v>
      </c>
      <c r="K162" s="4">
        <v>44.863613999999998</v>
      </c>
      <c r="L162" s="4" t="b">
        <v>1</v>
      </c>
      <c r="M162" s="4">
        <v>2.1055999999999999</v>
      </c>
      <c r="N162" s="4" t="b">
        <v>0</v>
      </c>
      <c r="O162" s="4" t="s">
        <v>1029</v>
      </c>
      <c r="P162" s="4" t="b">
        <v>0</v>
      </c>
      <c r="Q162" s="4">
        <v>116.005</v>
      </c>
      <c r="R162" s="4">
        <v>76.872</v>
      </c>
      <c r="S162" s="4">
        <v>43.488999999999997</v>
      </c>
      <c r="T162" s="4">
        <v>23.41</v>
      </c>
      <c r="U162" s="4">
        <v>9.2576999999999998</v>
      </c>
      <c r="V162" s="4">
        <v>5.5997199999999996</v>
      </c>
      <c r="W162" s="4">
        <v>7.2303600000000001</v>
      </c>
      <c r="X162" s="4">
        <v>2.6974100000000001</v>
      </c>
      <c r="Y162" s="4">
        <v>1.88175</v>
      </c>
      <c r="Z162" s="4">
        <v>-2.4649999999999998E-2</v>
      </c>
      <c r="AA162" s="4">
        <v>-3.5633999999999999E-2</v>
      </c>
      <c r="AB162" s="4">
        <v>1.256E-3</v>
      </c>
      <c r="AC162" s="1" t="s">
        <v>497</v>
      </c>
      <c r="AD162" s="1" t="s">
        <v>2858</v>
      </c>
      <c r="AE162" s="1" t="s">
        <v>2859</v>
      </c>
      <c r="AF162" s="1">
        <v>6.31</v>
      </c>
      <c r="AG162" s="1" t="s">
        <v>1003</v>
      </c>
      <c r="AH162" s="1">
        <v>23.3688</v>
      </c>
      <c r="AI162" s="1">
        <v>121.693</v>
      </c>
      <c r="AJ162" s="1">
        <v>33.369999999999997</v>
      </c>
      <c r="AK162" s="1" t="s">
        <v>1028</v>
      </c>
      <c r="AL162" s="1" t="s">
        <v>2834</v>
      </c>
      <c r="AM162" s="1">
        <v>218</v>
      </c>
      <c r="AN162" s="1">
        <v>38</v>
      </c>
      <c r="AO162" s="1">
        <v>108</v>
      </c>
      <c r="AP162" s="1">
        <v>15</v>
      </c>
      <c r="AQ162" s="1">
        <v>54</v>
      </c>
      <c r="AR162" s="1">
        <v>76</v>
      </c>
      <c r="AS162" s="1" t="s">
        <v>2808</v>
      </c>
      <c r="AT162" s="1" t="s">
        <v>731</v>
      </c>
      <c r="AU162" s="1"/>
      <c r="AV162" s="1"/>
      <c r="AW162" s="1"/>
      <c r="AX162" s="1"/>
      <c r="AY162" s="1"/>
      <c r="AZ162" s="1" t="s">
        <v>2812</v>
      </c>
      <c r="BA162" t="s">
        <v>2861</v>
      </c>
    </row>
    <row r="163" spans="1:53" ht="19" customHeight="1">
      <c r="A163" s="4" t="s">
        <v>498</v>
      </c>
      <c r="B163" s="4">
        <v>23.3688</v>
      </c>
      <c r="C163" s="4">
        <v>121.693</v>
      </c>
      <c r="D163" s="4">
        <v>33.369999999999997</v>
      </c>
      <c r="E163" s="4">
        <v>6.31</v>
      </c>
      <c r="F163" s="4" t="s">
        <v>1028</v>
      </c>
      <c r="G163" s="4" t="s">
        <v>1104</v>
      </c>
      <c r="H163" s="4">
        <v>121.507333</v>
      </c>
      <c r="I163" s="4">
        <v>23.870667000000001</v>
      </c>
      <c r="J163" s="4">
        <v>265.84413000000001</v>
      </c>
      <c r="K163" s="4">
        <v>58.750827999999998</v>
      </c>
      <c r="L163" s="4" t="b">
        <v>1</v>
      </c>
      <c r="M163" s="4">
        <v>1.351</v>
      </c>
      <c r="N163" s="4" t="b">
        <v>0</v>
      </c>
      <c r="O163" s="4" t="s">
        <v>1029</v>
      </c>
      <c r="P163" s="4" t="b">
        <v>0</v>
      </c>
      <c r="Q163" s="4">
        <v>199.49100000000001</v>
      </c>
      <c r="R163" s="4">
        <v>177.00200000000001</v>
      </c>
      <c r="S163" s="4">
        <v>46.612000000000002</v>
      </c>
      <c r="T163" s="4">
        <v>28.888300000000001</v>
      </c>
      <c r="U163" s="4">
        <v>24.6404</v>
      </c>
      <c r="V163" s="4">
        <v>4.45648</v>
      </c>
      <c r="W163" s="4">
        <v>4.1393800000000001</v>
      </c>
      <c r="X163" s="4">
        <v>4.07287</v>
      </c>
      <c r="Y163" s="4">
        <v>1.01569</v>
      </c>
      <c r="Z163" s="4">
        <v>4.1968999999999999E-2</v>
      </c>
      <c r="AA163" s="4">
        <v>-1.0937000000000001E-2</v>
      </c>
      <c r="AB163" s="4">
        <v>3.4459999999999998E-2</v>
      </c>
      <c r="AC163" s="1" t="s">
        <v>497</v>
      </c>
      <c r="AD163" s="1" t="s">
        <v>2858</v>
      </c>
      <c r="AE163" s="1" t="s">
        <v>2859</v>
      </c>
      <c r="AF163" s="1">
        <v>6.31</v>
      </c>
      <c r="AG163" s="1" t="s">
        <v>1003</v>
      </c>
      <c r="AH163" s="1">
        <v>23.3688</v>
      </c>
      <c r="AI163" s="1">
        <v>121.693</v>
      </c>
      <c r="AJ163" s="1">
        <v>33.369999999999997</v>
      </c>
      <c r="AK163" s="1" t="s">
        <v>1028</v>
      </c>
      <c r="AL163" s="1" t="s">
        <v>2834</v>
      </c>
      <c r="AM163" s="1">
        <v>218</v>
      </c>
      <c r="AN163" s="1">
        <v>38</v>
      </c>
      <c r="AO163" s="1">
        <v>108</v>
      </c>
      <c r="AP163" s="1">
        <v>15</v>
      </c>
      <c r="AQ163" s="1">
        <v>54</v>
      </c>
      <c r="AR163" s="1">
        <v>76</v>
      </c>
      <c r="AS163" s="1" t="s">
        <v>2808</v>
      </c>
      <c r="AT163" s="1" t="s">
        <v>731</v>
      </c>
      <c r="AU163" s="1"/>
      <c r="AV163" s="1"/>
      <c r="AW163" s="1"/>
      <c r="AX163" s="1"/>
      <c r="AY163" s="1"/>
      <c r="AZ163" s="1" t="s">
        <v>2812</v>
      </c>
      <c r="BA163" t="s">
        <v>2861</v>
      </c>
    </row>
    <row r="164" spans="1:53" ht="19" customHeight="1">
      <c r="A164" s="4" t="s">
        <v>1105</v>
      </c>
      <c r="B164" s="4">
        <v>40.747999999999998</v>
      </c>
      <c r="C164" s="4">
        <v>29.99</v>
      </c>
      <c r="D164" s="4">
        <v>16</v>
      </c>
      <c r="E164" s="4">
        <v>7.5</v>
      </c>
      <c r="F164" s="4" t="s">
        <v>1032</v>
      </c>
      <c r="G164" s="4" t="s">
        <v>925</v>
      </c>
      <c r="H164" s="4">
        <v>29.360700000000001</v>
      </c>
      <c r="I164" s="4">
        <v>40.823599999999999</v>
      </c>
      <c r="J164" s="4">
        <v>523</v>
      </c>
      <c r="K164" s="4">
        <v>13.49</v>
      </c>
      <c r="L164" s="4" t="b">
        <v>1</v>
      </c>
      <c r="M164" s="4">
        <v>7.7910000000000004</v>
      </c>
      <c r="N164" s="4" t="b">
        <v>0</v>
      </c>
      <c r="O164" s="4" t="s">
        <v>1029</v>
      </c>
      <c r="P164" s="4" t="b">
        <v>0</v>
      </c>
      <c r="Q164" s="4">
        <v>206.09200000000001</v>
      </c>
      <c r="R164" s="4">
        <v>131.648</v>
      </c>
      <c r="S164" s="4">
        <v>81.254900000000006</v>
      </c>
      <c r="T164" s="4">
        <v>13.954800000000001</v>
      </c>
      <c r="U164" s="4">
        <v>40.076300000000003</v>
      </c>
      <c r="V164" s="4">
        <v>8.0054700000000008</v>
      </c>
      <c r="W164" s="4">
        <v>14.3108</v>
      </c>
      <c r="X164" s="4">
        <v>37.205199999999998</v>
      </c>
      <c r="Y164" s="4">
        <v>7.3169199999999996</v>
      </c>
      <c r="Z164" s="4">
        <v>1.00942</v>
      </c>
      <c r="AA164" s="4">
        <v>-1.2544999999999999</v>
      </c>
      <c r="AB164" s="4">
        <v>0.16725400000000001</v>
      </c>
      <c r="AC164" s="1" t="s">
        <v>208</v>
      </c>
      <c r="AD164" s="1" t="s">
        <v>2735</v>
      </c>
      <c r="AE164" s="1" t="s">
        <v>2736</v>
      </c>
      <c r="AF164" s="1">
        <v>7.5</v>
      </c>
      <c r="AG164" s="1" t="s">
        <v>1003</v>
      </c>
      <c r="AH164" s="1">
        <v>40.747999999999998</v>
      </c>
      <c r="AI164" s="1">
        <v>29.99</v>
      </c>
      <c r="AJ164" s="1">
        <v>16</v>
      </c>
      <c r="AK164" s="1" t="s">
        <v>1032</v>
      </c>
      <c r="AL164" s="1" t="s">
        <v>2834</v>
      </c>
      <c r="AM164" s="1">
        <v>178</v>
      </c>
      <c r="AN164" s="1">
        <v>74</v>
      </c>
      <c r="AO164" s="1">
        <v>9</v>
      </c>
      <c r="AP164" s="1">
        <v>85</v>
      </c>
      <c r="AQ164" s="1">
        <v>81</v>
      </c>
      <c r="AR164" s="1">
        <v>163</v>
      </c>
      <c r="AS164" s="1" t="s">
        <v>2808</v>
      </c>
      <c r="AT164" s="1" t="s">
        <v>862</v>
      </c>
      <c r="AU164" s="1">
        <v>1</v>
      </c>
      <c r="AV164" s="1">
        <v>7.53</v>
      </c>
      <c r="AW164" s="1">
        <v>7.2274000000000003</v>
      </c>
      <c r="AX164" s="1">
        <v>5880</v>
      </c>
      <c r="AY164" s="1" t="s">
        <v>926</v>
      </c>
      <c r="AZ164" s="1" t="s">
        <v>2812</v>
      </c>
      <c r="BA164" t="s">
        <v>2863</v>
      </c>
    </row>
    <row r="165" spans="1:53" ht="19" customHeight="1">
      <c r="A165" s="4" t="s">
        <v>1105</v>
      </c>
      <c r="B165" s="4">
        <v>40.747999999999998</v>
      </c>
      <c r="C165" s="4">
        <v>29.99</v>
      </c>
      <c r="D165" s="4">
        <v>16</v>
      </c>
      <c r="E165" s="4">
        <v>7.5</v>
      </c>
      <c r="F165" s="4" t="s">
        <v>1032</v>
      </c>
      <c r="G165" s="4" t="s">
        <v>927</v>
      </c>
      <c r="H165" s="4">
        <v>29.44</v>
      </c>
      <c r="I165" s="4">
        <v>40.82</v>
      </c>
      <c r="J165" s="4">
        <v>792</v>
      </c>
      <c r="K165" s="4">
        <v>10.92</v>
      </c>
      <c r="L165" s="4" t="b">
        <v>1</v>
      </c>
      <c r="M165" s="4">
        <v>5.992</v>
      </c>
      <c r="N165" s="4" t="b">
        <v>0</v>
      </c>
      <c r="O165" s="4" t="s">
        <v>1029</v>
      </c>
      <c r="P165" s="4" t="b">
        <v>0</v>
      </c>
      <c r="Q165" s="4">
        <v>255.803</v>
      </c>
      <c r="R165" s="4">
        <v>141.06200000000001</v>
      </c>
      <c r="S165" s="4">
        <v>190.09899999999999</v>
      </c>
      <c r="T165" s="4">
        <v>44.606299999999997</v>
      </c>
      <c r="U165" s="4">
        <v>32.670999999999999</v>
      </c>
      <c r="V165" s="4">
        <v>14.1357</v>
      </c>
      <c r="W165" s="4">
        <v>40.997300000000003</v>
      </c>
      <c r="X165" s="4">
        <v>29.6645</v>
      </c>
      <c r="Y165" s="4">
        <v>5.8498299999999999</v>
      </c>
      <c r="Z165" s="4">
        <v>0.70683200000000002</v>
      </c>
      <c r="AA165" s="4">
        <v>-5.5607999999999998E-2</v>
      </c>
      <c r="AB165" s="4">
        <v>-0.694326</v>
      </c>
      <c r="AC165" s="1" t="s">
        <v>208</v>
      </c>
      <c r="AD165" s="1" t="s">
        <v>2735</v>
      </c>
      <c r="AE165" s="1" t="s">
        <v>2736</v>
      </c>
      <c r="AF165" s="1">
        <v>7.5</v>
      </c>
      <c r="AG165" s="1" t="s">
        <v>1003</v>
      </c>
      <c r="AH165" s="1">
        <v>40.747999999999998</v>
      </c>
      <c r="AI165" s="1">
        <v>29.99</v>
      </c>
      <c r="AJ165" s="1">
        <v>16</v>
      </c>
      <c r="AK165" s="1" t="s">
        <v>1032</v>
      </c>
      <c r="AL165" s="1" t="s">
        <v>2834</v>
      </c>
      <c r="AM165" s="1">
        <v>178</v>
      </c>
      <c r="AN165" s="1">
        <v>74</v>
      </c>
      <c r="AO165" s="1">
        <v>9</v>
      </c>
      <c r="AP165" s="1">
        <v>85</v>
      </c>
      <c r="AQ165" s="1">
        <v>81</v>
      </c>
      <c r="AR165" s="1">
        <v>163</v>
      </c>
      <c r="AS165" s="1" t="s">
        <v>2808</v>
      </c>
      <c r="AT165" s="1" t="s">
        <v>862</v>
      </c>
      <c r="AU165" s="1">
        <v>1</v>
      </c>
      <c r="AV165" s="1">
        <v>7.53</v>
      </c>
      <c r="AW165" s="1">
        <v>7.2274000000000003</v>
      </c>
      <c r="AX165" s="1">
        <v>5880</v>
      </c>
      <c r="AY165" s="1" t="s">
        <v>926</v>
      </c>
      <c r="AZ165" s="1" t="s">
        <v>2812</v>
      </c>
      <c r="BA165" t="s">
        <v>2863</v>
      </c>
    </row>
    <row r="166" spans="1:53" ht="19" customHeight="1">
      <c r="A166" s="4" t="s">
        <v>1105</v>
      </c>
      <c r="B166" s="4">
        <v>40.747999999999998</v>
      </c>
      <c r="C166" s="4">
        <v>29.99</v>
      </c>
      <c r="D166" s="4">
        <v>16</v>
      </c>
      <c r="E166" s="4">
        <v>7.5</v>
      </c>
      <c r="F166" s="4" t="s">
        <v>1032</v>
      </c>
      <c r="G166" s="4" t="s">
        <v>928</v>
      </c>
      <c r="H166" s="4">
        <v>29.96</v>
      </c>
      <c r="I166" s="4">
        <v>40.79</v>
      </c>
      <c r="J166" s="4">
        <v>811</v>
      </c>
      <c r="K166" s="4">
        <v>7.21</v>
      </c>
      <c r="L166" s="4" t="b">
        <v>1</v>
      </c>
      <c r="M166" s="4">
        <v>5.3689999999999998</v>
      </c>
      <c r="N166" s="4" t="b">
        <v>0</v>
      </c>
      <c r="O166" s="4" t="s">
        <v>1029</v>
      </c>
      <c r="P166" s="4" t="b">
        <v>0</v>
      </c>
      <c r="Q166" s="4">
        <v>225.797</v>
      </c>
      <c r="R166" s="4">
        <v>162.00899999999999</v>
      </c>
      <c r="S166" s="4">
        <v>142.148</v>
      </c>
      <c r="T166" s="4">
        <v>38.279800000000002</v>
      </c>
      <c r="U166" s="4">
        <v>22.3262</v>
      </c>
      <c r="V166" s="4">
        <v>12.395200000000001</v>
      </c>
      <c r="W166" s="4">
        <v>24.3264</v>
      </c>
      <c r="X166" s="4">
        <v>11.8104</v>
      </c>
      <c r="Y166" s="4">
        <v>11.5053</v>
      </c>
      <c r="Z166" s="4">
        <v>-2.6452599999999999</v>
      </c>
      <c r="AA166" s="4">
        <v>-1.0224899999999999</v>
      </c>
      <c r="AB166" s="4">
        <v>-1.7650600000000001</v>
      </c>
      <c r="AC166" s="1" t="s">
        <v>208</v>
      </c>
      <c r="AD166" s="1" t="s">
        <v>2735</v>
      </c>
      <c r="AE166" s="1" t="s">
        <v>2736</v>
      </c>
      <c r="AF166" s="1">
        <v>7.5</v>
      </c>
      <c r="AG166" s="1" t="s">
        <v>1003</v>
      </c>
      <c r="AH166" s="1">
        <v>40.747999999999998</v>
      </c>
      <c r="AI166" s="1">
        <v>29.99</v>
      </c>
      <c r="AJ166" s="1">
        <v>16</v>
      </c>
      <c r="AK166" s="1" t="s">
        <v>1032</v>
      </c>
      <c r="AL166" s="1" t="s">
        <v>2834</v>
      </c>
      <c r="AM166" s="1">
        <v>178</v>
      </c>
      <c r="AN166" s="1">
        <v>74</v>
      </c>
      <c r="AO166" s="1">
        <v>9</v>
      </c>
      <c r="AP166" s="1">
        <v>85</v>
      </c>
      <c r="AQ166" s="1">
        <v>81</v>
      </c>
      <c r="AR166" s="1">
        <v>163</v>
      </c>
      <c r="AS166" s="1" t="s">
        <v>2808</v>
      </c>
      <c r="AT166" s="1" t="s">
        <v>862</v>
      </c>
      <c r="AU166" s="1">
        <v>1</v>
      </c>
      <c r="AV166" s="1">
        <v>7.53</v>
      </c>
      <c r="AW166" s="1">
        <v>7.2274000000000003</v>
      </c>
      <c r="AX166" s="1">
        <v>5880</v>
      </c>
      <c r="AY166" s="1" t="s">
        <v>926</v>
      </c>
      <c r="AZ166" s="1" t="s">
        <v>2812</v>
      </c>
      <c r="BA166" t="s">
        <v>2863</v>
      </c>
    </row>
    <row r="167" spans="1:53" ht="19" customHeight="1">
      <c r="A167" s="4" t="s">
        <v>1105</v>
      </c>
      <c r="B167" s="4">
        <v>40.747999999999998</v>
      </c>
      <c r="C167" s="4">
        <v>29.99</v>
      </c>
      <c r="D167" s="4">
        <v>16</v>
      </c>
      <c r="E167" s="4">
        <v>7.5</v>
      </c>
      <c r="F167" s="4" t="s">
        <v>1032</v>
      </c>
      <c r="G167" s="4" t="s">
        <v>929</v>
      </c>
      <c r="H167" s="4">
        <v>29.762</v>
      </c>
      <c r="I167" s="4">
        <v>40.764400000000002</v>
      </c>
      <c r="J167" s="4">
        <v>297</v>
      </c>
      <c r="K167" s="4">
        <v>4.83</v>
      </c>
      <c r="L167" s="4" t="b">
        <v>1</v>
      </c>
      <c r="M167" s="4">
        <v>4.9489999999999998</v>
      </c>
      <c r="N167" s="4" t="b">
        <v>0</v>
      </c>
      <c r="O167" s="4" t="s">
        <v>1029</v>
      </c>
      <c r="P167" s="4" t="b">
        <v>0</v>
      </c>
      <c r="Q167" s="4">
        <v>222.446</v>
      </c>
      <c r="R167" s="4">
        <v>315.69099999999997</v>
      </c>
      <c r="S167" s="4">
        <v>236.983</v>
      </c>
      <c r="T167" s="4">
        <v>69.731700000000004</v>
      </c>
      <c r="U167" s="4">
        <v>71.894499999999994</v>
      </c>
      <c r="V167" s="4">
        <v>30.777699999999999</v>
      </c>
      <c r="W167" s="4">
        <v>62.397100000000002</v>
      </c>
      <c r="X167" s="4">
        <v>47.352600000000002</v>
      </c>
      <c r="Y167" s="4">
        <v>29.4968</v>
      </c>
      <c r="Z167" s="4">
        <v>0.84947499999999998</v>
      </c>
      <c r="AA167" s="4">
        <v>-0.85591799999999996</v>
      </c>
      <c r="AB167" s="4">
        <v>0.72178699999999996</v>
      </c>
      <c r="AC167" s="1" t="s">
        <v>208</v>
      </c>
      <c r="AD167" s="1" t="s">
        <v>2735</v>
      </c>
      <c r="AE167" s="1" t="s">
        <v>2736</v>
      </c>
      <c r="AF167" s="1">
        <v>7.5</v>
      </c>
      <c r="AG167" s="1" t="s">
        <v>1003</v>
      </c>
      <c r="AH167" s="1">
        <v>40.747999999999998</v>
      </c>
      <c r="AI167" s="1">
        <v>29.99</v>
      </c>
      <c r="AJ167" s="1">
        <v>16</v>
      </c>
      <c r="AK167" s="1" t="s">
        <v>1032</v>
      </c>
      <c r="AL167" s="1" t="s">
        <v>2834</v>
      </c>
      <c r="AM167" s="1">
        <v>178</v>
      </c>
      <c r="AN167" s="1">
        <v>74</v>
      </c>
      <c r="AO167" s="1">
        <v>9</v>
      </c>
      <c r="AP167" s="1">
        <v>85</v>
      </c>
      <c r="AQ167" s="1">
        <v>81</v>
      </c>
      <c r="AR167" s="1">
        <v>163</v>
      </c>
      <c r="AS167" s="1" t="s">
        <v>2808</v>
      </c>
      <c r="AT167" s="1" t="s">
        <v>862</v>
      </c>
      <c r="AU167" s="1">
        <v>1</v>
      </c>
      <c r="AV167" s="1">
        <v>7.53</v>
      </c>
      <c r="AW167" s="1">
        <v>7.2274000000000003</v>
      </c>
      <c r="AX167" s="1">
        <v>5880</v>
      </c>
      <c r="AY167" s="1" t="s">
        <v>926</v>
      </c>
      <c r="AZ167" s="1" t="s">
        <v>2812</v>
      </c>
      <c r="BA167" t="s">
        <v>2863</v>
      </c>
    </row>
    <row r="168" spans="1:53" ht="19" customHeight="1">
      <c r="A168" s="4" t="s">
        <v>1106</v>
      </c>
      <c r="B168" s="4">
        <v>35.274999999999999</v>
      </c>
      <c r="C168" s="4">
        <v>133.35</v>
      </c>
      <c r="D168" s="4">
        <v>12.5</v>
      </c>
      <c r="E168" s="4">
        <v>6.6</v>
      </c>
      <c r="F168" s="4" t="s">
        <v>1032</v>
      </c>
      <c r="G168" s="4" t="s">
        <v>931</v>
      </c>
      <c r="H168" s="4">
        <v>133.33269999999999</v>
      </c>
      <c r="I168" s="4">
        <v>35.422699999999999</v>
      </c>
      <c r="J168" s="4">
        <v>139.21</v>
      </c>
      <c r="K168" s="4">
        <v>6.88</v>
      </c>
      <c r="L168" s="4" t="b">
        <v>1</v>
      </c>
      <c r="M168" s="4">
        <v>1.54</v>
      </c>
      <c r="N168" s="4" t="b">
        <v>0</v>
      </c>
      <c r="O168" s="4" t="s">
        <v>1029</v>
      </c>
      <c r="P168" s="4" t="b">
        <v>0</v>
      </c>
      <c r="Q168" s="4">
        <v>383.91300000000001</v>
      </c>
      <c r="R168" s="4">
        <v>313.80200000000002</v>
      </c>
      <c r="S168" s="4">
        <v>309.81099999999998</v>
      </c>
      <c r="T168" s="4">
        <v>54.240099999999998</v>
      </c>
      <c r="U168" s="4">
        <v>35.529299999999999</v>
      </c>
      <c r="V168" s="4">
        <v>9.7539499999999997</v>
      </c>
      <c r="W168" s="4">
        <v>20.685300000000002</v>
      </c>
      <c r="X168" s="4">
        <v>25.6751</v>
      </c>
      <c r="Y168" s="4">
        <v>4.75685</v>
      </c>
      <c r="Z168" s="4">
        <v>-0.38203100000000001</v>
      </c>
      <c r="AA168" s="4">
        <v>-0.25420500000000001</v>
      </c>
      <c r="AB168" s="4">
        <v>-0.166653</v>
      </c>
      <c r="AC168" s="1" t="s">
        <v>506</v>
      </c>
      <c r="AD168" s="1" t="s">
        <v>2741</v>
      </c>
      <c r="AE168" s="1" t="s">
        <v>2742</v>
      </c>
      <c r="AF168" s="1">
        <v>6.6</v>
      </c>
      <c r="AG168" s="1" t="s">
        <v>1003</v>
      </c>
      <c r="AH168" s="1">
        <v>35.274999999999999</v>
      </c>
      <c r="AI168" s="1">
        <v>133.35</v>
      </c>
      <c r="AJ168" s="1">
        <v>12.5</v>
      </c>
      <c r="AK168" s="1" t="s">
        <v>1032</v>
      </c>
      <c r="AL168" s="1" t="s">
        <v>2809</v>
      </c>
      <c r="AM168" s="1">
        <v>330</v>
      </c>
      <c r="AN168" s="1">
        <v>90</v>
      </c>
      <c r="AO168" s="1">
        <v>0</v>
      </c>
      <c r="AP168" s="1"/>
      <c r="AQ168" s="1"/>
      <c r="AR168" s="1"/>
      <c r="AS168" s="1" t="s">
        <v>2808</v>
      </c>
      <c r="AT168" s="1" t="s">
        <v>731</v>
      </c>
      <c r="AU168" s="1"/>
      <c r="AV168" s="1"/>
      <c r="AW168" s="1"/>
      <c r="AX168" s="1"/>
      <c r="AY168" s="1"/>
      <c r="AZ168" s="1" t="s">
        <v>2812</v>
      </c>
      <c r="BA168" t="s">
        <v>2864</v>
      </c>
    </row>
    <row r="169" spans="1:53" ht="19" customHeight="1">
      <c r="A169" s="4" t="s">
        <v>519</v>
      </c>
      <c r="B169" s="4">
        <v>23.2803</v>
      </c>
      <c r="C169" s="4">
        <v>120.6587</v>
      </c>
      <c r="D169" s="4">
        <v>5.83</v>
      </c>
      <c r="E169" s="4">
        <v>4.99</v>
      </c>
      <c r="F169" s="4" t="s">
        <v>1028</v>
      </c>
      <c r="G169" s="4" t="s">
        <v>1107</v>
      </c>
      <c r="H169" s="4">
        <v>120.59266700000001</v>
      </c>
      <c r="I169" s="4">
        <v>23.294499999999999</v>
      </c>
      <c r="J169" s="4">
        <v>341.80239999999998</v>
      </c>
      <c r="K169" s="4">
        <v>6.6895509999999998</v>
      </c>
      <c r="L169" s="4" t="b">
        <v>1</v>
      </c>
      <c r="M169" s="4">
        <v>0.63839999999999997</v>
      </c>
      <c r="N169" s="4" t="b">
        <v>0</v>
      </c>
      <c r="O169" s="4" t="s">
        <v>1029</v>
      </c>
      <c r="P169" s="4" t="b">
        <v>0</v>
      </c>
      <c r="Q169" s="4">
        <v>399.36799999999999</v>
      </c>
      <c r="R169" s="4">
        <v>356.74200000000002</v>
      </c>
      <c r="S169" s="4">
        <v>198.75299999999999</v>
      </c>
      <c r="T169" s="4">
        <v>26.241299999999999</v>
      </c>
      <c r="U169" s="4">
        <v>19.0671</v>
      </c>
      <c r="V169" s="4">
        <v>9.0181199999999997</v>
      </c>
      <c r="W169" s="4">
        <v>2.4661599999999999</v>
      </c>
      <c r="X169" s="4">
        <v>1.8847700000000001</v>
      </c>
      <c r="Y169" s="4">
        <v>1.2892999999999999</v>
      </c>
      <c r="Z169" s="4">
        <v>1.2148000000000001E-2</v>
      </c>
      <c r="AA169" s="4">
        <v>3.8595999999999998E-2</v>
      </c>
      <c r="AB169" s="4">
        <v>2.9191000000000002E-2</v>
      </c>
      <c r="AC169" s="1" t="s">
        <v>518</v>
      </c>
      <c r="AD169" s="1" t="s">
        <v>2866</v>
      </c>
      <c r="AE169" s="1" t="s">
        <v>2867</v>
      </c>
      <c r="AF169" s="1">
        <v>4.99</v>
      </c>
      <c r="AG169" s="1" t="s">
        <v>1003</v>
      </c>
      <c r="AH169" s="1">
        <v>23.2803</v>
      </c>
      <c r="AI169" s="1">
        <v>120.6587</v>
      </c>
      <c r="AJ169" s="1">
        <v>5.83</v>
      </c>
      <c r="AK169" s="1" t="s">
        <v>1028</v>
      </c>
      <c r="AL169" s="1"/>
      <c r="AM169" s="1"/>
      <c r="AN169" s="1"/>
      <c r="AO169" s="1"/>
      <c r="AP169" s="1"/>
      <c r="AQ169" s="1"/>
      <c r="AR169" s="1"/>
      <c r="AS169" s="1" t="s">
        <v>2808</v>
      </c>
      <c r="AT169" s="1" t="s">
        <v>731</v>
      </c>
      <c r="AU169" s="1"/>
      <c r="AV169" s="1"/>
      <c r="AW169" s="1"/>
      <c r="AX169" s="1"/>
      <c r="AY169" s="1"/>
      <c r="AZ169" s="1" t="s">
        <v>2812</v>
      </c>
      <c r="BA169" t="s">
        <v>2870</v>
      </c>
    </row>
    <row r="170" spans="1:53" ht="19" customHeight="1">
      <c r="A170" s="4" t="s">
        <v>1108</v>
      </c>
      <c r="B170" s="4">
        <v>63.542000000000002</v>
      </c>
      <c r="C170" s="4">
        <v>-147.4444</v>
      </c>
      <c r="D170" s="4">
        <v>8.9</v>
      </c>
      <c r="E170" s="4">
        <v>7.9</v>
      </c>
      <c r="F170" s="4" t="s">
        <v>1032</v>
      </c>
      <c r="G170" s="4" t="s">
        <v>1109</v>
      </c>
      <c r="H170" s="4">
        <v>-145.76580000000001</v>
      </c>
      <c r="I170" s="4">
        <v>63.423900000000003</v>
      </c>
      <c r="J170" s="4">
        <v>329.4</v>
      </c>
      <c r="K170" s="4">
        <v>2.74</v>
      </c>
      <c r="L170" s="4" t="b">
        <v>1</v>
      </c>
      <c r="M170" s="4">
        <v>3.157</v>
      </c>
      <c r="N170" s="4" t="b">
        <v>1</v>
      </c>
      <c r="O170" s="4">
        <v>4.4870000000000001</v>
      </c>
      <c r="P170" s="4" t="b">
        <v>0</v>
      </c>
      <c r="Q170" s="4">
        <v>326.28100000000001</v>
      </c>
      <c r="R170" s="4">
        <v>291.75900000000001</v>
      </c>
      <c r="S170" s="4">
        <v>233.732</v>
      </c>
      <c r="T170" s="4">
        <v>115.73399999999999</v>
      </c>
      <c r="U170" s="4">
        <v>65.964799999999997</v>
      </c>
      <c r="V170" s="4">
        <v>51.1325</v>
      </c>
      <c r="W170" s="4">
        <v>53.442100000000003</v>
      </c>
      <c r="X170" s="4">
        <v>36.698900000000002</v>
      </c>
      <c r="Y170" s="4">
        <v>19.754000000000001</v>
      </c>
      <c r="Z170" s="4">
        <v>-2.5187000000000001E-2</v>
      </c>
      <c r="AA170" s="4">
        <v>1.2499E-2</v>
      </c>
      <c r="AB170" s="4">
        <v>-2.3189999999999999E-2</v>
      </c>
      <c r="AC170" s="1" t="s">
        <v>214</v>
      </c>
      <c r="AD170" s="1" t="s">
        <v>2750</v>
      </c>
      <c r="AE170" s="1" t="s">
        <v>2751</v>
      </c>
      <c r="AF170" s="1">
        <v>7.9</v>
      </c>
      <c r="AG170" s="1" t="s">
        <v>1003</v>
      </c>
      <c r="AH170" s="1">
        <v>63.542000000000002</v>
      </c>
      <c r="AI170" s="1">
        <v>-147.4444</v>
      </c>
      <c r="AJ170" s="1">
        <v>8.9</v>
      </c>
      <c r="AK170" s="1" t="s">
        <v>1032</v>
      </c>
      <c r="AL170" s="1" t="s">
        <v>2834</v>
      </c>
      <c r="AM170" s="1">
        <v>209</v>
      </c>
      <c r="AN170" s="1">
        <v>73</v>
      </c>
      <c r="AO170" s="1">
        <v>24</v>
      </c>
      <c r="AP170" s="1">
        <v>112</v>
      </c>
      <c r="AQ170" s="1">
        <v>66</v>
      </c>
      <c r="AR170" s="1">
        <v>162</v>
      </c>
      <c r="AS170" s="1" t="s">
        <v>2808</v>
      </c>
      <c r="AT170" s="1" t="s">
        <v>862</v>
      </c>
      <c r="AU170" s="1">
        <v>5</v>
      </c>
      <c r="AV170" s="1">
        <v>7.97</v>
      </c>
      <c r="AW170" s="1">
        <v>14.9975</v>
      </c>
      <c r="AX170" s="1">
        <v>11760</v>
      </c>
      <c r="AY170" s="1" t="s">
        <v>935</v>
      </c>
      <c r="AZ170" s="1" t="s">
        <v>2812</v>
      </c>
      <c r="BA170" t="s">
        <v>2872</v>
      </c>
    </row>
    <row r="171" spans="1:53" ht="19" customHeight="1">
      <c r="A171" s="4" t="s">
        <v>529</v>
      </c>
      <c r="B171" s="4">
        <v>24.1602</v>
      </c>
      <c r="C171" s="4">
        <v>122.172</v>
      </c>
      <c r="D171" s="4">
        <v>33</v>
      </c>
      <c r="E171" s="4">
        <v>7.12</v>
      </c>
      <c r="F171" s="4" t="s">
        <v>1055</v>
      </c>
      <c r="G171" s="4" t="s">
        <v>1110</v>
      </c>
      <c r="H171" s="4">
        <v>121.7667</v>
      </c>
      <c r="I171" s="4">
        <v>24.689</v>
      </c>
      <c r="J171" s="4">
        <v>267.47000000000003</v>
      </c>
      <c r="K171" s="4">
        <v>73.7684</v>
      </c>
      <c r="L171" s="4" t="b">
        <v>1</v>
      </c>
      <c r="M171" s="4">
        <v>2.1</v>
      </c>
      <c r="N171" s="4" t="b">
        <v>0</v>
      </c>
      <c r="O171" s="4" t="s">
        <v>1029</v>
      </c>
      <c r="P171" s="4" t="b">
        <v>0</v>
      </c>
      <c r="Q171" s="4">
        <v>120.33766799999999</v>
      </c>
      <c r="R171" s="4">
        <v>131.84339700000001</v>
      </c>
      <c r="S171" s="4">
        <v>28.553106</v>
      </c>
      <c r="T171" s="4">
        <v>18.144549999999999</v>
      </c>
      <c r="U171" s="4">
        <v>29.690729999999999</v>
      </c>
      <c r="V171" s="4">
        <v>5.2772699999999997</v>
      </c>
      <c r="W171" s="4">
        <v>8.2054819999999999</v>
      </c>
      <c r="X171" s="4">
        <v>12.512456</v>
      </c>
      <c r="Y171" s="4">
        <v>1.7522420000000001</v>
      </c>
      <c r="Z171" s="4">
        <v>5.6778000000000002E-2</v>
      </c>
      <c r="AA171" s="4">
        <v>0.21587000000000001</v>
      </c>
      <c r="AB171" s="4">
        <v>9.7961999999999994E-2</v>
      </c>
      <c r="AC171" s="1" t="s">
        <v>528</v>
      </c>
      <c r="AD171" s="1" t="s">
        <v>2874</v>
      </c>
      <c r="AE171" s="1" t="s">
        <v>2875</v>
      </c>
      <c r="AF171" s="1">
        <v>7.12</v>
      </c>
      <c r="AG171" s="1" t="s">
        <v>1003</v>
      </c>
      <c r="AH171" s="1">
        <v>24.1602</v>
      </c>
      <c r="AI171" s="1">
        <v>122.172</v>
      </c>
      <c r="AJ171" s="1">
        <v>33</v>
      </c>
      <c r="AK171" s="1" t="s">
        <v>1055</v>
      </c>
      <c r="AL171" s="1" t="s">
        <v>2834</v>
      </c>
      <c r="AM171" s="1">
        <v>286</v>
      </c>
      <c r="AN171" s="1">
        <v>34</v>
      </c>
      <c r="AO171" s="1">
        <v>111</v>
      </c>
      <c r="AP171" s="1">
        <v>81</v>
      </c>
      <c r="AQ171" s="1">
        <v>57</v>
      </c>
      <c r="AR171" s="1">
        <v>75</v>
      </c>
      <c r="AS171" s="1" t="s">
        <v>2808</v>
      </c>
      <c r="AT171" s="1" t="s">
        <v>731</v>
      </c>
      <c r="AU171" s="1"/>
      <c r="AV171" s="1"/>
      <c r="AW171" s="1"/>
      <c r="AX171" s="1"/>
      <c r="AY171" s="1"/>
      <c r="AZ171" s="1" t="s">
        <v>2812</v>
      </c>
      <c r="BA171" t="s">
        <v>2877</v>
      </c>
    </row>
    <row r="172" spans="1:53" ht="19" customHeight="1">
      <c r="A172" s="4" t="s">
        <v>529</v>
      </c>
      <c r="B172" s="4">
        <v>24.1602</v>
      </c>
      <c r="C172" s="4">
        <v>122.172</v>
      </c>
      <c r="D172" s="4">
        <v>33</v>
      </c>
      <c r="E172" s="4">
        <v>7.12</v>
      </c>
      <c r="F172" s="4" t="s">
        <v>1055</v>
      </c>
      <c r="G172" s="4" t="s">
        <v>1111</v>
      </c>
      <c r="H172" s="4">
        <v>121.7547</v>
      </c>
      <c r="I172" s="4">
        <v>24.753499999999999</v>
      </c>
      <c r="J172" s="4">
        <v>218.38</v>
      </c>
      <c r="K172" s="4">
        <v>79.336799999999997</v>
      </c>
      <c r="L172" s="4" t="b">
        <v>1</v>
      </c>
      <c r="M172" s="4">
        <v>1.456</v>
      </c>
      <c r="N172" s="4" t="b">
        <v>0</v>
      </c>
      <c r="O172" s="4" t="s">
        <v>1029</v>
      </c>
      <c r="P172" s="4" t="b">
        <v>0</v>
      </c>
      <c r="Q172" s="4">
        <v>123.688084</v>
      </c>
      <c r="R172" s="4">
        <v>196.940755</v>
      </c>
      <c r="S172" s="4">
        <v>46.185079999999999</v>
      </c>
      <c r="T172" s="4">
        <v>33.379519999999999</v>
      </c>
      <c r="U172" s="4">
        <v>36.625540000000001</v>
      </c>
      <c r="V172" s="4">
        <v>8.1406349999999996</v>
      </c>
      <c r="W172" s="4">
        <v>9.1501289999999997</v>
      </c>
      <c r="X172" s="4">
        <v>12.017984999999999</v>
      </c>
      <c r="Y172" s="4">
        <v>3.1490490000000002</v>
      </c>
      <c r="Z172" s="4">
        <v>0.49476300000000001</v>
      </c>
      <c r="AA172" s="4">
        <v>-7.8036999999999995E-2</v>
      </c>
      <c r="AB172" s="4">
        <v>0.110332</v>
      </c>
      <c r="AC172" s="1" t="s">
        <v>528</v>
      </c>
      <c r="AD172" s="1" t="s">
        <v>2874</v>
      </c>
      <c r="AE172" s="1" t="s">
        <v>2875</v>
      </c>
      <c r="AF172" s="1">
        <v>7.12</v>
      </c>
      <c r="AG172" s="1" t="s">
        <v>1003</v>
      </c>
      <c r="AH172" s="1">
        <v>24.1602</v>
      </c>
      <c r="AI172" s="1">
        <v>122.172</v>
      </c>
      <c r="AJ172" s="1">
        <v>33</v>
      </c>
      <c r="AK172" s="1" t="s">
        <v>1055</v>
      </c>
      <c r="AL172" s="1" t="s">
        <v>2834</v>
      </c>
      <c r="AM172" s="1">
        <v>286</v>
      </c>
      <c r="AN172" s="1">
        <v>34</v>
      </c>
      <c r="AO172" s="1">
        <v>111</v>
      </c>
      <c r="AP172" s="1">
        <v>81</v>
      </c>
      <c r="AQ172" s="1">
        <v>57</v>
      </c>
      <c r="AR172" s="1">
        <v>75</v>
      </c>
      <c r="AS172" s="1" t="s">
        <v>2808</v>
      </c>
      <c r="AT172" s="1" t="s">
        <v>731</v>
      </c>
      <c r="AU172" s="1"/>
      <c r="AV172" s="1"/>
      <c r="AW172" s="1"/>
      <c r="AX172" s="1"/>
      <c r="AY172" s="1"/>
      <c r="AZ172" s="1" t="s">
        <v>2812</v>
      </c>
      <c r="BA172" t="s">
        <v>2877</v>
      </c>
    </row>
    <row r="173" spans="1:53" ht="19" customHeight="1">
      <c r="A173" s="4" t="s">
        <v>529</v>
      </c>
      <c r="B173" s="4">
        <v>24.1602</v>
      </c>
      <c r="C173" s="4">
        <v>122.172</v>
      </c>
      <c r="D173" s="4">
        <v>33</v>
      </c>
      <c r="E173" s="4">
        <v>7.12</v>
      </c>
      <c r="F173" s="4" t="s">
        <v>1055</v>
      </c>
      <c r="G173" s="4" t="s">
        <v>1112</v>
      </c>
      <c r="H173" s="4">
        <v>121.744</v>
      </c>
      <c r="I173" s="4">
        <v>24.719799999999999</v>
      </c>
      <c r="J173" s="4">
        <v>243.85</v>
      </c>
      <c r="K173" s="4">
        <v>77.3078</v>
      </c>
      <c r="L173" s="4" t="b">
        <v>1</v>
      </c>
      <c r="M173" s="4">
        <v>2.1</v>
      </c>
      <c r="N173" s="4" t="b">
        <v>0</v>
      </c>
      <c r="O173" s="4" t="s">
        <v>1029</v>
      </c>
      <c r="P173" s="4" t="b">
        <v>0</v>
      </c>
      <c r="Q173" s="4">
        <v>77.655158999999998</v>
      </c>
      <c r="R173" s="4">
        <v>129.650161</v>
      </c>
      <c r="S173" s="4">
        <v>34.194856999999999</v>
      </c>
      <c r="T173" s="4">
        <v>15.116440000000001</v>
      </c>
      <c r="U173" s="4">
        <v>26.890470000000001</v>
      </c>
      <c r="V173" s="4">
        <v>4.2301149999999996</v>
      </c>
      <c r="W173" s="4">
        <v>7.7652900000000002</v>
      </c>
      <c r="X173" s="4">
        <v>10.94158</v>
      </c>
      <c r="Y173" s="4">
        <v>2.2103269999999999</v>
      </c>
      <c r="Z173" s="4">
        <v>-1.823E-2</v>
      </c>
      <c r="AA173" s="4">
        <v>0.185142</v>
      </c>
      <c r="AB173" s="4">
        <v>0.13073799999999999</v>
      </c>
      <c r="AC173" s="1" t="s">
        <v>528</v>
      </c>
      <c r="AD173" s="1" t="s">
        <v>2874</v>
      </c>
      <c r="AE173" s="1" t="s">
        <v>2875</v>
      </c>
      <c r="AF173" s="1">
        <v>7.12</v>
      </c>
      <c r="AG173" s="1" t="s">
        <v>1003</v>
      </c>
      <c r="AH173" s="1">
        <v>24.1602</v>
      </c>
      <c r="AI173" s="1">
        <v>122.172</v>
      </c>
      <c r="AJ173" s="1">
        <v>33</v>
      </c>
      <c r="AK173" s="1" t="s">
        <v>1055</v>
      </c>
      <c r="AL173" s="1" t="s">
        <v>2834</v>
      </c>
      <c r="AM173" s="1">
        <v>286</v>
      </c>
      <c r="AN173" s="1">
        <v>34</v>
      </c>
      <c r="AO173" s="1">
        <v>111</v>
      </c>
      <c r="AP173" s="1">
        <v>81</v>
      </c>
      <c r="AQ173" s="1">
        <v>57</v>
      </c>
      <c r="AR173" s="1">
        <v>75</v>
      </c>
      <c r="AS173" s="1" t="s">
        <v>2808</v>
      </c>
      <c r="AT173" s="1" t="s">
        <v>731</v>
      </c>
      <c r="AU173" s="1"/>
      <c r="AV173" s="1"/>
      <c r="AW173" s="1"/>
      <c r="AX173" s="1"/>
      <c r="AY173" s="1"/>
      <c r="AZ173" s="1" t="s">
        <v>2812</v>
      </c>
      <c r="BA173" t="s">
        <v>2877</v>
      </c>
    </row>
    <row r="174" spans="1:53" ht="19" customHeight="1">
      <c r="A174" s="4" t="s">
        <v>529</v>
      </c>
      <c r="B174" s="4">
        <v>24.1602</v>
      </c>
      <c r="C174" s="4">
        <v>122.172</v>
      </c>
      <c r="D174" s="4">
        <v>33</v>
      </c>
      <c r="E174" s="4">
        <v>7.12</v>
      </c>
      <c r="F174" s="4" t="s">
        <v>1055</v>
      </c>
      <c r="G174" s="4" t="s">
        <v>1113</v>
      </c>
      <c r="H174" s="4">
        <v>121.7988</v>
      </c>
      <c r="I174" s="4">
        <v>24.772300000000001</v>
      </c>
      <c r="J174" s="4">
        <v>188.35</v>
      </c>
      <c r="K174" s="4">
        <v>78.676000000000002</v>
      </c>
      <c r="L174" s="4" t="b">
        <v>1</v>
      </c>
      <c r="M174" s="4">
        <v>1.6128</v>
      </c>
      <c r="N174" s="4" t="b">
        <v>0</v>
      </c>
      <c r="O174" s="4" t="s">
        <v>1029</v>
      </c>
      <c r="P174" s="4" t="b">
        <v>0</v>
      </c>
      <c r="Q174" s="4">
        <v>137.338999</v>
      </c>
      <c r="R174" s="4">
        <v>130.63816800000001</v>
      </c>
      <c r="S174" s="4">
        <v>45.458339000000002</v>
      </c>
      <c r="T174" s="4">
        <v>37.751823999999999</v>
      </c>
      <c r="U174" s="4">
        <v>27.222380000000001</v>
      </c>
      <c r="V174" s="4">
        <v>7.1785119999999996</v>
      </c>
      <c r="W174" s="4">
        <v>16.142405</v>
      </c>
      <c r="X174" s="4">
        <v>15.080612</v>
      </c>
      <c r="Y174" s="4">
        <v>3.0241690000000001</v>
      </c>
      <c r="Z174" s="4">
        <v>-0.111979</v>
      </c>
      <c r="AA174" s="4">
        <v>0.16052900000000001</v>
      </c>
      <c r="AB174" s="4">
        <v>0.11516700000000001</v>
      </c>
      <c r="AC174" s="1" t="s">
        <v>528</v>
      </c>
      <c r="AD174" s="1" t="s">
        <v>2874</v>
      </c>
      <c r="AE174" s="1" t="s">
        <v>2875</v>
      </c>
      <c r="AF174" s="1">
        <v>7.12</v>
      </c>
      <c r="AG174" s="1" t="s">
        <v>1003</v>
      </c>
      <c r="AH174" s="1">
        <v>24.1602</v>
      </c>
      <c r="AI174" s="1">
        <v>122.172</v>
      </c>
      <c r="AJ174" s="1">
        <v>33</v>
      </c>
      <c r="AK174" s="1" t="s">
        <v>1055</v>
      </c>
      <c r="AL174" s="1" t="s">
        <v>2834</v>
      </c>
      <c r="AM174" s="1">
        <v>286</v>
      </c>
      <c r="AN174" s="1">
        <v>34</v>
      </c>
      <c r="AO174" s="1">
        <v>111</v>
      </c>
      <c r="AP174" s="1">
        <v>81</v>
      </c>
      <c r="AQ174" s="1">
        <v>57</v>
      </c>
      <c r="AR174" s="1">
        <v>75</v>
      </c>
      <c r="AS174" s="1" t="s">
        <v>2808</v>
      </c>
      <c r="AT174" s="1" t="s">
        <v>731</v>
      </c>
      <c r="AU174" s="1"/>
      <c r="AV174" s="1"/>
      <c r="AW174" s="1"/>
      <c r="AX174" s="1"/>
      <c r="AY174" s="1"/>
      <c r="AZ174" s="1" t="s">
        <v>2812</v>
      </c>
      <c r="BA174" t="s">
        <v>2877</v>
      </c>
    </row>
    <row r="175" spans="1:53" ht="19" customHeight="1">
      <c r="A175" s="4" t="s">
        <v>529</v>
      </c>
      <c r="B175" s="4">
        <v>24.1602</v>
      </c>
      <c r="C175" s="4">
        <v>122.172</v>
      </c>
      <c r="D175" s="4">
        <v>33</v>
      </c>
      <c r="E175" s="4">
        <v>7.12</v>
      </c>
      <c r="F175" s="4" t="s">
        <v>1055</v>
      </c>
      <c r="G175" s="4" t="s">
        <v>1114</v>
      </c>
      <c r="H175" s="4">
        <v>121.7563</v>
      </c>
      <c r="I175" s="4">
        <v>24.7638</v>
      </c>
      <c r="J175" s="4">
        <v>242.41</v>
      </c>
      <c r="K175" s="4">
        <v>80.0702</v>
      </c>
      <c r="L175" s="4" t="b">
        <v>1</v>
      </c>
      <c r="M175" s="4">
        <v>1.4770000000000001</v>
      </c>
      <c r="N175" s="4" t="b">
        <v>0</v>
      </c>
      <c r="O175" s="4" t="s">
        <v>1029</v>
      </c>
      <c r="P175" s="4" t="b">
        <v>0</v>
      </c>
      <c r="Q175" s="4">
        <v>159.60669799999999</v>
      </c>
      <c r="R175" s="4">
        <v>88.136843999999996</v>
      </c>
      <c r="S175" s="4">
        <v>41.361162</v>
      </c>
      <c r="T175" s="4">
        <v>27.38524</v>
      </c>
      <c r="U175" s="4">
        <v>15.550055</v>
      </c>
      <c r="V175" s="4">
        <v>4.9100400000000004</v>
      </c>
      <c r="W175" s="4">
        <v>10.776552000000001</v>
      </c>
      <c r="X175" s="4">
        <v>8.3056520000000003</v>
      </c>
      <c r="Y175" s="4">
        <v>2.096562</v>
      </c>
      <c r="Z175" s="4">
        <v>0.45246799999999998</v>
      </c>
      <c r="AA175" s="4">
        <v>-0.243173</v>
      </c>
      <c r="AB175" s="4">
        <v>9.1247999999999996E-2</v>
      </c>
      <c r="AC175" s="1" t="s">
        <v>528</v>
      </c>
      <c r="AD175" s="1" t="s">
        <v>2874</v>
      </c>
      <c r="AE175" s="1" t="s">
        <v>2875</v>
      </c>
      <c r="AF175" s="1">
        <v>7.12</v>
      </c>
      <c r="AG175" s="1" t="s">
        <v>1003</v>
      </c>
      <c r="AH175" s="1">
        <v>24.1602</v>
      </c>
      <c r="AI175" s="1">
        <v>122.172</v>
      </c>
      <c r="AJ175" s="1">
        <v>33</v>
      </c>
      <c r="AK175" s="1" t="s">
        <v>1055</v>
      </c>
      <c r="AL175" s="1" t="s">
        <v>2834</v>
      </c>
      <c r="AM175" s="1">
        <v>286</v>
      </c>
      <c r="AN175" s="1">
        <v>34</v>
      </c>
      <c r="AO175" s="1">
        <v>111</v>
      </c>
      <c r="AP175" s="1">
        <v>81</v>
      </c>
      <c r="AQ175" s="1">
        <v>57</v>
      </c>
      <c r="AR175" s="1">
        <v>75</v>
      </c>
      <c r="AS175" s="1" t="s">
        <v>2808</v>
      </c>
      <c r="AT175" s="1" t="s">
        <v>731</v>
      </c>
      <c r="AU175" s="1"/>
      <c r="AV175" s="1"/>
      <c r="AW175" s="1"/>
      <c r="AX175" s="1"/>
      <c r="AY175" s="1"/>
      <c r="AZ175" s="1" t="s">
        <v>2812</v>
      </c>
      <c r="BA175" t="s">
        <v>2877</v>
      </c>
    </row>
    <row r="176" spans="1:53" ht="19" customHeight="1">
      <c r="A176" s="4" t="s">
        <v>529</v>
      </c>
      <c r="B176" s="4">
        <v>24.1602</v>
      </c>
      <c r="C176" s="4">
        <v>122.172</v>
      </c>
      <c r="D176" s="4">
        <v>33</v>
      </c>
      <c r="E176" s="4">
        <v>7.12</v>
      </c>
      <c r="F176" s="4" t="s">
        <v>1055</v>
      </c>
      <c r="G176" s="4" t="s">
        <v>1115</v>
      </c>
      <c r="H176" s="4">
        <v>121.5337</v>
      </c>
      <c r="I176" s="4">
        <v>25.0565</v>
      </c>
      <c r="J176" s="4">
        <v>207.93</v>
      </c>
      <c r="K176" s="4">
        <v>116.34099999999999</v>
      </c>
      <c r="L176" s="4" t="b">
        <v>1</v>
      </c>
      <c r="M176" s="4">
        <v>3.024</v>
      </c>
      <c r="N176" s="4" t="b">
        <v>0</v>
      </c>
      <c r="O176" s="4" t="s">
        <v>1029</v>
      </c>
      <c r="P176" s="4" t="b">
        <v>0</v>
      </c>
      <c r="Q176" s="4">
        <v>76.570053000000001</v>
      </c>
      <c r="R176" s="4">
        <v>109.41052999999999</v>
      </c>
      <c r="S176" s="4">
        <v>38.199939999999998</v>
      </c>
      <c r="T176" s="4">
        <v>23.391449999999999</v>
      </c>
      <c r="U176" s="4">
        <v>19.092639999999999</v>
      </c>
      <c r="V176" s="4">
        <v>3.9141149999999998</v>
      </c>
      <c r="W176" s="4">
        <v>7.0985240000000003</v>
      </c>
      <c r="X176" s="4">
        <v>7.0955969999999997</v>
      </c>
      <c r="Y176" s="4">
        <v>2.241854</v>
      </c>
      <c r="Z176" s="4">
        <v>-4.6811999999999999E-2</v>
      </c>
      <c r="AA176" s="4">
        <v>0.113913</v>
      </c>
      <c r="AB176" s="4">
        <v>-0.23728299999999999</v>
      </c>
      <c r="AC176" s="1" t="s">
        <v>528</v>
      </c>
      <c r="AD176" s="1" t="s">
        <v>2874</v>
      </c>
      <c r="AE176" s="1" t="s">
        <v>2875</v>
      </c>
      <c r="AF176" s="1">
        <v>7.12</v>
      </c>
      <c r="AG176" s="1" t="s">
        <v>1003</v>
      </c>
      <c r="AH176" s="1">
        <v>24.1602</v>
      </c>
      <c r="AI176" s="1">
        <v>122.172</v>
      </c>
      <c r="AJ176" s="1">
        <v>33</v>
      </c>
      <c r="AK176" s="1" t="s">
        <v>1055</v>
      </c>
      <c r="AL176" s="1" t="s">
        <v>2834</v>
      </c>
      <c r="AM176" s="1">
        <v>286</v>
      </c>
      <c r="AN176" s="1">
        <v>34</v>
      </c>
      <c r="AO176" s="1">
        <v>111</v>
      </c>
      <c r="AP176" s="1">
        <v>81</v>
      </c>
      <c r="AQ176" s="1">
        <v>57</v>
      </c>
      <c r="AR176" s="1">
        <v>75</v>
      </c>
      <c r="AS176" s="1" t="s">
        <v>2808</v>
      </c>
      <c r="AT176" s="1" t="s">
        <v>731</v>
      </c>
      <c r="AU176" s="1"/>
      <c r="AV176" s="1"/>
      <c r="AW176" s="1"/>
      <c r="AX176" s="1"/>
      <c r="AY176" s="1"/>
      <c r="AZ176" s="1" t="s">
        <v>2812</v>
      </c>
      <c r="BA176" t="s">
        <v>2877</v>
      </c>
    </row>
    <row r="177" spans="1:53" ht="19" customHeight="1">
      <c r="A177" s="4" t="s">
        <v>529</v>
      </c>
      <c r="B177" s="4">
        <v>24.1602</v>
      </c>
      <c r="C177" s="4">
        <v>122.172</v>
      </c>
      <c r="D177" s="4">
        <v>33</v>
      </c>
      <c r="E177" s="4">
        <v>7.12</v>
      </c>
      <c r="F177" s="4" t="s">
        <v>1055</v>
      </c>
      <c r="G177" s="4" t="s">
        <v>1116</v>
      </c>
      <c r="H177" s="4">
        <v>121.455833</v>
      </c>
      <c r="I177" s="4">
        <v>25.051666999999998</v>
      </c>
      <c r="J177" s="4">
        <v>221.3777</v>
      </c>
      <c r="K177" s="4">
        <v>120.36310899999999</v>
      </c>
      <c r="L177" s="4" t="b">
        <v>1</v>
      </c>
      <c r="M177" s="4">
        <v>3.5070000000000001</v>
      </c>
      <c r="N177" s="4" t="b">
        <v>0</v>
      </c>
      <c r="O177" s="4" t="s">
        <v>1029</v>
      </c>
      <c r="P177" s="4" t="b">
        <v>0</v>
      </c>
      <c r="Q177" s="4">
        <v>49.832999999999998</v>
      </c>
      <c r="R177" s="4">
        <v>81.738</v>
      </c>
      <c r="S177" s="4">
        <v>41.401000000000003</v>
      </c>
      <c r="T177" s="4">
        <v>17.498100000000001</v>
      </c>
      <c r="U177" s="4">
        <v>27.446200000000001</v>
      </c>
      <c r="V177" s="4">
        <v>6.5732299999999997</v>
      </c>
      <c r="W177" s="4">
        <v>9.2275899999999993</v>
      </c>
      <c r="X177" s="4">
        <v>10.7356</v>
      </c>
      <c r="Y177" s="4">
        <v>4.1492800000000001</v>
      </c>
      <c r="Z177" s="4">
        <v>-1.1321699999999999</v>
      </c>
      <c r="AA177" s="4">
        <v>1.9601999999999999</v>
      </c>
      <c r="AB177" s="4">
        <v>-5.4369000000000001E-2</v>
      </c>
      <c r="AC177" s="1" t="s">
        <v>528</v>
      </c>
      <c r="AD177" s="1" t="s">
        <v>2874</v>
      </c>
      <c r="AE177" s="1" t="s">
        <v>2875</v>
      </c>
      <c r="AF177" s="1">
        <v>7.12</v>
      </c>
      <c r="AG177" s="1" t="s">
        <v>1003</v>
      </c>
      <c r="AH177" s="1">
        <v>24.1602</v>
      </c>
      <c r="AI177" s="1">
        <v>122.172</v>
      </c>
      <c r="AJ177" s="1">
        <v>33</v>
      </c>
      <c r="AK177" s="1" t="s">
        <v>1055</v>
      </c>
      <c r="AL177" s="1" t="s">
        <v>2834</v>
      </c>
      <c r="AM177" s="1">
        <v>286</v>
      </c>
      <c r="AN177" s="1">
        <v>34</v>
      </c>
      <c r="AO177" s="1">
        <v>111</v>
      </c>
      <c r="AP177" s="1">
        <v>81</v>
      </c>
      <c r="AQ177" s="1">
        <v>57</v>
      </c>
      <c r="AR177" s="1">
        <v>75</v>
      </c>
      <c r="AS177" s="1" t="s">
        <v>2808</v>
      </c>
      <c r="AT177" s="1" t="s">
        <v>731</v>
      </c>
      <c r="AU177" s="1"/>
      <c r="AV177" s="1"/>
      <c r="AW177" s="1"/>
      <c r="AX177" s="1"/>
      <c r="AY177" s="1"/>
      <c r="AZ177" s="1" t="s">
        <v>2812</v>
      </c>
      <c r="BA177" t="s">
        <v>2877</v>
      </c>
    </row>
    <row r="178" spans="1:53" ht="19" customHeight="1">
      <c r="A178" s="4" t="s">
        <v>529</v>
      </c>
      <c r="B178" s="4">
        <v>24.1602</v>
      </c>
      <c r="C178" s="4">
        <v>122.172</v>
      </c>
      <c r="D178" s="4">
        <v>33</v>
      </c>
      <c r="E178" s="4">
        <v>7.12</v>
      </c>
      <c r="F178" s="4" t="s">
        <v>1055</v>
      </c>
      <c r="G178" s="4" t="s">
        <v>1117</v>
      </c>
      <c r="H178" s="4">
        <v>121.534333</v>
      </c>
      <c r="I178" s="4">
        <v>25.037666999999999</v>
      </c>
      <c r="J178" s="4">
        <v>224.18170000000001</v>
      </c>
      <c r="K178" s="4">
        <v>114.670511</v>
      </c>
      <c r="L178" s="4" t="b">
        <v>1</v>
      </c>
      <c r="M178" s="4">
        <v>2.863</v>
      </c>
      <c r="N178" s="4" t="b">
        <v>0</v>
      </c>
      <c r="O178" s="4" t="s">
        <v>1029</v>
      </c>
      <c r="P178" s="4" t="b">
        <v>0</v>
      </c>
      <c r="Q178" s="4">
        <v>119.34399999999999</v>
      </c>
      <c r="R178" s="4">
        <v>98.260999999999996</v>
      </c>
      <c r="S178" s="4">
        <v>42.392000000000003</v>
      </c>
      <c r="T178" s="4">
        <v>32.0991</v>
      </c>
      <c r="U178" s="4">
        <v>20.930599999999998</v>
      </c>
      <c r="V178" s="4">
        <v>6.3189900000000003</v>
      </c>
      <c r="W178" s="4">
        <v>9.5419599999999996</v>
      </c>
      <c r="X178" s="4">
        <v>7.8719999999999999</v>
      </c>
      <c r="Y178" s="4">
        <v>3.0752899999999999</v>
      </c>
      <c r="Z178" s="4">
        <v>0.38163799999999998</v>
      </c>
      <c r="AA178" s="4">
        <v>0.17752799999999999</v>
      </c>
      <c r="AB178" s="4">
        <v>0.202343</v>
      </c>
      <c r="AC178" s="1" t="s">
        <v>528</v>
      </c>
      <c r="AD178" s="1" t="s">
        <v>2874</v>
      </c>
      <c r="AE178" s="1" t="s">
        <v>2875</v>
      </c>
      <c r="AF178" s="1">
        <v>7.12</v>
      </c>
      <c r="AG178" s="1" t="s">
        <v>1003</v>
      </c>
      <c r="AH178" s="1">
        <v>24.1602</v>
      </c>
      <c r="AI178" s="1">
        <v>122.172</v>
      </c>
      <c r="AJ178" s="1">
        <v>33</v>
      </c>
      <c r="AK178" s="1" t="s">
        <v>1055</v>
      </c>
      <c r="AL178" s="1" t="s">
        <v>2834</v>
      </c>
      <c r="AM178" s="1">
        <v>286</v>
      </c>
      <c r="AN178" s="1">
        <v>34</v>
      </c>
      <c r="AO178" s="1">
        <v>111</v>
      </c>
      <c r="AP178" s="1">
        <v>81</v>
      </c>
      <c r="AQ178" s="1">
        <v>57</v>
      </c>
      <c r="AR178" s="1">
        <v>75</v>
      </c>
      <c r="AS178" s="1" t="s">
        <v>2808</v>
      </c>
      <c r="AT178" s="1" t="s">
        <v>731</v>
      </c>
      <c r="AU178" s="1"/>
      <c r="AV178" s="1"/>
      <c r="AW178" s="1"/>
      <c r="AX178" s="1"/>
      <c r="AY178" s="1"/>
      <c r="AZ178" s="1" t="s">
        <v>2812</v>
      </c>
      <c r="BA178" t="s">
        <v>2877</v>
      </c>
    </row>
    <row r="179" spans="1:53" ht="19" customHeight="1">
      <c r="A179" s="4" t="s">
        <v>529</v>
      </c>
      <c r="B179" s="4">
        <v>24.1602</v>
      </c>
      <c r="C179" s="4">
        <v>122.172</v>
      </c>
      <c r="D179" s="4">
        <v>33</v>
      </c>
      <c r="E179" s="4">
        <v>7.12</v>
      </c>
      <c r="F179" s="4" t="s">
        <v>1055</v>
      </c>
      <c r="G179" s="4" t="s">
        <v>1118</v>
      </c>
      <c r="H179" s="4">
        <v>121.4415</v>
      </c>
      <c r="I179" s="4">
        <v>25.034333</v>
      </c>
      <c r="J179" s="4">
        <v>219.87729999999999</v>
      </c>
      <c r="K179" s="4">
        <v>119.804042</v>
      </c>
      <c r="L179" s="4" t="b">
        <v>1</v>
      </c>
      <c r="M179" s="4">
        <v>3.1709999999999998</v>
      </c>
      <c r="N179" s="4" t="b">
        <v>0</v>
      </c>
      <c r="O179" s="4" t="s">
        <v>1029</v>
      </c>
      <c r="P179" s="4" t="b">
        <v>0</v>
      </c>
      <c r="Q179" s="4">
        <v>71.061000000000007</v>
      </c>
      <c r="R179" s="4">
        <v>69.012</v>
      </c>
      <c r="S179" s="4">
        <v>25.213000000000001</v>
      </c>
      <c r="T179" s="4">
        <v>18.642600000000002</v>
      </c>
      <c r="U179" s="4">
        <v>24.486499999999999</v>
      </c>
      <c r="V179" s="4">
        <v>5.1106499999999997</v>
      </c>
      <c r="W179" s="4">
        <v>8.3665500000000002</v>
      </c>
      <c r="X179" s="4">
        <v>8.8246500000000001</v>
      </c>
      <c r="Y179" s="4">
        <v>3.5606200000000001</v>
      </c>
      <c r="Z179" s="4">
        <v>-3.2608999999999999E-2</v>
      </c>
      <c r="AA179" s="4">
        <v>-1.60968</v>
      </c>
      <c r="AB179" s="4">
        <v>-0.34068199999999998</v>
      </c>
      <c r="AC179" s="1" t="s">
        <v>528</v>
      </c>
      <c r="AD179" s="1" t="s">
        <v>2874</v>
      </c>
      <c r="AE179" s="1" t="s">
        <v>2875</v>
      </c>
      <c r="AF179" s="1">
        <v>7.12</v>
      </c>
      <c r="AG179" s="1" t="s">
        <v>1003</v>
      </c>
      <c r="AH179" s="1">
        <v>24.1602</v>
      </c>
      <c r="AI179" s="1">
        <v>122.172</v>
      </c>
      <c r="AJ179" s="1">
        <v>33</v>
      </c>
      <c r="AK179" s="1" t="s">
        <v>1055</v>
      </c>
      <c r="AL179" s="1" t="s">
        <v>2834</v>
      </c>
      <c r="AM179" s="1">
        <v>286</v>
      </c>
      <c r="AN179" s="1">
        <v>34</v>
      </c>
      <c r="AO179" s="1">
        <v>111</v>
      </c>
      <c r="AP179" s="1">
        <v>81</v>
      </c>
      <c r="AQ179" s="1">
        <v>57</v>
      </c>
      <c r="AR179" s="1">
        <v>75</v>
      </c>
      <c r="AS179" s="1" t="s">
        <v>2808</v>
      </c>
      <c r="AT179" s="1" t="s">
        <v>731</v>
      </c>
      <c r="AU179" s="1"/>
      <c r="AV179" s="1"/>
      <c r="AW179" s="1"/>
      <c r="AX179" s="1"/>
      <c r="AY179" s="1"/>
      <c r="AZ179" s="1" t="s">
        <v>2812</v>
      </c>
      <c r="BA179" t="s">
        <v>2877</v>
      </c>
    </row>
    <row r="180" spans="1:53" ht="19" customHeight="1">
      <c r="A180" s="4" t="s">
        <v>529</v>
      </c>
      <c r="B180" s="4">
        <v>24.1602</v>
      </c>
      <c r="C180" s="4">
        <v>122.172</v>
      </c>
      <c r="D180" s="4">
        <v>33</v>
      </c>
      <c r="E180" s="4">
        <v>7.12</v>
      </c>
      <c r="F180" s="4" t="s">
        <v>1055</v>
      </c>
      <c r="G180" s="4" t="s">
        <v>1119</v>
      </c>
      <c r="H180" s="4">
        <v>121.441667</v>
      </c>
      <c r="I180" s="4">
        <v>25.172667000000001</v>
      </c>
      <c r="J180" s="4">
        <v>432.52600000000001</v>
      </c>
      <c r="K180" s="4">
        <v>131.42486500000001</v>
      </c>
      <c r="L180" s="4" t="b">
        <v>1</v>
      </c>
      <c r="M180" s="4">
        <v>3.5209999999999999</v>
      </c>
      <c r="N180" s="4" t="b">
        <v>0</v>
      </c>
      <c r="O180" s="4" t="s">
        <v>1029</v>
      </c>
      <c r="P180" s="4" t="b">
        <v>0</v>
      </c>
      <c r="Q180" s="4">
        <v>52.5</v>
      </c>
      <c r="R180" s="4">
        <v>50.713999999999999</v>
      </c>
      <c r="S180" s="4">
        <v>38.335000000000001</v>
      </c>
      <c r="T180" s="4">
        <v>21.614000000000001</v>
      </c>
      <c r="U180" s="4">
        <v>17.796900000000001</v>
      </c>
      <c r="V180" s="4">
        <v>7.4862700000000002</v>
      </c>
      <c r="W180" s="4">
        <v>9.9664099999999998</v>
      </c>
      <c r="X180" s="4">
        <v>6.6042399999999999</v>
      </c>
      <c r="Y180" s="4">
        <v>4.9691700000000001</v>
      </c>
      <c r="Z180" s="4">
        <v>1.1468700000000001</v>
      </c>
      <c r="AA180" s="4">
        <v>0.103954</v>
      </c>
      <c r="AB180" s="4">
        <v>0.33831800000000001</v>
      </c>
      <c r="AC180" s="1" t="s">
        <v>528</v>
      </c>
      <c r="AD180" s="1" t="s">
        <v>2874</v>
      </c>
      <c r="AE180" s="1" t="s">
        <v>2875</v>
      </c>
      <c r="AF180" s="1">
        <v>7.12</v>
      </c>
      <c r="AG180" s="1" t="s">
        <v>1003</v>
      </c>
      <c r="AH180" s="1">
        <v>24.1602</v>
      </c>
      <c r="AI180" s="1">
        <v>122.172</v>
      </c>
      <c r="AJ180" s="1">
        <v>33</v>
      </c>
      <c r="AK180" s="1" t="s">
        <v>1055</v>
      </c>
      <c r="AL180" s="1" t="s">
        <v>2834</v>
      </c>
      <c r="AM180" s="1">
        <v>286</v>
      </c>
      <c r="AN180" s="1">
        <v>34</v>
      </c>
      <c r="AO180" s="1">
        <v>111</v>
      </c>
      <c r="AP180" s="1">
        <v>81</v>
      </c>
      <c r="AQ180" s="1">
        <v>57</v>
      </c>
      <c r="AR180" s="1">
        <v>75</v>
      </c>
      <c r="AS180" s="1" t="s">
        <v>2808</v>
      </c>
      <c r="AT180" s="1" t="s">
        <v>731</v>
      </c>
      <c r="AU180" s="1"/>
      <c r="AV180" s="1"/>
      <c r="AW180" s="1"/>
      <c r="AX180" s="1"/>
      <c r="AY180" s="1"/>
      <c r="AZ180" s="1" t="s">
        <v>2812</v>
      </c>
      <c r="BA180" t="s">
        <v>2877</v>
      </c>
    </row>
    <row r="181" spans="1:53" ht="19" customHeight="1">
      <c r="A181" s="4" t="s">
        <v>529</v>
      </c>
      <c r="B181" s="4">
        <v>24.1602</v>
      </c>
      <c r="C181" s="4">
        <v>122.172</v>
      </c>
      <c r="D181" s="4">
        <v>33</v>
      </c>
      <c r="E181" s="4">
        <v>7.12</v>
      </c>
      <c r="F181" s="4" t="s">
        <v>1055</v>
      </c>
      <c r="G181" s="4" t="s">
        <v>1120</v>
      </c>
      <c r="H181" s="4">
        <v>121.424333</v>
      </c>
      <c r="I181" s="4">
        <v>25.181667000000001</v>
      </c>
      <c r="J181" s="4">
        <v>360.53359999999998</v>
      </c>
      <c r="K181" s="4">
        <v>133.17747800000001</v>
      </c>
      <c r="L181" s="4" t="b">
        <v>1</v>
      </c>
      <c r="M181" s="4">
        <v>3.9340000000000002</v>
      </c>
      <c r="N181" s="4" t="b">
        <v>0</v>
      </c>
      <c r="O181" s="4" t="s">
        <v>1029</v>
      </c>
      <c r="P181" s="4" t="b">
        <v>0</v>
      </c>
      <c r="Q181" s="4">
        <v>80.698999999999998</v>
      </c>
      <c r="R181" s="4">
        <v>45.732999999999997</v>
      </c>
      <c r="S181" s="4">
        <v>24.108000000000001</v>
      </c>
      <c r="T181" s="4">
        <v>24.276499999999999</v>
      </c>
      <c r="U181" s="4">
        <v>14.672800000000001</v>
      </c>
      <c r="V181" s="4">
        <v>9.2652099999999997</v>
      </c>
      <c r="W181" s="4">
        <v>10.561400000000001</v>
      </c>
      <c r="X181" s="4">
        <v>7.4049100000000001</v>
      </c>
      <c r="Y181" s="4">
        <v>5.2775499999999997</v>
      </c>
      <c r="Z181" s="4">
        <v>-1.97071</v>
      </c>
      <c r="AA181" s="4">
        <v>-0.72808200000000001</v>
      </c>
      <c r="AB181" s="4">
        <v>1.1360300000000001</v>
      </c>
      <c r="AC181" s="1" t="s">
        <v>528</v>
      </c>
      <c r="AD181" s="1" t="s">
        <v>2874</v>
      </c>
      <c r="AE181" s="1" t="s">
        <v>2875</v>
      </c>
      <c r="AF181" s="1">
        <v>7.12</v>
      </c>
      <c r="AG181" s="1" t="s">
        <v>1003</v>
      </c>
      <c r="AH181" s="1">
        <v>24.1602</v>
      </c>
      <c r="AI181" s="1">
        <v>122.172</v>
      </c>
      <c r="AJ181" s="1">
        <v>33</v>
      </c>
      <c r="AK181" s="1" t="s">
        <v>1055</v>
      </c>
      <c r="AL181" s="1" t="s">
        <v>2834</v>
      </c>
      <c r="AM181" s="1">
        <v>286</v>
      </c>
      <c r="AN181" s="1">
        <v>34</v>
      </c>
      <c r="AO181" s="1">
        <v>111</v>
      </c>
      <c r="AP181" s="1">
        <v>81</v>
      </c>
      <c r="AQ181" s="1">
        <v>57</v>
      </c>
      <c r="AR181" s="1">
        <v>75</v>
      </c>
      <c r="AS181" s="1" t="s">
        <v>2808</v>
      </c>
      <c r="AT181" s="1" t="s">
        <v>731</v>
      </c>
      <c r="AU181" s="1"/>
      <c r="AV181" s="1"/>
      <c r="AW181" s="1"/>
      <c r="AX181" s="1"/>
      <c r="AY181" s="1"/>
      <c r="AZ181" s="1" t="s">
        <v>2812</v>
      </c>
      <c r="BA181" t="s">
        <v>2877</v>
      </c>
    </row>
    <row r="182" spans="1:53" ht="19" customHeight="1">
      <c r="A182" s="4" t="s">
        <v>529</v>
      </c>
      <c r="B182" s="4">
        <v>24.1602</v>
      </c>
      <c r="C182" s="4">
        <v>122.172</v>
      </c>
      <c r="D182" s="4">
        <v>33</v>
      </c>
      <c r="E182" s="4">
        <v>7.12</v>
      </c>
      <c r="F182" s="4" t="s">
        <v>1055</v>
      </c>
      <c r="G182" s="4" t="s">
        <v>1121</v>
      </c>
      <c r="H182" s="4">
        <v>121.520167</v>
      </c>
      <c r="I182" s="4">
        <v>25.033833000000001</v>
      </c>
      <c r="J182" s="4">
        <v>236.605785</v>
      </c>
      <c r="K182" s="4">
        <v>115.13067700000001</v>
      </c>
      <c r="L182" s="4" t="b">
        <v>1</v>
      </c>
      <c r="M182" s="4">
        <v>2.7719999999999998</v>
      </c>
      <c r="N182" s="4" t="b">
        <v>0</v>
      </c>
      <c r="O182" s="4" t="s">
        <v>1029</v>
      </c>
      <c r="P182" s="4" t="b">
        <v>0</v>
      </c>
      <c r="Q182" s="4">
        <v>113.43600000000001</v>
      </c>
      <c r="R182" s="4">
        <v>139.15899999999999</v>
      </c>
      <c r="S182" s="4">
        <v>59.965000000000003</v>
      </c>
      <c r="T182" s="4">
        <v>23.415700000000001</v>
      </c>
      <c r="U182" s="4">
        <v>24.748000000000001</v>
      </c>
      <c r="V182" s="4">
        <v>7.3835300000000004</v>
      </c>
      <c r="W182" s="4">
        <v>9.7669899999999998</v>
      </c>
      <c r="X182" s="4">
        <v>5.7836100000000004</v>
      </c>
      <c r="Y182" s="4">
        <v>2.9590700000000001</v>
      </c>
      <c r="Z182" s="4">
        <v>1.5522100000000001</v>
      </c>
      <c r="AA182" s="4">
        <v>0.24474199999999999</v>
      </c>
      <c r="AB182" s="4">
        <v>1.10602</v>
      </c>
      <c r="AC182" s="1" t="s">
        <v>528</v>
      </c>
      <c r="AD182" s="1" t="s">
        <v>2874</v>
      </c>
      <c r="AE182" s="1" t="s">
        <v>2875</v>
      </c>
      <c r="AF182" s="1">
        <v>7.12</v>
      </c>
      <c r="AG182" s="1" t="s">
        <v>1003</v>
      </c>
      <c r="AH182" s="1">
        <v>24.1602</v>
      </c>
      <c r="AI182" s="1">
        <v>122.172</v>
      </c>
      <c r="AJ182" s="1">
        <v>33</v>
      </c>
      <c r="AK182" s="1" t="s">
        <v>1055</v>
      </c>
      <c r="AL182" s="1" t="s">
        <v>2834</v>
      </c>
      <c r="AM182" s="1">
        <v>286</v>
      </c>
      <c r="AN182" s="1">
        <v>34</v>
      </c>
      <c r="AO182" s="1">
        <v>111</v>
      </c>
      <c r="AP182" s="1">
        <v>81</v>
      </c>
      <c r="AQ182" s="1">
        <v>57</v>
      </c>
      <c r="AR182" s="1">
        <v>75</v>
      </c>
      <c r="AS182" s="1" t="s">
        <v>2808</v>
      </c>
      <c r="AT182" s="1" t="s">
        <v>731</v>
      </c>
      <c r="AU182" s="1"/>
      <c r="AV182" s="1"/>
      <c r="AW182" s="1"/>
      <c r="AX182" s="1"/>
      <c r="AY182" s="1"/>
      <c r="AZ182" s="1" t="s">
        <v>2812</v>
      </c>
      <c r="BA182" t="s">
        <v>2877</v>
      </c>
    </row>
    <row r="183" spans="1:53" ht="19" customHeight="1">
      <c r="A183" s="4" t="s">
        <v>1122</v>
      </c>
      <c r="B183" s="4">
        <v>28.984000000000002</v>
      </c>
      <c r="C183" s="4">
        <v>58.359000000000002</v>
      </c>
      <c r="D183" s="4">
        <v>6</v>
      </c>
      <c r="E183" s="4">
        <v>6.6</v>
      </c>
      <c r="F183" s="4" t="s">
        <v>1032</v>
      </c>
      <c r="G183" s="4" t="s">
        <v>937</v>
      </c>
      <c r="H183" s="4">
        <v>58.353000000000002</v>
      </c>
      <c r="I183" s="4">
        <v>29.097000000000001</v>
      </c>
      <c r="J183" s="4">
        <v>487.4</v>
      </c>
      <c r="K183" s="4">
        <v>1.7</v>
      </c>
      <c r="L183" s="4" t="b">
        <v>1</v>
      </c>
      <c r="M183" s="4">
        <v>2.0230000000000001</v>
      </c>
      <c r="N183" s="4" t="b">
        <v>0</v>
      </c>
      <c r="O183" s="4" t="s">
        <v>1029</v>
      </c>
      <c r="P183" s="4" t="b">
        <v>0</v>
      </c>
      <c r="Q183" s="4">
        <v>792.31500000000005</v>
      </c>
      <c r="R183" s="4">
        <v>617.048</v>
      </c>
      <c r="S183" s="4">
        <v>951.09199999999998</v>
      </c>
      <c r="T183" s="4">
        <v>124.145</v>
      </c>
      <c r="U183" s="4">
        <v>60.2042</v>
      </c>
      <c r="V183" s="4">
        <v>40.092100000000002</v>
      </c>
      <c r="W183" s="4">
        <v>33.926600000000001</v>
      </c>
      <c r="X183" s="4">
        <v>23.150200000000002</v>
      </c>
      <c r="Y183" s="4">
        <v>8.5391899999999996</v>
      </c>
      <c r="Z183" s="4">
        <v>-9.1324000000000002E-2</v>
      </c>
      <c r="AA183" s="4">
        <v>3.6025000000000001E-2</v>
      </c>
      <c r="AB183" s="4">
        <v>1.0621E-2</v>
      </c>
      <c r="AC183" s="1" t="s">
        <v>533</v>
      </c>
      <c r="AD183" s="1" t="s">
        <v>2757</v>
      </c>
      <c r="AE183" s="1" t="s">
        <v>2758</v>
      </c>
      <c r="AF183" s="1">
        <v>6.6</v>
      </c>
      <c r="AG183" s="1" t="s">
        <v>1003</v>
      </c>
      <c r="AH183" s="1">
        <v>28.984000000000002</v>
      </c>
      <c r="AI183" s="1">
        <v>58.359000000000002</v>
      </c>
      <c r="AJ183" s="1">
        <v>6</v>
      </c>
      <c r="AK183" s="1" t="s">
        <v>1032</v>
      </c>
      <c r="AL183" s="1" t="s">
        <v>2809</v>
      </c>
      <c r="AM183" s="1">
        <v>354.6</v>
      </c>
      <c r="AN183" s="1">
        <v>85.5</v>
      </c>
      <c r="AO183" s="1">
        <v>-177</v>
      </c>
      <c r="AP183" s="1"/>
      <c r="AQ183" s="1"/>
      <c r="AR183" s="1"/>
      <c r="AS183" s="1" t="s">
        <v>2808</v>
      </c>
      <c r="AT183" s="1" t="s">
        <v>731</v>
      </c>
      <c r="AU183" s="1"/>
      <c r="AV183" s="1"/>
      <c r="AW183" s="1"/>
      <c r="AX183" s="1"/>
      <c r="AY183" s="1"/>
      <c r="AZ183" s="1" t="s">
        <v>2812</v>
      </c>
      <c r="BA183" t="s">
        <v>2878</v>
      </c>
    </row>
    <row r="184" spans="1:53" ht="19" customHeight="1">
      <c r="A184" s="4" t="s">
        <v>1123</v>
      </c>
      <c r="B184" s="4">
        <v>37.307000000000002</v>
      </c>
      <c r="C184" s="4">
        <v>138.839</v>
      </c>
      <c r="D184" s="4">
        <v>10.6</v>
      </c>
      <c r="E184" s="4">
        <v>6.6</v>
      </c>
      <c r="F184" s="4" t="s">
        <v>1028</v>
      </c>
      <c r="G184" s="4" t="s">
        <v>939</v>
      </c>
      <c r="H184" s="4">
        <v>138.74680000000001</v>
      </c>
      <c r="I184" s="4">
        <v>37.128100000000003</v>
      </c>
      <c r="J184" s="4">
        <v>418.5</v>
      </c>
      <c r="K184" s="4">
        <v>11.26</v>
      </c>
      <c r="L184" s="4" t="b">
        <v>1</v>
      </c>
      <c r="M184" s="4">
        <v>0.32200000000000001</v>
      </c>
      <c r="N184" s="4" t="b">
        <v>0</v>
      </c>
      <c r="O184" s="4" t="s">
        <v>1029</v>
      </c>
      <c r="P184" s="4" t="b">
        <v>0</v>
      </c>
      <c r="Q184" s="4">
        <v>846.02099999999996</v>
      </c>
      <c r="R184" s="4">
        <v>1709.16</v>
      </c>
      <c r="S184" s="4">
        <v>562.125</v>
      </c>
      <c r="T184" s="4">
        <v>49.971299999999999</v>
      </c>
      <c r="U184" s="4">
        <v>54.546599999999998</v>
      </c>
      <c r="V184" s="4">
        <v>13.725099999999999</v>
      </c>
      <c r="W184" s="4">
        <v>11.024699999999999</v>
      </c>
      <c r="X184" s="4">
        <v>10.316700000000001</v>
      </c>
      <c r="Y184" s="4">
        <v>3.7523900000000001</v>
      </c>
      <c r="Z184" s="4">
        <v>-1.4305E-2</v>
      </c>
      <c r="AA184" s="4">
        <v>-1.0404E-2</v>
      </c>
      <c r="AB184" s="4">
        <v>6.4949999999999999E-3</v>
      </c>
      <c r="AC184" s="1" t="s">
        <v>540</v>
      </c>
      <c r="AD184" s="1" t="s">
        <v>2762</v>
      </c>
      <c r="AE184" s="1" t="s">
        <v>2763</v>
      </c>
      <c r="AF184" s="1">
        <v>6.6</v>
      </c>
      <c r="AG184" s="1" t="s">
        <v>1003</v>
      </c>
      <c r="AH184" s="1">
        <v>37.307000000000002</v>
      </c>
      <c r="AI184" s="1">
        <v>138.839</v>
      </c>
      <c r="AJ184" s="1">
        <v>10.6</v>
      </c>
      <c r="AK184" s="1" t="s">
        <v>1028</v>
      </c>
      <c r="AL184" s="1" t="s">
        <v>2809</v>
      </c>
      <c r="AM184" s="1">
        <v>212</v>
      </c>
      <c r="AN184" s="1">
        <v>47</v>
      </c>
      <c r="AO184" s="1">
        <v>93</v>
      </c>
      <c r="AP184" s="1"/>
      <c r="AQ184" s="1"/>
      <c r="AR184" s="1"/>
      <c r="AS184" s="1" t="s">
        <v>2808</v>
      </c>
      <c r="AT184" s="1" t="s">
        <v>731</v>
      </c>
      <c r="AU184" s="1"/>
      <c r="AV184" s="1"/>
      <c r="AW184" s="1"/>
      <c r="AX184" s="1"/>
      <c r="AY184" s="1"/>
      <c r="AZ184" s="1" t="s">
        <v>2812</v>
      </c>
      <c r="BA184" t="s">
        <v>2879</v>
      </c>
    </row>
    <row r="185" spans="1:53" ht="19" customHeight="1">
      <c r="A185" s="4" t="s">
        <v>1123</v>
      </c>
      <c r="B185" s="4">
        <v>37.307000000000002</v>
      </c>
      <c r="C185" s="4">
        <v>138.839</v>
      </c>
      <c r="D185" s="4">
        <v>10.6</v>
      </c>
      <c r="E185" s="4">
        <v>6.6</v>
      </c>
      <c r="F185" s="4" t="s">
        <v>1028</v>
      </c>
      <c r="G185" s="4" t="s">
        <v>940</v>
      </c>
      <c r="H185" s="4">
        <v>138.74719999999999</v>
      </c>
      <c r="I185" s="4">
        <v>37.169699999999999</v>
      </c>
      <c r="J185" s="4">
        <v>375</v>
      </c>
      <c r="K185" s="4">
        <v>8.93</v>
      </c>
      <c r="L185" s="4" t="b">
        <v>1</v>
      </c>
      <c r="M185" s="4">
        <v>1.7989999999999999</v>
      </c>
      <c r="N185" s="4" t="b">
        <v>0</v>
      </c>
      <c r="O185" s="4" t="s">
        <v>1029</v>
      </c>
      <c r="P185" s="4" t="b">
        <v>0</v>
      </c>
      <c r="Q185" s="4">
        <v>587.81700000000001</v>
      </c>
      <c r="R185" s="4">
        <v>455.09300000000002</v>
      </c>
      <c r="S185" s="4">
        <v>313.53500000000003</v>
      </c>
      <c r="T185" s="4">
        <v>58.1462</v>
      </c>
      <c r="U185" s="4">
        <v>36.523200000000003</v>
      </c>
      <c r="V185" s="4">
        <v>12.6904</v>
      </c>
      <c r="W185" s="4">
        <v>13.1035</v>
      </c>
      <c r="X185" s="4">
        <v>15.0024</v>
      </c>
      <c r="Y185" s="4">
        <v>6.22811</v>
      </c>
      <c r="Z185" s="4">
        <v>1.0215E-2</v>
      </c>
      <c r="AA185" s="4">
        <v>3.6960000000000001E-3</v>
      </c>
      <c r="AB185" s="4">
        <v>-4.3759999999999997E-3</v>
      </c>
      <c r="AC185" s="1" t="s">
        <v>540</v>
      </c>
      <c r="AD185" s="1" t="s">
        <v>2762</v>
      </c>
      <c r="AE185" s="1" t="s">
        <v>2763</v>
      </c>
      <c r="AF185" s="1">
        <v>6.6</v>
      </c>
      <c r="AG185" s="1" t="s">
        <v>1003</v>
      </c>
      <c r="AH185" s="1">
        <v>37.307000000000002</v>
      </c>
      <c r="AI185" s="1">
        <v>138.839</v>
      </c>
      <c r="AJ185" s="1">
        <v>10.6</v>
      </c>
      <c r="AK185" s="1" t="s">
        <v>1028</v>
      </c>
      <c r="AL185" s="1" t="s">
        <v>2809</v>
      </c>
      <c r="AM185" s="1">
        <v>212</v>
      </c>
      <c r="AN185" s="1">
        <v>47</v>
      </c>
      <c r="AO185" s="1">
        <v>93</v>
      </c>
      <c r="AP185" s="1"/>
      <c r="AQ185" s="1"/>
      <c r="AR185" s="1"/>
      <c r="AS185" s="1" t="s">
        <v>2808</v>
      </c>
      <c r="AT185" s="1" t="s">
        <v>731</v>
      </c>
      <c r="AU185" s="1"/>
      <c r="AV185" s="1"/>
      <c r="AW185" s="1"/>
      <c r="AX185" s="1"/>
      <c r="AY185" s="1"/>
      <c r="AZ185" s="1" t="s">
        <v>2812</v>
      </c>
      <c r="BA185" t="s">
        <v>2879</v>
      </c>
    </row>
    <row r="186" spans="1:53" ht="19" customHeight="1">
      <c r="A186" s="4" t="s">
        <v>1124</v>
      </c>
      <c r="B186" s="4">
        <v>35.817</v>
      </c>
      <c r="C186" s="4">
        <v>-120.36499999999999</v>
      </c>
      <c r="D186" s="4">
        <v>8.1</v>
      </c>
      <c r="E186" s="4">
        <v>6</v>
      </c>
      <c r="F186" s="4" t="s">
        <v>1032</v>
      </c>
      <c r="G186" s="4" t="s">
        <v>944</v>
      </c>
      <c r="H186" s="4">
        <v>-120.277</v>
      </c>
      <c r="I186" s="4">
        <v>35.743000000000002</v>
      </c>
      <c r="J186" s="4">
        <v>326.64</v>
      </c>
      <c r="K186" s="4">
        <v>3</v>
      </c>
      <c r="L186" s="4" t="b">
        <v>1</v>
      </c>
      <c r="M186" s="4">
        <v>1.33</v>
      </c>
      <c r="N186" s="4" t="b">
        <v>0</v>
      </c>
      <c r="O186" s="4" t="s">
        <v>1029</v>
      </c>
      <c r="P186" s="4" t="b">
        <v>0</v>
      </c>
      <c r="Q186" s="4">
        <v>432.01400000000001</v>
      </c>
      <c r="R186" s="4">
        <v>354.52100000000002</v>
      </c>
      <c r="S186" s="4">
        <v>225.816</v>
      </c>
      <c r="T186" s="4">
        <v>40.186700000000002</v>
      </c>
      <c r="U186" s="4">
        <v>39.317700000000002</v>
      </c>
      <c r="V186" s="4">
        <v>9.9515100000000007</v>
      </c>
      <c r="W186" s="4">
        <v>9.4309499999999993</v>
      </c>
      <c r="X186" s="4">
        <v>7.4731500000000004</v>
      </c>
      <c r="Y186" s="4">
        <v>2.0954199999999998</v>
      </c>
      <c r="Z186" s="4">
        <v>-0.111431</v>
      </c>
      <c r="AA186" s="4">
        <v>0.24296300000000001</v>
      </c>
      <c r="AB186" s="4">
        <v>0.119722</v>
      </c>
      <c r="AC186" s="1" t="s">
        <v>547</v>
      </c>
      <c r="AD186" s="1" t="s">
        <v>2767</v>
      </c>
      <c r="AE186" s="1" t="s">
        <v>2768</v>
      </c>
      <c r="AF186" s="1">
        <v>6</v>
      </c>
      <c r="AG186" s="1" t="s">
        <v>1003</v>
      </c>
      <c r="AH186" s="1">
        <v>35.817</v>
      </c>
      <c r="AI186" s="1">
        <v>-120.36499999999999</v>
      </c>
      <c r="AJ186" s="1">
        <v>8.1</v>
      </c>
      <c r="AK186" s="1" t="s">
        <v>1032</v>
      </c>
      <c r="AL186" s="1" t="s">
        <v>2809</v>
      </c>
      <c r="AM186" s="1">
        <v>141</v>
      </c>
      <c r="AN186" s="1">
        <v>89</v>
      </c>
      <c r="AO186" s="1">
        <v>-175</v>
      </c>
      <c r="AP186" s="1"/>
      <c r="AQ186" s="1"/>
      <c r="AR186" s="1"/>
      <c r="AS186" s="1" t="s">
        <v>2808</v>
      </c>
      <c r="AT186" s="1" t="s">
        <v>731</v>
      </c>
      <c r="AU186" s="1"/>
      <c r="AV186" s="1"/>
      <c r="AW186" s="1"/>
      <c r="AX186" s="1"/>
      <c r="AY186" s="1"/>
      <c r="AZ186" s="1" t="s">
        <v>2812</v>
      </c>
      <c r="BA186" t="s">
        <v>2880</v>
      </c>
    </row>
    <row r="187" spans="1:53" ht="19" customHeight="1">
      <c r="A187" s="4" t="s">
        <v>1124</v>
      </c>
      <c r="B187" s="4">
        <v>35.817</v>
      </c>
      <c r="C187" s="4">
        <v>-120.36499999999999</v>
      </c>
      <c r="D187" s="4">
        <v>8.1</v>
      </c>
      <c r="E187" s="4">
        <v>6</v>
      </c>
      <c r="F187" s="4" t="s">
        <v>1032</v>
      </c>
      <c r="G187" s="4" t="s">
        <v>945</v>
      </c>
      <c r="H187" s="4">
        <v>-120.29</v>
      </c>
      <c r="I187" s="4">
        <v>35.732999999999997</v>
      </c>
      <c r="J187" s="4">
        <v>173.02</v>
      </c>
      <c r="K187" s="4">
        <v>3.01</v>
      </c>
      <c r="L187" s="4" t="b">
        <v>1</v>
      </c>
      <c r="M187" s="4">
        <v>1.0780000000000001</v>
      </c>
      <c r="N187" s="4" t="b">
        <v>0</v>
      </c>
      <c r="O187" s="4" t="s">
        <v>1029</v>
      </c>
      <c r="P187" s="4" t="b">
        <v>0</v>
      </c>
      <c r="Q187" s="4">
        <v>611.87</v>
      </c>
      <c r="R187" s="4">
        <v>365.74</v>
      </c>
      <c r="S187" s="4">
        <v>186.399</v>
      </c>
      <c r="T187" s="4">
        <v>63.967100000000002</v>
      </c>
      <c r="U187" s="4">
        <v>44.831099999999999</v>
      </c>
      <c r="V187" s="4">
        <v>14.3873</v>
      </c>
      <c r="W187" s="4">
        <v>11.739699999999999</v>
      </c>
      <c r="X187" s="4">
        <v>6.7069400000000003</v>
      </c>
      <c r="Y187" s="4">
        <v>2.339</v>
      </c>
      <c r="Z187" s="4">
        <v>-4.9645000000000002E-2</v>
      </c>
      <c r="AA187" s="4">
        <v>-1.2011000000000001E-2</v>
      </c>
      <c r="AB187" s="4">
        <v>-3.9618E-2</v>
      </c>
      <c r="AC187" s="1" t="s">
        <v>547</v>
      </c>
      <c r="AD187" s="1" t="s">
        <v>2767</v>
      </c>
      <c r="AE187" s="1" t="s">
        <v>2768</v>
      </c>
      <c r="AF187" s="1">
        <v>6</v>
      </c>
      <c r="AG187" s="1" t="s">
        <v>1003</v>
      </c>
      <c r="AH187" s="1">
        <v>35.817</v>
      </c>
      <c r="AI187" s="1">
        <v>-120.36499999999999</v>
      </c>
      <c r="AJ187" s="1">
        <v>8.1</v>
      </c>
      <c r="AK187" s="1" t="s">
        <v>1032</v>
      </c>
      <c r="AL187" s="1" t="s">
        <v>2809</v>
      </c>
      <c r="AM187" s="1">
        <v>141</v>
      </c>
      <c r="AN187" s="1">
        <v>89</v>
      </c>
      <c r="AO187" s="1">
        <v>-175</v>
      </c>
      <c r="AP187" s="1"/>
      <c r="AQ187" s="1"/>
      <c r="AR187" s="1"/>
      <c r="AS187" s="1" t="s">
        <v>2808</v>
      </c>
      <c r="AT187" s="1" t="s">
        <v>731</v>
      </c>
      <c r="AU187" s="1"/>
      <c r="AV187" s="1"/>
      <c r="AW187" s="1"/>
      <c r="AX187" s="1"/>
      <c r="AY187" s="1"/>
      <c r="AZ187" s="1" t="s">
        <v>2812</v>
      </c>
      <c r="BA187" t="s">
        <v>2880</v>
      </c>
    </row>
    <row r="188" spans="1:53" ht="19" customHeight="1">
      <c r="A188" s="4" t="s">
        <v>1124</v>
      </c>
      <c r="B188" s="4">
        <v>35.817</v>
      </c>
      <c r="C188" s="4">
        <v>-120.36499999999999</v>
      </c>
      <c r="D188" s="4">
        <v>8.1</v>
      </c>
      <c r="E188" s="4">
        <v>6</v>
      </c>
      <c r="F188" s="4" t="s">
        <v>1032</v>
      </c>
      <c r="G188" s="4" t="s">
        <v>946</v>
      </c>
      <c r="H188" s="4">
        <v>-120.247</v>
      </c>
      <c r="I188" s="4">
        <v>35.770000000000003</v>
      </c>
      <c r="J188" s="4">
        <v>397.36</v>
      </c>
      <c r="K188" s="4">
        <v>5.55</v>
      </c>
      <c r="L188" s="4" t="b">
        <v>1</v>
      </c>
      <c r="M188" s="4">
        <v>0.51800000000000002</v>
      </c>
      <c r="N188" s="4" t="b">
        <v>0</v>
      </c>
      <c r="O188" s="4" t="s">
        <v>1029</v>
      </c>
      <c r="P188" s="4" t="b">
        <v>0</v>
      </c>
      <c r="Q188" s="4">
        <v>508.798</v>
      </c>
      <c r="R188" s="4">
        <v>784.31299999999999</v>
      </c>
      <c r="S188" s="4">
        <v>320.78699999999998</v>
      </c>
      <c r="T188" s="4">
        <v>23.429400000000001</v>
      </c>
      <c r="U188" s="4">
        <v>27.789200000000001</v>
      </c>
      <c r="V188" s="4">
        <v>6.3022400000000003</v>
      </c>
      <c r="W188" s="4">
        <v>3.1472099999999998</v>
      </c>
      <c r="X188" s="4">
        <v>2.3811300000000002</v>
      </c>
      <c r="Y188" s="4">
        <v>0.68330999999999997</v>
      </c>
      <c r="Z188" s="4">
        <v>-7.1181999999999995E-2</v>
      </c>
      <c r="AA188" s="4">
        <v>8.6808999999999997E-2</v>
      </c>
      <c r="AB188" s="4">
        <v>-3.3328000000000003E-2</v>
      </c>
      <c r="AC188" s="1" t="s">
        <v>547</v>
      </c>
      <c r="AD188" s="1" t="s">
        <v>2767</v>
      </c>
      <c r="AE188" s="1" t="s">
        <v>2768</v>
      </c>
      <c r="AF188" s="1">
        <v>6</v>
      </c>
      <c r="AG188" s="1" t="s">
        <v>1003</v>
      </c>
      <c r="AH188" s="1">
        <v>35.817</v>
      </c>
      <c r="AI188" s="1">
        <v>-120.36499999999999</v>
      </c>
      <c r="AJ188" s="1">
        <v>8.1</v>
      </c>
      <c r="AK188" s="1" t="s">
        <v>1032</v>
      </c>
      <c r="AL188" s="1" t="s">
        <v>2809</v>
      </c>
      <c r="AM188" s="1">
        <v>141</v>
      </c>
      <c r="AN188" s="1">
        <v>89</v>
      </c>
      <c r="AO188" s="1">
        <v>-175</v>
      </c>
      <c r="AP188" s="1"/>
      <c r="AQ188" s="1"/>
      <c r="AR188" s="1"/>
      <c r="AS188" s="1" t="s">
        <v>2808</v>
      </c>
      <c r="AT188" s="1" t="s">
        <v>731</v>
      </c>
      <c r="AU188" s="1"/>
      <c r="AV188" s="1"/>
      <c r="AW188" s="1"/>
      <c r="AX188" s="1"/>
      <c r="AY188" s="1"/>
      <c r="AZ188" s="1" t="s">
        <v>2812</v>
      </c>
      <c r="BA188" t="s">
        <v>2880</v>
      </c>
    </row>
    <row r="189" spans="1:53" ht="19" customHeight="1">
      <c r="A189" s="4" t="s">
        <v>1124</v>
      </c>
      <c r="B189" s="4">
        <v>35.817</v>
      </c>
      <c r="C189" s="4">
        <v>-120.36499999999999</v>
      </c>
      <c r="D189" s="4">
        <v>8.1</v>
      </c>
      <c r="E189" s="4">
        <v>6</v>
      </c>
      <c r="F189" s="4" t="s">
        <v>1032</v>
      </c>
      <c r="G189" s="4" t="s">
        <v>947</v>
      </c>
      <c r="H189" s="4">
        <v>-120.294</v>
      </c>
      <c r="I189" s="4">
        <v>35.723999999999997</v>
      </c>
      <c r="J189" s="4">
        <v>230.57</v>
      </c>
      <c r="K189" s="4">
        <v>3.63</v>
      </c>
      <c r="L189" s="4" t="b">
        <v>1</v>
      </c>
      <c r="M189" s="4">
        <v>1.022</v>
      </c>
      <c r="N189" s="4" t="b">
        <v>0</v>
      </c>
      <c r="O189" s="4" t="s">
        <v>1029</v>
      </c>
      <c r="P189" s="4" t="b">
        <v>0</v>
      </c>
      <c r="Q189" s="4">
        <v>319.96499999999997</v>
      </c>
      <c r="R189" s="4">
        <v>567.70600000000002</v>
      </c>
      <c r="S189" s="4">
        <v>163.54400000000001</v>
      </c>
      <c r="T189" s="4">
        <v>28.85</v>
      </c>
      <c r="U189" s="4">
        <v>37.829500000000003</v>
      </c>
      <c r="V189" s="4">
        <v>9.4052000000000007</v>
      </c>
      <c r="W189" s="4">
        <v>4.6714399999999996</v>
      </c>
      <c r="X189" s="4">
        <v>7.3626300000000002</v>
      </c>
      <c r="Y189" s="4">
        <v>1.0645500000000001</v>
      </c>
      <c r="Z189" s="4">
        <v>0.19300300000000001</v>
      </c>
      <c r="AA189" s="4">
        <v>-0.228988</v>
      </c>
      <c r="AB189" s="4">
        <v>-4.8481999999999997E-2</v>
      </c>
      <c r="AC189" s="1" t="s">
        <v>547</v>
      </c>
      <c r="AD189" s="1" t="s">
        <v>2767</v>
      </c>
      <c r="AE189" s="1" t="s">
        <v>2768</v>
      </c>
      <c r="AF189" s="1">
        <v>6</v>
      </c>
      <c r="AG189" s="1" t="s">
        <v>1003</v>
      </c>
      <c r="AH189" s="1">
        <v>35.817</v>
      </c>
      <c r="AI189" s="1">
        <v>-120.36499999999999</v>
      </c>
      <c r="AJ189" s="1">
        <v>8.1</v>
      </c>
      <c r="AK189" s="1" t="s">
        <v>1032</v>
      </c>
      <c r="AL189" s="1" t="s">
        <v>2809</v>
      </c>
      <c r="AM189" s="1">
        <v>141</v>
      </c>
      <c r="AN189" s="1">
        <v>89</v>
      </c>
      <c r="AO189" s="1">
        <v>-175</v>
      </c>
      <c r="AP189" s="1"/>
      <c r="AQ189" s="1"/>
      <c r="AR189" s="1"/>
      <c r="AS189" s="1" t="s">
        <v>2808</v>
      </c>
      <c r="AT189" s="1" t="s">
        <v>731</v>
      </c>
      <c r="AU189" s="1"/>
      <c r="AV189" s="1"/>
      <c r="AW189" s="1"/>
      <c r="AX189" s="1"/>
      <c r="AY189" s="1"/>
      <c r="AZ189" s="1" t="s">
        <v>2812</v>
      </c>
      <c r="BA189" t="s">
        <v>2880</v>
      </c>
    </row>
    <row r="190" spans="1:53" ht="19" customHeight="1">
      <c r="A190" s="4" t="s">
        <v>1124</v>
      </c>
      <c r="B190" s="4">
        <v>35.817</v>
      </c>
      <c r="C190" s="4">
        <v>-120.36499999999999</v>
      </c>
      <c r="D190" s="4">
        <v>8.1</v>
      </c>
      <c r="E190" s="4">
        <v>6</v>
      </c>
      <c r="F190" s="4" t="s">
        <v>1032</v>
      </c>
      <c r="G190" s="4" t="s">
        <v>948</v>
      </c>
      <c r="H190" s="4">
        <v>-120.304</v>
      </c>
      <c r="I190" s="4">
        <v>35.718000000000004</v>
      </c>
      <c r="J190" s="4">
        <v>410.4</v>
      </c>
      <c r="K190" s="4">
        <v>4.2300000000000004</v>
      </c>
      <c r="L190" s="4" t="b">
        <v>1</v>
      </c>
      <c r="M190" s="4">
        <v>0.7</v>
      </c>
      <c r="N190" s="4" t="b">
        <v>0</v>
      </c>
      <c r="O190" s="4" t="s">
        <v>1029</v>
      </c>
      <c r="P190" s="4" t="b">
        <v>0</v>
      </c>
      <c r="Q190" s="4">
        <v>564.47900000000004</v>
      </c>
      <c r="R190" s="4">
        <v>504.92200000000003</v>
      </c>
      <c r="S190" s="4">
        <v>149.554</v>
      </c>
      <c r="T190" s="4">
        <v>32.342500000000001</v>
      </c>
      <c r="U190" s="4">
        <v>26.900700000000001</v>
      </c>
      <c r="V190" s="4">
        <v>9.4944299999999995</v>
      </c>
      <c r="W190" s="4">
        <v>4.2313200000000002</v>
      </c>
      <c r="X190" s="4">
        <v>4.58969</v>
      </c>
      <c r="Y190" s="4">
        <v>0.88358999999999999</v>
      </c>
      <c r="Z190" s="4">
        <v>0.37489600000000001</v>
      </c>
      <c r="AA190" s="4">
        <v>-5.2709999999999996E-3</v>
      </c>
      <c r="AB190" s="4">
        <v>-1.2031E-2</v>
      </c>
      <c r="AC190" s="1" t="s">
        <v>547</v>
      </c>
      <c r="AD190" s="1" t="s">
        <v>2767</v>
      </c>
      <c r="AE190" s="1" t="s">
        <v>2768</v>
      </c>
      <c r="AF190" s="1">
        <v>6</v>
      </c>
      <c r="AG190" s="1" t="s">
        <v>1003</v>
      </c>
      <c r="AH190" s="1">
        <v>35.817</v>
      </c>
      <c r="AI190" s="1">
        <v>-120.36499999999999</v>
      </c>
      <c r="AJ190" s="1">
        <v>8.1</v>
      </c>
      <c r="AK190" s="1" t="s">
        <v>1032</v>
      </c>
      <c r="AL190" s="1" t="s">
        <v>2809</v>
      </c>
      <c r="AM190" s="1">
        <v>141</v>
      </c>
      <c r="AN190" s="1">
        <v>89</v>
      </c>
      <c r="AO190" s="1">
        <v>-175</v>
      </c>
      <c r="AP190" s="1"/>
      <c r="AQ190" s="1"/>
      <c r="AR190" s="1"/>
      <c r="AS190" s="1" t="s">
        <v>2808</v>
      </c>
      <c r="AT190" s="1" t="s">
        <v>731</v>
      </c>
      <c r="AU190" s="1"/>
      <c r="AV190" s="1"/>
      <c r="AW190" s="1"/>
      <c r="AX190" s="1"/>
      <c r="AY190" s="1"/>
      <c r="AZ190" s="1" t="s">
        <v>2812</v>
      </c>
      <c r="BA190" t="s">
        <v>2880</v>
      </c>
    </row>
    <row r="191" spans="1:53" ht="19" customHeight="1">
      <c r="A191" s="4" t="s">
        <v>1124</v>
      </c>
      <c r="B191" s="4">
        <v>35.817</v>
      </c>
      <c r="C191" s="4">
        <v>-120.36499999999999</v>
      </c>
      <c r="D191" s="4">
        <v>8.1</v>
      </c>
      <c r="E191" s="4">
        <v>6</v>
      </c>
      <c r="F191" s="4" t="s">
        <v>1032</v>
      </c>
      <c r="G191" s="4" t="s">
        <v>942</v>
      </c>
      <c r="H191" s="4">
        <v>-120.42100000000001</v>
      </c>
      <c r="I191" s="4">
        <v>35.893999999999998</v>
      </c>
      <c r="J191" s="4">
        <v>383.9</v>
      </c>
      <c r="K191" s="4">
        <v>2.85</v>
      </c>
      <c r="L191" s="4" t="b">
        <v>1</v>
      </c>
      <c r="M191" s="4">
        <v>1.218</v>
      </c>
      <c r="N191" s="4" t="b">
        <v>0</v>
      </c>
      <c r="O191" s="4" t="s">
        <v>1029</v>
      </c>
      <c r="P191" s="4" t="b">
        <v>0</v>
      </c>
      <c r="Q191" s="4">
        <v>383.45699999999999</v>
      </c>
      <c r="R191" s="4">
        <v>311.58800000000002</v>
      </c>
      <c r="S191" s="4">
        <v>192.35400000000001</v>
      </c>
      <c r="T191" s="4">
        <v>25.879100000000001</v>
      </c>
      <c r="U191" s="4">
        <v>26.849799999999998</v>
      </c>
      <c r="V191" s="4">
        <v>7.4190699999999996</v>
      </c>
      <c r="W191" s="4">
        <v>4.9502199999999998</v>
      </c>
      <c r="X191" s="4">
        <v>7.3497000000000003</v>
      </c>
      <c r="Y191" s="4">
        <v>1.37653</v>
      </c>
      <c r="Z191" s="4">
        <v>1.7569000000000001E-2</v>
      </c>
      <c r="AA191" s="4">
        <v>-5.574E-3</v>
      </c>
      <c r="AB191" s="4">
        <v>-2.6250000000000002E-3</v>
      </c>
      <c r="AC191" s="1" t="s">
        <v>547</v>
      </c>
      <c r="AD191" s="1" t="s">
        <v>2767</v>
      </c>
      <c r="AE191" s="1" t="s">
        <v>2768</v>
      </c>
      <c r="AF191" s="1">
        <v>6</v>
      </c>
      <c r="AG191" s="1" t="s">
        <v>1003</v>
      </c>
      <c r="AH191" s="1">
        <v>35.817</v>
      </c>
      <c r="AI191" s="1">
        <v>-120.36499999999999</v>
      </c>
      <c r="AJ191" s="1">
        <v>8.1</v>
      </c>
      <c r="AK191" s="1" t="s">
        <v>1032</v>
      </c>
      <c r="AL191" s="1" t="s">
        <v>2809</v>
      </c>
      <c r="AM191" s="1">
        <v>141</v>
      </c>
      <c r="AN191" s="1">
        <v>89</v>
      </c>
      <c r="AO191" s="1">
        <v>-175</v>
      </c>
      <c r="AP191" s="1"/>
      <c r="AQ191" s="1"/>
      <c r="AR191" s="1"/>
      <c r="AS191" s="1" t="s">
        <v>2808</v>
      </c>
      <c r="AT191" s="1" t="s">
        <v>731</v>
      </c>
      <c r="AU191" s="1"/>
      <c r="AV191" s="1"/>
      <c r="AW191" s="1"/>
      <c r="AX191" s="1"/>
      <c r="AY191" s="1"/>
      <c r="AZ191" s="1" t="s">
        <v>2812</v>
      </c>
      <c r="BA191" t="s">
        <v>2880</v>
      </c>
    </row>
    <row r="192" spans="1:53" ht="19" customHeight="1">
      <c r="A192" s="4" t="s">
        <v>1124</v>
      </c>
      <c r="B192" s="4">
        <v>35.817</v>
      </c>
      <c r="C192" s="4">
        <v>-120.36499999999999</v>
      </c>
      <c r="D192" s="4">
        <v>8.1</v>
      </c>
      <c r="E192" s="4">
        <v>6</v>
      </c>
      <c r="F192" s="4" t="s">
        <v>1032</v>
      </c>
      <c r="G192" s="4" t="s">
        <v>949</v>
      </c>
      <c r="H192" s="4">
        <v>-120.307</v>
      </c>
      <c r="I192" s="4">
        <v>35.758000000000003</v>
      </c>
      <c r="J192" s="4">
        <v>178.27</v>
      </c>
      <c r="K192" s="4">
        <v>2.5099999999999998</v>
      </c>
      <c r="L192" s="4" t="b">
        <v>1</v>
      </c>
      <c r="M192" s="4">
        <v>1.19</v>
      </c>
      <c r="N192" s="4" t="b">
        <v>0</v>
      </c>
      <c r="O192" s="4" t="s">
        <v>1029</v>
      </c>
      <c r="P192" s="4" t="b">
        <v>0</v>
      </c>
      <c r="Q192" s="4">
        <v>593.48099999999999</v>
      </c>
      <c r="R192" s="4">
        <v>817.35900000000004</v>
      </c>
      <c r="S192" s="4">
        <v>250.31299999999999</v>
      </c>
      <c r="T192" s="4">
        <v>63.813499999999998</v>
      </c>
      <c r="U192" s="4">
        <v>81.398200000000003</v>
      </c>
      <c r="V192" s="4">
        <v>9.9132200000000008</v>
      </c>
      <c r="W192" s="4">
        <v>8.4618500000000001</v>
      </c>
      <c r="X192" s="4">
        <v>10.8003</v>
      </c>
      <c r="Y192" s="4">
        <v>2.6290100000000001</v>
      </c>
      <c r="Z192" s="4">
        <v>-0.12684599999999999</v>
      </c>
      <c r="AA192" s="4">
        <v>2.6766000000000002E-2</v>
      </c>
      <c r="AB192" s="4">
        <v>-0.20232600000000001</v>
      </c>
      <c r="AC192" s="1" t="s">
        <v>547</v>
      </c>
      <c r="AD192" s="1" t="s">
        <v>2767</v>
      </c>
      <c r="AE192" s="1" t="s">
        <v>2768</v>
      </c>
      <c r="AF192" s="1">
        <v>6</v>
      </c>
      <c r="AG192" s="1" t="s">
        <v>1003</v>
      </c>
      <c r="AH192" s="1">
        <v>35.817</v>
      </c>
      <c r="AI192" s="1">
        <v>-120.36499999999999</v>
      </c>
      <c r="AJ192" s="1">
        <v>8.1</v>
      </c>
      <c r="AK192" s="1" t="s">
        <v>1032</v>
      </c>
      <c r="AL192" s="1" t="s">
        <v>2809</v>
      </c>
      <c r="AM192" s="1">
        <v>141</v>
      </c>
      <c r="AN192" s="1">
        <v>89</v>
      </c>
      <c r="AO192" s="1">
        <v>-175</v>
      </c>
      <c r="AP192" s="1"/>
      <c r="AQ192" s="1"/>
      <c r="AR192" s="1"/>
      <c r="AS192" s="1" t="s">
        <v>2808</v>
      </c>
      <c r="AT192" s="1" t="s">
        <v>731</v>
      </c>
      <c r="AU192" s="1"/>
      <c r="AV192" s="1"/>
      <c r="AW192" s="1"/>
      <c r="AX192" s="1"/>
      <c r="AY192" s="1"/>
      <c r="AZ192" s="1" t="s">
        <v>2812</v>
      </c>
      <c r="BA192" t="s">
        <v>2880</v>
      </c>
    </row>
    <row r="193" spans="1:53" ht="19" customHeight="1">
      <c r="A193" s="4" t="s">
        <v>1124</v>
      </c>
      <c r="B193" s="4">
        <v>35.817</v>
      </c>
      <c r="C193" s="4">
        <v>-120.36499999999999</v>
      </c>
      <c r="D193" s="4">
        <v>8.1</v>
      </c>
      <c r="E193" s="4">
        <v>6</v>
      </c>
      <c r="F193" s="4" t="s">
        <v>1032</v>
      </c>
      <c r="G193" s="4" t="s">
        <v>951</v>
      </c>
      <c r="H193" s="4">
        <v>-120.43300000000001</v>
      </c>
      <c r="I193" s="4">
        <v>35.899000000000001</v>
      </c>
      <c r="J193" s="4">
        <v>265.20999999999998</v>
      </c>
      <c r="K193" s="4">
        <v>2.65</v>
      </c>
      <c r="L193" s="4" t="b">
        <v>1</v>
      </c>
      <c r="M193" s="4">
        <v>1.19</v>
      </c>
      <c r="N193" s="4" t="b">
        <v>0</v>
      </c>
      <c r="O193" s="4" t="s">
        <v>1029</v>
      </c>
      <c r="P193" s="4" t="b">
        <v>0</v>
      </c>
      <c r="Q193" s="4">
        <v>271.19799999999998</v>
      </c>
      <c r="R193" s="4">
        <v>300.786</v>
      </c>
      <c r="S193" s="4">
        <v>155.429</v>
      </c>
      <c r="T193" s="4">
        <v>39.890999999999998</v>
      </c>
      <c r="U193" s="4">
        <v>46.902099999999997</v>
      </c>
      <c r="V193" s="4">
        <v>9.6275999999999993</v>
      </c>
      <c r="W193" s="4">
        <v>10.8499</v>
      </c>
      <c r="X193" s="4">
        <v>10.3078</v>
      </c>
      <c r="Y193" s="4">
        <v>2.0894300000000001</v>
      </c>
      <c r="Z193" s="4">
        <v>-0.121294</v>
      </c>
      <c r="AA193" s="4">
        <v>7.6607999999999996E-2</v>
      </c>
      <c r="AB193" s="4">
        <v>3.9604E-2</v>
      </c>
      <c r="AC193" s="1" t="s">
        <v>547</v>
      </c>
      <c r="AD193" s="1" t="s">
        <v>2767</v>
      </c>
      <c r="AE193" s="1" t="s">
        <v>2768</v>
      </c>
      <c r="AF193" s="1">
        <v>6</v>
      </c>
      <c r="AG193" s="1" t="s">
        <v>1003</v>
      </c>
      <c r="AH193" s="1">
        <v>35.817</v>
      </c>
      <c r="AI193" s="1">
        <v>-120.36499999999999</v>
      </c>
      <c r="AJ193" s="1">
        <v>8.1</v>
      </c>
      <c r="AK193" s="1" t="s">
        <v>1032</v>
      </c>
      <c r="AL193" s="1" t="s">
        <v>2809</v>
      </c>
      <c r="AM193" s="1">
        <v>141</v>
      </c>
      <c r="AN193" s="1">
        <v>89</v>
      </c>
      <c r="AO193" s="1">
        <v>-175</v>
      </c>
      <c r="AP193" s="1"/>
      <c r="AQ193" s="1"/>
      <c r="AR193" s="1"/>
      <c r="AS193" s="1" t="s">
        <v>2808</v>
      </c>
      <c r="AT193" s="1" t="s">
        <v>731</v>
      </c>
      <c r="AU193" s="1"/>
      <c r="AV193" s="1"/>
      <c r="AW193" s="1"/>
      <c r="AX193" s="1"/>
      <c r="AY193" s="1"/>
      <c r="AZ193" s="1" t="s">
        <v>2812</v>
      </c>
      <c r="BA193" t="s">
        <v>2880</v>
      </c>
    </row>
    <row r="194" spans="1:53" ht="19" customHeight="1">
      <c r="A194" s="4" t="s">
        <v>1124</v>
      </c>
      <c r="B194" s="4">
        <v>35.817</v>
      </c>
      <c r="C194" s="4">
        <v>-120.36499999999999</v>
      </c>
      <c r="D194" s="4">
        <v>8.1</v>
      </c>
      <c r="E194" s="4">
        <v>6</v>
      </c>
      <c r="F194" s="4" t="s">
        <v>1032</v>
      </c>
      <c r="G194" s="4" t="s">
        <v>950</v>
      </c>
      <c r="H194" s="4">
        <v>-120.44499999999999</v>
      </c>
      <c r="I194" s="4">
        <v>35.878999999999998</v>
      </c>
      <c r="J194" s="4">
        <v>372.26</v>
      </c>
      <c r="K194" s="4">
        <v>2.85</v>
      </c>
      <c r="L194" s="4" t="b">
        <v>1</v>
      </c>
      <c r="M194" s="4">
        <v>1.1339999999999999</v>
      </c>
      <c r="N194" s="4" t="b">
        <v>0</v>
      </c>
      <c r="O194" s="4" t="s">
        <v>1029</v>
      </c>
      <c r="P194" s="4" t="b">
        <v>0</v>
      </c>
      <c r="Q194" s="4">
        <v>149.86199999999999</v>
      </c>
      <c r="R194" s="4">
        <v>95.442899999999995</v>
      </c>
      <c r="S194" s="4">
        <v>92.723200000000006</v>
      </c>
      <c r="T194" s="4">
        <v>23.920400000000001</v>
      </c>
      <c r="U194" s="4">
        <v>14.3279</v>
      </c>
      <c r="V194" s="4">
        <v>3.28945</v>
      </c>
      <c r="W194" s="4">
        <v>5.5354400000000004</v>
      </c>
      <c r="X194" s="4">
        <v>3.12351</v>
      </c>
      <c r="Y194" s="4">
        <v>0.465117</v>
      </c>
      <c r="Z194" s="4">
        <v>0.29854700000000001</v>
      </c>
      <c r="AA194" s="4">
        <v>0.35720299999999999</v>
      </c>
      <c r="AB194" s="4">
        <v>-1.2971999999999999E-2</v>
      </c>
      <c r="AC194" s="1" t="s">
        <v>547</v>
      </c>
      <c r="AD194" s="1" t="s">
        <v>2767</v>
      </c>
      <c r="AE194" s="1" t="s">
        <v>2768</v>
      </c>
      <c r="AF194" s="1">
        <v>6</v>
      </c>
      <c r="AG194" s="1" t="s">
        <v>1003</v>
      </c>
      <c r="AH194" s="1">
        <v>35.817</v>
      </c>
      <c r="AI194" s="1">
        <v>-120.36499999999999</v>
      </c>
      <c r="AJ194" s="1">
        <v>8.1</v>
      </c>
      <c r="AK194" s="1" t="s">
        <v>1032</v>
      </c>
      <c r="AL194" s="1" t="s">
        <v>2809</v>
      </c>
      <c r="AM194" s="1">
        <v>141</v>
      </c>
      <c r="AN194" s="1">
        <v>89</v>
      </c>
      <c r="AO194" s="1">
        <v>-175</v>
      </c>
      <c r="AP194" s="1"/>
      <c r="AQ194" s="1"/>
      <c r="AR194" s="1"/>
      <c r="AS194" s="1" t="s">
        <v>2808</v>
      </c>
      <c r="AT194" s="1" t="s">
        <v>731</v>
      </c>
      <c r="AU194" s="1"/>
      <c r="AV194" s="1"/>
      <c r="AW194" s="1"/>
      <c r="AX194" s="1"/>
      <c r="AY194" s="1"/>
      <c r="AZ194" s="1" t="s">
        <v>2812</v>
      </c>
      <c r="BA194" t="s">
        <v>2880</v>
      </c>
    </row>
    <row r="195" spans="1:53" ht="19" customHeight="1">
      <c r="A195" s="4" t="s">
        <v>1124</v>
      </c>
      <c r="B195" s="4">
        <v>35.817</v>
      </c>
      <c r="C195" s="4">
        <v>-120.36499999999999</v>
      </c>
      <c r="D195" s="4">
        <v>8.1</v>
      </c>
      <c r="E195" s="4">
        <v>6</v>
      </c>
      <c r="F195" s="4" t="s">
        <v>1032</v>
      </c>
      <c r="G195" s="4" t="s">
        <v>1125</v>
      </c>
      <c r="H195" s="4">
        <v>-120.294</v>
      </c>
      <c r="I195" s="4">
        <v>35.787999999999997</v>
      </c>
      <c r="J195" s="4">
        <v>260.63</v>
      </c>
      <c r="K195" s="4">
        <v>3.79</v>
      </c>
      <c r="L195" s="4" t="b">
        <v>1</v>
      </c>
      <c r="M195" s="4">
        <v>0.57399999999999995</v>
      </c>
      <c r="N195" s="4" t="b">
        <v>0</v>
      </c>
      <c r="O195" s="4" t="s">
        <v>1029</v>
      </c>
      <c r="P195" s="4" t="b">
        <v>0</v>
      </c>
      <c r="Q195" s="4">
        <v>670.20399999999995</v>
      </c>
      <c r="R195" s="4">
        <v>816.98199999999997</v>
      </c>
      <c r="S195" s="4">
        <v>325.18799999999999</v>
      </c>
      <c r="T195" s="4">
        <v>36.023899999999998</v>
      </c>
      <c r="U195" s="4">
        <v>39.859099999999998</v>
      </c>
      <c r="V195" s="4">
        <v>16.394300000000001</v>
      </c>
      <c r="W195" s="4">
        <v>5.4564300000000001</v>
      </c>
      <c r="X195" s="4">
        <v>3.3436300000000001</v>
      </c>
      <c r="Y195" s="4">
        <v>1.3385800000000001</v>
      </c>
      <c r="Z195" s="4">
        <v>-8.5193000000000005E-2</v>
      </c>
      <c r="AA195" s="4">
        <v>5.4429999999999999E-2</v>
      </c>
      <c r="AB195" s="4">
        <v>3.4757000000000003E-2</v>
      </c>
      <c r="AC195" s="1" t="s">
        <v>547</v>
      </c>
      <c r="AD195" s="1" t="s">
        <v>2767</v>
      </c>
      <c r="AE195" s="1" t="s">
        <v>2768</v>
      </c>
      <c r="AF195" s="1">
        <v>6</v>
      </c>
      <c r="AG195" s="1" t="s">
        <v>1003</v>
      </c>
      <c r="AH195" s="1">
        <v>35.817</v>
      </c>
      <c r="AI195" s="1">
        <v>-120.36499999999999</v>
      </c>
      <c r="AJ195" s="1">
        <v>8.1</v>
      </c>
      <c r="AK195" s="1" t="s">
        <v>1032</v>
      </c>
      <c r="AL195" s="1" t="s">
        <v>2809</v>
      </c>
      <c r="AM195" s="1">
        <v>141</v>
      </c>
      <c r="AN195" s="1">
        <v>89</v>
      </c>
      <c r="AO195" s="1">
        <v>-175</v>
      </c>
      <c r="AP195" s="1"/>
      <c r="AQ195" s="1"/>
      <c r="AR195" s="1"/>
      <c r="AS195" s="1" t="s">
        <v>2808</v>
      </c>
      <c r="AT195" s="1" t="s">
        <v>731</v>
      </c>
      <c r="AU195" s="1"/>
      <c r="AV195" s="1"/>
      <c r="AW195" s="1"/>
      <c r="AX195" s="1"/>
      <c r="AY195" s="1"/>
      <c r="AZ195" s="1" t="s">
        <v>2812</v>
      </c>
      <c r="BA195" t="s">
        <v>2880</v>
      </c>
    </row>
    <row r="196" spans="1:53" ht="19" customHeight="1">
      <c r="A196" s="4" t="s">
        <v>1124</v>
      </c>
      <c r="B196" s="4">
        <v>35.817</v>
      </c>
      <c r="C196" s="4">
        <v>-120.36499999999999</v>
      </c>
      <c r="D196" s="4">
        <v>8.1</v>
      </c>
      <c r="E196" s="4">
        <v>6</v>
      </c>
      <c r="F196" s="4" t="s">
        <v>1032</v>
      </c>
      <c r="G196" s="4" t="s">
        <v>943</v>
      </c>
      <c r="H196" s="4">
        <v>-120.59</v>
      </c>
      <c r="I196" s="4">
        <v>36.033999999999999</v>
      </c>
      <c r="J196" s="4">
        <v>648.09</v>
      </c>
      <c r="K196" s="4">
        <v>2.99</v>
      </c>
      <c r="L196" s="4" t="b">
        <v>1</v>
      </c>
      <c r="M196" s="4">
        <v>0.85399999999999998</v>
      </c>
      <c r="N196" s="4" t="b">
        <v>0</v>
      </c>
      <c r="O196" s="4" t="s">
        <v>1029</v>
      </c>
      <c r="P196" s="4" t="b">
        <v>0</v>
      </c>
      <c r="Q196" s="4">
        <v>206.56100000000001</v>
      </c>
      <c r="R196" s="4">
        <v>342.541</v>
      </c>
      <c r="S196" s="4">
        <v>107.452</v>
      </c>
      <c r="T196" s="4">
        <v>25.959299999999999</v>
      </c>
      <c r="U196" s="4">
        <v>53.183399999999999</v>
      </c>
      <c r="V196" s="4">
        <v>8.7203599999999994</v>
      </c>
      <c r="W196" s="4">
        <v>6.7620500000000003</v>
      </c>
      <c r="X196" s="4">
        <v>9.10243</v>
      </c>
      <c r="Y196" s="4">
        <v>1.70112</v>
      </c>
      <c r="Z196" s="4">
        <v>-1.7958999999999999E-2</v>
      </c>
      <c r="AA196" s="4">
        <v>-0.190803</v>
      </c>
      <c r="AB196" s="4">
        <v>-4.0758000000000003E-2</v>
      </c>
      <c r="AC196" s="1" t="s">
        <v>547</v>
      </c>
      <c r="AD196" s="1" t="s">
        <v>2767</v>
      </c>
      <c r="AE196" s="1" t="s">
        <v>2768</v>
      </c>
      <c r="AF196" s="1">
        <v>6</v>
      </c>
      <c r="AG196" s="1" t="s">
        <v>1003</v>
      </c>
      <c r="AH196" s="1">
        <v>35.817</v>
      </c>
      <c r="AI196" s="1">
        <v>-120.36499999999999</v>
      </c>
      <c r="AJ196" s="1">
        <v>8.1</v>
      </c>
      <c r="AK196" s="1" t="s">
        <v>1032</v>
      </c>
      <c r="AL196" s="1" t="s">
        <v>2809</v>
      </c>
      <c r="AM196" s="1">
        <v>141</v>
      </c>
      <c r="AN196" s="1">
        <v>89</v>
      </c>
      <c r="AO196" s="1">
        <v>-175</v>
      </c>
      <c r="AP196" s="1"/>
      <c r="AQ196" s="1"/>
      <c r="AR196" s="1"/>
      <c r="AS196" s="1" t="s">
        <v>2808</v>
      </c>
      <c r="AT196" s="1" t="s">
        <v>731</v>
      </c>
      <c r="AU196" s="1"/>
      <c r="AV196" s="1"/>
      <c r="AW196" s="1"/>
      <c r="AX196" s="1"/>
      <c r="AY196" s="1"/>
      <c r="AZ196" s="1" t="s">
        <v>2812</v>
      </c>
      <c r="BA196" t="s">
        <v>2880</v>
      </c>
    </row>
    <row r="197" spans="1:53" ht="19" customHeight="1">
      <c r="A197" s="4" t="s">
        <v>555</v>
      </c>
      <c r="B197" s="4">
        <v>22.726199999999999</v>
      </c>
      <c r="C197" s="4">
        <v>121.3695</v>
      </c>
      <c r="D197" s="4">
        <v>24.03</v>
      </c>
      <c r="E197" s="4">
        <v>6.24</v>
      </c>
      <c r="F197" s="4" t="s">
        <v>1055</v>
      </c>
      <c r="G197" s="4" t="s">
        <v>1126</v>
      </c>
      <c r="H197" s="4">
        <v>121.156333</v>
      </c>
      <c r="I197" s="4">
        <v>22.974</v>
      </c>
      <c r="J197" s="4">
        <v>539.471318</v>
      </c>
      <c r="K197" s="4">
        <v>28.520092000000002</v>
      </c>
      <c r="L197" s="4" t="b">
        <v>1</v>
      </c>
      <c r="M197" s="4">
        <v>2.2610000000000001</v>
      </c>
      <c r="N197" s="4" t="b">
        <v>0</v>
      </c>
      <c r="O197" s="4" t="s">
        <v>1029</v>
      </c>
      <c r="P197" s="4" t="b">
        <v>0</v>
      </c>
      <c r="Q197" s="4">
        <v>118.461</v>
      </c>
      <c r="R197" s="4">
        <v>111.47499999999999</v>
      </c>
      <c r="S197" s="4">
        <v>44.765000000000001</v>
      </c>
      <c r="T197" s="4">
        <v>23.315899999999999</v>
      </c>
      <c r="U197" s="4">
        <v>21.4602</v>
      </c>
      <c r="V197" s="4">
        <v>6.8271899999999999</v>
      </c>
      <c r="W197" s="4">
        <v>7.1636899999999999</v>
      </c>
      <c r="X197" s="4">
        <v>5.6980199999999996</v>
      </c>
      <c r="Y197" s="4">
        <v>2.0770300000000002</v>
      </c>
      <c r="Z197" s="4">
        <v>-1.0630000000000001E-2</v>
      </c>
      <c r="AA197" s="4">
        <v>-3.0624999999999999E-2</v>
      </c>
      <c r="AB197" s="4">
        <v>-2.2558999999999999E-2</v>
      </c>
      <c r="AC197" s="1" t="s">
        <v>554</v>
      </c>
      <c r="AD197" s="1" t="s">
        <v>2882</v>
      </c>
      <c r="AE197" s="1" t="s">
        <v>2883</v>
      </c>
      <c r="AF197" s="1">
        <v>6.24</v>
      </c>
      <c r="AG197" s="1" t="s">
        <v>1003</v>
      </c>
      <c r="AH197" s="1">
        <v>22.726199999999999</v>
      </c>
      <c r="AI197" s="1">
        <v>121.3695</v>
      </c>
      <c r="AJ197" s="1">
        <v>24.03</v>
      </c>
      <c r="AK197" s="1" t="s">
        <v>1055</v>
      </c>
      <c r="AL197" s="1" t="s">
        <v>2834</v>
      </c>
      <c r="AM197" s="1">
        <v>358</v>
      </c>
      <c r="AN197" s="1">
        <v>45</v>
      </c>
      <c r="AO197" s="1">
        <v>49</v>
      </c>
      <c r="AP197" s="1">
        <v>229</v>
      </c>
      <c r="AQ197" s="1">
        <v>58</v>
      </c>
      <c r="AR197" s="1">
        <v>124</v>
      </c>
      <c r="AS197" s="1" t="s">
        <v>2808</v>
      </c>
      <c r="AT197" s="1" t="s">
        <v>731</v>
      </c>
      <c r="AU197" s="1"/>
      <c r="AV197" s="1"/>
      <c r="AW197" s="1"/>
      <c r="AX197" s="1"/>
      <c r="AY197" s="1"/>
      <c r="AZ197" s="1" t="s">
        <v>2812</v>
      </c>
      <c r="BA197" t="s">
        <v>2885</v>
      </c>
    </row>
    <row r="198" spans="1:53" ht="19" customHeight="1">
      <c r="A198" s="4" t="s">
        <v>560</v>
      </c>
      <c r="B198" s="4">
        <v>24.657299999999999</v>
      </c>
      <c r="C198" s="4">
        <v>121.8135</v>
      </c>
      <c r="D198" s="4">
        <v>10.17</v>
      </c>
      <c r="E198" s="4">
        <v>5.77</v>
      </c>
      <c r="F198" s="4" t="s">
        <v>1032</v>
      </c>
      <c r="G198" s="4" t="s">
        <v>1110</v>
      </c>
      <c r="H198" s="4">
        <v>121.766667</v>
      </c>
      <c r="I198" s="4">
        <v>24.689</v>
      </c>
      <c r="J198" s="4">
        <v>267.47285900000003</v>
      </c>
      <c r="K198" s="4">
        <v>8.7482089999999992</v>
      </c>
      <c r="L198" s="4" t="b">
        <v>1</v>
      </c>
      <c r="M198" s="4">
        <v>1.085</v>
      </c>
      <c r="N198" s="4" t="b">
        <v>0</v>
      </c>
      <c r="O198" s="4" t="s">
        <v>1029</v>
      </c>
      <c r="P198" s="4" t="b">
        <v>0</v>
      </c>
      <c r="Q198" s="4">
        <v>238.27199999999999</v>
      </c>
      <c r="R198" s="4">
        <v>141.19900000000001</v>
      </c>
      <c r="S198" s="4">
        <v>205.09700000000001</v>
      </c>
      <c r="T198" s="4">
        <v>23.804600000000001</v>
      </c>
      <c r="U198" s="4">
        <v>17.664300000000001</v>
      </c>
      <c r="V198" s="4">
        <v>5.16683</v>
      </c>
      <c r="W198" s="4">
        <v>4.2515200000000002</v>
      </c>
      <c r="X198" s="4">
        <v>5.2006500000000004</v>
      </c>
      <c r="Y198" s="4">
        <v>0.59457400000000005</v>
      </c>
      <c r="Z198" s="4">
        <v>-1.6192999999999999E-2</v>
      </c>
      <c r="AA198" s="4">
        <v>-3.7047999999999998E-2</v>
      </c>
      <c r="AB198" s="4">
        <v>1.2049999999999999E-3</v>
      </c>
      <c r="AC198" s="1" t="s">
        <v>559</v>
      </c>
      <c r="AD198" s="1" t="s">
        <v>2887</v>
      </c>
      <c r="AE198" s="1" t="s">
        <v>2888</v>
      </c>
      <c r="AF198" s="1">
        <v>5.77</v>
      </c>
      <c r="AG198" s="1" t="s">
        <v>1003</v>
      </c>
      <c r="AH198" s="1">
        <v>24.657299999999999</v>
      </c>
      <c r="AI198" s="1">
        <v>121.8135</v>
      </c>
      <c r="AJ198" s="1">
        <v>10.17</v>
      </c>
      <c r="AK198" s="1" t="s">
        <v>1032</v>
      </c>
      <c r="AL198" s="1" t="s">
        <v>2834</v>
      </c>
      <c r="AM198" s="1">
        <v>358</v>
      </c>
      <c r="AN198" s="1">
        <v>62</v>
      </c>
      <c r="AO198" s="1">
        <v>-165</v>
      </c>
      <c r="AP198" s="1">
        <v>261</v>
      </c>
      <c r="AQ198" s="1">
        <v>77</v>
      </c>
      <c r="AR198" s="1">
        <v>-29</v>
      </c>
      <c r="AS198" s="1" t="s">
        <v>2808</v>
      </c>
      <c r="AT198" s="1" t="s">
        <v>731</v>
      </c>
      <c r="AU198" s="1"/>
      <c r="AV198" s="1"/>
      <c r="AW198" s="1"/>
      <c r="AX198" s="1"/>
      <c r="AY198" s="1"/>
      <c r="AZ198" s="1" t="s">
        <v>2812</v>
      </c>
      <c r="BA198" t="s">
        <v>2890</v>
      </c>
    </row>
    <row r="199" spans="1:53" ht="19" customHeight="1">
      <c r="A199" s="4" t="s">
        <v>560</v>
      </c>
      <c r="B199" s="4">
        <v>24.657299999999999</v>
      </c>
      <c r="C199" s="4">
        <v>121.8135</v>
      </c>
      <c r="D199" s="4">
        <v>10.17</v>
      </c>
      <c r="E199" s="4">
        <v>5.77</v>
      </c>
      <c r="F199" s="4" t="s">
        <v>1032</v>
      </c>
      <c r="G199" s="4" t="s">
        <v>1112</v>
      </c>
      <c r="H199" s="4">
        <v>121.744</v>
      </c>
      <c r="I199" s="4">
        <v>24.719833000000001</v>
      </c>
      <c r="J199" s="4">
        <v>243.85290000000001</v>
      </c>
      <c r="K199" s="4">
        <v>11.277189999999999</v>
      </c>
      <c r="L199" s="4" t="b">
        <v>1</v>
      </c>
      <c r="M199" s="4">
        <v>1.218</v>
      </c>
      <c r="N199" s="4" t="b">
        <v>0</v>
      </c>
      <c r="O199" s="4" t="s">
        <v>1029</v>
      </c>
      <c r="P199" s="4" t="b">
        <v>0</v>
      </c>
      <c r="Q199" s="4">
        <v>180.852</v>
      </c>
      <c r="R199" s="4">
        <v>122.301</v>
      </c>
      <c r="S199" s="4">
        <v>88.382999999999996</v>
      </c>
      <c r="T199" s="4">
        <v>22.162299999999998</v>
      </c>
      <c r="U199" s="4">
        <v>14.460800000000001</v>
      </c>
      <c r="V199" s="4">
        <v>3.8064300000000002</v>
      </c>
      <c r="W199" s="4">
        <v>3.5449899999999999</v>
      </c>
      <c r="X199" s="4">
        <v>4.1232899999999999</v>
      </c>
      <c r="Y199" s="4">
        <v>0.70513099999999995</v>
      </c>
      <c r="Z199" s="4">
        <v>-8.6879999999999995E-3</v>
      </c>
      <c r="AA199" s="4">
        <v>-7.8517000000000003E-2</v>
      </c>
      <c r="AB199" s="4">
        <v>3.1942999999999999E-2</v>
      </c>
      <c r="AC199" s="1" t="s">
        <v>559</v>
      </c>
      <c r="AD199" s="1" t="s">
        <v>2887</v>
      </c>
      <c r="AE199" s="1" t="s">
        <v>2888</v>
      </c>
      <c r="AF199" s="1">
        <v>5.77</v>
      </c>
      <c r="AG199" s="1" t="s">
        <v>1003</v>
      </c>
      <c r="AH199" s="1">
        <v>24.657299999999999</v>
      </c>
      <c r="AI199" s="1">
        <v>121.8135</v>
      </c>
      <c r="AJ199" s="1">
        <v>10.17</v>
      </c>
      <c r="AK199" s="1" t="s">
        <v>1032</v>
      </c>
      <c r="AL199" s="1" t="s">
        <v>2834</v>
      </c>
      <c r="AM199" s="1">
        <v>358</v>
      </c>
      <c r="AN199" s="1">
        <v>62</v>
      </c>
      <c r="AO199" s="1">
        <v>-165</v>
      </c>
      <c r="AP199" s="1">
        <v>261</v>
      </c>
      <c r="AQ199" s="1">
        <v>77</v>
      </c>
      <c r="AR199" s="1">
        <v>-29</v>
      </c>
      <c r="AS199" s="1" t="s">
        <v>2808</v>
      </c>
      <c r="AT199" s="1" t="s">
        <v>731</v>
      </c>
      <c r="AU199" s="1"/>
      <c r="AV199" s="1"/>
      <c r="AW199" s="1"/>
      <c r="AX199" s="1"/>
      <c r="AY199" s="1"/>
      <c r="AZ199" s="1" t="s">
        <v>2812</v>
      </c>
      <c r="BA199" t="s">
        <v>2890</v>
      </c>
    </row>
    <row r="200" spans="1:53" ht="19" customHeight="1">
      <c r="A200" s="4" t="s">
        <v>572</v>
      </c>
      <c r="B200" s="4">
        <v>21.887</v>
      </c>
      <c r="C200" s="4">
        <v>120.5684</v>
      </c>
      <c r="D200" s="4">
        <v>44.1</v>
      </c>
      <c r="E200" s="4">
        <v>7.02</v>
      </c>
      <c r="F200" s="4" t="s">
        <v>1127</v>
      </c>
      <c r="G200" s="4" t="s">
        <v>1128</v>
      </c>
      <c r="H200" s="4">
        <v>120.7457</v>
      </c>
      <c r="I200" s="4">
        <v>22.0032</v>
      </c>
      <c r="J200" s="4">
        <v>198.41</v>
      </c>
      <c r="K200" s="4">
        <v>40.848100000000002</v>
      </c>
      <c r="L200" s="4" t="b">
        <v>1</v>
      </c>
      <c r="M200" s="4">
        <v>2.1</v>
      </c>
      <c r="N200" s="4" t="b">
        <v>0</v>
      </c>
      <c r="O200" s="4" t="s">
        <v>1029</v>
      </c>
      <c r="P200" s="4" t="b">
        <v>0</v>
      </c>
      <c r="Q200" s="4">
        <v>181.09760499999999</v>
      </c>
      <c r="R200" s="4">
        <v>198.754604</v>
      </c>
      <c r="S200" s="4">
        <v>74.156593000000001</v>
      </c>
      <c r="T200" s="4">
        <v>38.870165</v>
      </c>
      <c r="U200" s="4">
        <v>30.230744999999999</v>
      </c>
      <c r="V200" s="4">
        <v>8.3765350000000005</v>
      </c>
      <c r="W200" s="4">
        <v>13.297174999999999</v>
      </c>
      <c r="X200" s="4">
        <v>9.7082470000000001</v>
      </c>
      <c r="Y200" s="4">
        <v>3.3396249999999998</v>
      </c>
      <c r="Z200" s="4">
        <v>0.32852500000000001</v>
      </c>
      <c r="AA200" s="4">
        <v>-0.31456000000000001</v>
      </c>
      <c r="AB200" s="4">
        <v>0.17281199999999999</v>
      </c>
      <c r="AC200" s="1" t="s">
        <v>571</v>
      </c>
      <c r="AD200" s="1" t="s">
        <v>2892</v>
      </c>
      <c r="AE200" s="1" t="s">
        <v>2893</v>
      </c>
      <c r="AF200" s="1">
        <v>7.02</v>
      </c>
      <c r="AG200" s="1" t="s">
        <v>1003</v>
      </c>
      <c r="AH200" s="1">
        <v>21.887</v>
      </c>
      <c r="AI200" s="1">
        <v>120.5684</v>
      </c>
      <c r="AJ200" s="1">
        <v>44.1</v>
      </c>
      <c r="AK200" s="1" t="s">
        <v>1127</v>
      </c>
      <c r="AL200" s="1" t="s">
        <v>2834</v>
      </c>
      <c r="AM200" s="1">
        <v>319</v>
      </c>
      <c r="AN200" s="1">
        <v>69</v>
      </c>
      <c r="AO200" s="1">
        <v>257</v>
      </c>
      <c r="AP200" s="1">
        <v>170</v>
      </c>
      <c r="AQ200" s="1">
        <v>23</v>
      </c>
      <c r="AR200" s="1">
        <v>-60</v>
      </c>
      <c r="AS200" s="1" t="s">
        <v>2808</v>
      </c>
      <c r="AT200" s="1" t="s">
        <v>731</v>
      </c>
      <c r="AU200" s="1"/>
      <c r="AV200" s="1"/>
      <c r="AW200" s="1"/>
      <c r="AX200" s="1"/>
      <c r="AY200" s="1"/>
      <c r="AZ200" s="1" t="s">
        <v>2812</v>
      </c>
      <c r="BA200" t="s">
        <v>2895</v>
      </c>
    </row>
    <row r="201" spans="1:53" ht="19" customHeight="1">
      <c r="A201" s="4" t="s">
        <v>567</v>
      </c>
      <c r="B201" s="4">
        <v>22.029699999999998</v>
      </c>
      <c r="C201" s="4">
        <v>120.4051</v>
      </c>
      <c r="D201" s="4">
        <v>33.799999999999997</v>
      </c>
      <c r="E201" s="4">
        <v>6.94</v>
      </c>
      <c r="F201" s="4" t="s">
        <v>1032</v>
      </c>
      <c r="G201" s="4" t="s">
        <v>1128</v>
      </c>
      <c r="H201" s="4">
        <v>120.7457</v>
      </c>
      <c r="I201" s="4">
        <v>22.003170000000001</v>
      </c>
      <c r="J201" s="4">
        <v>198.4127</v>
      </c>
      <c r="K201" s="4">
        <v>34.815899999999999</v>
      </c>
      <c r="L201" s="4" t="b">
        <v>1</v>
      </c>
      <c r="M201" s="4">
        <v>2.0369999999999999</v>
      </c>
      <c r="N201" s="4" t="b">
        <v>0</v>
      </c>
      <c r="O201" s="4" t="s">
        <v>1029</v>
      </c>
      <c r="P201" s="4" t="b">
        <v>0</v>
      </c>
      <c r="Q201" s="4">
        <v>173.87899999999999</v>
      </c>
      <c r="R201" s="4">
        <v>250.3</v>
      </c>
      <c r="S201" s="4">
        <v>68.212999999999994</v>
      </c>
      <c r="T201" s="4">
        <v>32.363500000000002</v>
      </c>
      <c r="U201" s="4">
        <v>34.176299999999998</v>
      </c>
      <c r="V201" s="4">
        <v>6.0985399999999998</v>
      </c>
      <c r="W201" s="4">
        <v>13.6319</v>
      </c>
      <c r="X201" s="4">
        <v>9.3193699999999993</v>
      </c>
      <c r="Y201" s="4">
        <v>3.6683599999999998</v>
      </c>
      <c r="Z201" s="4">
        <v>-0.45931899999999998</v>
      </c>
      <c r="AA201" s="4">
        <v>0.438222</v>
      </c>
      <c r="AB201" s="4">
        <v>0.74046299999999998</v>
      </c>
      <c r="AC201" s="1" t="s">
        <v>566</v>
      </c>
      <c r="AD201" s="1" t="s">
        <v>2892</v>
      </c>
      <c r="AE201" s="1" t="s">
        <v>2897</v>
      </c>
      <c r="AF201" s="1">
        <v>6.94</v>
      </c>
      <c r="AG201" s="1" t="s">
        <v>1003</v>
      </c>
      <c r="AH201" s="1">
        <v>22.029699999999998</v>
      </c>
      <c r="AI201" s="1">
        <v>120.4051</v>
      </c>
      <c r="AJ201" s="1">
        <v>33.799999999999997</v>
      </c>
      <c r="AK201" s="1" t="s">
        <v>1032</v>
      </c>
      <c r="AL201" s="1" t="s">
        <v>2834</v>
      </c>
      <c r="AM201" s="1">
        <v>151</v>
      </c>
      <c r="AN201" s="1">
        <v>48</v>
      </c>
      <c r="AO201" s="1">
        <v>0</v>
      </c>
      <c r="AP201" s="1">
        <v>61</v>
      </c>
      <c r="AQ201" s="1">
        <v>90</v>
      </c>
      <c r="AR201" s="1">
        <v>138</v>
      </c>
      <c r="AS201" s="1" t="s">
        <v>2808</v>
      </c>
      <c r="AT201" s="1" t="s">
        <v>731</v>
      </c>
      <c r="AU201" s="1"/>
      <c r="AV201" s="1"/>
      <c r="AW201" s="1"/>
      <c r="AX201" s="1"/>
      <c r="AY201" s="1"/>
      <c r="AZ201" s="1" t="s">
        <v>2812</v>
      </c>
      <c r="BA201" t="s">
        <v>2899</v>
      </c>
    </row>
    <row r="202" spans="1:53" ht="19" customHeight="1">
      <c r="A202" s="4" t="s">
        <v>567</v>
      </c>
      <c r="B202" s="4">
        <v>22.029699999999998</v>
      </c>
      <c r="C202" s="4">
        <v>120.4051</v>
      </c>
      <c r="D202" s="4">
        <v>33.799999999999997</v>
      </c>
      <c r="E202" s="4">
        <v>6.94</v>
      </c>
      <c r="F202" s="4" t="s">
        <v>1032</v>
      </c>
      <c r="G202" s="4" t="s">
        <v>1129</v>
      </c>
      <c r="H202" s="4">
        <v>120.7452</v>
      </c>
      <c r="I202" s="4">
        <v>22.008500000000002</v>
      </c>
      <c r="J202" s="4">
        <v>381.18680000000001</v>
      </c>
      <c r="K202" s="4">
        <v>34.978319999999997</v>
      </c>
      <c r="L202" s="4" t="b">
        <v>1</v>
      </c>
      <c r="M202" s="4">
        <v>2.0230000000000001</v>
      </c>
      <c r="N202" s="4" t="b">
        <v>0</v>
      </c>
      <c r="O202" s="4" t="s">
        <v>1029</v>
      </c>
      <c r="P202" s="4" t="b">
        <v>0</v>
      </c>
      <c r="Q202" s="4">
        <v>198.571</v>
      </c>
      <c r="R202" s="4">
        <v>255.744</v>
      </c>
      <c r="S202" s="4">
        <v>61.3</v>
      </c>
      <c r="T202" s="4">
        <v>29.611499999999999</v>
      </c>
      <c r="U202" s="4">
        <v>35.1541</v>
      </c>
      <c r="V202" s="4">
        <v>5.5722399999999999</v>
      </c>
      <c r="W202" s="4">
        <v>14.2492</v>
      </c>
      <c r="X202" s="4">
        <v>9.7979500000000002</v>
      </c>
      <c r="Y202" s="4">
        <v>3.8895200000000001</v>
      </c>
      <c r="Z202" s="4">
        <v>1.82836</v>
      </c>
      <c r="AA202" s="4">
        <v>-1.9466399999999999</v>
      </c>
      <c r="AB202" s="4">
        <v>0.88374299999999995</v>
      </c>
      <c r="AC202" s="1" t="s">
        <v>566</v>
      </c>
      <c r="AD202" s="1" t="s">
        <v>2892</v>
      </c>
      <c r="AE202" s="1" t="s">
        <v>2897</v>
      </c>
      <c r="AF202" s="1">
        <v>6.94</v>
      </c>
      <c r="AG202" s="1" t="s">
        <v>1003</v>
      </c>
      <c r="AH202" s="1">
        <v>22.029699999999998</v>
      </c>
      <c r="AI202" s="1">
        <v>120.4051</v>
      </c>
      <c r="AJ202" s="1">
        <v>33.799999999999997</v>
      </c>
      <c r="AK202" s="1" t="s">
        <v>1032</v>
      </c>
      <c r="AL202" s="1" t="s">
        <v>2834</v>
      </c>
      <c r="AM202" s="1">
        <v>151</v>
      </c>
      <c r="AN202" s="1">
        <v>48</v>
      </c>
      <c r="AO202" s="1">
        <v>0</v>
      </c>
      <c r="AP202" s="1">
        <v>61</v>
      </c>
      <c r="AQ202" s="1">
        <v>90</v>
      </c>
      <c r="AR202" s="1">
        <v>138</v>
      </c>
      <c r="AS202" s="1" t="s">
        <v>2808</v>
      </c>
      <c r="AT202" s="1" t="s">
        <v>731</v>
      </c>
      <c r="AU202" s="1"/>
      <c r="AV202" s="1"/>
      <c r="AW202" s="1"/>
      <c r="AX202" s="1"/>
      <c r="AY202" s="1"/>
      <c r="AZ202" s="1" t="s">
        <v>2812</v>
      </c>
      <c r="BA202" t="s">
        <v>2899</v>
      </c>
    </row>
    <row r="203" spans="1:53" ht="19" customHeight="1">
      <c r="A203" s="4" t="s">
        <v>567</v>
      </c>
      <c r="B203" s="4">
        <v>22.029699999999998</v>
      </c>
      <c r="C203" s="4">
        <v>120.4051</v>
      </c>
      <c r="D203" s="4">
        <v>33.799999999999997</v>
      </c>
      <c r="E203" s="4">
        <v>6.94</v>
      </c>
      <c r="F203" s="4" t="s">
        <v>1032</v>
      </c>
      <c r="G203" s="4" t="s">
        <v>1130</v>
      </c>
      <c r="H203" s="4">
        <v>120.73220000000001</v>
      </c>
      <c r="I203" s="4">
        <v>21.940329999999999</v>
      </c>
      <c r="J203" s="4">
        <v>493.49810000000002</v>
      </c>
      <c r="K203" s="4">
        <v>31.883759999999999</v>
      </c>
      <c r="L203" s="4" t="b">
        <v>1</v>
      </c>
      <c r="M203" s="4">
        <v>2.4009999999999998</v>
      </c>
      <c r="N203" s="4" t="b">
        <v>0</v>
      </c>
      <c r="O203" s="4" t="s">
        <v>1029</v>
      </c>
      <c r="P203" s="4" t="b">
        <v>0</v>
      </c>
      <c r="Q203" s="4">
        <v>203.85400000000001</v>
      </c>
      <c r="R203" s="4">
        <v>186.88300000000001</v>
      </c>
      <c r="S203" s="4">
        <v>83.427999999999997</v>
      </c>
      <c r="T203" s="4">
        <v>39.775300000000001</v>
      </c>
      <c r="U203" s="4">
        <v>25.183599999999998</v>
      </c>
      <c r="V203" s="4">
        <v>8.4289100000000001</v>
      </c>
      <c r="W203" s="4">
        <v>23.082699999999999</v>
      </c>
      <c r="X203" s="4">
        <v>9.9091699999999996</v>
      </c>
      <c r="Y203" s="4">
        <v>5.7577999999999996</v>
      </c>
      <c r="Z203" s="4">
        <v>-1.5359400000000001</v>
      </c>
      <c r="AA203" s="4">
        <v>-1.21269</v>
      </c>
      <c r="AB203" s="4">
        <v>1.6913100000000001</v>
      </c>
      <c r="AC203" s="1" t="s">
        <v>566</v>
      </c>
      <c r="AD203" s="1" t="s">
        <v>2892</v>
      </c>
      <c r="AE203" s="1" t="s">
        <v>2897</v>
      </c>
      <c r="AF203" s="1">
        <v>6.94</v>
      </c>
      <c r="AG203" s="1" t="s">
        <v>1003</v>
      </c>
      <c r="AH203" s="1">
        <v>22.029699999999998</v>
      </c>
      <c r="AI203" s="1">
        <v>120.4051</v>
      </c>
      <c r="AJ203" s="1">
        <v>33.799999999999997</v>
      </c>
      <c r="AK203" s="1" t="s">
        <v>1032</v>
      </c>
      <c r="AL203" s="1" t="s">
        <v>2834</v>
      </c>
      <c r="AM203" s="1">
        <v>151</v>
      </c>
      <c r="AN203" s="1">
        <v>48</v>
      </c>
      <c r="AO203" s="1">
        <v>0</v>
      </c>
      <c r="AP203" s="1">
        <v>61</v>
      </c>
      <c r="AQ203" s="1">
        <v>90</v>
      </c>
      <c r="AR203" s="1">
        <v>138</v>
      </c>
      <c r="AS203" s="1" t="s">
        <v>2808</v>
      </c>
      <c r="AT203" s="1" t="s">
        <v>731</v>
      </c>
      <c r="AU203" s="1"/>
      <c r="AV203" s="1"/>
      <c r="AW203" s="1"/>
      <c r="AX203" s="1"/>
      <c r="AY203" s="1"/>
      <c r="AZ203" s="1" t="s">
        <v>2812</v>
      </c>
      <c r="BA203" t="s">
        <v>2899</v>
      </c>
    </row>
    <row r="204" spans="1:53" ht="19" customHeight="1">
      <c r="A204" s="4" t="s">
        <v>577</v>
      </c>
      <c r="B204" s="4">
        <v>22.881</v>
      </c>
      <c r="C204" s="4">
        <v>121.06480000000001</v>
      </c>
      <c r="D204" s="4">
        <v>9.7100000000000009</v>
      </c>
      <c r="E204" s="4">
        <v>6.17</v>
      </c>
      <c r="F204" s="4" t="s">
        <v>1032</v>
      </c>
      <c r="G204" s="4" t="s">
        <v>1131</v>
      </c>
      <c r="H204" s="4">
        <v>121.119333</v>
      </c>
      <c r="I204" s="4">
        <v>22.781333</v>
      </c>
      <c r="J204" s="4">
        <v>445.36817100000002</v>
      </c>
      <c r="K204" s="4">
        <v>11.114708</v>
      </c>
      <c r="L204" s="4" t="b">
        <v>1</v>
      </c>
      <c r="M204" s="4">
        <v>1.1759999999999999</v>
      </c>
      <c r="N204" s="4" t="b">
        <v>0</v>
      </c>
      <c r="O204" s="4" t="s">
        <v>1029</v>
      </c>
      <c r="P204" s="4" t="b">
        <v>0</v>
      </c>
      <c r="Q204" s="4">
        <v>281.87900000000002</v>
      </c>
      <c r="R204" s="4">
        <v>325.084</v>
      </c>
      <c r="S204" s="4">
        <v>459.91199999999998</v>
      </c>
      <c r="T204" s="4">
        <v>35.311199999999999</v>
      </c>
      <c r="U204" s="4">
        <v>49.391599999999997</v>
      </c>
      <c r="V204" s="4">
        <v>10.4018</v>
      </c>
      <c r="W204" s="4">
        <v>6.2989600000000001</v>
      </c>
      <c r="X204" s="4">
        <v>6.7786900000000001</v>
      </c>
      <c r="Y204" s="4">
        <v>1.2652600000000001</v>
      </c>
      <c r="Z204" s="4">
        <v>-3.9371999999999997E-2</v>
      </c>
      <c r="AA204" s="4">
        <v>1.1480000000000001E-2</v>
      </c>
      <c r="AB204" s="4">
        <v>1.27E-4</v>
      </c>
      <c r="AC204" s="1" t="s">
        <v>576</v>
      </c>
      <c r="AD204" s="1" t="s">
        <v>2901</v>
      </c>
      <c r="AE204" s="1" t="s">
        <v>2902</v>
      </c>
      <c r="AF204" s="1">
        <v>6.17</v>
      </c>
      <c r="AG204" s="1" t="s">
        <v>1003</v>
      </c>
      <c r="AH204" s="1">
        <v>22.881</v>
      </c>
      <c r="AI204" s="1">
        <v>121.06480000000001</v>
      </c>
      <c r="AJ204" s="1">
        <v>9.7100000000000009</v>
      </c>
      <c r="AK204" s="1" t="s">
        <v>1032</v>
      </c>
      <c r="AL204" s="1" t="s">
        <v>2834</v>
      </c>
      <c r="AM204" s="1">
        <v>199</v>
      </c>
      <c r="AN204" s="1">
        <v>63</v>
      </c>
      <c r="AO204" s="1">
        <v>11</v>
      </c>
      <c r="AP204" s="1">
        <v>104</v>
      </c>
      <c r="AQ204" s="1">
        <v>80</v>
      </c>
      <c r="AR204" s="1">
        <v>153</v>
      </c>
      <c r="AS204" s="1" t="s">
        <v>2808</v>
      </c>
      <c r="AT204" s="1" t="s">
        <v>731</v>
      </c>
      <c r="AU204" s="1"/>
      <c r="AV204" s="1"/>
      <c r="AW204" s="1"/>
      <c r="AX204" s="1"/>
      <c r="AY204" s="1"/>
      <c r="AZ204" s="1" t="s">
        <v>2812</v>
      </c>
      <c r="BA204" t="s">
        <v>2904</v>
      </c>
    </row>
    <row r="205" spans="1:53" ht="19" customHeight="1">
      <c r="A205" s="4" t="s">
        <v>577</v>
      </c>
      <c r="B205" s="4">
        <v>22.881</v>
      </c>
      <c r="C205" s="4">
        <v>121.06480000000001</v>
      </c>
      <c r="D205" s="4">
        <v>9.7100000000000009</v>
      </c>
      <c r="E205" s="4">
        <v>6.17</v>
      </c>
      <c r="F205" s="4" t="s">
        <v>1032</v>
      </c>
      <c r="G205" s="4" t="s">
        <v>1132</v>
      </c>
      <c r="H205" s="4">
        <v>121.14149999999999</v>
      </c>
      <c r="I205" s="4">
        <v>22.763999999999999</v>
      </c>
      <c r="J205" s="4">
        <v>268.11296499999997</v>
      </c>
      <c r="K205" s="4">
        <v>12.358326</v>
      </c>
      <c r="L205" s="4" t="b">
        <v>1</v>
      </c>
      <c r="M205" s="4">
        <v>0.94499999999999995</v>
      </c>
      <c r="N205" s="4" t="b">
        <v>0</v>
      </c>
      <c r="O205" s="4" t="s">
        <v>1029</v>
      </c>
      <c r="P205" s="4" t="b">
        <v>0</v>
      </c>
      <c r="Q205" s="4">
        <v>342.80599999999998</v>
      </c>
      <c r="R205" s="4">
        <v>453.81</v>
      </c>
      <c r="S205" s="4">
        <v>241.83799999999999</v>
      </c>
      <c r="T205" s="4">
        <v>16.0778</v>
      </c>
      <c r="U205" s="4">
        <v>35.006599999999999</v>
      </c>
      <c r="V205" s="4">
        <v>12.2089</v>
      </c>
      <c r="W205" s="4">
        <v>3.65482</v>
      </c>
      <c r="X205" s="4">
        <v>6.8380900000000002</v>
      </c>
      <c r="Y205" s="4">
        <v>2.8113800000000002</v>
      </c>
      <c r="Z205" s="4">
        <v>1.619E-2</v>
      </c>
      <c r="AA205" s="4">
        <v>-2.6863999999999999E-2</v>
      </c>
      <c r="AB205" s="4">
        <v>-1.5706000000000001E-2</v>
      </c>
      <c r="AC205" s="1" t="s">
        <v>576</v>
      </c>
      <c r="AD205" s="1" t="s">
        <v>2901</v>
      </c>
      <c r="AE205" s="1" t="s">
        <v>2902</v>
      </c>
      <c r="AF205" s="1">
        <v>6.17</v>
      </c>
      <c r="AG205" s="1" t="s">
        <v>1003</v>
      </c>
      <c r="AH205" s="1">
        <v>22.881</v>
      </c>
      <c r="AI205" s="1">
        <v>121.06480000000001</v>
      </c>
      <c r="AJ205" s="1">
        <v>9.7100000000000009</v>
      </c>
      <c r="AK205" s="1" t="s">
        <v>1032</v>
      </c>
      <c r="AL205" s="1" t="s">
        <v>2834</v>
      </c>
      <c r="AM205" s="1">
        <v>199</v>
      </c>
      <c r="AN205" s="1">
        <v>63</v>
      </c>
      <c r="AO205" s="1">
        <v>11</v>
      </c>
      <c r="AP205" s="1">
        <v>104</v>
      </c>
      <c r="AQ205" s="1">
        <v>80</v>
      </c>
      <c r="AR205" s="1">
        <v>153</v>
      </c>
      <c r="AS205" s="1" t="s">
        <v>2808</v>
      </c>
      <c r="AT205" s="1" t="s">
        <v>731</v>
      </c>
      <c r="AU205" s="1"/>
      <c r="AV205" s="1"/>
      <c r="AW205" s="1"/>
      <c r="AX205" s="1"/>
      <c r="AY205" s="1"/>
      <c r="AZ205" s="1" t="s">
        <v>2812</v>
      </c>
      <c r="BA205" t="s">
        <v>2904</v>
      </c>
    </row>
    <row r="206" spans="1:53" ht="19" customHeight="1">
      <c r="A206" s="4" t="s">
        <v>577</v>
      </c>
      <c r="B206" s="4">
        <v>22.881</v>
      </c>
      <c r="C206" s="4">
        <v>121.06480000000001</v>
      </c>
      <c r="D206" s="4">
        <v>9.7100000000000009</v>
      </c>
      <c r="E206" s="4">
        <v>6.17</v>
      </c>
      <c r="F206" s="4" t="s">
        <v>1032</v>
      </c>
      <c r="G206" s="4" t="s">
        <v>1133</v>
      </c>
      <c r="H206" s="4">
        <v>121.093833</v>
      </c>
      <c r="I206" s="4">
        <v>22.807333</v>
      </c>
      <c r="J206" s="4">
        <v>318.21800000000002</v>
      </c>
      <c r="K206" s="4">
        <v>9.1040759999999992</v>
      </c>
      <c r="L206" s="4" t="b">
        <v>1</v>
      </c>
      <c r="M206" s="4">
        <v>1.274</v>
      </c>
      <c r="N206" s="4" t="b">
        <v>0</v>
      </c>
      <c r="O206" s="4" t="s">
        <v>1029</v>
      </c>
      <c r="P206" s="4" t="b">
        <v>0</v>
      </c>
      <c r="Q206" s="4">
        <v>285.51</v>
      </c>
      <c r="R206" s="4">
        <v>289.95999999999998</v>
      </c>
      <c r="S206" s="4">
        <v>180.85900000000001</v>
      </c>
      <c r="T206" s="4">
        <v>56.861600000000003</v>
      </c>
      <c r="U206" s="4">
        <v>49.003700000000002</v>
      </c>
      <c r="V206" s="4">
        <v>17.279699999999998</v>
      </c>
      <c r="W206" s="4">
        <v>13.1629</v>
      </c>
      <c r="X206" s="4">
        <v>11.386200000000001</v>
      </c>
      <c r="Y206" s="4">
        <v>4.6978</v>
      </c>
      <c r="Z206" s="4">
        <v>1.4827E-2</v>
      </c>
      <c r="AA206" s="4">
        <v>2.0763E-2</v>
      </c>
      <c r="AB206" s="4">
        <v>-7.5339999999999999E-3</v>
      </c>
      <c r="AC206" s="1" t="s">
        <v>576</v>
      </c>
      <c r="AD206" s="1" t="s">
        <v>2901</v>
      </c>
      <c r="AE206" s="1" t="s">
        <v>2902</v>
      </c>
      <c r="AF206" s="1">
        <v>6.17</v>
      </c>
      <c r="AG206" s="1" t="s">
        <v>1003</v>
      </c>
      <c r="AH206" s="1">
        <v>22.881</v>
      </c>
      <c r="AI206" s="1">
        <v>121.06480000000001</v>
      </c>
      <c r="AJ206" s="1">
        <v>9.7100000000000009</v>
      </c>
      <c r="AK206" s="1" t="s">
        <v>1032</v>
      </c>
      <c r="AL206" s="1" t="s">
        <v>2834</v>
      </c>
      <c r="AM206" s="1">
        <v>199</v>
      </c>
      <c r="AN206" s="1">
        <v>63</v>
      </c>
      <c r="AO206" s="1">
        <v>11</v>
      </c>
      <c r="AP206" s="1">
        <v>104</v>
      </c>
      <c r="AQ206" s="1">
        <v>80</v>
      </c>
      <c r="AR206" s="1">
        <v>153</v>
      </c>
      <c r="AS206" s="1" t="s">
        <v>2808</v>
      </c>
      <c r="AT206" s="1" t="s">
        <v>731</v>
      </c>
      <c r="AU206" s="1"/>
      <c r="AV206" s="1"/>
      <c r="AW206" s="1"/>
      <c r="AX206" s="1"/>
      <c r="AY206" s="1"/>
      <c r="AZ206" s="1" t="s">
        <v>2812</v>
      </c>
      <c r="BA206" t="s">
        <v>2904</v>
      </c>
    </row>
    <row r="207" spans="1:53" ht="19" customHeight="1">
      <c r="A207" s="4" t="s">
        <v>577</v>
      </c>
      <c r="B207" s="4">
        <v>22.881</v>
      </c>
      <c r="C207" s="4">
        <v>121.06480000000001</v>
      </c>
      <c r="D207" s="4">
        <v>9.7100000000000009</v>
      </c>
      <c r="E207" s="4">
        <v>6.17</v>
      </c>
      <c r="F207" s="4" t="s">
        <v>1032</v>
      </c>
      <c r="G207" s="4" t="s">
        <v>1134</v>
      </c>
      <c r="H207" s="4">
        <v>121.09099999999999</v>
      </c>
      <c r="I207" s="4">
        <v>22.772167</v>
      </c>
      <c r="J207" s="4">
        <v>733.14</v>
      </c>
      <c r="K207" s="4">
        <v>12.710732999999999</v>
      </c>
      <c r="L207" s="4" t="b">
        <v>1</v>
      </c>
      <c r="M207" s="4">
        <v>1.554</v>
      </c>
      <c r="N207" s="4" t="b">
        <v>0</v>
      </c>
      <c r="O207" s="4" t="s">
        <v>1029</v>
      </c>
      <c r="P207" s="4" t="b">
        <v>0</v>
      </c>
      <c r="Q207" s="4">
        <v>320.33600000000001</v>
      </c>
      <c r="R207" s="4">
        <v>237.97</v>
      </c>
      <c r="S207" s="4">
        <v>284.05099999999999</v>
      </c>
      <c r="T207" s="4">
        <v>63.102800000000002</v>
      </c>
      <c r="U207" s="4">
        <v>23.966000000000001</v>
      </c>
      <c r="V207" s="4">
        <v>15.941700000000001</v>
      </c>
      <c r="W207" s="4">
        <v>12.6629</v>
      </c>
      <c r="X207" s="4">
        <v>5.7122400000000004</v>
      </c>
      <c r="Y207" s="4">
        <v>3.52338</v>
      </c>
      <c r="Z207" s="4">
        <v>2.4072E-2</v>
      </c>
      <c r="AA207" s="4">
        <v>-1.6143999999999999E-2</v>
      </c>
      <c r="AB207" s="4">
        <v>1.4955E-2</v>
      </c>
      <c r="AC207" s="1" t="s">
        <v>576</v>
      </c>
      <c r="AD207" s="1" t="s">
        <v>2901</v>
      </c>
      <c r="AE207" s="1" t="s">
        <v>2902</v>
      </c>
      <c r="AF207" s="1">
        <v>6.17</v>
      </c>
      <c r="AG207" s="1" t="s">
        <v>1003</v>
      </c>
      <c r="AH207" s="1">
        <v>22.881</v>
      </c>
      <c r="AI207" s="1">
        <v>121.06480000000001</v>
      </c>
      <c r="AJ207" s="1">
        <v>9.7100000000000009</v>
      </c>
      <c r="AK207" s="1" t="s">
        <v>1032</v>
      </c>
      <c r="AL207" s="1" t="s">
        <v>2834</v>
      </c>
      <c r="AM207" s="1">
        <v>199</v>
      </c>
      <c r="AN207" s="1">
        <v>63</v>
      </c>
      <c r="AO207" s="1">
        <v>11</v>
      </c>
      <c r="AP207" s="1">
        <v>104</v>
      </c>
      <c r="AQ207" s="1">
        <v>80</v>
      </c>
      <c r="AR207" s="1">
        <v>153</v>
      </c>
      <c r="AS207" s="1" t="s">
        <v>2808</v>
      </c>
      <c r="AT207" s="1" t="s">
        <v>731</v>
      </c>
      <c r="AU207" s="1"/>
      <c r="AV207" s="1"/>
      <c r="AW207" s="1"/>
      <c r="AX207" s="1"/>
      <c r="AY207" s="1"/>
      <c r="AZ207" s="1" t="s">
        <v>2812</v>
      </c>
      <c r="BA207" t="s">
        <v>2904</v>
      </c>
    </row>
    <row r="208" spans="1:53" ht="19" customHeight="1">
      <c r="A208" s="4" t="s">
        <v>577</v>
      </c>
      <c r="B208" s="4">
        <v>22.881</v>
      </c>
      <c r="C208" s="4">
        <v>121.06480000000001</v>
      </c>
      <c r="D208" s="4">
        <v>9.7100000000000009</v>
      </c>
      <c r="E208" s="4">
        <v>6.17</v>
      </c>
      <c r="F208" s="4" t="s">
        <v>1032</v>
      </c>
      <c r="G208" s="4" t="s">
        <v>1135</v>
      </c>
      <c r="H208" s="4">
        <v>121.107333</v>
      </c>
      <c r="I208" s="4">
        <v>22.730499999999999</v>
      </c>
      <c r="J208" s="4">
        <v>467.1078</v>
      </c>
      <c r="K208" s="4">
        <v>16.662562000000001</v>
      </c>
      <c r="L208" s="4" t="b">
        <v>1</v>
      </c>
      <c r="M208" s="4">
        <v>2.1419999999999999</v>
      </c>
      <c r="N208" s="4" t="b">
        <v>0</v>
      </c>
      <c r="O208" s="4" t="s">
        <v>1029</v>
      </c>
      <c r="P208" s="4" t="b">
        <v>0</v>
      </c>
      <c r="Q208" s="4">
        <v>160.40600000000001</v>
      </c>
      <c r="R208" s="4">
        <v>140.078</v>
      </c>
      <c r="S208" s="4">
        <v>370.86099999999999</v>
      </c>
      <c r="T208" s="4">
        <v>33.932099999999998</v>
      </c>
      <c r="U208" s="4">
        <v>22.619900000000001</v>
      </c>
      <c r="V208" s="4">
        <v>11.3705</v>
      </c>
      <c r="W208" s="4">
        <v>10.529199999999999</v>
      </c>
      <c r="X208" s="4">
        <v>8.4924900000000001</v>
      </c>
      <c r="Y208" s="4">
        <v>3.9156599999999999</v>
      </c>
      <c r="Z208" s="4">
        <v>-2.5524000000000002E-2</v>
      </c>
      <c r="AA208" s="4">
        <v>-1.3949E-2</v>
      </c>
      <c r="AB208" s="4">
        <v>-2.5068E-2</v>
      </c>
      <c r="AC208" s="1" t="s">
        <v>576</v>
      </c>
      <c r="AD208" s="1" t="s">
        <v>2901</v>
      </c>
      <c r="AE208" s="1" t="s">
        <v>2902</v>
      </c>
      <c r="AF208" s="1">
        <v>6.17</v>
      </c>
      <c r="AG208" s="1" t="s">
        <v>1003</v>
      </c>
      <c r="AH208" s="1">
        <v>22.881</v>
      </c>
      <c r="AI208" s="1">
        <v>121.06480000000001</v>
      </c>
      <c r="AJ208" s="1">
        <v>9.7100000000000009</v>
      </c>
      <c r="AK208" s="1" t="s">
        <v>1032</v>
      </c>
      <c r="AL208" s="1" t="s">
        <v>2834</v>
      </c>
      <c r="AM208" s="1">
        <v>199</v>
      </c>
      <c r="AN208" s="1">
        <v>63</v>
      </c>
      <c r="AO208" s="1">
        <v>11</v>
      </c>
      <c r="AP208" s="1">
        <v>104</v>
      </c>
      <c r="AQ208" s="1">
        <v>80</v>
      </c>
      <c r="AR208" s="1">
        <v>153</v>
      </c>
      <c r="AS208" s="1" t="s">
        <v>2808</v>
      </c>
      <c r="AT208" s="1" t="s">
        <v>731</v>
      </c>
      <c r="AU208" s="1"/>
      <c r="AV208" s="1"/>
      <c r="AW208" s="1"/>
      <c r="AX208" s="1"/>
      <c r="AY208" s="1"/>
      <c r="AZ208" s="1" t="s">
        <v>2812</v>
      </c>
      <c r="BA208" t="s">
        <v>2904</v>
      </c>
    </row>
    <row r="209" spans="1:53" ht="19" customHeight="1">
      <c r="A209" s="4" t="s">
        <v>577</v>
      </c>
      <c r="B209" s="4">
        <v>22.881</v>
      </c>
      <c r="C209" s="4">
        <v>121.06480000000001</v>
      </c>
      <c r="D209" s="4">
        <v>9.7100000000000009</v>
      </c>
      <c r="E209" s="4">
        <v>6.17</v>
      </c>
      <c r="F209" s="4" t="s">
        <v>1032</v>
      </c>
      <c r="G209" s="4" t="s">
        <v>1136</v>
      </c>
      <c r="H209" s="4">
        <v>121.145516</v>
      </c>
      <c r="I209" s="4">
        <v>22.764973000000001</v>
      </c>
      <c r="J209" s="4">
        <v>279.21211</v>
      </c>
      <c r="K209" s="4">
        <v>12.161220999999999</v>
      </c>
      <c r="L209" s="4" t="b">
        <v>1</v>
      </c>
      <c r="M209" s="4">
        <v>0.86799999999999999</v>
      </c>
      <c r="N209" s="4" t="b">
        <v>0</v>
      </c>
      <c r="O209" s="4" t="s">
        <v>1029</v>
      </c>
      <c r="P209" s="4" t="b">
        <v>0</v>
      </c>
      <c r="Q209" s="4">
        <v>213.65700000000001</v>
      </c>
      <c r="R209" s="4">
        <v>420.77499999999998</v>
      </c>
      <c r="S209" s="4">
        <v>189.04400000000001</v>
      </c>
      <c r="T209" s="4">
        <v>27.315799999999999</v>
      </c>
      <c r="U209" s="4">
        <v>50.514099999999999</v>
      </c>
      <c r="V209" s="4">
        <v>17.9666</v>
      </c>
      <c r="W209" s="4">
        <v>7.6259100000000002</v>
      </c>
      <c r="X209" s="4">
        <v>8.0594099999999997</v>
      </c>
      <c r="Y209" s="4">
        <v>4.2033699999999996</v>
      </c>
      <c r="Z209" s="4">
        <v>-5.5265000000000002E-2</v>
      </c>
      <c r="AA209" s="4">
        <v>-4.1353000000000001E-2</v>
      </c>
      <c r="AB209" s="4">
        <v>-3.8278E-2</v>
      </c>
      <c r="AC209" s="1" t="s">
        <v>576</v>
      </c>
      <c r="AD209" s="1" t="s">
        <v>2901</v>
      </c>
      <c r="AE209" s="1" t="s">
        <v>2902</v>
      </c>
      <c r="AF209" s="1">
        <v>6.17</v>
      </c>
      <c r="AG209" s="1" t="s">
        <v>1003</v>
      </c>
      <c r="AH209" s="1">
        <v>22.881</v>
      </c>
      <c r="AI209" s="1">
        <v>121.06480000000001</v>
      </c>
      <c r="AJ209" s="1">
        <v>9.7100000000000009</v>
      </c>
      <c r="AK209" s="1" t="s">
        <v>1032</v>
      </c>
      <c r="AL209" s="1" t="s">
        <v>2834</v>
      </c>
      <c r="AM209" s="1">
        <v>199</v>
      </c>
      <c r="AN209" s="1">
        <v>63</v>
      </c>
      <c r="AO209" s="1">
        <v>11</v>
      </c>
      <c r="AP209" s="1">
        <v>104</v>
      </c>
      <c r="AQ209" s="1">
        <v>80</v>
      </c>
      <c r="AR209" s="1">
        <v>153</v>
      </c>
      <c r="AS209" s="1" t="s">
        <v>2808</v>
      </c>
      <c r="AT209" s="1" t="s">
        <v>731</v>
      </c>
      <c r="AU209" s="1"/>
      <c r="AV209" s="1"/>
      <c r="AW209" s="1"/>
      <c r="AX209" s="1"/>
      <c r="AY209" s="1"/>
      <c r="AZ209" s="1" t="s">
        <v>2812</v>
      </c>
      <c r="BA209" t="s">
        <v>2904</v>
      </c>
    </row>
    <row r="210" spans="1:53" ht="19" customHeight="1">
      <c r="A210" s="4" t="s">
        <v>1137</v>
      </c>
      <c r="B210" s="4">
        <v>37.538200000000003</v>
      </c>
      <c r="C210" s="4">
        <v>138.6174</v>
      </c>
      <c r="D210" s="4">
        <v>9</v>
      </c>
      <c r="E210" s="4">
        <v>6.8</v>
      </c>
      <c r="F210" s="4" t="s">
        <v>1028</v>
      </c>
      <c r="G210" s="4" t="s">
        <v>955</v>
      </c>
      <c r="H210" s="4">
        <v>138.39439999999999</v>
      </c>
      <c r="I210" s="4">
        <v>37.273600000000002</v>
      </c>
      <c r="J210" s="4">
        <v>383.43</v>
      </c>
      <c r="K210" s="4">
        <v>11.94</v>
      </c>
      <c r="L210" s="4" t="b">
        <v>1</v>
      </c>
      <c r="M210" s="4">
        <v>1.4</v>
      </c>
      <c r="N210" s="4" t="b">
        <v>0</v>
      </c>
      <c r="O210" s="4" t="s">
        <v>1029</v>
      </c>
      <c r="P210" s="4" t="b">
        <v>0</v>
      </c>
      <c r="Q210" s="4">
        <v>446.94299999999998</v>
      </c>
      <c r="R210" s="4">
        <v>297.36900000000003</v>
      </c>
      <c r="S210" s="4">
        <v>176.249</v>
      </c>
      <c r="T210" s="4">
        <v>89.152600000000007</v>
      </c>
      <c r="U210" s="4">
        <v>48.988500000000002</v>
      </c>
      <c r="V210" s="4">
        <v>18.630400000000002</v>
      </c>
      <c r="W210" s="4">
        <v>28.2287</v>
      </c>
      <c r="X210" s="4">
        <v>25.1555</v>
      </c>
      <c r="Y210" s="4">
        <v>7.8609999999999998</v>
      </c>
      <c r="Z210" s="4">
        <v>0.437191</v>
      </c>
      <c r="AA210" s="4">
        <v>0.152559</v>
      </c>
      <c r="AB210" s="4">
        <v>-0.10197000000000001</v>
      </c>
      <c r="AC210" s="1" t="s">
        <v>581</v>
      </c>
      <c r="AD210" s="1" t="s">
        <v>2773</v>
      </c>
      <c r="AE210" s="1" t="s">
        <v>2774</v>
      </c>
      <c r="AF210" s="1">
        <v>6.8</v>
      </c>
      <c r="AG210" s="1" t="s">
        <v>1003</v>
      </c>
      <c r="AH210" s="1">
        <v>37.538200000000003</v>
      </c>
      <c r="AI210" s="1">
        <v>138.6174</v>
      </c>
      <c r="AJ210" s="1">
        <v>9</v>
      </c>
      <c r="AK210" s="1" t="s">
        <v>1028</v>
      </c>
      <c r="AL210" s="1" t="s">
        <v>2809</v>
      </c>
      <c r="AM210" s="1">
        <v>34</v>
      </c>
      <c r="AN210" s="1">
        <v>36</v>
      </c>
      <c r="AO210" s="1">
        <v>90</v>
      </c>
      <c r="AP210" s="1"/>
      <c r="AQ210" s="1"/>
      <c r="AR210" s="1"/>
      <c r="AS210" s="1" t="s">
        <v>2808</v>
      </c>
      <c r="AT210" s="1" t="s">
        <v>731</v>
      </c>
      <c r="AU210" s="1"/>
      <c r="AV210" s="1"/>
      <c r="AW210" s="1"/>
      <c r="AX210" s="1"/>
      <c r="AY210" s="1"/>
      <c r="AZ210" s="1" t="s">
        <v>2812</v>
      </c>
      <c r="BA210" t="s">
        <v>2905</v>
      </c>
    </row>
    <row r="211" spans="1:53" ht="19" customHeight="1">
      <c r="A211" s="4" t="s">
        <v>589</v>
      </c>
      <c r="B211" s="4">
        <v>22.645800000000001</v>
      </c>
      <c r="C211" s="4">
        <v>121.0633</v>
      </c>
      <c r="D211" s="4">
        <v>5.62</v>
      </c>
      <c r="E211" s="4">
        <v>5.24</v>
      </c>
      <c r="F211" s="4" t="s">
        <v>1032</v>
      </c>
      <c r="G211" s="4" t="s">
        <v>1134</v>
      </c>
      <c r="H211" s="4">
        <v>121.09099999999999</v>
      </c>
      <c r="I211" s="4">
        <v>22.772200000000002</v>
      </c>
      <c r="J211" s="4">
        <v>733.14</v>
      </c>
      <c r="K211" s="4">
        <v>13.6015</v>
      </c>
      <c r="L211" s="4" t="b">
        <v>1</v>
      </c>
      <c r="M211" s="4">
        <v>0.80500000000000005</v>
      </c>
      <c r="N211" s="4" t="b">
        <v>0</v>
      </c>
      <c r="O211" s="4" t="s">
        <v>1029</v>
      </c>
      <c r="P211" s="4" t="b">
        <v>0</v>
      </c>
      <c r="Q211" s="4">
        <v>211.19428500000001</v>
      </c>
      <c r="R211" s="4">
        <v>243.83655899999999</v>
      </c>
      <c r="S211" s="4">
        <v>72.220618999999999</v>
      </c>
      <c r="T211" s="4">
        <v>11.917439999999999</v>
      </c>
      <c r="U211" s="4">
        <v>24.483000000000001</v>
      </c>
      <c r="V211" s="4">
        <v>5.4880849999999999</v>
      </c>
      <c r="W211" s="4">
        <v>1.4647159999999999</v>
      </c>
      <c r="X211" s="4">
        <v>3.3242419999999999</v>
      </c>
      <c r="Y211" s="4">
        <v>1.038564</v>
      </c>
      <c r="Z211" s="4">
        <v>3.8679999999999999E-3</v>
      </c>
      <c r="AA211" s="4">
        <v>7.6030000000000004E-3</v>
      </c>
      <c r="AB211" s="4">
        <v>-2.078E-3</v>
      </c>
      <c r="AC211" s="1" t="s">
        <v>588</v>
      </c>
      <c r="AD211" s="1" t="s">
        <v>2907</v>
      </c>
      <c r="AE211" s="1" t="s">
        <v>2908</v>
      </c>
      <c r="AF211" s="1">
        <v>5.24</v>
      </c>
      <c r="AG211" s="1" t="s">
        <v>1003</v>
      </c>
      <c r="AH211" s="1">
        <v>22.645800000000001</v>
      </c>
      <c r="AI211" s="1">
        <v>121.0633</v>
      </c>
      <c r="AJ211" s="1">
        <v>5.62</v>
      </c>
      <c r="AK211" s="1" t="s">
        <v>1032</v>
      </c>
      <c r="AL211" s="1"/>
      <c r="AM211" s="1"/>
      <c r="AN211" s="1"/>
      <c r="AO211" s="1"/>
      <c r="AP211" s="1"/>
      <c r="AQ211" s="1"/>
      <c r="AR211" s="1"/>
      <c r="AS211" s="1" t="s">
        <v>2808</v>
      </c>
      <c r="AT211" s="1" t="s">
        <v>731</v>
      </c>
      <c r="AU211" s="1"/>
      <c r="AV211" s="1"/>
      <c r="AW211" s="1"/>
      <c r="AX211" s="1"/>
      <c r="AY211" s="1"/>
      <c r="AZ211" s="1" t="s">
        <v>2812</v>
      </c>
      <c r="BA211" t="s">
        <v>2910</v>
      </c>
    </row>
    <row r="212" spans="1:53" ht="19" customHeight="1">
      <c r="A212" s="4" t="s">
        <v>604</v>
      </c>
      <c r="B212" s="4">
        <v>23.7988</v>
      </c>
      <c r="C212" s="4">
        <v>121.657</v>
      </c>
      <c r="D212" s="4">
        <v>43.05</v>
      </c>
      <c r="E212" s="4">
        <v>6.47</v>
      </c>
      <c r="F212" s="4" t="s">
        <v>1028</v>
      </c>
      <c r="G212" s="4" t="s">
        <v>1138</v>
      </c>
      <c r="H212" s="4">
        <v>121.56270000000001</v>
      </c>
      <c r="I212" s="4">
        <v>23.972829999999998</v>
      </c>
      <c r="J212" s="4">
        <v>445.59969999999998</v>
      </c>
      <c r="K212" s="4">
        <v>37.689619999999998</v>
      </c>
      <c r="L212" s="4" t="b">
        <v>1</v>
      </c>
      <c r="M212" s="4">
        <v>1.631</v>
      </c>
      <c r="N212" s="4" t="b">
        <v>0</v>
      </c>
      <c r="O212" s="4" t="s">
        <v>1029</v>
      </c>
      <c r="P212" s="4" t="b">
        <v>0</v>
      </c>
      <c r="Q212" s="4">
        <v>147.54</v>
      </c>
      <c r="R212" s="4">
        <v>91.337000000000003</v>
      </c>
      <c r="S212" s="4">
        <v>99.951999999999998</v>
      </c>
      <c r="T212" s="4">
        <v>34.972000000000001</v>
      </c>
      <c r="U212" s="4">
        <v>7.4310099999999997</v>
      </c>
      <c r="V212" s="4">
        <v>7.4355399999999996</v>
      </c>
      <c r="W212" s="4">
        <v>6.9055900000000001</v>
      </c>
      <c r="X212" s="4">
        <v>1.2107300000000001</v>
      </c>
      <c r="Y212" s="4">
        <v>1.3545100000000001</v>
      </c>
      <c r="Z212" s="4">
        <v>9.8371E-2</v>
      </c>
      <c r="AA212" s="4">
        <v>-8.616E-2</v>
      </c>
      <c r="AB212" s="4">
        <v>4.7681000000000001E-2</v>
      </c>
      <c r="AC212" s="1" t="s">
        <v>603</v>
      </c>
      <c r="AD212" s="1" t="s">
        <v>2912</v>
      </c>
      <c r="AE212" s="1" t="s">
        <v>2913</v>
      </c>
      <c r="AF212" s="1">
        <v>6.47</v>
      </c>
      <c r="AG212" s="1" t="s">
        <v>1003</v>
      </c>
      <c r="AH212" s="1">
        <v>23.7988</v>
      </c>
      <c r="AI212" s="1">
        <v>121.657</v>
      </c>
      <c r="AJ212" s="1">
        <v>43.05</v>
      </c>
      <c r="AK212" s="1" t="s">
        <v>1028</v>
      </c>
      <c r="AL212" s="1" t="s">
        <v>2834</v>
      </c>
      <c r="AM212" s="1">
        <v>249</v>
      </c>
      <c r="AN212" s="1">
        <v>31</v>
      </c>
      <c r="AO212" s="1">
        <v>144</v>
      </c>
      <c r="AP212" s="1">
        <v>11</v>
      </c>
      <c r="AQ212" s="1">
        <v>73</v>
      </c>
      <c r="AR212" s="1">
        <v>64</v>
      </c>
      <c r="AS212" s="1" t="s">
        <v>2808</v>
      </c>
      <c r="AT212" s="1" t="s">
        <v>731</v>
      </c>
      <c r="AU212" s="1"/>
      <c r="AV212" s="1"/>
      <c r="AW212" s="1"/>
      <c r="AX212" s="1"/>
      <c r="AY212" s="1"/>
      <c r="AZ212" s="1" t="s">
        <v>2812</v>
      </c>
      <c r="BA212" t="s">
        <v>2915</v>
      </c>
    </row>
    <row r="213" spans="1:53" ht="19" customHeight="1">
      <c r="A213" s="4" t="s">
        <v>604</v>
      </c>
      <c r="B213" s="4">
        <v>23.7988</v>
      </c>
      <c r="C213" s="4">
        <v>121.657</v>
      </c>
      <c r="D213" s="4">
        <v>43.05</v>
      </c>
      <c r="E213" s="4">
        <v>6.47</v>
      </c>
      <c r="F213" s="4" t="s">
        <v>1028</v>
      </c>
      <c r="G213" s="4" t="s">
        <v>1139</v>
      </c>
      <c r="H213" s="4">
        <v>121.5685</v>
      </c>
      <c r="I213" s="4">
        <v>23.963170000000002</v>
      </c>
      <c r="J213" s="4">
        <v>579.59810000000004</v>
      </c>
      <c r="K213" s="4">
        <v>37.21181</v>
      </c>
      <c r="L213" s="4" t="b">
        <v>1</v>
      </c>
      <c r="M213" s="4">
        <v>1.925</v>
      </c>
      <c r="N213" s="4" t="b">
        <v>0</v>
      </c>
      <c r="O213" s="4" t="s">
        <v>1029</v>
      </c>
      <c r="P213" s="4" t="b">
        <v>0</v>
      </c>
      <c r="Q213" s="4">
        <v>165.58199999999999</v>
      </c>
      <c r="R213" s="4">
        <v>85.38</v>
      </c>
      <c r="S213" s="4">
        <v>124.902</v>
      </c>
      <c r="T213" s="4">
        <v>29.248999999999999</v>
      </c>
      <c r="U213" s="4">
        <v>9.0662299999999991</v>
      </c>
      <c r="V213" s="4">
        <v>5.8010799999999998</v>
      </c>
      <c r="W213" s="4">
        <v>6.7225700000000002</v>
      </c>
      <c r="X213" s="4">
        <v>1.54837</v>
      </c>
      <c r="Y213" s="4">
        <v>1.2925899999999999</v>
      </c>
      <c r="Z213" s="4">
        <v>1.7468999999999998E-2</v>
      </c>
      <c r="AA213" s="4">
        <v>1.0094000000000001E-2</v>
      </c>
      <c r="AB213" s="4">
        <v>9.4246999999999997E-2</v>
      </c>
      <c r="AC213" s="1" t="s">
        <v>603</v>
      </c>
      <c r="AD213" s="1" t="s">
        <v>2912</v>
      </c>
      <c r="AE213" s="1" t="s">
        <v>2913</v>
      </c>
      <c r="AF213" s="1">
        <v>6.47</v>
      </c>
      <c r="AG213" s="1" t="s">
        <v>1003</v>
      </c>
      <c r="AH213" s="1">
        <v>23.7988</v>
      </c>
      <c r="AI213" s="1">
        <v>121.657</v>
      </c>
      <c r="AJ213" s="1">
        <v>43.05</v>
      </c>
      <c r="AK213" s="1" t="s">
        <v>1028</v>
      </c>
      <c r="AL213" s="1" t="s">
        <v>2834</v>
      </c>
      <c r="AM213" s="1">
        <v>249</v>
      </c>
      <c r="AN213" s="1">
        <v>31</v>
      </c>
      <c r="AO213" s="1">
        <v>144</v>
      </c>
      <c r="AP213" s="1">
        <v>11</v>
      </c>
      <c r="AQ213" s="1">
        <v>73</v>
      </c>
      <c r="AR213" s="1">
        <v>64</v>
      </c>
      <c r="AS213" s="1" t="s">
        <v>2808</v>
      </c>
      <c r="AT213" s="1" t="s">
        <v>731</v>
      </c>
      <c r="AU213" s="1"/>
      <c r="AV213" s="1"/>
      <c r="AW213" s="1"/>
      <c r="AX213" s="1"/>
      <c r="AY213" s="1"/>
      <c r="AZ213" s="1" t="s">
        <v>2812</v>
      </c>
      <c r="BA213" t="s">
        <v>2915</v>
      </c>
    </row>
    <row r="214" spans="1:53" ht="19" customHeight="1">
      <c r="A214" s="4" t="s">
        <v>604</v>
      </c>
      <c r="B214" s="4">
        <v>23.7988</v>
      </c>
      <c r="C214" s="4">
        <v>121.657</v>
      </c>
      <c r="D214" s="4">
        <v>43.05</v>
      </c>
      <c r="E214" s="4">
        <v>6.47</v>
      </c>
      <c r="F214" s="4" t="s">
        <v>1028</v>
      </c>
      <c r="G214" s="4" t="s">
        <v>1140</v>
      </c>
      <c r="H214" s="4">
        <v>121.5985</v>
      </c>
      <c r="I214" s="4">
        <v>24.05367</v>
      </c>
      <c r="J214" s="4">
        <v>434.56229999999999</v>
      </c>
      <c r="K214" s="4">
        <v>41.091760000000001</v>
      </c>
      <c r="L214" s="4" t="b">
        <v>1</v>
      </c>
      <c r="M214" s="4">
        <v>1.4350000000000001</v>
      </c>
      <c r="N214" s="4" t="b">
        <v>0</v>
      </c>
      <c r="O214" s="4" t="s">
        <v>1029</v>
      </c>
      <c r="P214" s="4" t="b">
        <v>0</v>
      </c>
      <c r="Q214" s="4">
        <v>121.105</v>
      </c>
      <c r="R214" s="4">
        <v>132.90100000000001</v>
      </c>
      <c r="S214" s="4">
        <v>104.883</v>
      </c>
      <c r="T214" s="4">
        <v>25.447500000000002</v>
      </c>
      <c r="U214" s="4">
        <v>11.960900000000001</v>
      </c>
      <c r="V214" s="4">
        <v>7.4254800000000003</v>
      </c>
      <c r="W214" s="4">
        <v>3.88327</v>
      </c>
      <c r="X214" s="4">
        <v>2.0023300000000002</v>
      </c>
      <c r="Y214" s="4">
        <v>1.47278</v>
      </c>
      <c r="Z214" s="4">
        <v>-9.1624999999999998E-2</v>
      </c>
      <c r="AA214" s="4">
        <v>5.9186000000000002E-2</v>
      </c>
      <c r="AB214" s="4">
        <v>3.5095000000000001E-2</v>
      </c>
      <c r="AC214" s="1" t="s">
        <v>603</v>
      </c>
      <c r="AD214" s="1" t="s">
        <v>2912</v>
      </c>
      <c r="AE214" s="1" t="s">
        <v>2913</v>
      </c>
      <c r="AF214" s="1">
        <v>6.47</v>
      </c>
      <c r="AG214" s="1" t="s">
        <v>1003</v>
      </c>
      <c r="AH214" s="1">
        <v>23.7988</v>
      </c>
      <c r="AI214" s="1">
        <v>121.657</v>
      </c>
      <c r="AJ214" s="1">
        <v>43.05</v>
      </c>
      <c r="AK214" s="1" t="s">
        <v>1028</v>
      </c>
      <c r="AL214" s="1" t="s">
        <v>2834</v>
      </c>
      <c r="AM214" s="1">
        <v>249</v>
      </c>
      <c r="AN214" s="1">
        <v>31</v>
      </c>
      <c r="AO214" s="1">
        <v>144</v>
      </c>
      <c r="AP214" s="1">
        <v>11</v>
      </c>
      <c r="AQ214" s="1">
        <v>73</v>
      </c>
      <c r="AR214" s="1">
        <v>64</v>
      </c>
      <c r="AS214" s="1" t="s">
        <v>2808</v>
      </c>
      <c r="AT214" s="1" t="s">
        <v>731</v>
      </c>
      <c r="AU214" s="1"/>
      <c r="AV214" s="1"/>
      <c r="AW214" s="1"/>
      <c r="AX214" s="1"/>
      <c r="AY214" s="1"/>
      <c r="AZ214" s="1" t="s">
        <v>2812</v>
      </c>
      <c r="BA214" t="s">
        <v>2915</v>
      </c>
    </row>
    <row r="215" spans="1:53" ht="19" customHeight="1">
      <c r="A215" s="4" t="s">
        <v>604</v>
      </c>
      <c r="B215" s="4">
        <v>23.7988</v>
      </c>
      <c r="C215" s="4">
        <v>121.657</v>
      </c>
      <c r="D215" s="4">
        <v>43.05</v>
      </c>
      <c r="E215" s="4">
        <v>6.47</v>
      </c>
      <c r="F215" s="4" t="s">
        <v>1028</v>
      </c>
      <c r="G215" s="4" t="s">
        <v>1141</v>
      </c>
      <c r="H215" s="4">
        <v>121.6095</v>
      </c>
      <c r="I215" s="4">
        <v>24.014330000000001</v>
      </c>
      <c r="J215" s="4">
        <v>404.91289999999998</v>
      </c>
      <c r="K215" s="4">
        <v>38.81382</v>
      </c>
      <c r="L215" s="4" t="b">
        <v>1</v>
      </c>
      <c r="M215" s="4">
        <v>1.5680000000000001</v>
      </c>
      <c r="N215" s="4" t="b">
        <v>0</v>
      </c>
      <c r="O215" s="4" t="s">
        <v>1029</v>
      </c>
      <c r="P215" s="4" t="b">
        <v>0</v>
      </c>
      <c r="Q215" s="4">
        <v>140.70599999999999</v>
      </c>
      <c r="R215" s="4">
        <v>109.571</v>
      </c>
      <c r="S215" s="4">
        <v>120.8</v>
      </c>
      <c r="T215" s="4">
        <v>23.738700000000001</v>
      </c>
      <c r="U215" s="4">
        <v>10.0215</v>
      </c>
      <c r="V215" s="4">
        <v>7.2160200000000003</v>
      </c>
      <c r="W215" s="4">
        <v>7.7756400000000001</v>
      </c>
      <c r="X215" s="4">
        <v>2.8807299999999998</v>
      </c>
      <c r="Y215" s="4">
        <v>2.2606899999999999</v>
      </c>
      <c r="Z215" s="4">
        <v>3.9880000000000002E-3</v>
      </c>
      <c r="AA215" s="4">
        <v>3.5274E-2</v>
      </c>
      <c r="AB215" s="4">
        <v>-1.5671000000000001E-2</v>
      </c>
      <c r="AC215" s="1" t="s">
        <v>603</v>
      </c>
      <c r="AD215" s="1" t="s">
        <v>2912</v>
      </c>
      <c r="AE215" s="1" t="s">
        <v>2913</v>
      </c>
      <c r="AF215" s="1">
        <v>6.47</v>
      </c>
      <c r="AG215" s="1" t="s">
        <v>1003</v>
      </c>
      <c r="AH215" s="1">
        <v>23.7988</v>
      </c>
      <c r="AI215" s="1">
        <v>121.657</v>
      </c>
      <c r="AJ215" s="1">
        <v>43.05</v>
      </c>
      <c r="AK215" s="1" t="s">
        <v>1028</v>
      </c>
      <c r="AL215" s="1" t="s">
        <v>2834</v>
      </c>
      <c r="AM215" s="1">
        <v>249</v>
      </c>
      <c r="AN215" s="1">
        <v>31</v>
      </c>
      <c r="AO215" s="1">
        <v>144</v>
      </c>
      <c r="AP215" s="1">
        <v>11</v>
      </c>
      <c r="AQ215" s="1">
        <v>73</v>
      </c>
      <c r="AR215" s="1">
        <v>64</v>
      </c>
      <c r="AS215" s="1" t="s">
        <v>2808</v>
      </c>
      <c r="AT215" s="1" t="s">
        <v>731</v>
      </c>
      <c r="AU215" s="1"/>
      <c r="AV215" s="1"/>
      <c r="AW215" s="1"/>
      <c r="AX215" s="1"/>
      <c r="AY215" s="1"/>
      <c r="AZ215" s="1" t="s">
        <v>2812</v>
      </c>
      <c r="BA215" t="s">
        <v>2915</v>
      </c>
    </row>
    <row r="216" spans="1:53" ht="19" customHeight="1">
      <c r="A216" s="4" t="s">
        <v>604</v>
      </c>
      <c r="B216" s="4">
        <v>23.7988</v>
      </c>
      <c r="C216" s="4">
        <v>121.657</v>
      </c>
      <c r="D216" s="4">
        <v>43.05</v>
      </c>
      <c r="E216" s="4">
        <v>6.47</v>
      </c>
      <c r="F216" s="4" t="s">
        <v>1028</v>
      </c>
      <c r="G216" s="4" t="s">
        <v>1142</v>
      </c>
      <c r="H216" s="4">
        <v>121.5805</v>
      </c>
      <c r="I216" s="4">
        <v>24.009499999999999</v>
      </c>
      <c r="J216" s="4">
        <v>349.7937</v>
      </c>
      <c r="K216" s="4">
        <v>38.945039999999999</v>
      </c>
      <c r="L216" s="4" t="b">
        <v>1</v>
      </c>
      <c r="M216" s="4">
        <v>1.47</v>
      </c>
      <c r="N216" s="4" t="b">
        <v>0</v>
      </c>
      <c r="O216" s="4" t="s">
        <v>1029</v>
      </c>
      <c r="P216" s="4" t="b">
        <v>0</v>
      </c>
      <c r="Q216" s="4">
        <v>186.74199999999999</v>
      </c>
      <c r="R216" s="4">
        <v>174.09899999999999</v>
      </c>
      <c r="S216" s="4">
        <v>106.711</v>
      </c>
      <c r="T216" s="4">
        <v>36.183</v>
      </c>
      <c r="U216" s="4">
        <v>19.127099999999999</v>
      </c>
      <c r="V216" s="4">
        <v>11.420199999999999</v>
      </c>
      <c r="W216" s="4">
        <v>7.5581300000000002</v>
      </c>
      <c r="X216" s="4">
        <v>2.9952399999999999</v>
      </c>
      <c r="Y216" s="4">
        <v>2.7333799999999999</v>
      </c>
      <c r="Z216" s="4">
        <v>-1.6420000000000001E-2</v>
      </c>
      <c r="AA216" s="4">
        <v>5.1680999999999998E-2</v>
      </c>
      <c r="AB216" s="4">
        <v>-9.7810999999999995E-2</v>
      </c>
      <c r="AC216" s="1" t="s">
        <v>603</v>
      </c>
      <c r="AD216" s="1" t="s">
        <v>2912</v>
      </c>
      <c r="AE216" s="1" t="s">
        <v>2913</v>
      </c>
      <c r="AF216" s="1">
        <v>6.47</v>
      </c>
      <c r="AG216" s="1" t="s">
        <v>1003</v>
      </c>
      <c r="AH216" s="1">
        <v>23.7988</v>
      </c>
      <c r="AI216" s="1">
        <v>121.657</v>
      </c>
      <c r="AJ216" s="1">
        <v>43.05</v>
      </c>
      <c r="AK216" s="1" t="s">
        <v>1028</v>
      </c>
      <c r="AL216" s="1" t="s">
        <v>2834</v>
      </c>
      <c r="AM216" s="1">
        <v>249</v>
      </c>
      <c r="AN216" s="1">
        <v>31</v>
      </c>
      <c r="AO216" s="1">
        <v>144</v>
      </c>
      <c r="AP216" s="1">
        <v>11</v>
      </c>
      <c r="AQ216" s="1">
        <v>73</v>
      </c>
      <c r="AR216" s="1">
        <v>64</v>
      </c>
      <c r="AS216" s="1" t="s">
        <v>2808</v>
      </c>
      <c r="AT216" s="1" t="s">
        <v>731</v>
      </c>
      <c r="AU216" s="1"/>
      <c r="AV216" s="1"/>
      <c r="AW216" s="1"/>
      <c r="AX216" s="1"/>
      <c r="AY216" s="1"/>
      <c r="AZ216" s="1" t="s">
        <v>2812</v>
      </c>
      <c r="BA216" t="s">
        <v>2915</v>
      </c>
    </row>
    <row r="217" spans="1:53" ht="19" customHeight="1">
      <c r="A217" s="4" t="s">
        <v>604</v>
      </c>
      <c r="B217" s="4">
        <v>23.7988</v>
      </c>
      <c r="C217" s="4">
        <v>121.657</v>
      </c>
      <c r="D217" s="4">
        <v>43.05</v>
      </c>
      <c r="E217" s="4">
        <v>6.47</v>
      </c>
      <c r="F217" s="4" t="s">
        <v>1028</v>
      </c>
      <c r="G217" s="4" t="s">
        <v>1143</v>
      </c>
      <c r="H217" s="4">
        <v>121.5908</v>
      </c>
      <c r="I217" s="4">
        <v>23.9878</v>
      </c>
      <c r="J217" s="4">
        <v>343.44</v>
      </c>
      <c r="K217" s="4">
        <v>37.798000000000002</v>
      </c>
      <c r="L217" s="4" t="b">
        <v>1</v>
      </c>
      <c r="M217" s="4">
        <v>1.8340000000000001</v>
      </c>
      <c r="N217" s="4" t="b">
        <v>0</v>
      </c>
      <c r="O217" s="4" t="s">
        <v>1029</v>
      </c>
      <c r="P217" s="4" t="b">
        <v>0</v>
      </c>
      <c r="Q217" s="4">
        <v>167.31956</v>
      </c>
      <c r="R217" s="4">
        <v>107.984076</v>
      </c>
      <c r="S217" s="4">
        <v>85.598256000000006</v>
      </c>
      <c r="T217" s="4">
        <v>38.477854999999998</v>
      </c>
      <c r="U217" s="4">
        <v>18.60229</v>
      </c>
      <c r="V217" s="4">
        <v>7.7953450000000002</v>
      </c>
      <c r="W217" s="4">
        <v>8.7857950000000002</v>
      </c>
      <c r="X217" s="4">
        <v>3.9667400000000002</v>
      </c>
      <c r="Y217" s="4">
        <v>2.205495</v>
      </c>
      <c r="Z217" s="4">
        <v>-5.5079999999999997E-2</v>
      </c>
      <c r="AA217" s="4">
        <v>1.5322000000000001E-2</v>
      </c>
      <c r="AB217" s="4">
        <v>7.3049999999999999E-3</v>
      </c>
      <c r="AC217" s="1" t="s">
        <v>603</v>
      </c>
      <c r="AD217" s="1" t="s">
        <v>2912</v>
      </c>
      <c r="AE217" s="1" t="s">
        <v>2913</v>
      </c>
      <c r="AF217" s="1">
        <v>6.47</v>
      </c>
      <c r="AG217" s="1" t="s">
        <v>1003</v>
      </c>
      <c r="AH217" s="1">
        <v>23.7988</v>
      </c>
      <c r="AI217" s="1">
        <v>121.657</v>
      </c>
      <c r="AJ217" s="1">
        <v>43.05</v>
      </c>
      <c r="AK217" s="1" t="s">
        <v>1028</v>
      </c>
      <c r="AL217" s="1" t="s">
        <v>2834</v>
      </c>
      <c r="AM217" s="1">
        <v>249</v>
      </c>
      <c r="AN217" s="1">
        <v>31</v>
      </c>
      <c r="AO217" s="1">
        <v>144</v>
      </c>
      <c r="AP217" s="1">
        <v>11</v>
      </c>
      <c r="AQ217" s="1">
        <v>73</v>
      </c>
      <c r="AR217" s="1">
        <v>64</v>
      </c>
      <c r="AS217" s="1" t="s">
        <v>2808</v>
      </c>
      <c r="AT217" s="1" t="s">
        <v>731</v>
      </c>
      <c r="AU217" s="1"/>
      <c r="AV217" s="1"/>
      <c r="AW217" s="1"/>
      <c r="AX217" s="1"/>
      <c r="AY217" s="1"/>
      <c r="AZ217" s="1" t="s">
        <v>2812</v>
      </c>
      <c r="BA217" t="s">
        <v>2915</v>
      </c>
    </row>
    <row r="218" spans="1:53" ht="19" customHeight="1">
      <c r="A218" s="4" t="s">
        <v>604</v>
      </c>
      <c r="B218" s="4">
        <v>23.7988</v>
      </c>
      <c r="C218" s="4">
        <v>121.657</v>
      </c>
      <c r="D218" s="4">
        <v>43.05</v>
      </c>
      <c r="E218" s="4">
        <v>6.47</v>
      </c>
      <c r="F218" s="4" t="s">
        <v>1028</v>
      </c>
      <c r="G218" s="4" t="s">
        <v>1144</v>
      </c>
      <c r="H218" s="4">
        <v>121.61069999999999</v>
      </c>
      <c r="I218" s="4">
        <v>24.018000000000001</v>
      </c>
      <c r="J218" s="4">
        <v>242.05699999999999</v>
      </c>
      <c r="K218" s="4">
        <v>38.991430000000001</v>
      </c>
      <c r="L218" s="4" t="b">
        <v>1</v>
      </c>
      <c r="M218" s="4">
        <v>1.645</v>
      </c>
      <c r="N218" s="4" t="b">
        <v>0</v>
      </c>
      <c r="O218" s="4" t="s">
        <v>1029</v>
      </c>
      <c r="P218" s="4" t="b">
        <v>0</v>
      </c>
      <c r="Q218" s="4">
        <v>141.10400000000001</v>
      </c>
      <c r="R218" s="4">
        <v>100.13500000000001</v>
      </c>
      <c r="S218" s="4">
        <v>80.876999999999995</v>
      </c>
      <c r="T218" s="4">
        <v>24.82</v>
      </c>
      <c r="U218" s="4">
        <v>10.0824</v>
      </c>
      <c r="V218" s="4">
        <v>7.4400300000000001</v>
      </c>
      <c r="W218" s="4">
        <v>8.2892200000000003</v>
      </c>
      <c r="X218" s="4">
        <v>2.7562899999999999</v>
      </c>
      <c r="Y218" s="4">
        <v>2.4499499999999999</v>
      </c>
      <c r="Z218" s="4">
        <v>3.363E-2</v>
      </c>
      <c r="AA218" s="4">
        <v>-2.0493999999999998E-2</v>
      </c>
      <c r="AB218" s="4">
        <v>-0.11375300000000001</v>
      </c>
      <c r="AC218" s="1" t="s">
        <v>603</v>
      </c>
      <c r="AD218" s="1" t="s">
        <v>2912</v>
      </c>
      <c r="AE218" s="1" t="s">
        <v>2913</v>
      </c>
      <c r="AF218" s="1">
        <v>6.47</v>
      </c>
      <c r="AG218" s="1" t="s">
        <v>1003</v>
      </c>
      <c r="AH218" s="1">
        <v>23.7988</v>
      </c>
      <c r="AI218" s="1">
        <v>121.657</v>
      </c>
      <c r="AJ218" s="1">
        <v>43.05</v>
      </c>
      <c r="AK218" s="1" t="s">
        <v>1028</v>
      </c>
      <c r="AL218" s="1" t="s">
        <v>2834</v>
      </c>
      <c r="AM218" s="1">
        <v>249</v>
      </c>
      <c r="AN218" s="1">
        <v>31</v>
      </c>
      <c r="AO218" s="1">
        <v>144</v>
      </c>
      <c r="AP218" s="1">
        <v>11</v>
      </c>
      <c r="AQ218" s="1">
        <v>73</v>
      </c>
      <c r="AR218" s="1">
        <v>64</v>
      </c>
      <c r="AS218" s="1" t="s">
        <v>2808</v>
      </c>
      <c r="AT218" s="1" t="s">
        <v>731</v>
      </c>
      <c r="AU218" s="1"/>
      <c r="AV218" s="1"/>
      <c r="AW218" s="1"/>
      <c r="AX218" s="1"/>
      <c r="AY218" s="1"/>
      <c r="AZ218" s="1" t="s">
        <v>2812</v>
      </c>
      <c r="BA218" t="s">
        <v>2915</v>
      </c>
    </row>
    <row r="219" spans="1:53" ht="19" customHeight="1">
      <c r="A219" s="4" t="s">
        <v>1145</v>
      </c>
      <c r="B219" s="4">
        <v>42.3476</v>
      </c>
      <c r="C219" s="4">
        <v>13.38</v>
      </c>
      <c r="D219" s="4">
        <v>9.27</v>
      </c>
      <c r="E219" s="4">
        <v>6.3</v>
      </c>
      <c r="F219" s="4" t="s">
        <v>1047</v>
      </c>
      <c r="G219" s="4" t="s">
        <v>974</v>
      </c>
      <c r="H219" s="4">
        <v>13.401</v>
      </c>
      <c r="I219" s="4">
        <v>42.344999999999999</v>
      </c>
      <c r="J219" s="4">
        <v>717</v>
      </c>
      <c r="K219" s="4">
        <v>5.38</v>
      </c>
      <c r="L219" s="4" t="b">
        <v>1</v>
      </c>
      <c r="M219" s="4">
        <v>1.9810000000000001</v>
      </c>
      <c r="N219" s="4" t="b">
        <v>0</v>
      </c>
      <c r="O219" s="4" t="s">
        <v>1029</v>
      </c>
      <c r="P219" s="4" t="b">
        <v>0</v>
      </c>
      <c r="Q219" s="4">
        <v>329.71300000000002</v>
      </c>
      <c r="R219" s="4">
        <v>354.54700000000003</v>
      </c>
      <c r="S219" s="4">
        <v>364.41899999999998</v>
      </c>
      <c r="T219" s="4">
        <v>32.4253</v>
      </c>
      <c r="U219" s="4">
        <v>36.427300000000002</v>
      </c>
      <c r="V219" s="4">
        <v>19.746200000000002</v>
      </c>
      <c r="W219" s="4">
        <v>7.9714099999999997</v>
      </c>
      <c r="X219" s="4">
        <v>13.6425</v>
      </c>
      <c r="Y219" s="4">
        <v>4.5673700000000004</v>
      </c>
      <c r="Z219" s="4">
        <v>-1.235E-2</v>
      </c>
      <c r="AA219" s="4">
        <v>3.0950999999999999E-2</v>
      </c>
      <c r="AB219" s="4">
        <v>0.108168</v>
      </c>
      <c r="AC219" s="1" t="s">
        <v>608</v>
      </c>
      <c r="AD219" s="1" t="s">
        <v>2787</v>
      </c>
      <c r="AE219" s="1" t="s">
        <v>2788</v>
      </c>
      <c r="AF219" s="1">
        <v>6.3</v>
      </c>
      <c r="AG219" s="1" t="s">
        <v>1003</v>
      </c>
      <c r="AH219" s="1">
        <v>42.3476</v>
      </c>
      <c r="AI219" s="1">
        <v>13.38</v>
      </c>
      <c r="AJ219" s="1">
        <v>9.27</v>
      </c>
      <c r="AK219" s="1" t="s">
        <v>1047</v>
      </c>
      <c r="AL219" s="1" t="s">
        <v>2809</v>
      </c>
      <c r="AM219" s="1">
        <v>139</v>
      </c>
      <c r="AN219" s="1">
        <v>48</v>
      </c>
      <c r="AO219" s="1">
        <v>-98</v>
      </c>
      <c r="AP219" s="1"/>
      <c r="AQ219" s="1"/>
      <c r="AR219" s="1"/>
      <c r="AS219" s="1" t="s">
        <v>2808</v>
      </c>
      <c r="AT219" s="1" t="s">
        <v>731</v>
      </c>
      <c r="AU219" s="1"/>
      <c r="AV219" s="1"/>
      <c r="AW219" s="1"/>
      <c r="AX219" s="1"/>
      <c r="AY219" s="1"/>
      <c r="AZ219" s="1" t="s">
        <v>2812</v>
      </c>
      <c r="BA219" t="s">
        <v>2916</v>
      </c>
    </row>
    <row r="220" spans="1:53" ht="19" customHeight="1">
      <c r="A220" s="4" t="s">
        <v>1145</v>
      </c>
      <c r="B220" s="4">
        <v>42.3476</v>
      </c>
      <c r="C220" s="4">
        <v>13.38</v>
      </c>
      <c r="D220" s="4">
        <v>9.27</v>
      </c>
      <c r="E220" s="4">
        <v>6.3</v>
      </c>
      <c r="F220" s="4" t="s">
        <v>1047</v>
      </c>
      <c r="G220" s="4" t="s">
        <v>972</v>
      </c>
      <c r="H220" s="4">
        <v>13.343999999999999</v>
      </c>
      <c r="I220" s="4">
        <v>42.377000000000002</v>
      </c>
      <c r="J220" s="4">
        <v>475</v>
      </c>
      <c r="K220" s="4">
        <v>6.27</v>
      </c>
      <c r="L220" s="4" t="b">
        <v>1</v>
      </c>
      <c r="M220" s="4">
        <v>1.071</v>
      </c>
      <c r="N220" s="4" t="b">
        <v>0</v>
      </c>
      <c r="O220" s="4" t="s">
        <v>1029</v>
      </c>
      <c r="P220" s="4" t="b">
        <v>0</v>
      </c>
      <c r="Q220" s="4">
        <v>651.42999999999995</v>
      </c>
      <c r="R220" s="4">
        <v>545.32799999999997</v>
      </c>
      <c r="S220" s="4">
        <v>518.65099999999995</v>
      </c>
      <c r="T220" s="4">
        <v>40.497799999999998</v>
      </c>
      <c r="U220" s="4">
        <v>42.856000000000002</v>
      </c>
      <c r="V220" s="4">
        <v>12.4116</v>
      </c>
      <c r="W220" s="4">
        <v>6.9746199999999998</v>
      </c>
      <c r="X220" s="4">
        <v>3.3025500000000001</v>
      </c>
      <c r="Y220" s="4">
        <v>3.1320700000000001</v>
      </c>
      <c r="Z220" s="4">
        <v>1.6525999999999999E-2</v>
      </c>
      <c r="AA220" s="4">
        <v>-1.116E-2</v>
      </c>
      <c r="AB220" s="4">
        <v>5.2719999999999998E-3</v>
      </c>
      <c r="AC220" s="1" t="s">
        <v>608</v>
      </c>
      <c r="AD220" s="1" t="s">
        <v>2787</v>
      </c>
      <c r="AE220" s="1" t="s">
        <v>2788</v>
      </c>
      <c r="AF220" s="1">
        <v>6.3</v>
      </c>
      <c r="AG220" s="1" t="s">
        <v>1003</v>
      </c>
      <c r="AH220" s="1">
        <v>42.3476</v>
      </c>
      <c r="AI220" s="1">
        <v>13.38</v>
      </c>
      <c r="AJ220" s="1">
        <v>9.27</v>
      </c>
      <c r="AK220" s="1" t="s">
        <v>1047</v>
      </c>
      <c r="AL220" s="1" t="s">
        <v>2809</v>
      </c>
      <c r="AM220" s="1">
        <v>139</v>
      </c>
      <c r="AN220" s="1">
        <v>48</v>
      </c>
      <c r="AO220" s="1">
        <v>-98</v>
      </c>
      <c r="AP220" s="1"/>
      <c r="AQ220" s="1"/>
      <c r="AR220" s="1"/>
      <c r="AS220" s="1" t="s">
        <v>2808</v>
      </c>
      <c r="AT220" s="1" t="s">
        <v>731</v>
      </c>
      <c r="AU220" s="1"/>
      <c r="AV220" s="1"/>
      <c r="AW220" s="1"/>
      <c r="AX220" s="1"/>
      <c r="AY220" s="1"/>
      <c r="AZ220" s="1" t="s">
        <v>2812</v>
      </c>
      <c r="BA220" t="s">
        <v>2916</v>
      </c>
    </row>
    <row r="221" spans="1:53" ht="19" customHeight="1">
      <c r="A221" s="4" t="s">
        <v>1145</v>
      </c>
      <c r="B221" s="4">
        <v>42.3476</v>
      </c>
      <c r="C221" s="4">
        <v>13.38</v>
      </c>
      <c r="D221" s="4">
        <v>9.27</v>
      </c>
      <c r="E221" s="4">
        <v>6.3</v>
      </c>
      <c r="F221" s="4" t="s">
        <v>1047</v>
      </c>
      <c r="G221" s="4" t="s">
        <v>973</v>
      </c>
      <c r="H221" s="4">
        <v>13.339</v>
      </c>
      <c r="I221" s="4">
        <v>42.375999999999998</v>
      </c>
      <c r="J221" s="4">
        <v>552</v>
      </c>
      <c r="K221" s="4">
        <v>6.55</v>
      </c>
      <c r="L221" s="4" t="b">
        <v>1</v>
      </c>
      <c r="M221" s="4">
        <v>1.1759999999999999</v>
      </c>
      <c r="N221" s="4" t="b">
        <v>0</v>
      </c>
      <c r="O221" s="4" t="s">
        <v>1029</v>
      </c>
      <c r="P221" s="4" t="b">
        <v>0</v>
      </c>
      <c r="Q221" s="4">
        <v>394.14699999999999</v>
      </c>
      <c r="R221" s="4">
        <v>431.77199999999999</v>
      </c>
      <c r="S221" s="4">
        <v>480.24200000000002</v>
      </c>
      <c r="T221" s="4">
        <v>32.063800000000001</v>
      </c>
      <c r="U221" s="4">
        <v>26.978300000000001</v>
      </c>
      <c r="V221" s="4">
        <v>9.5418199999999995</v>
      </c>
      <c r="W221" s="4">
        <v>5.2691800000000004</v>
      </c>
      <c r="X221" s="4">
        <v>3.97715</v>
      </c>
      <c r="Y221" s="4">
        <v>1.9870000000000001</v>
      </c>
      <c r="Z221" s="4">
        <v>-2.3737999999999999E-2</v>
      </c>
      <c r="AA221" s="4">
        <v>6.8709999999999993E-2</v>
      </c>
      <c r="AB221" s="4">
        <v>2.0617E-2</v>
      </c>
      <c r="AC221" s="1" t="s">
        <v>608</v>
      </c>
      <c r="AD221" s="1" t="s">
        <v>2787</v>
      </c>
      <c r="AE221" s="1" t="s">
        <v>2788</v>
      </c>
      <c r="AF221" s="1">
        <v>6.3</v>
      </c>
      <c r="AG221" s="1" t="s">
        <v>1003</v>
      </c>
      <c r="AH221" s="1">
        <v>42.3476</v>
      </c>
      <c r="AI221" s="1">
        <v>13.38</v>
      </c>
      <c r="AJ221" s="1">
        <v>9.27</v>
      </c>
      <c r="AK221" s="1" t="s">
        <v>1047</v>
      </c>
      <c r="AL221" s="1" t="s">
        <v>2809</v>
      </c>
      <c r="AM221" s="1">
        <v>139</v>
      </c>
      <c r="AN221" s="1">
        <v>48</v>
      </c>
      <c r="AO221" s="1">
        <v>-98</v>
      </c>
      <c r="AP221" s="1"/>
      <c r="AQ221" s="1"/>
      <c r="AR221" s="1"/>
      <c r="AS221" s="1" t="s">
        <v>2808</v>
      </c>
      <c r="AT221" s="1" t="s">
        <v>731</v>
      </c>
      <c r="AU221" s="1"/>
      <c r="AV221" s="1"/>
      <c r="AW221" s="1"/>
      <c r="AX221" s="1"/>
      <c r="AY221" s="1"/>
      <c r="AZ221" s="1" t="s">
        <v>2812</v>
      </c>
      <c r="BA221" t="s">
        <v>2916</v>
      </c>
    </row>
    <row r="222" spans="1:53" ht="19" customHeight="1">
      <c r="A222" s="4" t="s">
        <v>616</v>
      </c>
      <c r="B222" s="4">
        <v>23.787800000000001</v>
      </c>
      <c r="C222" s="4">
        <v>120.7282</v>
      </c>
      <c r="D222" s="4">
        <v>23.55</v>
      </c>
      <c r="E222" s="4">
        <v>5.6</v>
      </c>
      <c r="F222" s="4" t="s">
        <v>1055</v>
      </c>
      <c r="G222" s="4" t="s">
        <v>1070</v>
      </c>
      <c r="H222" s="4">
        <v>120.90219999999999</v>
      </c>
      <c r="I222" s="4">
        <v>23.836829999999999</v>
      </c>
      <c r="J222" s="4">
        <v>353.94049999999999</v>
      </c>
      <c r="K222" s="4">
        <v>16.829160000000002</v>
      </c>
      <c r="L222" s="4" t="b">
        <v>1</v>
      </c>
      <c r="M222" s="4">
        <v>0.80500000000000005</v>
      </c>
      <c r="N222" s="4" t="b">
        <v>0</v>
      </c>
      <c r="O222" s="4" t="s">
        <v>1029</v>
      </c>
      <c r="P222" s="4" t="b">
        <v>0</v>
      </c>
      <c r="Q222" s="4">
        <v>225.803</v>
      </c>
      <c r="R222" s="4">
        <v>140.11500000000001</v>
      </c>
      <c r="S222" s="4">
        <v>84.197999999999993</v>
      </c>
      <c r="T222" s="4">
        <v>20.038599999999999</v>
      </c>
      <c r="U222" s="4">
        <v>13.464399999999999</v>
      </c>
      <c r="V222" s="4">
        <v>5.1591399999999998</v>
      </c>
      <c r="W222" s="4">
        <v>3.0816499999999998</v>
      </c>
      <c r="X222" s="4">
        <v>2.0506099999999998</v>
      </c>
      <c r="Y222" s="4">
        <v>0.64533799999999997</v>
      </c>
      <c r="Z222" s="4">
        <v>-0.10129299999999999</v>
      </c>
      <c r="AA222" s="4">
        <v>4.1859E-2</v>
      </c>
      <c r="AB222" s="4">
        <v>0.26823000000000002</v>
      </c>
      <c r="AC222" s="1" t="s">
        <v>615</v>
      </c>
      <c r="AD222" s="1" t="s">
        <v>2918</v>
      </c>
      <c r="AE222" s="1" t="s">
        <v>2919</v>
      </c>
      <c r="AF222" s="1">
        <v>5.6</v>
      </c>
      <c r="AG222" s="1" t="s">
        <v>1003</v>
      </c>
      <c r="AH222" s="1">
        <v>23.787800000000001</v>
      </c>
      <c r="AI222" s="1">
        <v>120.7282</v>
      </c>
      <c r="AJ222" s="1">
        <v>23.55</v>
      </c>
      <c r="AK222" s="1" t="s">
        <v>1055</v>
      </c>
      <c r="AL222" s="1" t="s">
        <v>2834</v>
      </c>
      <c r="AM222" s="1">
        <v>344</v>
      </c>
      <c r="AN222" s="1">
        <v>56</v>
      </c>
      <c r="AO222" s="1">
        <v>39</v>
      </c>
      <c r="AP222" s="1">
        <v>230</v>
      </c>
      <c r="AQ222" s="1">
        <v>59</v>
      </c>
      <c r="AR222" s="1">
        <v>139</v>
      </c>
      <c r="AS222" s="1" t="s">
        <v>2808</v>
      </c>
      <c r="AT222" s="1" t="s">
        <v>731</v>
      </c>
      <c r="AU222" s="1"/>
      <c r="AV222" s="1"/>
      <c r="AW222" s="1"/>
      <c r="AX222" s="1"/>
      <c r="AY222" s="1"/>
      <c r="AZ222" s="1" t="s">
        <v>2812</v>
      </c>
      <c r="BA222" t="s">
        <v>2921</v>
      </c>
    </row>
    <row r="223" spans="1:53" ht="19" customHeight="1">
      <c r="A223" s="4" t="s">
        <v>616</v>
      </c>
      <c r="B223" s="4">
        <v>23.787800000000001</v>
      </c>
      <c r="C223" s="4">
        <v>120.7282</v>
      </c>
      <c r="D223" s="4">
        <v>23.55</v>
      </c>
      <c r="E223" s="4">
        <v>5.6</v>
      </c>
      <c r="F223" s="4" t="s">
        <v>1055</v>
      </c>
      <c r="G223" s="4" t="s">
        <v>1146</v>
      </c>
      <c r="H223" s="4">
        <v>120.6918</v>
      </c>
      <c r="I223" s="4">
        <v>23.913830000000001</v>
      </c>
      <c r="J223" s="4">
        <v>242</v>
      </c>
      <c r="K223" s="4">
        <v>23.785319999999999</v>
      </c>
      <c r="L223" s="4" t="b">
        <v>1</v>
      </c>
      <c r="M223" s="4">
        <v>0.60199999999999998</v>
      </c>
      <c r="N223" s="4" t="b">
        <v>0</v>
      </c>
      <c r="O223" s="4" t="s">
        <v>1029</v>
      </c>
      <c r="P223" s="4" t="b">
        <v>0</v>
      </c>
      <c r="Q223" s="4">
        <v>228.1</v>
      </c>
      <c r="R223" s="4">
        <v>199.91800000000001</v>
      </c>
      <c r="S223" s="4">
        <v>102.86499999999999</v>
      </c>
      <c r="T223" s="4">
        <v>20.210599999999999</v>
      </c>
      <c r="U223" s="4">
        <v>13.743</v>
      </c>
      <c r="V223" s="4">
        <v>3.0558399999999999</v>
      </c>
      <c r="W223" s="4">
        <v>2.6883499999999998</v>
      </c>
      <c r="X223" s="4">
        <v>1.47217</v>
      </c>
      <c r="Y223" s="4">
        <v>0.28192600000000001</v>
      </c>
      <c r="Z223" s="4">
        <v>6.0260000000000001E-3</v>
      </c>
      <c r="AA223" s="4">
        <v>-3.9737000000000001E-2</v>
      </c>
      <c r="AB223" s="4">
        <v>-5.2610000000000001E-3</v>
      </c>
      <c r="AC223" s="1" t="s">
        <v>615</v>
      </c>
      <c r="AD223" s="1" t="s">
        <v>2918</v>
      </c>
      <c r="AE223" s="1" t="s">
        <v>2919</v>
      </c>
      <c r="AF223" s="1">
        <v>5.6</v>
      </c>
      <c r="AG223" s="1" t="s">
        <v>1003</v>
      </c>
      <c r="AH223" s="1">
        <v>23.787800000000001</v>
      </c>
      <c r="AI223" s="1">
        <v>120.7282</v>
      </c>
      <c r="AJ223" s="1">
        <v>23.55</v>
      </c>
      <c r="AK223" s="1" t="s">
        <v>1055</v>
      </c>
      <c r="AL223" s="1" t="s">
        <v>2834</v>
      </c>
      <c r="AM223" s="1">
        <v>344</v>
      </c>
      <c r="AN223" s="1">
        <v>56</v>
      </c>
      <c r="AO223" s="1">
        <v>39</v>
      </c>
      <c r="AP223" s="1">
        <v>230</v>
      </c>
      <c r="AQ223" s="1">
        <v>59</v>
      </c>
      <c r="AR223" s="1">
        <v>139</v>
      </c>
      <c r="AS223" s="1" t="s">
        <v>2808</v>
      </c>
      <c r="AT223" s="1" t="s">
        <v>731</v>
      </c>
      <c r="AU223" s="1"/>
      <c r="AV223" s="1"/>
      <c r="AW223" s="1"/>
      <c r="AX223" s="1"/>
      <c r="AY223" s="1"/>
      <c r="AZ223" s="1" t="s">
        <v>2812</v>
      </c>
      <c r="BA223" t="s">
        <v>2921</v>
      </c>
    </row>
    <row r="224" spans="1:53" ht="19" customHeight="1">
      <c r="A224" s="4" t="s">
        <v>1147</v>
      </c>
      <c r="B224" s="4">
        <v>-43.615000000000002</v>
      </c>
      <c r="C224" s="4">
        <v>172.04900000000001</v>
      </c>
      <c r="D224" s="4">
        <v>10.9</v>
      </c>
      <c r="E224" s="4">
        <v>7</v>
      </c>
      <c r="F224" s="4" t="s">
        <v>1032</v>
      </c>
      <c r="G224" s="4" t="s">
        <v>1148</v>
      </c>
      <c r="H224" s="4">
        <v>172.61969999999999</v>
      </c>
      <c r="I224" s="4">
        <v>-43.530999999999999</v>
      </c>
      <c r="J224" s="4">
        <v>187</v>
      </c>
      <c r="K224" s="4">
        <v>18.05</v>
      </c>
      <c r="L224" s="4" t="b">
        <v>1</v>
      </c>
      <c r="M224" s="4">
        <v>12.621</v>
      </c>
      <c r="N224" s="4" t="b">
        <v>0</v>
      </c>
      <c r="O224" s="4" t="s">
        <v>1029</v>
      </c>
      <c r="P224" s="4" t="b">
        <v>0</v>
      </c>
      <c r="Q224" s="4">
        <v>152.43299999999999</v>
      </c>
      <c r="R224" s="4">
        <v>186.404</v>
      </c>
      <c r="S224" s="4">
        <v>120.842</v>
      </c>
      <c r="T224" s="4">
        <v>21.274899999999999</v>
      </c>
      <c r="U224" s="4">
        <v>60.622399999999999</v>
      </c>
      <c r="V224" s="4">
        <v>16.0867</v>
      </c>
      <c r="W224" s="4">
        <v>11.2994</v>
      </c>
      <c r="X224" s="4">
        <v>56.101399999999998</v>
      </c>
      <c r="Y224" s="4">
        <v>13.634600000000001</v>
      </c>
      <c r="Z224" s="4">
        <v>-6.5079999999999999E-3</v>
      </c>
      <c r="AA224" s="4">
        <v>1.0130999999999999E-2</v>
      </c>
      <c r="AB224" s="4">
        <v>-1.83E-4</v>
      </c>
      <c r="AC224" s="1" t="s">
        <v>620</v>
      </c>
      <c r="AD224" s="1" t="s">
        <v>2792</v>
      </c>
      <c r="AE224" s="1" t="s">
        <v>2793</v>
      </c>
      <c r="AF224" s="1">
        <v>7</v>
      </c>
      <c r="AG224" s="1" t="s">
        <v>1003</v>
      </c>
      <c r="AH224" s="1">
        <v>-43.615000000000002</v>
      </c>
      <c r="AI224" s="1">
        <v>172.04900000000001</v>
      </c>
      <c r="AJ224" s="1">
        <v>10.9</v>
      </c>
      <c r="AK224" s="1" t="s">
        <v>1032</v>
      </c>
      <c r="AL224" s="1" t="s">
        <v>2922</v>
      </c>
      <c r="AM224" s="1">
        <v>85</v>
      </c>
      <c r="AN224" s="1">
        <v>82</v>
      </c>
      <c r="AO224" s="1">
        <v>154</v>
      </c>
      <c r="AP224" s="1"/>
      <c r="AQ224" s="1"/>
      <c r="AR224" s="1"/>
      <c r="AS224" s="1" t="s">
        <v>2808</v>
      </c>
      <c r="AT224" s="1" t="s">
        <v>731</v>
      </c>
      <c r="AU224" s="1"/>
      <c r="AV224" s="1"/>
      <c r="AW224" s="1"/>
      <c r="AX224" s="1"/>
      <c r="AY224" s="1"/>
      <c r="AZ224" s="1" t="s">
        <v>2812</v>
      </c>
      <c r="BA224" t="s">
        <v>2924</v>
      </c>
    </row>
    <row r="225" spans="1:53" ht="19" customHeight="1">
      <c r="A225" s="4" t="s">
        <v>1147</v>
      </c>
      <c r="B225" s="4">
        <v>-43.615000000000002</v>
      </c>
      <c r="C225" s="4">
        <v>172.04900000000001</v>
      </c>
      <c r="D225" s="4">
        <v>10.9</v>
      </c>
      <c r="E225" s="4">
        <v>7</v>
      </c>
      <c r="F225" s="4" t="s">
        <v>1032</v>
      </c>
      <c r="G225" s="4" t="s">
        <v>1149</v>
      </c>
      <c r="H225" s="4">
        <v>172.63499999999999</v>
      </c>
      <c r="I225" s="4">
        <v>-43.523600000000002</v>
      </c>
      <c r="J225" s="4">
        <v>141</v>
      </c>
      <c r="K225" s="4">
        <v>19.48</v>
      </c>
      <c r="L225" s="4" t="b">
        <v>1</v>
      </c>
      <c r="M225" s="4">
        <v>12.019</v>
      </c>
      <c r="N225" s="4" t="b">
        <v>0</v>
      </c>
      <c r="O225" s="4" t="s">
        <v>1029</v>
      </c>
      <c r="P225" s="4" t="b">
        <v>0</v>
      </c>
      <c r="Q225" s="4">
        <v>257.851</v>
      </c>
      <c r="R225" s="4">
        <v>233.374</v>
      </c>
      <c r="S225" s="4">
        <v>209.935</v>
      </c>
      <c r="T225" s="4">
        <v>62.179400000000001</v>
      </c>
      <c r="U225" s="4">
        <v>26.6295</v>
      </c>
      <c r="V225" s="4">
        <v>20.258600000000001</v>
      </c>
      <c r="W225" s="4">
        <v>54.828899999999997</v>
      </c>
      <c r="X225" s="4">
        <v>16.4513</v>
      </c>
      <c r="Y225" s="4">
        <v>13.116099999999999</v>
      </c>
      <c r="Z225" s="4">
        <v>3.4398999999999999E-2</v>
      </c>
      <c r="AA225" s="4">
        <v>1.4319E-2</v>
      </c>
      <c r="AB225" s="4">
        <v>-3.5049999999999999E-3</v>
      </c>
      <c r="AC225" s="1" t="s">
        <v>620</v>
      </c>
      <c r="AD225" s="1" t="s">
        <v>2792</v>
      </c>
      <c r="AE225" s="1" t="s">
        <v>2793</v>
      </c>
      <c r="AF225" s="1">
        <v>7</v>
      </c>
      <c r="AG225" s="1" t="s">
        <v>1003</v>
      </c>
      <c r="AH225" s="1">
        <v>-43.615000000000002</v>
      </c>
      <c r="AI225" s="1">
        <v>172.04900000000001</v>
      </c>
      <c r="AJ225" s="1">
        <v>10.9</v>
      </c>
      <c r="AK225" s="1" t="s">
        <v>1032</v>
      </c>
      <c r="AL225" s="1" t="s">
        <v>2922</v>
      </c>
      <c r="AM225" s="1">
        <v>85</v>
      </c>
      <c r="AN225" s="1">
        <v>82</v>
      </c>
      <c r="AO225" s="1">
        <v>154</v>
      </c>
      <c r="AP225" s="1"/>
      <c r="AQ225" s="1"/>
      <c r="AR225" s="1"/>
      <c r="AS225" s="1" t="s">
        <v>2808</v>
      </c>
      <c r="AT225" s="1" t="s">
        <v>731</v>
      </c>
      <c r="AU225" s="1"/>
      <c r="AV225" s="1"/>
      <c r="AW225" s="1"/>
      <c r="AX225" s="1"/>
      <c r="AY225" s="1"/>
      <c r="AZ225" s="1" t="s">
        <v>2812</v>
      </c>
      <c r="BA225" t="s">
        <v>2924</v>
      </c>
    </row>
    <row r="226" spans="1:53" ht="19" customHeight="1">
      <c r="A226" s="4" t="s">
        <v>1147</v>
      </c>
      <c r="B226" s="4">
        <v>-43.615000000000002</v>
      </c>
      <c r="C226" s="4">
        <v>172.04900000000001</v>
      </c>
      <c r="D226" s="4">
        <v>10.9</v>
      </c>
      <c r="E226" s="4">
        <v>7</v>
      </c>
      <c r="F226" s="4" t="s">
        <v>1032</v>
      </c>
      <c r="G226" s="4" t="s">
        <v>977</v>
      </c>
      <c r="H226" s="4">
        <v>172.1978</v>
      </c>
      <c r="I226" s="4">
        <v>-43.669199999999996</v>
      </c>
      <c r="J226" s="4">
        <v>295.74</v>
      </c>
      <c r="K226" s="4">
        <v>8.4600000000000009</v>
      </c>
      <c r="L226" s="4" t="b">
        <v>1</v>
      </c>
      <c r="M226" s="4">
        <v>7.8259999999999996</v>
      </c>
      <c r="N226" s="4" t="b">
        <v>0</v>
      </c>
      <c r="O226" s="4" t="s">
        <v>1029</v>
      </c>
      <c r="P226" s="4" t="b">
        <v>0</v>
      </c>
      <c r="Q226" s="4">
        <v>252.06399999999999</v>
      </c>
      <c r="R226" s="4">
        <v>232.631</v>
      </c>
      <c r="S226" s="4">
        <v>310.53100000000001</v>
      </c>
      <c r="T226" s="4">
        <v>39.4071</v>
      </c>
      <c r="U226" s="4">
        <v>67.282300000000006</v>
      </c>
      <c r="V226" s="4">
        <v>14.584300000000001</v>
      </c>
      <c r="W226" s="4">
        <v>34.064999999999998</v>
      </c>
      <c r="X226" s="4">
        <v>81.280799999999999</v>
      </c>
      <c r="Y226" s="4">
        <v>9.5001200000000008</v>
      </c>
      <c r="Z226" s="4">
        <v>4.4415999999999997E-2</v>
      </c>
      <c r="AA226" s="4">
        <v>2.6983E-2</v>
      </c>
      <c r="AB226" s="4">
        <v>1.2919E-2</v>
      </c>
      <c r="AC226" s="1" t="s">
        <v>620</v>
      </c>
      <c r="AD226" s="1" t="s">
        <v>2792</v>
      </c>
      <c r="AE226" s="1" t="s">
        <v>2793</v>
      </c>
      <c r="AF226" s="1">
        <v>7</v>
      </c>
      <c r="AG226" s="1" t="s">
        <v>1003</v>
      </c>
      <c r="AH226" s="1">
        <v>-43.615000000000002</v>
      </c>
      <c r="AI226" s="1">
        <v>172.04900000000001</v>
      </c>
      <c r="AJ226" s="1">
        <v>10.9</v>
      </c>
      <c r="AK226" s="1" t="s">
        <v>1032</v>
      </c>
      <c r="AL226" s="1" t="s">
        <v>2922</v>
      </c>
      <c r="AM226" s="1">
        <v>85</v>
      </c>
      <c r="AN226" s="1">
        <v>82</v>
      </c>
      <c r="AO226" s="1">
        <v>154</v>
      </c>
      <c r="AP226" s="1"/>
      <c r="AQ226" s="1"/>
      <c r="AR226" s="1"/>
      <c r="AS226" s="1" t="s">
        <v>2808</v>
      </c>
      <c r="AT226" s="1" t="s">
        <v>731</v>
      </c>
      <c r="AU226" s="1"/>
      <c r="AV226" s="1"/>
      <c r="AW226" s="1"/>
      <c r="AX226" s="1"/>
      <c r="AY226" s="1"/>
      <c r="AZ226" s="1" t="s">
        <v>2812</v>
      </c>
      <c r="BA226" t="s">
        <v>2924</v>
      </c>
    </row>
    <row r="227" spans="1:53" ht="19" customHeight="1">
      <c r="A227" s="4" t="s">
        <v>1147</v>
      </c>
      <c r="B227" s="4">
        <v>-43.615000000000002</v>
      </c>
      <c r="C227" s="4">
        <v>172.04900000000001</v>
      </c>
      <c r="D227" s="4">
        <v>10.9</v>
      </c>
      <c r="E227" s="4">
        <v>7</v>
      </c>
      <c r="F227" s="4" t="s">
        <v>1032</v>
      </c>
      <c r="G227" s="4" t="s">
        <v>978</v>
      </c>
      <c r="H227" s="4">
        <v>172.08930000000001</v>
      </c>
      <c r="I227" s="4">
        <v>-43.588000000000001</v>
      </c>
      <c r="J227" s="4">
        <v>344.02</v>
      </c>
      <c r="K227" s="4">
        <v>1.22</v>
      </c>
      <c r="L227" s="4" t="b">
        <v>1</v>
      </c>
      <c r="M227" s="4">
        <v>6.23</v>
      </c>
      <c r="N227" s="4" t="b">
        <v>0</v>
      </c>
      <c r="O227" s="4" t="s">
        <v>1029</v>
      </c>
      <c r="P227" s="4" t="b">
        <v>0</v>
      </c>
      <c r="Q227" s="4">
        <v>749.97</v>
      </c>
      <c r="R227" s="4">
        <v>694.58699999999999</v>
      </c>
      <c r="S227" s="4">
        <v>1226.07</v>
      </c>
      <c r="T227" s="4">
        <v>116.124</v>
      </c>
      <c r="U227" s="4">
        <v>100.342</v>
      </c>
      <c r="V227" s="4">
        <v>38.378900000000002</v>
      </c>
      <c r="W227" s="4">
        <v>100.411</v>
      </c>
      <c r="X227" s="4">
        <v>44.567</v>
      </c>
      <c r="Y227" s="4">
        <v>25.234000000000002</v>
      </c>
      <c r="Z227" s="4">
        <v>-9.2921000000000004E-2</v>
      </c>
      <c r="AA227" s="4">
        <v>-1.09E-3</v>
      </c>
      <c r="AB227" s="4">
        <v>2.1059999999999998E-3</v>
      </c>
      <c r="AC227" s="1" t="s">
        <v>620</v>
      </c>
      <c r="AD227" s="1" t="s">
        <v>2792</v>
      </c>
      <c r="AE227" s="1" t="s">
        <v>2793</v>
      </c>
      <c r="AF227" s="1">
        <v>7</v>
      </c>
      <c r="AG227" s="1" t="s">
        <v>1003</v>
      </c>
      <c r="AH227" s="1">
        <v>-43.615000000000002</v>
      </c>
      <c r="AI227" s="1">
        <v>172.04900000000001</v>
      </c>
      <c r="AJ227" s="1">
        <v>10.9</v>
      </c>
      <c r="AK227" s="1" t="s">
        <v>1032</v>
      </c>
      <c r="AL227" s="1" t="s">
        <v>2922</v>
      </c>
      <c r="AM227" s="1">
        <v>85</v>
      </c>
      <c r="AN227" s="1">
        <v>82</v>
      </c>
      <c r="AO227" s="1">
        <v>154</v>
      </c>
      <c r="AP227" s="1"/>
      <c r="AQ227" s="1"/>
      <c r="AR227" s="1"/>
      <c r="AS227" s="1" t="s">
        <v>2808</v>
      </c>
      <c r="AT227" s="1" t="s">
        <v>731</v>
      </c>
      <c r="AU227" s="1"/>
      <c r="AV227" s="1"/>
      <c r="AW227" s="1"/>
      <c r="AX227" s="1"/>
      <c r="AY227" s="1"/>
      <c r="AZ227" s="1" t="s">
        <v>2812</v>
      </c>
      <c r="BA227" t="s">
        <v>2924</v>
      </c>
    </row>
    <row r="228" spans="1:53" ht="19" customHeight="1">
      <c r="A228" s="4" t="s">
        <v>1147</v>
      </c>
      <c r="B228" s="4">
        <v>-43.615000000000002</v>
      </c>
      <c r="C228" s="4">
        <v>172.04900000000001</v>
      </c>
      <c r="D228" s="4">
        <v>10.9</v>
      </c>
      <c r="E228" s="4">
        <v>7</v>
      </c>
      <c r="F228" s="4" t="s">
        <v>1032</v>
      </c>
      <c r="G228" s="4" t="s">
        <v>979</v>
      </c>
      <c r="H228" s="4">
        <v>171.9598</v>
      </c>
      <c r="I228" s="4">
        <v>-43.5413</v>
      </c>
      <c r="J228" s="4">
        <v>326.01</v>
      </c>
      <c r="K228" s="4">
        <v>7.29</v>
      </c>
      <c r="L228" s="4" t="b">
        <v>1</v>
      </c>
      <c r="M228" s="4">
        <v>9.9190000000000005</v>
      </c>
      <c r="N228" s="4" t="b">
        <v>0</v>
      </c>
      <c r="O228" s="4" t="s">
        <v>1029</v>
      </c>
      <c r="P228" s="4" t="b">
        <v>0</v>
      </c>
      <c r="Q228" s="4">
        <v>441.53500000000003</v>
      </c>
      <c r="R228" s="4">
        <v>467.56400000000002</v>
      </c>
      <c r="S228" s="4">
        <v>795.88900000000001</v>
      </c>
      <c r="T228" s="4">
        <v>105.982</v>
      </c>
      <c r="U228" s="4">
        <v>69.860100000000003</v>
      </c>
      <c r="V228" s="4">
        <v>61.478400000000001</v>
      </c>
      <c r="W228" s="4">
        <v>52.975999999999999</v>
      </c>
      <c r="X228" s="4">
        <v>29.679099999999998</v>
      </c>
      <c r="Y228" s="4">
        <v>34.929600000000001</v>
      </c>
      <c r="Z228" s="4">
        <v>-0.115076</v>
      </c>
      <c r="AA228" s="4">
        <v>0.135598</v>
      </c>
      <c r="AB228" s="4">
        <v>0.13208600000000001</v>
      </c>
      <c r="AC228" s="1" t="s">
        <v>620</v>
      </c>
      <c r="AD228" s="1" t="s">
        <v>2792</v>
      </c>
      <c r="AE228" s="1" t="s">
        <v>2793</v>
      </c>
      <c r="AF228" s="1">
        <v>7</v>
      </c>
      <c r="AG228" s="1" t="s">
        <v>1003</v>
      </c>
      <c r="AH228" s="1">
        <v>-43.615000000000002</v>
      </c>
      <c r="AI228" s="1">
        <v>172.04900000000001</v>
      </c>
      <c r="AJ228" s="1">
        <v>10.9</v>
      </c>
      <c r="AK228" s="1" t="s">
        <v>1032</v>
      </c>
      <c r="AL228" s="1" t="s">
        <v>2922</v>
      </c>
      <c r="AM228" s="1">
        <v>85</v>
      </c>
      <c r="AN228" s="1">
        <v>82</v>
      </c>
      <c r="AO228" s="1">
        <v>154</v>
      </c>
      <c r="AP228" s="1"/>
      <c r="AQ228" s="1"/>
      <c r="AR228" s="1"/>
      <c r="AS228" s="1" t="s">
        <v>2808</v>
      </c>
      <c r="AT228" s="1" t="s">
        <v>731</v>
      </c>
      <c r="AU228" s="1"/>
      <c r="AV228" s="1"/>
      <c r="AW228" s="1"/>
      <c r="AX228" s="1"/>
      <c r="AY228" s="1"/>
      <c r="AZ228" s="1" t="s">
        <v>2812</v>
      </c>
      <c r="BA228" t="s">
        <v>2924</v>
      </c>
    </row>
    <row r="229" spans="1:53" ht="19" customHeight="1">
      <c r="A229" s="4" t="s">
        <v>1147</v>
      </c>
      <c r="B229" s="4">
        <v>-43.615000000000002</v>
      </c>
      <c r="C229" s="4">
        <v>172.04900000000001</v>
      </c>
      <c r="D229" s="4">
        <v>10.9</v>
      </c>
      <c r="E229" s="4">
        <v>7</v>
      </c>
      <c r="F229" s="4" t="s">
        <v>1032</v>
      </c>
      <c r="G229" s="4" t="s">
        <v>980</v>
      </c>
      <c r="H229" s="4">
        <v>172.46789999999999</v>
      </c>
      <c r="I229" s="4">
        <v>-43.6248</v>
      </c>
      <c r="J229" s="4">
        <v>263.2</v>
      </c>
      <c r="K229" s="4">
        <v>7.11</v>
      </c>
      <c r="L229" s="4" t="b">
        <v>1</v>
      </c>
      <c r="M229" s="4">
        <v>7.3710000000000004</v>
      </c>
      <c r="N229" s="4" t="b">
        <v>1</v>
      </c>
      <c r="O229" s="4">
        <v>3.367</v>
      </c>
      <c r="P229" s="4" t="b">
        <v>0</v>
      </c>
      <c r="Q229" s="4">
        <v>452.58100000000002</v>
      </c>
      <c r="R229" s="4">
        <v>380.21300000000002</v>
      </c>
      <c r="S229" s="4">
        <v>897.13699999999994</v>
      </c>
      <c r="T229" s="4">
        <v>108.806</v>
      </c>
      <c r="U229" s="4">
        <v>56.954300000000003</v>
      </c>
      <c r="V229" s="4">
        <v>77.604299999999995</v>
      </c>
      <c r="W229" s="4">
        <v>66.682400000000001</v>
      </c>
      <c r="X229" s="4">
        <v>33.825699999999998</v>
      </c>
      <c r="Y229" s="4">
        <v>33.184699999999999</v>
      </c>
      <c r="Z229" s="4">
        <v>0.29106799999999999</v>
      </c>
      <c r="AA229" s="4">
        <v>-8.9504E-2</v>
      </c>
      <c r="AB229" s="4">
        <v>3.3903999999999997E-2</v>
      </c>
      <c r="AC229" s="1" t="s">
        <v>620</v>
      </c>
      <c r="AD229" s="1" t="s">
        <v>2792</v>
      </c>
      <c r="AE229" s="1" t="s">
        <v>2793</v>
      </c>
      <c r="AF229" s="1">
        <v>7</v>
      </c>
      <c r="AG229" s="1" t="s">
        <v>1003</v>
      </c>
      <c r="AH229" s="1">
        <v>-43.615000000000002</v>
      </c>
      <c r="AI229" s="1">
        <v>172.04900000000001</v>
      </c>
      <c r="AJ229" s="1">
        <v>10.9</v>
      </c>
      <c r="AK229" s="1" t="s">
        <v>1032</v>
      </c>
      <c r="AL229" s="1" t="s">
        <v>2922</v>
      </c>
      <c r="AM229" s="1">
        <v>85</v>
      </c>
      <c r="AN229" s="1">
        <v>82</v>
      </c>
      <c r="AO229" s="1">
        <v>154</v>
      </c>
      <c r="AP229" s="1"/>
      <c r="AQ229" s="1"/>
      <c r="AR229" s="1"/>
      <c r="AS229" s="1" t="s">
        <v>2808</v>
      </c>
      <c r="AT229" s="1" t="s">
        <v>731</v>
      </c>
      <c r="AU229" s="1"/>
      <c r="AV229" s="1"/>
      <c r="AW229" s="1"/>
      <c r="AX229" s="1"/>
      <c r="AY229" s="1"/>
      <c r="AZ229" s="1" t="s">
        <v>2812</v>
      </c>
      <c r="BA229" t="s">
        <v>2924</v>
      </c>
    </row>
    <row r="230" spans="1:53" ht="19" customHeight="1">
      <c r="A230" s="4" t="s">
        <v>1147</v>
      </c>
      <c r="B230" s="4">
        <v>-43.615000000000002</v>
      </c>
      <c r="C230" s="4">
        <v>172.04900000000001</v>
      </c>
      <c r="D230" s="4">
        <v>10.9</v>
      </c>
      <c r="E230" s="4">
        <v>7</v>
      </c>
      <c r="F230" s="4" t="s">
        <v>1032</v>
      </c>
      <c r="G230" s="4" t="s">
        <v>981</v>
      </c>
      <c r="H230" s="4">
        <v>172.72229999999999</v>
      </c>
      <c r="I230" s="4">
        <v>-43.605600000000003</v>
      </c>
      <c r="J230" s="4">
        <v>649.66999999999996</v>
      </c>
      <c r="K230" s="4">
        <v>25.67</v>
      </c>
      <c r="L230" s="4" t="b">
        <v>1</v>
      </c>
      <c r="M230" s="4">
        <v>10.632999999999999</v>
      </c>
      <c r="N230" s="4" t="b">
        <v>0</v>
      </c>
      <c r="O230" s="4" t="s">
        <v>1029</v>
      </c>
      <c r="P230" s="4" t="b">
        <v>0</v>
      </c>
      <c r="Q230" s="4">
        <v>234.92500000000001</v>
      </c>
      <c r="R230" s="4">
        <v>349.83</v>
      </c>
      <c r="S230" s="4">
        <v>153.68700000000001</v>
      </c>
      <c r="T230" s="4">
        <v>17.704899999999999</v>
      </c>
      <c r="U230" s="4">
        <v>30.305299999999999</v>
      </c>
      <c r="V230" s="4">
        <v>9.9258400000000009</v>
      </c>
      <c r="W230" s="4">
        <v>3.8163</v>
      </c>
      <c r="X230" s="4">
        <v>21.277899999999999</v>
      </c>
      <c r="Y230" s="4">
        <v>6.05905</v>
      </c>
      <c r="Z230" s="4">
        <v>0.111315</v>
      </c>
      <c r="AA230" s="4">
        <v>-0.15221899999999999</v>
      </c>
      <c r="AB230" s="4">
        <v>3.6542999999999999E-2</v>
      </c>
      <c r="AC230" s="1" t="s">
        <v>620</v>
      </c>
      <c r="AD230" s="1" t="s">
        <v>2792</v>
      </c>
      <c r="AE230" s="1" t="s">
        <v>2793</v>
      </c>
      <c r="AF230" s="1">
        <v>7</v>
      </c>
      <c r="AG230" s="1" t="s">
        <v>1003</v>
      </c>
      <c r="AH230" s="1">
        <v>-43.615000000000002</v>
      </c>
      <c r="AI230" s="1">
        <v>172.04900000000001</v>
      </c>
      <c r="AJ230" s="1">
        <v>10.9</v>
      </c>
      <c r="AK230" s="1" t="s">
        <v>1032</v>
      </c>
      <c r="AL230" s="1" t="s">
        <v>2922</v>
      </c>
      <c r="AM230" s="1">
        <v>85</v>
      </c>
      <c r="AN230" s="1">
        <v>82</v>
      </c>
      <c r="AO230" s="1">
        <v>154</v>
      </c>
      <c r="AP230" s="1"/>
      <c r="AQ230" s="1"/>
      <c r="AR230" s="1"/>
      <c r="AS230" s="1" t="s">
        <v>2808</v>
      </c>
      <c r="AT230" s="1" t="s">
        <v>731</v>
      </c>
      <c r="AU230" s="1"/>
      <c r="AV230" s="1"/>
      <c r="AW230" s="1"/>
      <c r="AX230" s="1"/>
      <c r="AY230" s="1"/>
      <c r="AZ230" s="1" t="s">
        <v>2812</v>
      </c>
      <c r="BA230" t="s">
        <v>2924</v>
      </c>
    </row>
    <row r="231" spans="1:53" ht="19" customHeight="1">
      <c r="A231" s="4" t="s">
        <v>1147</v>
      </c>
      <c r="B231" s="4">
        <v>-43.615000000000002</v>
      </c>
      <c r="C231" s="4">
        <v>172.04900000000001</v>
      </c>
      <c r="D231" s="4">
        <v>10.9</v>
      </c>
      <c r="E231" s="4">
        <v>7</v>
      </c>
      <c r="F231" s="4" t="s">
        <v>1032</v>
      </c>
      <c r="G231" s="4" t="s">
        <v>1150</v>
      </c>
      <c r="H231" s="4">
        <v>172.71789999999999</v>
      </c>
      <c r="I231" s="4">
        <v>-43.497100000000003</v>
      </c>
      <c r="J231" s="4">
        <v>211</v>
      </c>
      <c r="K231" s="4">
        <v>26.76</v>
      </c>
      <c r="L231" s="4" t="b">
        <v>1</v>
      </c>
      <c r="M231" s="4">
        <v>8.0429999999999993</v>
      </c>
      <c r="N231" s="4" t="b">
        <v>0</v>
      </c>
      <c r="O231" s="4" t="s">
        <v>1029</v>
      </c>
      <c r="P231" s="4" t="b">
        <v>0</v>
      </c>
      <c r="Q231" s="4">
        <v>198.80199999999999</v>
      </c>
      <c r="R231" s="4">
        <v>190.119</v>
      </c>
      <c r="S231" s="4">
        <v>144.096</v>
      </c>
      <c r="T231" s="4">
        <v>56.5212</v>
      </c>
      <c r="U231" s="4">
        <v>26.2698</v>
      </c>
      <c r="V231" s="4">
        <v>18.950900000000001</v>
      </c>
      <c r="W231" s="4">
        <v>52.319000000000003</v>
      </c>
      <c r="X231" s="4">
        <v>16.023800000000001</v>
      </c>
      <c r="Y231" s="4">
        <v>11.691599999999999</v>
      </c>
      <c r="Z231" s="4">
        <v>1.5692999999999999E-2</v>
      </c>
      <c r="AA231" s="4">
        <v>4.1640000000000002E-3</v>
      </c>
      <c r="AB231" s="4">
        <v>4.64E-4</v>
      </c>
      <c r="AC231" s="1" t="s">
        <v>620</v>
      </c>
      <c r="AD231" s="1" t="s">
        <v>2792</v>
      </c>
      <c r="AE231" s="1" t="s">
        <v>2793</v>
      </c>
      <c r="AF231" s="1">
        <v>7</v>
      </c>
      <c r="AG231" s="1" t="s">
        <v>1003</v>
      </c>
      <c r="AH231" s="1">
        <v>-43.615000000000002</v>
      </c>
      <c r="AI231" s="1">
        <v>172.04900000000001</v>
      </c>
      <c r="AJ231" s="1">
        <v>10.9</v>
      </c>
      <c r="AK231" s="1" t="s">
        <v>1032</v>
      </c>
      <c r="AL231" s="1" t="s">
        <v>2922</v>
      </c>
      <c r="AM231" s="1">
        <v>85</v>
      </c>
      <c r="AN231" s="1">
        <v>82</v>
      </c>
      <c r="AO231" s="1">
        <v>154</v>
      </c>
      <c r="AP231" s="1"/>
      <c r="AQ231" s="1"/>
      <c r="AR231" s="1"/>
      <c r="AS231" s="1" t="s">
        <v>2808</v>
      </c>
      <c r="AT231" s="1" t="s">
        <v>731</v>
      </c>
      <c r="AU231" s="1"/>
      <c r="AV231" s="1"/>
      <c r="AW231" s="1"/>
      <c r="AX231" s="1"/>
      <c r="AY231" s="1"/>
      <c r="AZ231" s="1" t="s">
        <v>2812</v>
      </c>
      <c r="BA231" t="s">
        <v>2924</v>
      </c>
    </row>
    <row r="232" spans="1:53" ht="19" customHeight="1">
      <c r="A232" s="4" t="s">
        <v>1147</v>
      </c>
      <c r="B232" s="4">
        <v>-43.615000000000002</v>
      </c>
      <c r="C232" s="4">
        <v>172.04900000000001</v>
      </c>
      <c r="D232" s="4">
        <v>10.9</v>
      </c>
      <c r="E232" s="4">
        <v>7</v>
      </c>
      <c r="F232" s="4" t="s">
        <v>1032</v>
      </c>
      <c r="G232" s="4" t="s">
        <v>1151</v>
      </c>
      <c r="H232" s="4">
        <v>172.56440000000001</v>
      </c>
      <c r="I232" s="4">
        <v>-43.536200000000001</v>
      </c>
      <c r="J232" s="4">
        <v>293</v>
      </c>
      <c r="K232" s="4">
        <v>13.64</v>
      </c>
      <c r="L232" s="4" t="b">
        <v>1</v>
      </c>
      <c r="M232" s="4">
        <v>9.3940000000000001</v>
      </c>
      <c r="N232" s="4" t="b">
        <v>0</v>
      </c>
      <c r="O232" s="4" t="s">
        <v>1029</v>
      </c>
      <c r="P232" s="4" t="b">
        <v>0</v>
      </c>
      <c r="Q232" s="4">
        <v>186.44800000000001</v>
      </c>
      <c r="R232" s="4">
        <v>229.15</v>
      </c>
      <c r="S232" s="4">
        <v>302.60000000000002</v>
      </c>
      <c r="T232" s="4">
        <v>30.547000000000001</v>
      </c>
      <c r="U232" s="4">
        <v>62.7224</v>
      </c>
      <c r="V232" s="4">
        <v>17.390899999999998</v>
      </c>
      <c r="W232" s="4">
        <v>19.845199999999998</v>
      </c>
      <c r="X232" s="4">
        <v>59.343800000000002</v>
      </c>
      <c r="Y232" s="4">
        <v>7.5868700000000002</v>
      </c>
      <c r="Z232" s="4">
        <v>5.9519999999999998E-3</v>
      </c>
      <c r="AA232" s="4">
        <v>2.1092E-2</v>
      </c>
      <c r="AB232" s="4">
        <v>3.6359999999999999E-3</v>
      </c>
      <c r="AC232" s="1" t="s">
        <v>620</v>
      </c>
      <c r="AD232" s="1" t="s">
        <v>2792</v>
      </c>
      <c r="AE232" s="1" t="s">
        <v>2793</v>
      </c>
      <c r="AF232" s="1">
        <v>7</v>
      </c>
      <c r="AG232" s="1" t="s">
        <v>1003</v>
      </c>
      <c r="AH232" s="1">
        <v>-43.615000000000002</v>
      </c>
      <c r="AI232" s="1">
        <v>172.04900000000001</v>
      </c>
      <c r="AJ232" s="1">
        <v>10.9</v>
      </c>
      <c r="AK232" s="1" t="s">
        <v>1032</v>
      </c>
      <c r="AL232" s="1" t="s">
        <v>2922</v>
      </c>
      <c r="AM232" s="1">
        <v>85</v>
      </c>
      <c r="AN232" s="1">
        <v>82</v>
      </c>
      <c r="AO232" s="1">
        <v>154</v>
      </c>
      <c r="AP232" s="1"/>
      <c r="AQ232" s="1"/>
      <c r="AR232" s="1"/>
      <c r="AS232" s="1" t="s">
        <v>2808</v>
      </c>
      <c r="AT232" s="1" t="s">
        <v>731</v>
      </c>
      <c r="AU232" s="1"/>
      <c r="AV232" s="1"/>
      <c r="AW232" s="1"/>
      <c r="AX232" s="1"/>
      <c r="AY232" s="1"/>
      <c r="AZ232" s="1" t="s">
        <v>2812</v>
      </c>
      <c r="BA232" t="s">
        <v>2924</v>
      </c>
    </row>
    <row r="233" spans="1:53" ht="19" customHeight="1">
      <c r="A233" s="4" t="s">
        <v>1147</v>
      </c>
      <c r="B233" s="4">
        <v>-43.615000000000002</v>
      </c>
      <c r="C233" s="4">
        <v>172.04900000000001</v>
      </c>
      <c r="D233" s="4">
        <v>10.9</v>
      </c>
      <c r="E233" s="4">
        <v>7</v>
      </c>
      <c r="F233" s="4" t="s">
        <v>1032</v>
      </c>
      <c r="G233" s="4" t="s">
        <v>985</v>
      </c>
      <c r="H233" s="4">
        <v>172.381</v>
      </c>
      <c r="I233" s="4">
        <v>-43.594499999999996</v>
      </c>
      <c r="J233" s="4">
        <v>295.74</v>
      </c>
      <c r="K233" s="4">
        <v>1.54</v>
      </c>
      <c r="L233" s="4" t="b">
        <v>1</v>
      </c>
      <c r="M233" s="4">
        <v>7.14</v>
      </c>
      <c r="N233" s="4" t="b">
        <v>0</v>
      </c>
      <c r="O233" s="4" t="s">
        <v>1029</v>
      </c>
      <c r="P233" s="4" t="b">
        <v>0</v>
      </c>
      <c r="Q233" s="4">
        <v>382.983</v>
      </c>
      <c r="R233" s="4">
        <v>318.339</v>
      </c>
      <c r="S233" s="4">
        <v>696.91800000000001</v>
      </c>
      <c r="T233" s="4">
        <v>85.754300000000001</v>
      </c>
      <c r="U233" s="4">
        <v>57.018700000000003</v>
      </c>
      <c r="V233" s="4">
        <v>28.9253</v>
      </c>
      <c r="W233" s="4">
        <v>107.27200000000001</v>
      </c>
      <c r="X233" s="4">
        <v>21.0761</v>
      </c>
      <c r="Y233" s="4">
        <v>10.5726</v>
      </c>
      <c r="Z233" s="4">
        <v>0.231825</v>
      </c>
      <c r="AA233" s="4">
        <v>3.7214999999999998E-2</v>
      </c>
      <c r="AB233" s="4">
        <v>4.8224000000000003E-2</v>
      </c>
      <c r="AC233" s="1" t="s">
        <v>620</v>
      </c>
      <c r="AD233" s="1" t="s">
        <v>2792</v>
      </c>
      <c r="AE233" s="1" t="s">
        <v>2793</v>
      </c>
      <c r="AF233" s="1">
        <v>7</v>
      </c>
      <c r="AG233" s="1" t="s">
        <v>1003</v>
      </c>
      <c r="AH233" s="1">
        <v>-43.615000000000002</v>
      </c>
      <c r="AI233" s="1">
        <v>172.04900000000001</v>
      </c>
      <c r="AJ233" s="1">
        <v>10.9</v>
      </c>
      <c r="AK233" s="1" t="s">
        <v>1032</v>
      </c>
      <c r="AL233" s="1" t="s">
        <v>2922</v>
      </c>
      <c r="AM233" s="1">
        <v>85</v>
      </c>
      <c r="AN233" s="1">
        <v>82</v>
      </c>
      <c r="AO233" s="1">
        <v>154</v>
      </c>
      <c r="AP233" s="1"/>
      <c r="AQ233" s="1"/>
      <c r="AR233" s="1"/>
      <c r="AS233" s="1" t="s">
        <v>2808</v>
      </c>
      <c r="AT233" s="1" t="s">
        <v>731</v>
      </c>
      <c r="AU233" s="1"/>
      <c r="AV233" s="1"/>
      <c r="AW233" s="1"/>
      <c r="AX233" s="1"/>
      <c r="AY233" s="1"/>
      <c r="AZ233" s="1" t="s">
        <v>2812</v>
      </c>
      <c r="BA233" t="s">
        <v>2924</v>
      </c>
    </row>
    <row r="234" spans="1:53" ht="19" customHeight="1">
      <c r="A234" s="4" t="s">
        <v>1147</v>
      </c>
      <c r="B234" s="4">
        <v>-43.615000000000002</v>
      </c>
      <c r="C234" s="4">
        <v>172.04900000000001</v>
      </c>
      <c r="D234" s="4">
        <v>10.9</v>
      </c>
      <c r="E234" s="4">
        <v>7</v>
      </c>
      <c r="F234" s="4" t="s">
        <v>1032</v>
      </c>
      <c r="G234" s="4" t="s">
        <v>1152</v>
      </c>
      <c r="H234" s="4">
        <v>172.6634</v>
      </c>
      <c r="I234" s="4">
        <v>-43.505299999999998</v>
      </c>
      <c r="J234" s="4">
        <v>207</v>
      </c>
      <c r="K234" s="4">
        <v>22.33</v>
      </c>
      <c r="L234" s="4" t="b">
        <v>1</v>
      </c>
      <c r="M234" s="4">
        <v>8.7569999999999997</v>
      </c>
      <c r="N234" s="4" t="b">
        <v>0</v>
      </c>
      <c r="O234" s="4" t="s">
        <v>1029</v>
      </c>
      <c r="P234" s="4" t="b">
        <v>0</v>
      </c>
      <c r="Q234" s="4">
        <v>163.91399999999999</v>
      </c>
      <c r="R234" s="4">
        <v>188.565</v>
      </c>
      <c r="S234" s="4">
        <v>140.767</v>
      </c>
      <c r="T234" s="4">
        <v>37.6023</v>
      </c>
      <c r="U234" s="4">
        <v>57.837200000000003</v>
      </c>
      <c r="V234" s="4">
        <v>17.4985</v>
      </c>
      <c r="W234" s="4">
        <v>36.5274</v>
      </c>
      <c r="X234" s="4">
        <v>47.875100000000003</v>
      </c>
      <c r="Y234" s="4">
        <v>13.404500000000001</v>
      </c>
      <c r="Z234" s="4">
        <v>-3.7078E-2</v>
      </c>
      <c r="AA234" s="4">
        <v>4.3129000000000001E-2</v>
      </c>
      <c r="AB234" s="4">
        <v>-5.1400000000000003E-4</v>
      </c>
      <c r="AC234" s="1" t="s">
        <v>620</v>
      </c>
      <c r="AD234" s="1" t="s">
        <v>2792</v>
      </c>
      <c r="AE234" s="1" t="s">
        <v>2793</v>
      </c>
      <c r="AF234" s="1">
        <v>7</v>
      </c>
      <c r="AG234" s="1" t="s">
        <v>1003</v>
      </c>
      <c r="AH234" s="1">
        <v>-43.615000000000002</v>
      </c>
      <c r="AI234" s="1">
        <v>172.04900000000001</v>
      </c>
      <c r="AJ234" s="1">
        <v>10.9</v>
      </c>
      <c r="AK234" s="1" t="s">
        <v>1032</v>
      </c>
      <c r="AL234" s="1" t="s">
        <v>2922</v>
      </c>
      <c r="AM234" s="1">
        <v>85</v>
      </c>
      <c r="AN234" s="1">
        <v>82</v>
      </c>
      <c r="AO234" s="1">
        <v>154</v>
      </c>
      <c r="AP234" s="1"/>
      <c r="AQ234" s="1"/>
      <c r="AR234" s="1"/>
      <c r="AS234" s="1" t="s">
        <v>2808</v>
      </c>
      <c r="AT234" s="1" t="s">
        <v>731</v>
      </c>
      <c r="AU234" s="1"/>
      <c r="AV234" s="1"/>
      <c r="AW234" s="1"/>
      <c r="AX234" s="1"/>
      <c r="AY234" s="1"/>
      <c r="AZ234" s="1" t="s">
        <v>2812</v>
      </c>
      <c r="BA234" t="s">
        <v>2924</v>
      </c>
    </row>
    <row r="235" spans="1:53" ht="19" customHeight="1">
      <c r="A235" s="4" t="s">
        <v>1147</v>
      </c>
      <c r="B235" s="4">
        <v>-43.615000000000002</v>
      </c>
      <c r="C235" s="4">
        <v>172.04900000000001</v>
      </c>
      <c r="D235" s="4">
        <v>10.9</v>
      </c>
      <c r="E235" s="4">
        <v>7</v>
      </c>
      <c r="F235" s="4" t="s">
        <v>1032</v>
      </c>
      <c r="G235" s="4" t="s">
        <v>1153</v>
      </c>
      <c r="H235" s="4">
        <v>172.6139</v>
      </c>
      <c r="I235" s="4">
        <v>-43.467500000000001</v>
      </c>
      <c r="J235" s="4">
        <v>247.5</v>
      </c>
      <c r="K235" s="4">
        <v>20.86</v>
      </c>
      <c r="L235" s="4" t="b">
        <v>1</v>
      </c>
      <c r="M235" s="4">
        <v>9.3520000000000003</v>
      </c>
      <c r="N235" s="4" t="b">
        <v>0</v>
      </c>
      <c r="O235" s="4" t="s">
        <v>1029</v>
      </c>
      <c r="P235" s="4" t="b">
        <v>0</v>
      </c>
      <c r="Q235" s="4">
        <v>172.46600000000001</v>
      </c>
      <c r="R235" s="4">
        <v>166.99799999999999</v>
      </c>
      <c r="S235" s="4">
        <v>228.869</v>
      </c>
      <c r="T235" s="4">
        <v>38.694400000000002</v>
      </c>
      <c r="U235" s="4">
        <v>60.162199999999999</v>
      </c>
      <c r="V235" s="4">
        <v>12.362</v>
      </c>
      <c r="W235" s="4">
        <v>26.659700000000001</v>
      </c>
      <c r="X235" s="4">
        <v>47.691000000000003</v>
      </c>
      <c r="Y235" s="4">
        <v>9.37134</v>
      </c>
      <c r="Z235" s="4">
        <v>-0.60031299999999999</v>
      </c>
      <c r="AA235" s="4">
        <v>2.00285</v>
      </c>
      <c r="AB235" s="4">
        <v>-0.175318</v>
      </c>
      <c r="AC235" s="1" t="s">
        <v>620</v>
      </c>
      <c r="AD235" s="1" t="s">
        <v>2792</v>
      </c>
      <c r="AE235" s="1" t="s">
        <v>2793</v>
      </c>
      <c r="AF235" s="1">
        <v>7</v>
      </c>
      <c r="AG235" s="1" t="s">
        <v>1003</v>
      </c>
      <c r="AH235" s="1">
        <v>-43.615000000000002</v>
      </c>
      <c r="AI235" s="1">
        <v>172.04900000000001</v>
      </c>
      <c r="AJ235" s="1">
        <v>10.9</v>
      </c>
      <c r="AK235" s="1" t="s">
        <v>1032</v>
      </c>
      <c r="AL235" s="1" t="s">
        <v>2922</v>
      </c>
      <c r="AM235" s="1">
        <v>85</v>
      </c>
      <c r="AN235" s="1">
        <v>82</v>
      </c>
      <c r="AO235" s="1">
        <v>154</v>
      </c>
      <c r="AP235" s="1"/>
      <c r="AQ235" s="1"/>
      <c r="AR235" s="1"/>
      <c r="AS235" s="1" t="s">
        <v>2808</v>
      </c>
      <c r="AT235" s="1" t="s">
        <v>731</v>
      </c>
      <c r="AU235" s="1"/>
      <c r="AV235" s="1"/>
      <c r="AW235" s="1"/>
      <c r="AX235" s="1"/>
      <c r="AY235" s="1"/>
      <c r="AZ235" s="1" t="s">
        <v>2812</v>
      </c>
      <c r="BA235" t="s">
        <v>2924</v>
      </c>
    </row>
    <row r="236" spans="1:53" ht="19" customHeight="1">
      <c r="A236" s="4" t="s">
        <v>1147</v>
      </c>
      <c r="B236" s="4">
        <v>-43.615000000000002</v>
      </c>
      <c r="C236" s="4">
        <v>172.04900000000001</v>
      </c>
      <c r="D236" s="4">
        <v>10.9</v>
      </c>
      <c r="E236" s="4">
        <v>7</v>
      </c>
      <c r="F236" s="4" t="s">
        <v>1032</v>
      </c>
      <c r="G236" s="4" t="s">
        <v>988</v>
      </c>
      <c r="H236" s="4">
        <v>172.4718</v>
      </c>
      <c r="I236" s="4">
        <v>-43.551699999999997</v>
      </c>
      <c r="J236" s="4">
        <v>249.28</v>
      </c>
      <c r="K236" s="4">
        <v>6.11</v>
      </c>
      <c r="L236" s="4" t="b">
        <v>1</v>
      </c>
      <c r="M236" s="4">
        <v>8.9320000000000004</v>
      </c>
      <c r="N236" s="4" t="b">
        <v>0</v>
      </c>
      <c r="O236" s="4" t="s">
        <v>1029</v>
      </c>
      <c r="P236" s="4" t="b">
        <v>0</v>
      </c>
      <c r="Q236" s="4">
        <v>294.03100000000001</v>
      </c>
      <c r="R236" s="4">
        <v>204.23500000000001</v>
      </c>
      <c r="S236" s="4">
        <v>858.22400000000005</v>
      </c>
      <c r="T236" s="4">
        <v>76.332999999999998</v>
      </c>
      <c r="U236" s="4">
        <v>45.810899999999997</v>
      </c>
      <c r="V236" s="4">
        <v>20.5794</v>
      </c>
      <c r="W236" s="4">
        <v>79.430300000000003</v>
      </c>
      <c r="X236" s="4">
        <v>40.931800000000003</v>
      </c>
      <c r="Y236" s="4">
        <v>12.417199999999999</v>
      </c>
      <c r="Z236" s="4">
        <v>-0.46790199999999998</v>
      </c>
      <c r="AA236" s="4">
        <v>-0.22628699999999999</v>
      </c>
      <c r="AB236" s="4">
        <v>0.13154199999999999</v>
      </c>
      <c r="AC236" s="1" t="s">
        <v>620</v>
      </c>
      <c r="AD236" s="1" t="s">
        <v>2792</v>
      </c>
      <c r="AE236" s="1" t="s">
        <v>2793</v>
      </c>
      <c r="AF236" s="1">
        <v>7</v>
      </c>
      <c r="AG236" s="1" t="s">
        <v>1003</v>
      </c>
      <c r="AH236" s="1">
        <v>-43.615000000000002</v>
      </c>
      <c r="AI236" s="1">
        <v>172.04900000000001</v>
      </c>
      <c r="AJ236" s="1">
        <v>10.9</v>
      </c>
      <c r="AK236" s="1" t="s">
        <v>1032</v>
      </c>
      <c r="AL236" s="1" t="s">
        <v>2922</v>
      </c>
      <c r="AM236" s="1">
        <v>85</v>
      </c>
      <c r="AN236" s="1">
        <v>82</v>
      </c>
      <c r="AO236" s="1">
        <v>154</v>
      </c>
      <c r="AP236" s="1"/>
      <c r="AQ236" s="1"/>
      <c r="AR236" s="1"/>
      <c r="AS236" s="1" t="s">
        <v>2808</v>
      </c>
      <c r="AT236" s="1" t="s">
        <v>731</v>
      </c>
      <c r="AU236" s="1"/>
      <c r="AV236" s="1"/>
      <c r="AW236" s="1"/>
      <c r="AX236" s="1"/>
      <c r="AY236" s="1"/>
      <c r="AZ236" s="1" t="s">
        <v>2812</v>
      </c>
      <c r="BA236" t="s">
        <v>2924</v>
      </c>
    </row>
    <row r="237" spans="1:53" ht="19" customHeight="1">
      <c r="A237" s="4" t="s">
        <v>1154</v>
      </c>
      <c r="B237" s="4">
        <v>32.299999999999997</v>
      </c>
      <c r="C237" s="4">
        <v>-115.267</v>
      </c>
      <c r="D237" s="4">
        <v>5.45</v>
      </c>
      <c r="E237" s="4">
        <v>7.2</v>
      </c>
      <c r="F237" s="4" t="s">
        <v>1032</v>
      </c>
      <c r="G237" s="4" t="s">
        <v>1155</v>
      </c>
      <c r="H237" s="4">
        <v>-115.637</v>
      </c>
      <c r="I237" s="4">
        <v>32.718000000000004</v>
      </c>
      <c r="J237" s="4">
        <v>196.88</v>
      </c>
      <c r="K237" s="4">
        <v>11.26</v>
      </c>
      <c r="L237" s="4" t="b">
        <v>1</v>
      </c>
      <c r="M237" s="4">
        <v>8.7219999999999995</v>
      </c>
      <c r="N237" s="4" t="b">
        <v>0</v>
      </c>
      <c r="O237" s="4" t="s">
        <v>1029</v>
      </c>
      <c r="P237" s="4" t="b">
        <v>0</v>
      </c>
      <c r="Q237" s="4">
        <v>398.40499999999997</v>
      </c>
      <c r="R237" s="4">
        <v>324.99</v>
      </c>
      <c r="S237" s="4">
        <v>269.58</v>
      </c>
      <c r="T237" s="4">
        <v>70.162199999999999</v>
      </c>
      <c r="U237" s="4">
        <v>72.612399999999994</v>
      </c>
      <c r="V237" s="4">
        <v>17.059699999999999</v>
      </c>
      <c r="W237" s="4">
        <v>62.385599999999997</v>
      </c>
      <c r="X237" s="4">
        <v>54.6479</v>
      </c>
      <c r="Y237" s="4">
        <v>9.2518200000000004</v>
      </c>
      <c r="Z237" s="4">
        <v>-1.0021E-2</v>
      </c>
      <c r="AA237" s="4">
        <v>1.6871000000000001E-2</v>
      </c>
      <c r="AB237" s="4">
        <v>-1.1795E-2</v>
      </c>
      <c r="AC237" s="1" t="s">
        <v>626</v>
      </c>
      <c r="AD237" s="1" t="s">
        <v>2799</v>
      </c>
      <c r="AE237" s="1" t="s">
        <v>2800</v>
      </c>
      <c r="AF237" s="1">
        <v>7.2</v>
      </c>
      <c r="AG237" s="1" t="s">
        <v>1003</v>
      </c>
      <c r="AH237" s="1">
        <v>32.299999999999997</v>
      </c>
      <c r="AI237" s="1">
        <v>-115.267</v>
      </c>
      <c r="AJ237" s="1">
        <v>5.45</v>
      </c>
      <c r="AK237" s="1" t="s">
        <v>1032</v>
      </c>
      <c r="AL237" s="1" t="s">
        <v>2809</v>
      </c>
      <c r="AM237" s="1">
        <v>236</v>
      </c>
      <c r="AN237" s="1">
        <v>63</v>
      </c>
      <c r="AO237" s="1">
        <v>-164</v>
      </c>
      <c r="AP237" s="1"/>
      <c r="AQ237" s="1"/>
      <c r="AR237" s="1"/>
      <c r="AS237" s="1" t="s">
        <v>2808</v>
      </c>
      <c r="AT237" s="1" t="s">
        <v>731</v>
      </c>
      <c r="AU237" s="1"/>
      <c r="AV237" s="1"/>
      <c r="AW237" s="1"/>
      <c r="AX237" s="1"/>
      <c r="AY237" s="1"/>
      <c r="AZ237" s="1" t="s">
        <v>2812</v>
      </c>
      <c r="BA237" t="s">
        <v>2925</v>
      </c>
    </row>
    <row r="238" spans="1:53" ht="19" customHeight="1">
      <c r="A238" s="4" t="s">
        <v>1154</v>
      </c>
      <c r="B238" s="4">
        <v>32.299999999999997</v>
      </c>
      <c r="C238" s="4">
        <v>-115.267</v>
      </c>
      <c r="D238" s="4">
        <v>5.45</v>
      </c>
      <c r="E238" s="4">
        <v>7.2</v>
      </c>
      <c r="F238" s="4" t="s">
        <v>1032</v>
      </c>
      <c r="G238" s="4" t="s">
        <v>992</v>
      </c>
      <c r="H238" s="4">
        <v>-115.7316</v>
      </c>
      <c r="I238" s="4">
        <v>32.759039999999999</v>
      </c>
      <c r="J238" s="4">
        <v>242</v>
      </c>
      <c r="K238" s="4">
        <v>11.44</v>
      </c>
      <c r="L238" s="4" t="b">
        <v>1</v>
      </c>
      <c r="M238" s="4">
        <v>7.0839999999999996</v>
      </c>
      <c r="N238" s="4" t="b">
        <v>0</v>
      </c>
      <c r="O238" s="4" t="s">
        <v>1029</v>
      </c>
      <c r="P238" s="4" t="b">
        <v>0</v>
      </c>
      <c r="Q238" s="4">
        <v>275.57799999999997</v>
      </c>
      <c r="R238" s="4">
        <v>250.21899999999999</v>
      </c>
      <c r="S238" s="4">
        <v>236.82599999999999</v>
      </c>
      <c r="T238" s="4">
        <v>52.056399999999996</v>
      </c>
      <c r="U238" s="4">
        <v>55.314</v>
      </c>
      <c r="V238" s="4">
        <v>10.9297</v>
      </c>
      <c r="W238" s="4">
        <v>56.379100000000001</v>
      </c>
      <c r="X238" s="4">
        <v>46.865900000000003</v>
      </c>
      <c r="Y238" s="4">
        <v>4.2840699999999998</v>
      </c>
      <c r="Z238" s="4">
        <v>-7.36E-4</v>
      </c>
      <c r="AA238" s="4">
        <v>-5.2068999999999997E-2</v>
      </c>
      <c r="AB238" s="4">
        <v>4.463E-3</v>
      </c>
      <c r="AC238" s="1" t="s">
        <v>626</v>
      </c>
      <c r="AD238" s="1" t="s">
        <v>2799</v>
      </c>
      <c r="AE238" s="1" t="s">
        <v>2800</v>
      </c>
      <c r="AF238" s="1">
        <v>7.2</v>
      </c>
      <c r="AG238" s="1" t="s">
        <v>1003</v>
      </c>
      <c r="AH238" s="1">
        <v>32.299999999999997</v>
      </c>
      <c r="AI238" s="1">
        <v>-115.267</v>
      </c>
      <c r="AJ238" s="1">
        <v>5.45</v>
      </c>
      <c r="AK238" s="1" t="s">
        <v>1032</v>
      </c>
      <c r="AL238" s="1" t="s">
        <v>2809</v>
      </c>
      <c r="AM238" s="1">
        <v>236</v>
      </c>
      <c r="AN238" s="1">
        <v>63</v>
      </c>
      <c r="AO238" s="1">
        <v>-164</v>
      </c>
      <c r="AP238" s="1"/>
      <c r="AQ238" s="1"/>
      <c r="AR238" s="1"/>
      <c r="AS238" s="1" t="s">
        <v>2808</v>
      </c>
      <c r="AT238" s="1" t="s">
        <v>731</v>
      </c>
      <c r="AU238" s="1"/>
      <c r="AV238" s="1"/>
      <c r="AW238" s="1"/>
      <c r="AX238" s="1"/>
      <c r="AY238" s="1"/>
      <c r="AZ238" s="1" t="s">
        <v>2812</v>
      </c>
      <c r="BA238" t="s">
        <v>2925</v>
      </c>
    </row>
    <row r="239" spans="1:53" ht="19" customHeight="1">
      <c r="A239" s="4" t="s">
        <v>634</v>
      </c>
      <c r="B239" s="4">
        <v>22.978999999999999</v>
      </c>
      <c r="C239" s="4">
        <v>120.7316</v>
      </c>
      <c r="D239" s="4">
        <v>22.6</v>
      </c>
      <c r="E239" s="4">
        <v>6.29</v>
      </c>
      <c r="F239" s="4" t="s">
        <v>1028</v>
      </c>
      <c r="G239" s="4" t="s">
        <v>1092</v>
      </c>
      <c r="H239" s="4">
        <v>120.2775</v>
      </c>
      <c r="I239" s="4">
        <v>23.48367</v>
      </c>
      <c r="J239" s="4">
        <v>209.49719999999999</v>
      </c>
      <c r="K239" s="4">
        <v>50.913269999999997</v>
      </c>
      <c r="L239" s="4" t="b">
        <v>1</v>
      </c>
      <c r="M239" s="4">
        <v>1.379</v>
      </c>
      <c r="N239" s="4" t="b">
        <v>0</v>
      </c>
      <c r="O239" s="4" t="s">
        <v>1029</v>
      </c>
      <c r="P239" s="4" t="b">
        <v>0</v>
      </c>
      <c r="Q239" s="4">
        <v>128.208</v>
      </c>
      <c r="R239" s="4">
        <v>170.90600000000001</v>
      </c>
      <c r="S239" s="4">
        <v>32.075000000000003</v>
      </c>
      <c r="T239" s="4">
        <v>19.719000000000001</v>
      </c>
      <c r="U239" s="4">
        <v>22.958200000000001</v>
      </c>
      <c r="V239" s="4">
        <v>3.0842499999999999</v>
      </c>
      <c r="W239" s="4">
        <v>5.4788899999999998</v>
      </c>
      <c r="X239" s="4">
        <v>5.2023900000000003</v>
      </c>
      <c r="Y239" s="4">
        <v>1.74193</v>
      </c>
      <c r="Z239" s="4">
        <v>4.5243999999999999E-2</v>
      </c>
      <c r="AA239" s="4">
        <v>-2.0965000000000001E-2</v>
      </c>
      <c r="AB239" s="4">
        <v>3.1718000000000003E-2</v>
      </c>
      <c r="AC239" s="1" t="s">
        <v>633</v>
      </c>
      <c r="AD239" s="1" t="s">
        <v>2927</v>
      </c>
      <c r="AE239" s="1" t="s">
        <v>2928</v>
      </c>
      <c r="AF239" s="1">
        <v>6.29</v>
      </c>
      <c r="AG239" s="1" t="s">
        <v>1003</v>
      </c>
      <c r="AH239" s="1">
        <v>22.978999999999999</v>
      </c>
      <c r="AI239" s="1">
        <v>120.7316</v>
      </c>
      <c r="AJ239" s="1">
        <v>22.6</v>
      </c>
      <c r="AK239" s="1" t="s">
        <v>1028</v>
      </c>
      <c r="AL239" s="1" t="s">
        <v>2834</v>
      </c>
      <c r="AM239" s="1">
        <v>310</v>
      </c>
      <c r="AN239" s="1">
        <v>26</v>
      </c>
      <c r="AO239" s="1">
        <v>42</v>
      </c>
      <c r="AP239" s="1">
        <v>181</v>
      </c>
      <c r="AQ239" s="1">
        <v>72</v>
      </c>
      <c r="AR239" s="1">
        <v>110</v>
      </c>
      <c r="AS239" s="1" t="s">
        <v>2808</v>
      </c>
      <c r="AT239" s="1" t="s">
        <v>731</v>
      </c>
      <c r="AU239" s="1"/>
      <c r="AV239" s="1"/>
      <c r="AW239" s="1"/>
      <c r="AX239" s="1"/>
      <c r="AY239" s="1"/>
      <c r="AZ239" s="1" t="s">
        <v>2812</v>
      </c>
      <c r="BA239" t="s">
        <v>2930</v>
      </c>
    </row>
    <row r="240" spans="1:53" ht="19" customHeight="1">
      <c r="A240" s="4" t="s">
        <v>634</v>
      </c>
      <c r="B240" s="4">
        <v>22.978999999999999</v>
      </c>
      <c r="C240" s="4">
        <v>120.7316</v>
      </c>
      <c r="D240" s="4">
        <v>22.6</v>
      </c>
      <c r="E240" s="4">
        <v>6.29</v>
      </c>
      <c r="F240" s="4" t="s">
        <v>1028</v>
      </c>
      <c r="G240" s="4" t="s">
        <v>1156</v>
      </c>
      <c r="H240" s="4">
        <v>120.1622</v>
      </c>
      <c r="I240" s="4">
        <v>23.219169999999998</v>
      </c>
      <c r="J240" s="4">
        <v>199.46809999999999</v>
      </c>
      <c r="K240" s="4">
        <v>32.505690000000001</v>
      </c>
      <c r="L240" s="4" t="b">
        <v>1</v>
      </c>
      <c r="M240" s="4">
        <v>2.0510000000000002</v>
      </c>
      <c r="N240" s="4" t="b">
        <v>0</v>
      </c>
      <c r="O240" s="4" t="s">
        <v>1029</v>
      </c>
      <c r="P240" s="4" t="b">
        <v>0</v>
      </c>
      <c r="Q240" s="4">
        <v>152.892</v>
      </c>
      <c r="R240" s="4">
        <v>146.46799999999999</v>
      </c>
      <c r="S240" s="4">
        <v>28.908000000000001</v>
      </c>
      <c r="T240" s="4">
        <v>19.643899999999999</v>
      </c>
      <c r="U240" s="4">
        <v>30.347799999999999</v>
      </c>
      <c r="V240" s="4">
        <v>3.3263500000000001</v>
      </c>
      <c r="W240" s="4">
        <v>7.6740199999999996</v>
      </c>
      <c r="X240" s="4">
        <v>6.3108500000000003</v>
      </c>
      <c r="Y240" s="4">
        <v>2.1143000000000001</v>
      </c>
      <c r="Z240" s="4">
        <v>-6.5231999999999998E-2</v>
      </c>
      <c r="AA240" s="4">
        <v>1.8844E-2</v>
      </c>
      <c r="AB240" s="4">
        <v>-4.3973999999999999E-2</v>
      </c>
      <c r="AC240" s="1" t="s">
        <v>633</v>
      </c>
      <c r="AD240" s="1" t="s">
        <v>2927</v>
      </c>
      <c r="AE240" s="1" t="s">
        <v>2928</v>
      </c>
      <c r="AF240" s="1">
        <v>6.29</v>
      </c>
      <c r="AG240" s="1" t="s">
        <v>1003</v>
      </c>
      <c r="AH240" s="1">
        <v>22.978999999999999</v>
      </c>
      <c r="AI240" s="1">
        <v>120.7316</v>
      </c>
      <c r="AJ240" s="1">
        <v>22.6</v>
      </c>
      <c r="AK240" s="1" t="s">
        <v>1028</v>
      </c>
      <c r="AL240" s="1" t="s">
        <v>2834</v>
      </c>
      <c r="AM240" s="1">
        <v>310</v>
      </c>
      <c r="AN240" s="1">
        <v>26</v>
      </c>
      <c r="AO240" s="1">
        <v>42</v>
      </c>
      <c r="AP240" s="1">
        <v>181</v>
      </c>
      <c r="AQ240" s="1">
        <v>72</v>
      </c>
      <c r="AR240" s="1">
        <v>110</v>
      </c>
      <c r="AS240" s="1" t="s">
        <v>2808</v>
      </c>
      <c r="AT240" s="1" t="s">
        <v>731</v>
      </c>
      <c r="AU240" s="1"/>
      <c r="AV240" s="1"/>
      <c r="AW240" s="1"/>
      <c r="AX240" s="1"/>
      <c r="AY240" s="1"/>
      <c r="AZ240" s="1" t="s">
        <v>2812</v>
      </c>
      <c r="BA240" t="s">
        <v>2930</v>
      </c>
    </row>
    <row r="241" spans="1:53" ht="19" customHeight="1">
      <c r="A241" s="4" t="s">
        <v>634</v>
      </c>
      <c r="B241" s="4">
        <v>22.978999999999999</v>
      </c>
      <c r="C241" s="4">
        <v>120.7316</v>
      </c>
      <c r="D241" s="4">
        <v>22.6</v>
      </c>
      <c r="E241" s="4">
        <v>6.29</v>
      </c>
      <c r="F241" s="4" t="s">
        <v>1028</v>
      </c>
      <c r="G241" s="4" t="s">
        <v>1157</v>
      </c>
      <c r="H241" s="4">
        <v>120.277</v>
      </c>
      <c r="I241" s="4">
        <v>23.21367</v>
      </c>
      <c r="J241" s="4">
        <v>196.01859999999999</v>
      </c>
      <c r="K241" s="4">
        <v>24.77478</v>
      </c>
      <c r="L241" s="4" t="b">
        <v>1</v>
      </c>
      <c r="M241" s="4">
        <v>1.855</v>
      </c>
      <c r="N241" s="4" t="b">
        <v>0</v>
      </c>
      <c r="O241" s="4" t="s">
        <v>1029</v>
      </c>
      <c r="P241" s="4" t="b">
        <v>0</v>
      </c>
      <c r="Q241" s="4">
        <v>200.542</v>
      </c>
      <c r="R241" s="4">
        <v>110.29300000000001</v>
      </c>
      <c r="S241" s="4">
        <v>32.555999999999997</v>
      </c>
      <c r="T241" s="4">
        <v>36.831200000000003</v>
      </c>
      <c r="U241" s="4">
        <v>23.6144</v>
      </c>
      <c r="V241" s="4">
        <v>6.2127699999999999</v>
      </c>
      <c r="W241" s="4">
        <v>15.517099999999999</v>
      </c>
      <c r="X241" s="4">
        <v>4.8299700000000003</v>
      </c>
      <c r="Y241" s="4">
        <v>3.7460200000000001</v>
      </c>
      <c r="Z241" s="4">
        <v>3.6323000000000001E-2</v>
      </c>
      <c r="AA241" s="4">
        <v>4.1041000000000001E-2</v>
      </c>
      <c r="AB241" s="4">
        <v>-1.8422000000000001E-2</v>
      </c>
      <c r="AC241" s="1" t="s">
        <v>633</v>
      </c>
      <c r="AD241" s="1" t="s">
        <v>2927</v>
      </c>
      <c r="AE241" s="1" t="s">
        <v>2928</v>
      </c>
      <c r="AF241" s="1">
        <v>6.29</v>
      </c>
      <c r="AG241" s="1" t="s">
        <v>1003</v>
      </c>
      <c r="AH241" s="1">
        <v>22.978999999999999</v>
      </c>
      <c r="AI241" s="1">
        <v>120.7316</v>
      </c>
      <c r="AJ241" s="1">
        <v>22.6</v>
      </c>
      <c r="AK241" s="1" t="s">
        <v>1028</v>
      </c>
      <c r="AL241" s="1" t="s">
        <v>2834</v>
      </c>
      <c r="AM241" s="1">
        <v>310</v>
      </c>
      <c r="AN241" s="1">
        <v>26</v>
      </c>
      <c r="AO241" s="1">
        <v>42</v>
      </c>
      <c r="AP241" s="1">
        <v>181</v>
      </c>
      <c r="AQ241" s="1">
        <v>72</v>
      </c>
      <c r="AR241" s="1">
        <v>110</v>
      </c>
      <c r="AS241" s="1" t="s">
        <v>2808</v>
      </c>
      <c r="AT241" s="1" t="s">
        <v>731</v>
      </c>
      <c r="AU241" s="1"/>
      <c r="AV241" s="1"/>
      <c r="AW241" s="1"/>
      <c r="AX241" s="1"/>
      <c r="AY241" s="1"/>
      <c r="AZ241" s="1" t="s">
        <v>2812</v>
      </c>
      <c r="BA241" t="s">
        <v>2930</v>
      </c>
    </row>
    <row r="242" spans="1:53" ht="19" customHeight="1">
      <c r="A242" s="4" t="s">
        <v>634</v>
      </c>
      <c r="B242" s="4">
        <v>22.978999999999999</v>
      </c>
      <c r="C242" s="4">
        <v>120.7316</v>
      </c>
      <c r="D242" s="4">
        <v>22.6</v>
      </c>
      <c r="E242" s="4">
        <v>6.29</v>
      </c>
      <c r="F242" s="4" t="s">
        <v>1028</v>
      </c>
      <c r="G242" s="4" t="s">
        <v>1158</v>
      </c>
      <c r="H242" s="4">
        <v>120.1722</v>
      </c>
      <c r="I242" s="4">
        <v>23.381170000000001</v>
      </c>
      <c r="J242" s="4">
        <v>192.66589999999999</v>
      </c>
      <c r="K242" s="4">
        <v>46.147289999999998</v>
      </c>
      <c r="L242" s="4" t="b">
        <v>1</v>
      </c>
      <c r="M242" s="4">
        <v>1.1759999999999999</v>
      </c>
      <c r="N242" s="4" t="b">
        <v>0</v>
      </c>
      <c r="O242" s="4" t="s">
        <v>1029</v>
      </c>
      <c r="P242" s="4" t="b">
        <v>0</v>
      </c>
      <c r="Q242" s="4">
        <v>161.23099999999999</v>
      </c>
      <c r="R242" s="4">
        <v>187.83099999999999</v>
      </c>
      <c r="S242" s="4">
        <v>46.444000000000003</v>
      </c>
      <c r="T242" s="4">
        <v>20.8049</v>
      </c>
      <c r="U242" s="4">
        <v>38.717500000000001</v>
      </c>
      <c r="V242" s="4">
        <v>6.5744400000000001</v>
      </c>
      <c r="W242" s="4">
        <v>4.2679200000000002</v>
      </c>
      <c r="X242" s="4">
        <v>9.2299000000000007</v>
      </c>
      <c r="Y242" s="4">
        <v>2.5844900000000002</v>
      </c>
      <c r="Z242" s="4">
        <v>-0.12421599999999999</v>
      </c>
      <c r="AA242" s="4">
        <v>5.0769999999999999E-3</v>
      </c>
      <c r="AB242" s="4">
        <v>0.27293499999999998</v>
      </c>
      <c r="AC242" s="1" t="s">
        <v>633</v>
      </c>
      <c r="AD242" s="1" t="s">
        <v>2927</v>
      </c>
      <c r="AE242" s="1" t="s">
        <v>2928</v>
      </c>
      <c r="AF242" s="1">
        <v>6.29</v>
      </c>
      <c r="AG242" s="1" t="s">
        <v>1003</v>
      </c>
      <c r="AH242" s="1">
        <v>22.978999999999999</v>
      </c>
      <c r="AI242" s="1">
        <v>120.7316</v>
      </c>
      <c r="AJ242" s="1">
        <v>22.6</v>
      </c>
      <c r="AK242" s="1" t="s">
        <v>1028</v>
      </c>
      <c r="AL242" s="1" t="s">
        <v>2834</v>
      </c>
      <c r="AM242" s="1">
        <v>310</v>
      </c>
      <c r="AN242" s="1">
        <v>26</v>
      </c>
      <c r="AO242" s="1">
        <v>42</v>
      </c>
      <c r="AP242" s="1">
        <v>181</v>
      </c>
      <c r="AQ242" s="1">
        <v>72</v>
      </c>
      <c r="AR242" s="1">
        <v>110</v>
      </c>
      <c r="AS242" s="1" t="s">
        <v>2808</v>
      </c>
      <c r="AT242" s="1" t="s">
        <v>731</v>
      </c>
      <c r="AU242" s="1"/>
      <c r="AV242" s="1"/>
      <c r="AW242" s="1"/>
      <c r="AX242" s="1"/>
      <c r="AY242" s="1"/>
      <c r="AZ242" s="1" t="s">
        <v>2812</v>
      </c>
      <c r="BA242" t="s">
        <v>2930</v>
      </c>
    </row>
    <row r="243" spans="1:53" ht="19" customHeight="1">
      <c r="A243" s="4" t="s">
        <v>634</v>
      </c>
      <c r="B243" s="4">
        <v>22.978999999999999</v>
      </c>
      <c r="C243" s="4">
        <v>120.7316</v>
      </c>
      <c r="D243" s="4">
        <v>22.6</v>
      </c>
      <c r="E243" s="4">
        <v>6.29</v>
      </c>
      <c r="F243" s="4" t="s">
        <v>1028</v>
      </c>
      <c r="G243" s="4" t="s">
        <v>1159</v>
      </c>
      <c r="H243" s="4">
        <v>120.36669999999999</v>
      </c>
      <c r="I243" s="4">
        <v>23.365500000000001</v>
      </c>
      <c r="J243" s="4">
        <v>224.82069999999999</v>
      </c>
      <c r="K243" s="4">
        <v>35.810319999999997</v>
      </c>
      <c r="L243" s="4" t="b">
        <v>1</v>
      </c>
      <c r="M243" s="4">
        <v>1.512</v>
      </c>
      <c r="N243" s="4" t="b">
        <v>0</v>
      </c>
      <c r="O243" s="4" t="s">
        <v>1029</v>
      </c>
      <c r="P243" s="4" t="b">
        <v>0</v>
      </c>
      <c r="Q243" s="4">
        <v>158.75</v>
      </c>
      <c r="R243" s="4">
        <v>176.80799999999999</v>
      </c>
      <c r="S243" s="4">
        <v>34.183</v>
      </c>
      <c r="T243" s="4">
        <v>27.6569</v>
      </c>
      <c r="U243" s="4">
        <v>34.373600000000003</v>
      </c>
      <c r="V243" s="4">
        <v>6.4078400000000002</v>
      </c>
      <c r="W243" s="4">
        <v>7.1255600000000001</v>
      </c>
      <c r="X243" s="4">
        <v>7.6079299999999996</v>
      </c>
      <c r="Y243" s="4">
        <v>3.4430999999999998</v>
      </c>
      <c r="Z243" s="4">
        <v>3.4770000000000001E-3</v>
      </c>
      <c r="AA243" s="4">
        <v>-1.6230999999999999E-2</v>
      </c>
      <c r="AB243" s="4">
        <v>4.8474999999999997E-2</v>
      </c>
      <c r="AC243" s="1" t="s">
        <v>633</v>
      </c>
      <c r="AD243" s="1" t="s">
        <v>2927</v>
      </c>
      <c r="AE243" s="1" t="s">
        <v>2928</v>
      </c>
      <c r="AF243" s="1">
        <v>6.29</v>
      </c>
      <c r="AG243" s="1" t="s">
        <v>1003</v>
      </c>
      <c r="AH243" s="1">
        <v>22.978999999999999</v>
      </c>
      <c r="AI243" s="1">
        <v>120.7316</v>
      </c>
      <c r="AJ243" s="1">
        <v>22.6</v>
      </c>
      <c r="AK243" s="1" t="s">
        <v>1028</v>
      </c>
      <c r="AL243" s="1" t="s">
        <v>2834</v>
      </c>
      <c r="AM243" s="1">
        <v>310</v>
      </c>
      <c r="AN243" s="1">
        <v>26</v>
      </c>
      <c r="AO243" s="1">
        <v>42</v>
      </c>
      <c r="AP243" s="1">
        <v>181</v>
      </c>
      <c r="AQ243" s="1">
        <v>72</v>
      </c>
      <c r="AR243" s="1">
        <v>110</v>
      </c>
      <c r="AS243" s="1" t="s">
        <v>2808</v>
      </c>
      <c r="AT243" s="1" t="s">
        <v>731</v>
      </c>
      <c r="AU243" s="1"/>
      <c r="AV243" s="1"/>
      <c r="AW243" s="1"/>
      <c r="AX243" s="1"/>
      <c r="AY243" s="1"/>
      <c r="AZ243" s="1" t="s">
        <v>2812</v>
      </c>
      <c r="BA243" t="s">
        <v>2930</v>
      </c>
    </row>
    <row r="244" spans="1:53" ht="19" customHeight="1">
      <c r="A244" s="4" t="s">
        <v>634</v>
      </c>
      <c r="B244" s="4">
        <v>22.978999999999999</v>
      </c>
      <c r="C244" s="4">
        <v>120.7316</v>
      </c>
      <c r="D244" s="4">
        <v>22.6</v>
      </c>
      <c r="E244" s="4">
        <v>6.29</v>
      </c>
      <c r="F244" s="4" t="s">
        <v>1028</v>
      </c>
      <c r="G244" s="4" t="s">
        <v>1160</v>
      </c>
      <c r="H244" s="4">
        <v>120.27679999999999</v>
      </c>
      <c r="I244" s="4">
        <v>23.26867</v>
      </c>
      <c r="J244" s="4">
        <v>221.4512</v>
      </c>
      <c r="K244" s="4">
        <v>30.038119999999999</v>
      </c>
      <c r="L244" s="4" t="b">
        <v>1</v>
      </c>
      <c r="M244" s="4">
        <v>1.736</v>
      </c>
      <c r="N244" s="4" t="b">
        <v>0</v>
      </c>
      <c r="O244" s="4" t="s">
        <v>1029</v>
      </c>
      <c r="P244" s="4" t="b">
        <v>0</v>
      </c>
      <c r="Q244" s="4">
        <v>131.11699999999999</v>
      </c>
      <c r="R244" s="4">
        <v>80.492999999999995</v>
      </c>
      <c r="S244" s="4">
        <v>25.547999999999998</v>
      </c>
      <c r="T244" s="4">
        <v>32.561100000000003</v>
      </c>
      <c r="U244" s="4">
        <v>17.474499999999999</v>
      </c>
      <c r="V244" s="4">
        <v>6.4488300000000001</v>
      </c>
      <c r="W244" s="4">
        <v>10.978899999999999</v>
      </c>
      <c r="X244" s="4">
        <v>4.6962999999999999</v>
      </c>
      <c r="Y244" s="4">
        <v>3.5895000000000001</v>
      </c>
      <c r="Z244" s="4">
        <v>-7.1357000000000004E-2</v>
      </c>
      <c r="AA244" s="4">
        <v>-3.6933000000000001E-2</v>
      </c>
      <c r="AB244" s="4">
        <v>5.4094999999999997E-2</v>
      </c>
      <c r="AC244" s="1" t="s">
        <v>633</v>
      </c>
      <c r="AD244" s="1" t="s">
        <v>2927</v>
      </c>
      <c r="AE244" s="1" t="s">
        <v>2928</v>
      </c>
      <c r="AF244" s="1">
        <v>6.29</v>
      </c>
      <c r="AG244" s="1" t="s">
        <v>1003</v>
      </c>
      <c r="AH244" s="1">
        <v>22.978999999999999</v>
      </c>
      <c r="AI244" s="1">
        <v>120.7316</v>
      </c>
      <c r="AJ244" s="1">
        <v>22.6</v>
      </c>
      <c r="AK244" s="1" t="s">
        <v>1028</v>
      </c>
      <c r="AL244" s="1" t="s">
        <v>2834</v>
      </c>
      <c r="AM244" s="1">
        <v>310</v>
      </c>
      <c r="AN244" s="1">
        <v>26</v>
      </c>
      <c r="AO244" s="1">
        <v>42</v>
      </c>
      <c r="AP244" s="1">
        <v>181</v>
      </c>
      <c r="AQ244" s="1">
        <v>72</v>
      </c>
      <c r="AR244" s="1">
        <v>110</v>
      </c>
      <c r="AS244" s="1" t="s">
        <v>2808</v>
      </c>
      <c r="AT244" s="1" t="s">
        <v>731</v>
      </c>
      <c r="AU244" s="1"/>
      <c r="AV244" s="1"/>
      <c r="AW244" s="1"/>
      <c r="AX244" s="1"/>
      <c r="AY244" s="1"/>
      <c r="AZ244" s="1" t="s">
        <v>2812</v>
      </c>
      <c r="BA244" t="s">
        <v>2930</v>
      </c>
    </row>
    <row r="245" spans="1:53" ht="19" customHeight="1">
      <c r="A245" s="4" t="s">
        <v>634</v>
      </c>
      <c r="B245" s="4">
        <v>22.978999999999999</v>
      </c>
      <c r="C245" s="4">
        <v>120.7316</v>
      </c>
      <c r="D245" s="4">
        <v>22.6</v>
      </c>
      <c r="E245" s="4">
        <v>6.29</v>
      </c>
      <c r="F245" s="4" t="s">
        <v>1028</v>
      </c>
      <c r="G245" s="4" t="s">
        <v>1161</v>
      </c>
      <c r="H245" s="4">
        <v>120.1392</v>
      </c>
      <c r="I245" s="4">
        <v>23.262170000000001</v>
      </c>
      <c r="J245" s="4">
        <v>189.00020000000001</v>
      </c>
      <c r="K245" s="4">
        <v>37.542009999999998</v>
      </c>
      <c r="L245" s="4" t="b">
        <v>1</v>
      </c>
      <c r="M245" s="4">
        <v>1.9810000000000001</v>
      </c>
      <c r="N245" s="4" t="b">
        <v>0</v>
      </c>
      <c r="O245" s="4" t="s">
        <v>1029</v>
      </c>
      <c r="P245" s="4" t="b">
        <v>0</v>
      </c>
      <c r="Q245" s="4">
        <v>99.111999999999995</v>
      </c>
      <c r="R245" s="4">
        <v>153.78800000000001</v>
      </c>
      <c r="S245" s="4">
        <v>25.097999999999999</v>
      </c>
      <c r="T245" s="4">
        <v>16.213100000000001</v>
      </c>
      <c r="U245" s="4">
        <v>25.942599999999999</v>
      </c>
      <c r="V245" s="4">
        <v>4.1572899999999997</v>
      </c>
      <c r="W245" s="4">
        <v>5.1274199999999999</v>
      </c>
      <c r="X245" s="4">
        <v>7.6234099999999998</v>
      </c>
      <c r="Y245" s="4">
        <v>1.9507099999999999</v>
      </c>
      <c r="Z245" s="4">
        <v>1.9421000000000001E-2</v>
      </c>
      <c r="AA245" s="4">
        <v>-4.5864000000000002E-2</v>
      </c>
      <c r="AB245" s="4">
        <v>-0.17829900000000001</v>
      </c>
      <c r="AC245" s="1" t="s">
        <v>633</v>
      </c>
      <c r="AD245" s="1" t="s">
        <v>2927</v>
      </c>
      <c r="AE245" s="1" t="s">
        <v>2928</v>
      </c>
      <c r="AF245" s="1">
        <v>6.29</v>
      </c>
      <c r="AG245" s="1" t="s">
        <v>1003</v>
      </c>
      <c r="AH245" s="1">
        <v>22.978999999999999</v>
      </c>
      <c r="AI245" s="1">
        <v>120.7316</v>
      </c>
      <c r="AJ245" s="1">
        <v>22.6</v>
      </c>
      <c r="AK245" s="1" t="s">
        <v>1028</v>
      </c>
      <c r="AL245" s="1" t="s">
        <v>2834</v>
      </c>
      <c r="AM245" s="1">
        <v>310</v>
      </c>
      <c r="AN245" s="1">
        <v>26</v>
      </c>
      <c r="AO245" s="1">
        <v>42</v>
      </c>
      <c r="AP245" s="1">
        <v>181</v>
      </c>
      <c r="AQ245" s="1">
        <v>72</v>
      </c>
      <c r="AR245" s="1">
        <v>110</v>
      </c>
      <c r="AS245" s="1" t="s">
        <v>2808</v>
      </c>
      <c r="AT245" s="1" t="s">
        <v>731</v>
      </c>
      <c r="AU245" s="1"/>
      <c r="AV245" s="1"/>
      <c r="AW245" s="1"/>
      <c r="AX245" s="1"/>
      <c r="AY245" s="1"/>
      <c r="AZ245" s="1" t="s">
        <v>2812</v>
      </c>
      <c r="BA245" t="s">
        <v>2930</v>
      </c>
    </row>
    <row r="246" spans="1:53" ht="19" customHeight="1">
      <c r="A246" s="4" t="s">
        <v>634</v>
      </c>
      <c r="B246" s="4">
        <v>22.978999999999999</v>
      </c>
      <c r="C246" s="4">
        <v>120.7316</v>
      </c>
      <c r="D246" s="4">
        <v>22.6</v>
      </c>
      <c r="E246" s="4">
        <v>6.29</v>
      </c>
      <c r="F246" s="4" t="s">
        <v>1028</v>
      </c>
      <c r="G246" s="4" t="s">
        <v>1162</v>
      </c>
      <c r="H246" s="4">
        <v>120.3272</v>
      </c>
      <c r="I246" s="4">
        <v>23.171330000000001</v>
      </c>
      <c r="J246" s="4">
        <v>271.12520000000001</v>
      </c>
      <c r="K246" s="4">
        <v>18.22719</v>
      </c>
      <c r="L246" s="4" t="b">
        <v>1</v>
      </c>
      <c r="M246" s="4">
        <v>1.113</v>
      </c>
      <c r="N246" s="4" t="b">
        <v>0</v>
      </c>
      <c r="O246" s="4" t="s">
        <v>1029</v>
      </c>
      <c r="P246" s="4" t="b">
        <v>0</v>
      </c>
      <c r="Q246" s="4">
        <v>353.11500000000001</v>
      </c>
      <c r="R246" s="4">
        <v>147.56700000000001</v>
      </c>
      <c r="S246" s="4">
        <v>117.98</v>
      </c>
      <c r="T246" s="4">
        <v>49.884500000000003</v>
      </c>
      <c r="U246" s="4">
        <v>16.524899999999999</v>
      </c>
      <c r="V246" s="4">
        <v>10.410399999999999</v>
      </c>
      <c r="W246" s="4">
        <v>12.111499999999999</v>
      </c>
      <c r="X246" s="4">
        <v>3.73184</v>
      </c>
      <c r="Y246" s="4">
        <v>3.4642300000000001</v>
      </c>
      <c r="Z246" s="4">
        <v>-1.0841999999999999E-2</v>
      </c>
      <c r="AA246" s="4">
        <v>7.8501000000000001E-2</v>
      </c>
      <c r="AB246" s="4">
        <v>-0.1133</v>
      </c>
      <c r="AC246" s="1" t="s">
        <v>633</v>
      </c>
      <c r="AD246" s="1" t="s">
        <v>2927</v>
      </c>
      <c r="AE246" s="1" t="s">
        <v>2928</v>
      </c>
      <c r="AF246" s="1">
        <v>6.29</v>
      </c>
      <c r="AG246" s="1" t="s">
        <v>1003</v>
      </c>
      <c r="AH246" s="1">
        <v>22.978999999999999</v>
      </c>
      <c r="AI246" s="1">
        <v>120.7316</v>
      </c>
      <c r="AJ246" s="1">
        <v>22.6</v>
      </c>
      <c r="AK246" s="1" t="s">
        <v>1028</v>
      </c>
      <c r="AL246" s="1" t="s">
        <v>2834</v>
      </c>
      <c r="AM246" s="1">
        <v>310</v>
      </c>
      <c r="AN246" s="1">
        <v>26</v>
      </c>
      <c r="AO246" s="1">
        <v>42</v>
      </c>
      <c r="AP246" s="1">
        <v>181</v>
      </c>
      <c r="AQ246" s="1">
        <v>72</v>
      </c>
      <c r="AR246" s="1">
        <v>110</v>
      </c>
      <c r="AS246" s="1" t="s">
        <v>2808</v>
      </c>
      <c r="AT246" s="1" t="s">
        <v>731</v>
      </c>
      <c r="AU246" s="1"/>
      <c r="AV246" s="1"/>
      <c r="AW246" s="1"/>
      <c r="AX246" s="1"/>
      <c r="AY246" s="1"/>
      <c r="AZ246" s="1" t="s">
        <v>2812</v>
      </c>
      <c r="BA246" t="s">
        <v>2930</v>
      </c>
    </row>
    <row r="247" spans="1:53" ht="19" customHeight="1">
      <c r="A247" s="4" t="s">
        <v>634</v>
      </c>
      <c r="B247" s="4">
        <v>22.978999999999999</v>
      </c>
      <c r="C247" s="4">
        <v>120.7316</v>
      </c>
      <c r="D247" s="4">
        <v>22.6</v>
      </c>
      <c r="E247" s="4">
        <v>6.29</v>
      </c>
      <c r="F247" s="4" t="s">
        <v>1028</v>
      </c>
      <c r="G247" s="4" t="s">
        <v>1163</v>
      </c>
      <c r="H247" s="4">
        <v>120.1113</v>
      </c>
      <c r="I247" s="4">
        <v>23.183</v>
      </c>
      <c r="J247" s="4">
        <v>186.97409999999999</v>
      </c>
      <c r="K247" s="4">
        <v>34.124870000000001</v>
      </c>
      <c r="L247" s="4" t="b">
        <v>1</v>
      </c>
      <c r="M247" s="4">
        <v>1.498</v>
      </c>
      <c r="N247" s="4" t="b">
        <v>0</v>
      </c>
      <c r="O247" s="4" t="s">
        <v>1029</v>
      </c>
      <c r="P247" s="4" t="b">
        <v>0</v>
      </c>
      <c r="Q247" s="4">
        <v>139.667</v>
      </c>
      <c r="R247" s="4">
        <v>93.772000000000006</v>
      </c>
      <c r="S247" s="4">
        <v>20.529</v>
      </c>
      <c r="T247" s="4">
        <v>25.043099999999999</v>
      </c>
      <c r="U247" s="4">
        <v>15.6632</v>
      </c>
      <c r="V247" s="4">
        <v>2.4097200000000001</v>
      </c>
      <c r="W247" s="4">
        <v>6.7960500000000001</v>
      </c>
      <c r="X247" s="4">
        <v>4.2007700000000003</v>
      </c>
      <c r="Y247" s="4">
        <v>1.1159399999999999</v>
      </c>
      <c r="Z247" s="4">
        <v>-2.6891000000000002E-2</v>
      </c>
      <c r="AA247" s="4">
        <v>-3.0032E-2</v>
      </c>
      <c r="AB247" s="4">
        <v>-2.4049999999999998E-2</v>
      </c>
      <c r="AC247" s="1" t="s">
        <v>633</v>
      </c>
      <c r="AD247" s="1" t="s">
        <v>2927</v>
      </c>
      <c r="AE247" s="1" t="s">
        <v>2928</v>
      </c>
      <c r="AF247" s="1">
        <v>6.29</v>
      </c>
      <c r="AG247" s="1" t="s">
        <v>1003</v>
      </c>
      <c r="AH247" s="1">
        <v>22.978999999999999</v>
      </c>
      <c r="AI247" s="1">
        <v>120.7316</v>
      </c>
      <c r="AJ247" s="1">
        <v>22.6</v>
      </c>
      <c r="AK247" s="1" t="s">
        <v>1028</v>
      </c>
      <c r="AL247" s="1" t="s">
        <v>2834</v>
      </c>
      <c r="AM247" s="1">
        <v>310</v>
      </c>
      <c r="AN247" s="1">
        <v>26</v>
      </c>
      <c r="AO247" s="1">
        <v>42</v>
      </c>
      <c r="AP247" s="1">
        <v>181</v>
      </c>
      <c r="AQ247" s="1">
        <v>72</v>
      </c>
      <c r="AR247" s="1">
        <v>110</v>
      </c>
      <c r="AS247" s="1" t="s">
        <v>2808</v>
      </c>
      <c r="AT247" s="1" t="s">
        <v>731</v>
      </c>
      <c r="AU247" s="1"/>
      <c r="AV247" s="1"/>
      <c r="AW247" s="1"/>
      <c r="AX247" s="1"/>
      <c r="AY247" s="1"/>
      <c r="AZ247" s="1" t="s">
        <v>2812</v>
      </c>
      <c r="BA247" t="s">
        <v>2930</v>
      </c>
    </row>
    <row r="248" spans="1:53" ht="19" customHeight="1">
      <c r="A248" s="4" t="s">
        <v>634</v>
      </c>
      <c r="B248" s="4">
        <v>22.978999999999999</v>
      </c>
      <c r="C248" s="4">
        <v>120.7316</v>
      </c>
      <c r="D248" s="4">
        <v>22.6</v>
      </c>
      <c r="E248" s="4">
        <v>6.29</v>
      </c>
      <c r="F248" s="4" t="s">
        <v>1028</v>
      </c>
      <c r="G248" s="4" t="s">
        <v>1164</v>
      </c>
      <c r="H248" s="4">
        <v>120.34950000000001</v>
      </c>
      <c r="I248" s="4">
        <v>23.025829999999999</v>
      </c>
      <c r="J248" s="4">
        <v>287.65940000000001</v>
      </c>
      <c r="K248" s="4">
        <v>4.8063630000000002</v>
      </c>
      <c r="L248" s="4" t="b">
        <v>1</v>
      </c>
      <c r="M248" s="4">
        <v>1.155</v>
      </c>
      <c r="N248" s="4" t="b">
        <v>0</v>
      </c>
      <c r="O248" s="4" t="s">
        <v>1029</v>
      </c>
      <c r="P248" s="4" t="b">
        <v>0</v>
      </c>
      <c r="Q248" s="4">
        <v>385.13400000000001</v>
      </c>
      <c r="R248" s="4">
        <v>174.661</v>
      </c>
      <c r="S248" s="4">
        <v>71.277000000000001</v>
      </c>
      <c r="T248" s="4">
        <v>61.764899999999997</v>
      </c>
      <c r="U248" s="4">
        <v>34.314</v>
      </c>
      <c r="V248" s="4">
        <v>15.4948</v>
      </c>
      <c r="W248" s="4">
        <v>18.008600000000001</v>
      </c>
      <c r="X248" s="4">
        <v>11.286099999999999</v>
      </c>
      <c r="Y248" s="4">
        <v>5.8902299999999999</v>
      </c>
      <c r="Z248" s="4">
        <v>-4.5129999999999997E-3</v>
      </c>
      <c r="AA248" s="4">
        <v>-5.8660999999999998E-2</v>
      </c>
      <c r="AB248" s="4">
        <v>4.3484000000000002E-2</v>
      </c>
      <c r="AC248" s="1" t="s">
        <v>633</v>
      </c>
      <c r="AD248" s="1" t="s">
        <v>2927</v>
      </c>
      <c r="AE248" s="1" t="s">
        <v>2928</v>
      </c>
      <c r="AF248" s="1">
        <v>6.29</v>
      </c>
      <c r="AG248" s="1" t="s">
        <v>1003</v>
      </c>
      <c r="AH248" s="1">
        <v>22.978999999999999</v>
      </c>
      <c r="AI248" s="1">
        <v>120.7316</v>
      </c>
      <c r="AJ248" s="1">
        <v>22.6</v>
      </c>
      <c r="AK248" s="1" t="s">
        <v>1028</v>
      </c>
      <c r="AL248" s="1" t="s">
        <v>2834</v>
      </c>
      <c r="AM248" s="1">
        <v>310</v>
      </c>
      <c r="AN248" s="1">
        <v>26</v>
      </c>
      <c r="AO248" s="1">
        <v>42</v>
      </c>
      <c r="AP248" s="1">
        <v>181</v>
      </c>
      <c r="AQ248" s="1">
        <v>72</v>
      </c>
      <c r="AR248" s="1">
        <v>110</v>
      </c>
      <c r="AS248" s="1" t="s">
        <v>2808</v>
      </c>
      <c r="AT248" s="1" t="s">
        <v>731</v>
      </c>
      <c r="AU248" s="1"/>
      <c r="AV248" s="1"/>
      <c r="AW248" s="1"/>
      <c r="AX248" s="1"/>
      <c r="AY248" s="1"/>
      <c r="AZ248" s="1" t="s">
        <v>2812</v>
      </c>
      <c r="BA248" t="s">
        <v>2930</v>
      </c>
    </row>
    <row r="249" spans="1:53" ht="19" customHeight="1">
      <c r="A249" s="4" t="s">
        <v>634</v>
      </c>
      <c r="B249" s="4">
        <v>22.978999999999999</v>
      </c>
      <c r="C249" s="4">
        <v>120.7316</v>
      </c>
      <c r="D249" s="4">
        <v>22.6</v>
      </c>
      <c r="E249" s="4">
        <v>6.29</v>
      </c>
      <c r="F249" s="4" t="s">
        <v>1028</v>
      </c>
      <c r="G249" s="4" t="s">
        <v>1165</v>
      </c>
      <c r="H249" s="4">
        <v>120.364</v>
      </c>
      <c r="I249" s="4">
        <v>23.075330000000001</v>
      </c>
      <c r="J249" s="4">
        <v>396.19650000000001</v>
      </c>
      <c r="K249" s="4">
        <v>7.239649</v>
      </c>
      <c r="L249" s="4" t="b">
        <v>1</v>
      </c>
      <c r="M249" s="4">
        <v>2.38</v>
      </c>
      <c r="N249" s="4" t="b">
        <v>0</v>
      </c>
      <c r="O249" s="4" t="s">
        <v>1029</v>
      </c>
      <c r="P249" s="4" t="b">
        <v>0</v>
      </c>
      <c r="Q249" s="4">
        <v>268.77499999999998</v>
      </c>
      <c r="R249" s="4">
        <v>172.136</v>
      </c>
      <c r="S249" s="4">
        <v>60.218000000000004</v>
      </c>
      <c r="T249" s="4">
        <v>36.2179</v>
      </c>
      <c r="U249" s="4">
        <v>27.081399999999999</v>
      </c>
      <c r="V249" s="4">
        <v>10.4382</v>
      </c>
      <c r="W249" s="4">
        <v>10.2403</v>
      </c>
      <c r="X249" s="4">
        <v>7.92103</v>
      </c>
      <c r="Y249" s="4">
        <v>5.3327799999999996</v>
      </c>
      <c r="Z249" s="4">
        <v>0.13980699999999999</v>
      </c>
      <c r="AA249" s="4">
        <v>0.55492399999999997</v>
      </c>
      <c r="AB249" s="4">
        <v>0.27835199999999999</v>
      </c>
      <c r="AC249" s="1" t="s">
        <v>633</v>
      </c>
      <c r="AD249" s="1" t="s">
        <v>2927</v>
      </c>
      <c r="AE249" s="1" t="s">
        <v>2928</v>
      </c>
      <c r="AF249" s="1">
        <v>6.29</v>
      </c>
      <c r="AG249" s="1" t="s">
        <v>1003</v>
      </c>
      <c r="AH249" s="1">
        <v>22.978999999999999</v>
      </c>
      <c r="AI249" s="1">
        <v>120.7316</v>
      </c>
      <c r="AJ249" s="1">
        <v>22.6</v>
      </c>
      <c r="AK249" s="1" t="s">
        <v>1028</v>
      </c>
      <c r="AL249" s="1" t="s">
        <v>2834</v>
      </c>
      <c r="AM249" s="1">
        <v>310</v>
      </c>
      <c r="AN249" s="1">
        <v>26</v>
      </c>
      <c r="AO249" s="1">
        <v>42</v>
      </c>
      <c r="AP249" s="1">
        <v>181</v>
      </c>
      <c r="AQ249" s="1">
        <v>72</v>
      </c>
      <c r="AR249" s="1">
        <v>110</v>
      </c>
      <c r="AS249" s="1" t="s">
        <v>2808</v>
      </c>
      <c r="AT249" s="1" t="s">
        <v>731</v>
      </c>
      <c r="AU249" s="1"/>
      <c r="AV249" s="1"/>
      <c r="AW249" s="1"/>
      <c r="AX249" s="1"/>
      <c r="AY249" s="1"/>
      <c r="AZ249" s="1" t="s">
        <v>2812</v>
      </c>
      <c r="BA249" t="s">
        <v>2930</v>
      </c>
    </row>
    <row r="250" spans="1:53" ht="19" customHeight="1">
      <c r="A250" s="4" t="s">
        <v>634</v>
      </c>
      <c r="B250" s="4">
        <v>22.978999999999999</v>
      </c>
      <c r="C250" s="4">
        <v>120.7316</v>
      </c>
      <c r="D250" s="4">
        <v>22.6</v>
      </c>
      <c r="E250" s="4">
        <v>6.29</v>
      </c>
      <c r="F250" s="4" t="s">
        <v>1028</v>
      </c>
      <c r="G250" s="4" t="s">
        <v>1096</v>
      </c>
      <c r="H250" s="4">
        <v>120.33069999999999</v>
      </c>
      <c r="I250" s="4">
        <v>23.456</v>
      </c>
      <c r="J250" s="4">
        <v>216.36439999999999</v>
      </c>
      <c r="K250" s="4">
        <v>46.0471</v>
      </c>
      <c r="L250" s="4" t="b">
        <v>1</v>
      </c>
      <c r="M250" s="4">
        <v>1.484</v>
      </c>
      <c r="N250" s="4" t="b">
        <v>0</v>
      </c>
      <c r="O250" s="4" t="s">
        <v>1029</v>
      </c>
      <c r="P250" s="4" t="b">
        <v>0</v>
      </c>
      <c r="Q250" s="4">
        <v>185.655</v>
      </c>
      <c r="R250" s="4">
        <v>199.59800000000001</v>
      </c>
      <c r="S250" s="4">
        <v>29.021999999999998</v>
      </c>
      <c r="T250" s="4">
        <v>20.569800000000001</v>
      </c>
      <c r="U250" s="4">
        <v>25.165199999999999</v>
      </c>
      <c r="V250" s="4">
        <v>3.6276099999999998</v>
      </c>
      <c r="W250" s="4">
        <v>5.7974899999999998</v>
      </c>
      <c r="X250" s="4">
        <v>6.1667399999999999</v>
      </c>
      <c r="Y250" s="4">
        <v>1.78379</v>
      </c>
      <c r="Z250" s="4">
        <v>4.6219000000000003E-2</v>
      </c>
      <c r="AA250" s="4">
        <v>-3.1112000000000001E-2</v>
      </c>
      <c r="AB250" s="4">
        <v>3.5969000000000001E-2</v>
      </c>
      <c r="AC250" s="1" t="s">
        <v>633</v>
      </c>
      <c r="AD250" s="1" t="s">
        <v>2927</v>
      </c>
      <c r="AE250" s="1" t="s">
        <v>2928</v>
      </c>
      <c r="AF250" s="1">
        <v>6.29</v>
      </c>
      <c r="AG250" s="1" t="s">
        <v>1003</v>
      </c>
      <c r="AH250" s="1">
        <v>22.978999999999999</v>
      </c>
      <c r="AI250" s="1">
        <v>120.7316</v>
      </c>
      <c r="AJ250" s="1">
        <v>22.6</v>
      </c>
      <c r="AK250" s="1" t="s">
        <v>1028</v>
      </c>
      <c r="AL250" s="1" t="s">
        <v>2834</v>
      </c>
      <c r="AM250" s="1">
        <v>310</v>
      </c>
      <c r="AN250" s="1">
        <v>26</v>
      </c>
      <c r="AO250" s="1">
        <v>42</v>
      </c>
      <c r="AP250" s="1">
        <v>181</v>
      </c>
      <c r="AQ250" s="1">
        <v>72</v>
      </c>
      <c r="AR250" s="1">
        <v>110</v>
      </c>
      <c r="AS250" s="1" t="s">
        <v>2808</v>
      </c>
      <c r="AT250" s="1" t="s">
        <v>731</v>
      </c>
      <c r="AU250" s="1"/>
      <c r="AV250" s="1"/>
      <c r="AW250" s="1"/>
      <c r="AX250" s="1"/>
      <c r="AY250" s="1"/>
      <c r="AZ250" s="1" t="s">
        <v>2812</v>
      </c>
      <c r="BA250" t="s">
        <v>2930</v>
      </c>
    </row>
    <row r="251" spans="1:53" ht="19" customHeight="1">
      <c r="A251" s="4" t="s">
        <v>634</v>
      </c>
      <c r="B251" s="4">
        <v>22.978999999999999</v>
      </c>
      <c r="C251" s="4">
        <v>120.7316</v>
      </c>
      <c r="D251" s="4">
        <v>22.6</v>
      </c>
      <c r="E251" s="4">
        <v>6.29</v>
      </c>
      <c r="F251" s="4" t="s">
        <v>1028</v>
      </c>
      <c r="G251" s="4" t="s">
        <v>1166</v>
      </c>
      <c r="H251" s="4">
        <v>120.2992</v>
      </c>
      <c r="I251" s="4">
        <v>23.29767</v>
      </c>
      <c r="J251" s="4">
        <v>181.0514</v>
      </c>
      <c r="K251" s="4">
        <v>31.794350000000001</v>
      </c>
      <c r="L251" s="4" t="b">
        <v>1</v>
      </c>
      <c r="M251" s="4">
        <v>1.8620000000000001</v>
      </c>
      <c r="N251" s="4" t="b">
        <v>0</v>
      </c>
      <c r="O251" s="4" t="s">
        <v>1029</v>
      </c>
      <c r="P251" s="4" t="b">
        <v>0</v>
      </c>
      <c r="Q251" s="4">
        <v>159.94900000000001</v>
      </c>
      <c r="R251" s="4">
        <v>163.23699999999999</v>
      </c>
      <c r="S251" s="4">
        <v>31.31</v>
      </c>
      <c r="T251" s="4">
        <v>32.658000000000001</v>
      </c>
      <c r="U251" s="4">
        <v>28.4831</v>
      </c>
      <c r="V251" s="4">
        <v>6.9752799999999997</v>
      </c>
      <c r="W251" s="4">
        <v>10.396599999999999</v>
      </c>
      <c r="X251" s="4">
        <v>7.5800999999999998</v>
      </c>
      <c r="Y251" s="4">
        <v>3.6374200000000001</v>
      </c>
      <c r="Z251" s="4">
        <v>-3.4549999999999997E-2</v>
      </c>
      <c r="AA251" s="4">
        <v>-6.7723000000000005E-2</v>
      </c>
      <c r="AB251" s="4">
        <v>1.6833999999999998E-2</v>
      </c>
      <c r="AC251" s="1" t="s">
        <v>633</v>
      </c>
      <c r="AD251" s="1" t="s">
        <v>2927</v>
      </c>
      <c r="AE251" s="1" t="s">
        <v>2928</v>
      </c>
      <c r="AF251" s="1">
        <v>6.29</v>
      </c>
      <c r="AG251" s="1" t="s">
        <v>1003</v>
      </c>
      <c r="AH251" s="1">
        <v>22.978999999999999</v>
      </c>
      <c r="AI251" s="1">
        <v>120.7316</v>
      </c>
      <c r="AJ251" s="1">
        <v>22.6</v>
      </c>
      <c r="AK251" s="1" t="s">
        <v>1028</v>
      </c>
      <c r="AL251" s="1" t="s">
        <v>2834</v>
      </c>
      <c r="AM251" s="1">
        <v>310</v>
      </c>
      <c r="AN251" s="1">
        <v>26</v>
      </c>
      <c r="AO251" s="1">
        <v>42</v>
      </c>
      <c r="AP251" s="1">
        <v>181</v>
      </c>
      <c r="AQ251" s="1">
        <v>72</v>
      </c>
      <c r="AR251" s="1">
        <v>110</v>
      </c>
      <c r="AS251" s="1" t="s">
        <v>2808</v>
      </c>
      <c r="AT251" s="1" t="s">
        <v>731</v>
      </c>
      <c r="AU251" s="1"/>
      <c r="AV251" s="1"/>
      <c r="AW251" s="1"/>
      <c r="AX251" s="1"/>
      <c r="AY251" s="1"/>
      <c r="AZ251" s="1" t="s">
        <v>2812</v>
      </c>
      <c r="BA251" t="s">
        <v>2930</v>
      </c>
    </row>
    <row r="252" spans="1:53" ht="19" customHeight="1">
      <c r="A252" s="4" t="s">
        <v>634</v>
      </c>
      <c r="B252" s="4">
        <v>22.978999999999999</v>
      </c>
      <c r="C252" s="4">
        <v>120.7316</v>
      </c>
      <c r="D252" s="4">
        <v>22.6</v>
      </c>
      <c r="E252" s="4">
        <v>6.29</v>
      </c>
      <c r="F252" s="4" t="s">
        <v>1028</v>
      </c>
      <c r="G252" s="4" t="s">
        <v>1167</v>
      </c>
      <c r="H252" s="4">
        <v>120.21380000000001</v>
      </c>
      <c r="I252" s="4">
        <v>23.420169999999999</v>
      </c>
      <c r="J252" s="4">
        <v>240.64490000000001</v>
      </c>
      <c r="K252" s="4">
        <v>47.687190000000001</v>
      </c>
      <c r="L252" s="4" t="b">
        <v>1</v>
      </c>
      <c r="M252" s="4">
        <v>1.1479999999999999</v>
      </c>
      <c r="N252" s="4" t="b">
        <v>0</v>
      </c>
      <c r="O252" s="4" t="s">
        <v>1029</v>
      </c>
      <c r="P252" s="4" t="b">
        <v>0</v>
      </c>
      <c r="Q252" s="4">
        <v>190.00399999999999</v>
      </c>
      <c r="R252" s="4">
        <v>226.43199999999999</v>
      </c>
      <c r="S252" s="4">
        <v>46.563000000000002</v>
      </c>
      <c r="T252" s="4">
        <v>24.5306</v>
      </c>
      <c r="U252" s="4">
        <v>36.388599999999997</v>
      </c>
      <c r="V252" s="4">
        <v>5.9566400000000002</v>
      </c>
      <c r="W252" s="4">
        <v>4.91709</v>
      </c>
      <c r="X252" s="4">
        <v>9.2232699999999994</v>
      </c>
      <c r="Y252" s="4">
        <v>2.6701999999999999</v>
      </c>
      <c r="Z252" s="4">
        <v>-1.217E-3</v>
      </c>
      <c r="AA252" s="4">
        <v>1.0889999999999999E-3</v>
      </c>
      <c r="AB252" s="4">
        <v>2.114E-3</v>
      </c>
      <c r="AC252" s="1" t="s">
        <v>633</v>
      </c>
      <c r="AD252" s="1" t="s">
        <v>2927</v>
      </c>
      <c r="AE252" s="1" t="s">
        <v>2928</v>
      </c>
      <c r="AF252" s="1">
        <v>6.29</v>
      </c>
      <c r="AG252" s="1" t="s">
        <v>1003</v>
      </c>
      <c r="AH252" s="1">
        <v>22.978999999999999</v>
      </c>
      <c r="AI252" s="1">
        <v>120.7316</v>
      </c>
      <c r="AJ252" s="1">
        <v>22.6</v>
      </c>
      <c r="AK252" s="1" t="s">
        <v>1028</v>
      </c>
      <c r="AL252" s="1" t="s">
        <v>2834</v>
      </c>
      <c r="AM252" s="1">
        <v>310</v>
      </c>
      <c r="AN252" s="1">
        <v>26</v>
      </c>
      <c r="AO252" s="1">
        <v>42</v>
      </c>
      <c r="AP252" s="1">
        <v>181</v>
      </c>
      <c r="AQ252" s="1">
        <v>72</v>
      </c>
      <c r="AR252" s="1">
        <v>110</v>
      </c>
      <c r="AS252" s="1" t="s">
        <v>2808</v>
      </c>
      <c r="AT252" s="1" t="s">
        <v>731</v>
      </c>
      <c r="AU252" s="1"/>
      <c r="AV252" s="1"/>
      <c r="AW252" s="1"/>
      <c r="AX252" s="1"/>
      <c r="AY252" s="1"/>
      <c r="AZ252" s="1" t="s">
        <v>2812</v>
      </c>
      <c r="BA252" t="s">
        <v>2930</v>
      </c>
    </row>
    <row r="253" spans="1:53" ht="19" customHeight="1">
      <c r="A253" s="4" t="s">
        <v>634</v>
      </c>
      <c r="B253" s="4">
        <v>22.978999999999999</v>
      </c>
      <c r="C253" s="4">
        <v>120.7316</v>
      </c>
      <c r="D253" s="4">
        <v>22.6</v>
      </c>
      <c r="E253" s="4">
        <v>6.29</v>
      </c>
      <c r="F253" s="4" t="s">
        <v>1028</v>
      </c>
      <c r="G253" s="4" t="s">
        <v>1168</v>
      </c>
      <c r="H253" s="4">
        <v>120.08580000000001</v>
      </c>
      <c r="I253" s="4">
        <v>23.146999999999998</v>
      </c>
      <c r="J253" s="4">
        <v>206.31729999999999</v>
      </c>
      <c r="K253" s="4">
        <v>34.500979999999998</v>
      </c>
      <c r="L253" s="4" t="b">
        <v>1</v>
      </c>
      <c r="M253" s="4">
        <v>1.5680000000000001</v>
      </c>
      <c r="N253" s="4" t="b">
        <v>0</v>
      </c>
      <c r="O253" s="4" t="s">
        <v>1029</v>
      </c>
      <c r="P253" s="4" t="b">
        <v>0</v>
      </c>
      <c r="Q253" s="4">
        <v>130.93700000000001</v>
      </c>
      <c r="R253" s="4">
        <v>141.48699999999999</v>
      </c>
      <c r="S253" s="4">
        <v>26.481999999999999</v>
      </c>
      <c r="T253" s="4">
        <v>22.387799999999999</v>
      </c>
      <c r="U253" s="4">
        <v>18.189699999999998</v>
      </c>
      <c r="V253" s="4">
        <v>4.2697399999999996</v>
      </c>
      <c r="W253" s="4">
        <v>5.82768</v>
      </c>
      <c r="X253" s="4">
        <v>3.9990199999999998</v>
      </c>
      <c r="Y253" s="4">
        <v>3.41513</v>
      </c>
      <c r="Z253" s="4">
        <v>-0.64016600000000001</v>
      </c>
      <c r="AA253" s="4">
        <v>-2.8420999999999998E-2</v>
      </c>
      <c r="AB253" s="4">
        <v>-2.4883700000000002</v>
      </c>
      <c r="AC253" s="1" t="s">
        <v>633</v>
      </c>
      <c r="AD253" s="1" t="s">
        <v>2927</v>
      </c>
      <c r="AE253" s="1" t="s">
        <v>2928</v>
      </c>
      <c r="AF253" s="1">
        <v>6.29</v>
      </c>
      <c r="AG253" s="1" t="s">
        <v>1003</v>
      </c>
      <c r="AH253" s="1">
        <v>22.978999999999999</v>
      </c>
      <c r="AI253" s="1">
        <v>120.7316</v>
      </c>
      <c r="AJ253" s="1">
        <v>22.6</v>
      </c>
      <c r="AK253" s="1" t="s">
        <v>1028</v>
      </c>
      <c r="AL253" s="1" t="s">
        <v>2834</v>
      </c>
      <c r="AM253" s="1">
        <v>310</v>
      </c>
      <c r="AN253" s="1">
        <v>26</v>
      </c>
      <c r="AO253" s="1">
        <v>42</v>
      </c>
      <c r="AP253" s="1">
        <v>181</v>
      </c>
      <c r="AQ253" s="1">
        <v>72</v>
      </c>
      <c r="AR253" s="1">
        <v>110</v>
      </c>
      <c r="AS253" s="1" t="s">
        <v>2808</v>
      </c>
      <c r="AT253" s="1" t="s">
        <v>731</v>
      </c>
      <c r="AU253" s="1"/>
      <c r="AV253" s="1"/>
      <c r="AW253" s="1"/>
      <c r="AX253" s="1"/>
      <c r="AY253" s="1"/>
      <c r="AZ253" s="1" t="s">
        <v>2812</v>
      </c>
      <c r="BA253" t="s">
        <v>2930</v>
      </c>
    </row>
    <row r="254" spans="1:53" ht="19" customHeight="1">
      <c r="A254" s="4" t="s">
        <v>634</v>
      </c>
      <c r="B254" s="4">
        <v>22.978999999999999</v>
      </c>
      <c r="C254" s="4">
        <v>120.7316</v>
      </c>
      <c r="D254" s="4">
        <v>22.6</v>
      </c>
      <c r="E254" s="4">
        <v>6.29</v>
      </c>
      <c r="F254" s="4" t="s">
        <v>1028</v>
      </c>
      <c r="G254" s="4" t="s">
        <v>1169</v>
      </c>
      <c r="H254" s="4">
        <v>120.3095</v>
      </c>
      <c r="I254" s="4">
        <v>23.32283</v>
      </c>
      <c r="J254" s="4">
        <v>224.97620000000001</v>
      </c>
      <c r="K254" s="4">
        <v>33.795450000000002</v>
      </c>
      <c r="L254" s="4" t="b">
        <v>1</v>
      </c>
      <c r="M254" s="4">
        <v>1.708</v>
      </c>
      <c r="N254" s="4" t="b">
        <v>0</v>
      </c>
      <c r="O254" s="4" t="s">
        <v>1029</v>
      </c>
      <c r="P254" s="4" t="b">
        <v>0</v>
      </c>
      <c r="Q254" s="4">
        <v>114.111</v>
      </c>
      <c r="R254" s="4">
        <v>156.56100000000001</v>
      </c>
      <c r="S254" s="4">
        <v>38.027999999999999</v>
      </c>
      <c r="T254" s="4">
        <v>23.941299999999998</v>
      </c>
      <c r="U254" s="4">
        <v>32.352600000000002</v>
      </c>
      <c r="V254" s="4">
        <v>7.0585300000000002</v>
      </c>
      <c r="W254" s="4">
        <v>8.0947700000000005</v>
      </c>
      <c r="X254" s="4">
        <v>9.1160399999999999</v>
      </c>
      <c r="Y254" s="4">
        <v>3.8623500000000002</v>
      </c>
      <c r="Z254" s="4">
        <v>-2.7500000000000002E-4</v>
      </c>
      <c r="AA254" s="4">
        <v>2.0775999999999999E-2</v>
      </c>
      <c r="AB254" s="4">
        <v>-3.0197000000000002E-2</v>
      </c>
      <c r="AC254" s="1" t="s">
        <v>633</v>
      </c>
      <c r="AD254" s="1" t="s">
        <v>2927</v>
      </c>
      <c r="AE254" s="1" t="s">
        <v>2928</v>
      </c>
      <c r="AF254" s="1">
        <v>6.29</v>
      </c>
      <c r="AG254" s="1" t="s">
        <v>1003</v>
      </c>
      <c r="AH254" s="1">
        <v>22.978999999999999</v>
      </c>
      <c r="AI254" s="1">
        <v>120.7316</v>
      </c>
      <c r="AJ254" s="1">
        <v>22.6</v>
      </c>
      <c r="AK254" s="1" t="s">
        <v>1028</v>
      </c>
      <c r="AL254" s="1" t="s">
        <v>2834</v>
      </c>
      <c r="AM254" s="1">
        <v>310</v>
      </c>
      <c r="AN254" s="1">
        <v>26</v>
      </c>
      <c r="AO254" s="1">
        <v>42</v>
      </c>
      <c r="AP254" s="1">
        <v>181</v>
      </c>
      <c r="AQ254" s="1">
        <v>72</v>
      </c>
      <c r="AR254" s="1">
        <v>110</v>
      </c>
      <c r="AS254" s="1" t="s">
        <v>2808</v>
      </c>
      <c r="AT254" s="1" t="s">
        <v>731</v>
      </c>
      <c r="AU254" s="1"/>
      <c r="AV254" s="1"/>
      <c r="AW254" s="1"/>
      <c r="AX254" s="1"/>
      <c r="AY254" s="1"/>
      <c r="AZ254" s="1" t="s">
        <v>2812</v>
      </c>
      <c r="BA254" t="s">
        <v>2930</v>
      </c>
    </row>
    <row r="255" spans="1:53" ht="19" customHeight="1">
      <c r="A255" s="4" t="s">
        <v>634</v>
      </c>
      <c r="B255" s="4">
        <v>22.978999999999999</v>
      </c>
      <c r="C255" s="4">
        <v>120.7316</v>
      </c>
      <c r="D255" s="4">
        <v>22.6</v>
      </c>
      <c r="E255" s="4">
        <v>6.29</v>
      </c>
      <c r="F255" s="4" t="s">
        <v>1028</v>
      </c>
      <c r="G255" s="4" t="s">
        <v>1170</v>
      </c>
      <c r="H255" s="4">
        <v>120.23950000000001</v>
      </c>
      <c r="I255" s="4">
        <v>23.483499999999999</v>
      </c>
      <c r="J255" s="4">
        <v>212.44909999999999</v>
      </c>
      <c r="K255" s="4">
        <v>52.573830000000001</v>
      </c>
      <c r="L255" s="4" t="b">
        <v>1</v>
      </c>
      <c r="M255" s="4">
        <v>1.1619999999999999</v>
      </c>
      <c r="N255" s="4" t="b">
        <v>0</v>
      </c>
      <c r="O255" s="4" t="s">
        <v>1029</v>
      </c>
      <c r="P255" s="4" t="b">
        <v>0</v>
      </c>
      <c r="Q255" s="4">
        <v>150.09299999999999</v>
      </c>
      <c r="R255" s="4">
        <v>173.22499999999999</v>
      </c>
      <c r="S255" s="4">
        <v>27.266999999999999</v>
      </c>
      <c r="T255" s="4">
        <v>17.727599999999999</v>
      </c>
      <c r="U255" s="4">
        <v>26.651800000000001</v>
      </c>
      <c r="V255" s="4">
        <v>3.04976</v>
      </c>
      <c r="W255" s="4">
        <v>5.4500400000000004</v>
      </c>
      <c r="X255" s="4">
        <v>5.7839700000000001</v>
      </c>
      <c r="Y255" s="4">
        <v>1.7589900000000001</v>
      </c>
      <c r="Z255" s="4">
        <v>-0.31625900000000001</v>
      </c>
      <c r="AA255" s="4">
        <v>-0.50316300000000003</v>
      </c>
      <c r="AB255" s="4">
        <v>0.226108</v>
      </c>
      <c r="AC255" s="1" t="s">
        <v>633</v>
      </c>
      <c r="AD255" s="1" t="s">
        <v>2927</v>
      </c>
      <c r="AE255" s="1" t="s">
        <v>2928</v>
      </c>
      <c r="AF255" s="1">
        <v>6.29</v>
      </c>
      <c r="AG255" s="1" t="s">
        <v>1003</v>
      </c>
      <c r="AH255" s="1">
        <v>22.978999999999999</v>
      </c>
      <c r="AI255" s="1">
        <v>120.7316</v>
      </c>
      <c r="AJ255" s="1">
        <v>22.6</v>
      </c>
      <c r="AK255" s="1" t="s">
        <v>1028</v>
      </c>
      <c r="AL255" s="1" t="s">
        <v>2834</v>
      </c>
      <c r="AM255" s="1">
        <v>310</v>
      </c>
      <c r="AN255" s="1">
        <v>26</v>
      </c>
      <c r="AO255" s="1">
        <v>42</v>
      </c>
      <c r="AP255" s="1">
        <v>181</v>
      </c>
      <c r="AQ255" s="1">
        <v>72</v>
      </c>
      <c r="AR255" s="1">
        <v>110</v>
      </c>
      <c r="AS255" s="1" t="s">
        <v>2808</v>
      </c>
      <c r="AT255" s="1" t="s">
        <v>731</v>
      </c>
      <c r="AU255" s="1"/>
      <c r="AV255" s="1"/>
      <c r="AW255" s="1"/>
      <c r="AX255" s="1"/>
      <c r="AY255" s="1"/>
      <c r="AZ255" s="1" t="s">
        <v>2812</v>
      </c>
      <c r="BA255" t="s">
        <v>2930</v>
      </c>
    </row>
    <row r="256" spans="1:53" ht="19" customHeight="1">
      <c r="A256" s="4" t="s">
        <v>634</v>
      </c>
      <c r="B256" s="4">
        <v>22.978999999999999</v>
      </c>
      <c r="C256" s="4">
        <v>120.7316</v>
      </c>
      <c r="D256" s="4">
        <v>22.6</v>
      </c>
      <c r="E256" s="4">
        <v>6.29</v>
      </c>
      <c r="F256" s="4" t="s">
        <v>1028</v>
      </c>
      <c r="G256" s="4" t="s">
        <v>1171</v>
      </c>
      <c r="H256" s="4">
        <v>120.3867</v>
      </c>
      <c r="I256" s="4">
        <v>23.294499999999999</v>
      </c>
      <c r="J256" s="4">
        <v>253.85120000000001</v>
      </c>
      <c r="K256" s="4">
        <v>28.142230000000001</v>
      </c>
      <c r="L256" s="4" t="b">
        <v>1</v>
      </c>
      <c r="M256" s="4">
        <v>2.9889999999999999</v>
      </c>
      <c r="N256" s="4" t="b">
        <v>0</v>
      </c>
      <c r="O256" s="4" t="s">
        <v>1029</v>
      </c>
      <c r="P256" s="4" t="b">
        <v>0</v>
      </c>
      <c r="Q256" s="4">
        <v>174.96899999999999</v>
      </c>
      <c r="R256" s="4">
        <v>203.93799999999999</v>
      </c>
      <c r="S256" s="4">
        <v>34.847000000000001</v>
      </c>
      <c r="T256" s="4">
        <v>35.752800000000001</v>
      </c>
      <c r="U256" s="4">
        <v>26.6144</v>
      </c>
      <c r="V256" s="4">
        <v>11.4171</v>
      </c>
      <c r="W256" s="4">
        <v>9.8267199999999999</v>
      </c>
      <c r="X256" s="4">
        <v>6.1083699999999999</v>
      </c>
      <c r="Y256" s="4">
        <v>4.3120000000000003</v>
      </c>
      <c r="Z256" s="4">
        <v>-6.2645000000000006E-2</v>
      </c>
      <c r="AA256" s="4">
        <v>-6.8916000000000005E-2</v>
      </c>
      <c r="AB256" s="4">
        <v>5.8692000000000001E-2</v>
      </c>
      <c r="AC256" s="1" t="s">
        <v>633</v>
      </c>
      <c r="AD256" s="1" t="s">
        <v>2927</v>
      </c>
      <c r="AE256" s="1" t="s">
        <v>2928</v>
      </c>
      <c r="AF256" s="1">
        <v>6.29</v>
      </c>
      <c r="AG256" s="1" t="s">
        <v>1003</v>
      </c>
      <c r="AH256" s="1">
        <v>22.978999999999999</v>
      </c>
      <c r="AI256" s="1">
        <v>120.7316</v>
      </c>
      <c r="AJ256" s="1">
        <v>22.6</v>
      </c>
      <c r="AK256" s="1" t="s">
        <v>1028</v>
      </c>
      <c r="AL256" s="1" t="s">
        <v>2834</v>
      </c>
      <c r="AM256" s="1">
        <v>310</v>
      </c>
      <c r="AN256" s="1">
        <v>26</v>
      </c>
      <c r="AO256" s="1">
        <v>42</v>
      </c>
      <c r="AP256" s="1">
        <v>181</v>
      </c>
      <c r="AQ256" s="1">
        <v>72</v>
      </c>
      <c r="AR256" s="1">
        <v>110</v>
      </c>
      <c r="AS256" s="1" t="s">
        <v>2808</v>
      </c>
      <c r="AT256" s="1" t="s">
        <v>731</v>
      </c>
      <c r="AU256" s="1"/>
      <c r="AV256" s="1"/>
      <c r="AW256" s="1"/>
      <c r="AX256" s="1"/>
      <c r="AY256" s="1"/>
      <c r="AZ256" s="1" t="s">
        <v>2812</v>
      </c>
      <c r="BA256" t="s">
        <v>2930</v>
      </c>
    </row>
    <row r="257" spans="1:53" ht="19" customHeight="1">
      <c r="A257" s="4" t="s">
        <v>634</v>
      </c>
      <c r="B257" s="4">
        <v>22.978999999999999</v>
      </c>
      <c r="C257" s="4">
        <v>120.7316</v>
      </c>
      <c r="D257" s="4">
        <v>22.6</v>
      </c>
      <c r="E257" s="4">
        <v>6.29</v>
      </c>
      <c r="F257" s="4" t="s">
        <v>1028</v>
      </c>
      <c r="G257" s="4" t="s">
        <v>1172</v>
      </c>
      <c r="H257" s="4">
        <v>120.244</v>
      </c>
      <c r="I257" s="4">
        <v>23.292670000000001</v>
      </c>
      <c r="J257" s="4">
        <v>210.34190000000001</v>
      </c>
      <c r="K257" s="4">
        <v>33.986379999999997</v>
      </c>
      <c r="L257" s="4" t="b">
        <v>1</v>
      </c>
      <c r="M257" s="4">
        <v>1.806</v>
      </c>
      <c r="N257" s="4" t="b">
        <v>0</v>
      </c>
      <c r="O257" s="4" t="s">
        <v>1029</v>
      </c>
      <c r="P257" s="4" t="b">
        <v>0</v>
      </c>
      <c r="Q257" s="4">
        <v>89.745000000000005</v>
      </c>
      <c r="R257" s="4">
        <v>147.399</v>
      </c>
      <c r="S257" s="4">
        <v>28.085999999999999</v>
      </c>
      <c r="T257" s="4">
        <v>18.9056</v>
      </c>
      <c r="U257" s="4">
        <v>32.186900000000001</v>
      </c>
      <c r="V257" s="4">
        <v>4.9344900000000003</v>
      </c>
      <c r="W257" s="4">
        <v>7.3064099999999996</v>
      </c>
      <c r="X257" s="4">
        <v>7.4520200000000001</v>
      </c>
      <c r="Y257" s="4">
        <v>2.5872899999999999</v>
      </c>
      <c r="Z257" s="4">
        <v>2.9599E-2</v>
      </c>
      <c r="AA257" s="4">
        <v>2.3622000000000001E-2</v>
      </c>
      <c r="AB257" s="4">
        <v>0.1148</v>
      </c>
      <c r="AC257" s="1" t="s">
        <v>633</v>
      </c>
      <c r="AD257" s="1" t="s">
        <v>2927</v>
      </c>
      <c r="AE257" s="1" t="s">
        <v>2928</v>
      </c>
      <c r="AF257" s="1">
        <v>6.29</v>
      </c>
      <c r="AG257" s="1" t="s">
        <v>1003</v>
      </c>
      <c r="AH257" s="1">
        <v>22.978999999999999</v>
      </c>
      <c r="AI257" s="1">
        <v>120.7316</v>
      </c>
      <c r="AJ257" s="1">
        <v>22.6</v>
      </c>
      <c r="AK257" s="1" t="s">
        <v>1028</v>
      </c>
      <c r="AL257" s="1" t="s">
        <v>2834</v>
      </c>
      <c r="AM257" s="1">
        <v>310</v>
      </c>
      <c r="AN257" s="1">
        <v>26</v>
      </c>
      <c r="AO257" s="1">
        <v>42</v>
      </c>
      <c r="AP257" s="1">
        <v>181</v>
      </c>
      <c r="AQ257" s="1">
        <v>72</v>
      </c>
      <c r="AR257" s="1">
        <v>110</v>
      </c>
      <c r="AS257" s="1" t="s">
        <v>2808</v>
      </c>
      <c r="AT257" s="1" t="s">
        <v>731</v>
      </c>
      <c r="AU257" s="1"/>
      <c r="AV257" s="1"/>
      <c r="AW257" s="1"/>
      <c r="AX257" s="1"/>
      <c r="AY257" s="1"/>
      <c r="AZ257" s="1" t="s">
        <v>2812</v>
      </c>
      <c r="BA257" t="s">
        <v>2930</v>
      </c>
    </row>
    <row r="258" spans="1:53" ht="19" customHeight="1">
      <c r="A258" s="4" t="s">
        <v>634</v>
      </c>
      <c r="B258" s="4">
        <v>22.978999999999999</v>
      </c>
      <c r="C258" s="4">
        <v>120.7316</v>
      </c>
      <c r="D258" s="4">
        <v>22.6</v>
      </c>
      <c r="E258" s="4">
        <v>6.29</v>
      </c>
      <c r="F258" s="4" t="s">
        <v>1028</v>
      </c>
      <c r="G258" s="4" t="s">
        <v>1173</v>
      </c>
      <c r="H258" s="4">
        <v>120.3613</v>
      </c>
      <c r="I258" s="4">
        <v>23.119700000000002</v>
      </c>
      <c r="J258" s="4">
        <v>457.69</v>
      </c>
      <c r="K258" s="4">
        <v>11.535399999999999</v>
      </c>
      <c r="L258" s="4" t="b">
        <v>1</v>
      </c>
      <c r="M258" s="4">
        <v>2.891</v>
      </c>
      <c r="N258" s="4" t="b">
        <v>0</v>
      </c>
      <c r="O258" s="4" t="s">
        <v>1029</v>
      </c>
      <c r="P258" s="4" t="b">
        <v>0</v>
      </c>
      <c r="Q258" s="4">
        <v>163.16532599999999</v>
      </c>
      <c r="R258" s="4">
        <v>136.76641499999999</v>
      </c>
      <c r="S258" s="4">
        <v>143.096868</v>
      </c>
      <c r="T258" s="4">
        <v>31.088429999999999</v>
      </c>
      <c r="U258" s="4">
        <v>15.173655</v>
      </c>
      <c r="V258" s="4">
        <v>13.339755</v>
      </c>
      <c r="W258" s="4">
        <v>11.562950000000001</v>
      </c>
      <c r="X258" s="4">
        <v>4.1340409999999999</v>
      </c>
      <c r="Y258" s="4">
        <v>5.6593619999999998</v>
      </c>
      <c r="Z258" s="4">
        <v>7.7499999999999997E-4</v>
      </c>
      <c r="AA258" s="4">
        <v>3.4417999999999997E-2</v>
      </c>
      <c r="AB258" s="4">
        <v>-5.3020000000000003E-3</v>
      </c>
      <c r="AC258" s="1" t="s">
        <v>633</v>
      </c>
      <c r="AD258" s="1" t="s">
        <v>2927</v>
      </c>
      <c r="AE258" s="1" t="s">
        <v>2928</v>
      </c>
      <c r="AF258" s="1">
        <v>6.29</v>
      </c>
      <c r="AG258" s="1" t="s">
        <v>1003</v>
      </c>
      <c r="AH258" s="1">
        <v>22.978999999999999</v>
      </c>
      <c r="AI258" s="1">
        <v>120.7316</v>
      </c>
      <c r="AJ258" s="1">
        <v>22.6</v>
      </c>
      <c r="AK258" s="1" t="s">
        <v>1028</v>
      </c>
      <c r="AL258" s="1" t="s">
        <v>2834</v>
      </c>
      <c r="AM258" s="1">
        <v>310</v>
      </c>
      <c r="AN258" s="1">
        <v>26</v>
      </c>
      <c r="AO258" s="1">
        <v>42</v>
      </c>
      <c r="AP258" s="1">
        <v>181</v>
      </c>
      <c r="AQ258" s="1">
        <v>72</v>
      </c>
      <c r="AR258" s="1">
        <v>110</v>
      </c>
      <c r="AS258" s="1" t="s">
        <v>2808</v>
      </c>
      <c r="AT258" s="1" t="s">
        <v>731</v>
      </c>
      <c r="AU258" s="1"/>
      <c r="AV258" s="1"/>
      <c r="AW258" s="1"/>
      <c r="AX258" s="1"/>
      <c r="AY258" s="1"/>
      <c r="AZ258" s="1" t="s">
        <v>2812</v>
      </c>
      <c r="BA258" t="s">
        <v>2930</v>
      </c>
    </row>
    <row r="259" spans="1:53" ht="19" customHeight="1">
      <c r="A259" s="4" t="s">
        <v>634</v>
      </c>
      <c r="B259" s="4">
        <v>22.978999999999999</v>
      </c>
      <c r="C259" s="4">
        <v>120.7316</v>
      </c>
      <c r="D259" s="4">
        <v>22.6</v>
      </c>
      <c r="E259" s="4">
        <v>6.29</v>
      </c>
      <c r="F259" s="4" t="s">
        <v>1028</v>
      </c>
      <c r="G259" s="4" t="s">
        <v>1174</v>
      </c>
      <c r="H259" s="4">
        <v>120.2227</v>
      </c>
      <c r="I259" s="4">
        <v>23.347329999999999</v>
      </c>
      <c r="J259" s="4">
        <v>215.9213</v>
      </c>
      <c r="K259" s="4">
        <v>40.274970000000003</v>
      </c>
      <c r="L259" s="4" t="b">
        <v>1</v>
      </c>
      <c r="M259" s="4">
        <v>1.3720000000000001</v>
      </c>
      <c r="N259" s="4" t="b">
        <v>0</v>
      </c>
      <c r="O259" s="4" t="s">
        <v>1029</v>
      </c>
      <c r="P259" s="4" t="b">
        <v>0</v>
      </c>
      <c r="Q259" s="4">
        <v>105.28700000000001</v>
      </c>
      <c r="R259" s="4">
        <v>156.66499999999999</v>
      </c>
      <c r="S259" s="4">
        <v>18.937999999999999</v>
      </c>
      <c r="T259" s="4">
        <v>25.027100000000001</v>
      </c>
      <c r="U259" s="4">
        <v>30.001000000000001</v>
      </c>
      <c r="V259" s="4">
        <v>3.9918499999999999</v>
      </c>
      <c r="W259" s="4">
        <v>6.86015</v>
      </c>
      <c r="X259" s="4">
        <v>8.7479899999999997</v>
      </c>
      <c r="Y259" s="4">
        <v>2.16445</v>
      </c>
      <c r="Z259" s="4">
        <v>0.25458900000000001</v>
      </c>
      <c r="AA259" s="4">
        <v>-0.192134</v>
      </c>
      <c r="AB259" s="4">
        <v>-0.14907100000000001</v>
      </c>
      <c r="AC259" s="1" t="s">
        <v>633</v>
      </c>
      <c r="AD259" s="1" t="s">
        <v>2927</v>
      </c>
      <c r="AE259" s="1" t="s">
        <v>2928</v>
      </c>
      <c r="AF259" s="1">
        <v>6.29</v>
      </c>
      <c r="AG259" s="1" t="s">
        <v>1003</v>
      </c>
      <c r="AH259" s="1">
        <v>22.978999999999999</v>
      </c>
      <c r="AI259" s="1">
        <v>120.7316</v>
      </c>
      <c r="AJ259" s="1">
        <v>22.6</v>
      </c>
      <c r="AK259" s="1" t="s">
        <v>1028</v>
      </c>
      <c r="AL259" s="1" t="s">
        <v>2834</v>
      </c>
      <c r="AM259" s="1">
        <v>310</v>
      </c>
      <c r="AN259" s="1">
        <v>26</v>
      </c>
      <c r="AO259" s="1">
        <v>42</v>
      </c>
      <c r="AP259" s="1">
        <v>181</v>
      </c>
      <c r="AQ259" s="1">
        <v>72</v>
      </c>
      <c r="AR259" s="1">
        <v>110</v>
      </c>
      <c r="AS259" s="1" t="s">
        <v>2808</v>
      </c>
      <c r="AT259" s="1" t="s">
        <v>731</v>
      </c>
      <c r="AU259" s="1"/>
      <c r="AV259" s="1"/>
      <c r="AW259" s="1"/>
      <c r="AX259" s="1"/>
      <c r="AY259" s="1"/>
      <c r="AZ259" s="1" t="s">
        <v>2812</v>
      </c>
      <c r="BA259" t="s">
        <v>2930</v>
      </c>
    </row>
    <row r="260" spans="1:53" ht="19" customHeight="1">
      <c r="A260" s="4" t="s">
        <v>1175</v>
      </c>
      <c r="B260" s="4">
        <v>-43.570999999999998</v>
      </c>
      <c r="C260" s="4">
        <v>172.703</v>
      </c>
      <c r="D260" s="4">
        <v>6</v>
      </c>
      <c r="E260" s="4">
        <v>6.2</v>
      </c>
      <c r="F260" s="4" t="s">
        <v>1055</v>
      </c>
      <c r="G260" s="4" t="s">
        <v>1149</v>
      </c>
      <c r="H260" s="4">
        <v>172.63499999999999</v>
      </c>
      <c r="I260" s="4">
        <v>-43.523600000000002</v>
      </c>
      <c r="J260" s="4">
        <v>141</v>
      </c>
      <c r="K260" s="4">
        <v>5.13</v>
      </c>
      <c r="L260" s="4" t="b">
        <v>1</v>
      </c>
      <c r="M260" s="4">
        <v>1.554</v>
      </c>
      <c r="N260" s="4" t="b">
        <v>0</v>
      </c>
      <c r="O260" s="4" t="s">
        <v>1029</v>
      </c>
      <c r="P260" s="4" t="b">
        <v>0</v>
      </c>
      <c r="Q260" s="4">
        <v>364.29899999999998</v>
      </c>
      <c r="R260" s="4">
        <v>701.74699999999996</v>
      </c>
      <c r="S260" s="4">
        <v>511.89600000000002</v>
      </c>
      <c r="T260" s="4">
        <v>48.255600000000001</v>
      </c>
      <c r="U260" s="4">
        <v>86.572400000000002</v>
      </c>
      <c r="V260" s="4">
        <v>21.0139</v>
      </c>
      <c r="W260" s="4">
        <v>18.4054</v>
      </c>
      <c r="X260" s="4">
        <v>26.980499999999999</v>
      </c>
      <c r="Y260" s="4">
        <v>7.4213199999999997</v>
      </c>
      <c r="Z260" s="4">
        <v>2.5080999999999999E-2</v>
      </c>
      <c r="AA260" s="4">
        <v>0.18226100000000001</v>
      </c>
      <c r="AB260" s="4">
        <v>-7.4635000000000007E-2</v>
      </c>
      <c r="AC260" s="1" t="s">
        <v>638</v>
      </c>
      <c r="AD260" s="1" t="s">
        <v>2804</v>
      </c>
      <c r="AE260" s="1" t="s">
        <v>2805</v>
      </c>
      <c r="AF260" s="1">
        <v>6.2</v>
      </c>
      <c r="AG260" s="1" t="s">
        <v>1003</v>
      </c>
      <c r="AH260" s="1">
        <v>-43.570999999999998</v>
      </c>
      <c r="AI260" s="1">
        <v>172.703</v>
      </c>
      <c r="AJ260" s="1">
        <v>6</v>
      </c>
      <c r="AK260" s="1" t="s">
        <v>1055</v>
      </c>
      <c r="AL260" s="1" t="s">
        <v>2809</v>
      </c>
      <c r="AM260" s="1">
        <v>59</v>
      </c>
      <c r="AN260" s="1">
        <v>67</v>
      </c>
      <c r="AO260" s="1">
        <v>135</v>
      </c>
      <c r="AP260" s="1"/>
      <c r="AQ260" s="1"/>
      <c r="AR260" s="1"/>
      <c r="AS260" s="1" t="s">
        <v>2808</v>
      </c>
      <c r="AT260" s="1" t="s">
        <v>731</v>
      </c>
      <c r="AU260" s="1"/>
      <c r="AV260" s="1"/>
      <c r="AW260" s="1"/>
      <c r="AX260" s="1"/>
      <c r="AY260" s="1"/>
      <c r="AZ260" s="1" t="s">
        <v>2812</v>
      </c>
      <c r="BA260" t="s">
        <v>2931</v>
      </c>
    </row>
    <row r="261" spans="1:53" ht="19" customHeight="1">
      <c r="A261" s="4" t="s">
        <v>1175</v>
      </c>
      <c r="B261" s="4">
        <v>-43.570999999999998</v>
      </c>
      <c r="C261" s="4">
        <v>172.703</v>
      </c>
      <c r="D261" s="4">
        <v>6</v>
      </c>
      <c r="E261" s="4">
        <v>6.2</v>
      </c>
      <c r="F261" s="4" t="s">
        <v>1055</v>
      </c>
      <c r="G261" s="4" t="s">
        <v>1176</v>
      </c>
      <c r="H261" s="4">
        <v>172.70169999999999</v>
      </c>
      <c r="I261" s="4">
        <v>-43.527000000000001</v>
      </c>
      <c r="J261" s="4">
        <v>206</v>
      </c>
      <c r="K261" s="4">
        <v>1.98</v>
      </c>
      <c r="L261" s="4" t="b">
        <v>1</v>
      </c>
      <c r="M261" s="4">
        <v>4.8230000000000004</v>
      </c>
      <c r="N261" s="4" t="b">
        <v>0</v>
      </c>
      <c r="O261" s="4" t="s">
        <v>1029</v>
      </c>
      <c r="P261" s="4" t="b">
        <v>0</v>
      </c>
      <c r="Q261" s="4">
        <v>656.98900000000003</v>
      </c>
      <c r="R261" s="4">
        <v>584.74</v>
      </c>
      <c r="S261" s="4">
        <v>1861.88</v>
      </c>
      <c r="T261" s="4">
        <v>96.657300000000006</v>
      </c>
      <c r="U261" s="4">
        <v>81.309700000000007</v>
      </c>
      <c r="V261" s="4">
        <v>50.756399999999999</v>
      </c>
      <c r="W261" s="4">
        <v>40.386000000000003</v>
      </c>
      <c r="X261" s="4">
        <v>38.4651</v>
      </c>
      <c r="Y261" s="4">
        <v>9.3277800000000006</v>
      </c>
      <c r="Z261" s="4">
        <v>0.451764</v>
      </c>
      <c r="AA261" s="4">
        <v>-0.54387600000000003</v>
      </c>
      <c r="AB261" s="4">
        <v>-4.1847000000000002E-2</v>
      </c>
      <c r="AC261" s="1" t="s">
        <v>638</v>
      </c>
      <c r="AD261" s="1" t="s">
        <v>2804</v>
      </c>
      <c r="AE261" s="1" t="s">
        <v>2805</v>
      </c>
      <c r="AF261" s="1">
        <v>6.2</v>
      </c>
      <c r="AG261" s="1" t="s">
        <v>1003</v>
      </c>
      <c r="AH261" s="1">
        <v>-43.570999999999998</v>
      </c>
      <c r="AI261" s="1">
        <v>172.703</v>
      </c>
      <c r="AJ261" s="1">
        <v>6</v>
      </c>
      <c r="AK261" s="1" t="s">
        <v>1055</v>
      </c>
      <c r="AL261" s="1" t="s">
        <v>2809</v>
      </c>
      <c r="AM261" s="1">
        <v>59</v>
      </c>
      <c r="AN261" s="1">
        <v>67</v>
      </c>
      <c r="AO261" s="1">
        <v>135</v>
      </c>
      <c r="AP261" s="1"/>
      <c r="AQ261" s="1"/>
      <c r="AR261" s="1"/>
      <c r="AS261" s="1" t="s">
        <v>2808</v>
      </c>
      <c r="AT261" s="1" t="s">
        <v>731</v>
      </c>
      <c r="AU261" s="1"/>
      <c r="AV261" s="1"/>
      <c r="AW261" s="1"/>
      <c r="AX261" s="1"/>
      <c r="AY261" s="1"/>
      <c r="AZ261" s="1" t="s">
        <v>2812</v>
      </c>
      <c r="BA261" t="s">
        <v>2931</v>
      </c>
    </row>
    <row r="262" spans="1:53" ht="19" customHeight="1">
      <c r="A262" s="4" t="s">
        <v>647</v>
      </c>
      <c r="B262" s="4">
        <v>23.900400000000001</v>
      </c>
      <c r="C262" s="4">
        <v>121.05370000000001</v>
      </c>
      <c r="D262" s="4">
        <v>19.399999999999999</v>
      </c>
      <c r="E262" s="4">
        <v>6.01</v>
      </c>
      <c r="F262" s="4" t="s">
        <v>1028</v>
      </c>
      <c r="G262" s="4" t="s">
        <v>894</v>
      </c>
      <c r="H262" s="4">
        <v>120.6998</v>
      </c>
      <c r="I262" s="4">
        <v>24.056170000000002</v>
      </c>
      <c r="J262" s="4">
        <v>290.10730000000001</v>
      </c>
      <c r="K262" s="4">
        <v>29.757010000000001</v>
      </c>
      <c r="L262" s="4" t="b">
        <v>1</v>
      </c>
      <c r="M262" s="4">
        <v>1.8759999999999999</v>
      </c>
      <c r="N262" s="4" t="b">
        <v>0</v>
      </c>
      <c r="O262" s="4" t="s">
        <v>1029</v>
      </c>
      <c r="P262" s="4" t="b">
        <v>0</v>
      </c>
      <c r="Q262" s="4">
        <v>135.21199999999999</v>
      </c>
      <c r="R262" s="4">
        <v>108.26300000000001</v>
      </c>
      <c r="S262" s="4">
        <v>46.215000000000003</v>
      </c>
      <c r="T262" s="4">
        <v>21.440300000000001</v>
      </c>
      <c r="U262" s="4">
        <v>10.9222</v>
      </c>
      <c r="V262" s="4">
        <v>8.8855699999999995</v>
      </c>
      <c r="W262" s="4">
        <v>7.5532000000000004</v>
      </c>
      <c r="X262" s="4">
        <v>4.0834299999999999</v>
      </c>
      <c r="Y262" s="4">
        <v>3.28986</v>
      </c>
      <c r="Z262" s="4">
        <v>2.2539E-2</v>
      </c>
      <c r="AA262" s="4">
        <v>-4.5990999999999997E-2</v>
      </c>
      <c r="AB262" s="4">
        <v>-2.1374000000000001E-2</v>
      </c>
      <c r="AC262" s="1" t="s">
        <v>646</v>
      </c>
      <c r="AD262" s="1" t="s">
        <v>2933</v>
      </c>
      <c r="AE262" s="1" t="s">
        <v>2934</v>
      </c>
      <c r="AF262" s="1">
        <v>6.01</v>
      </c>
      <c r="AG262" s="1" t="s">
        <v>1003</v>
      </c>
      <c r="AH262" s="1">
        <v>23.900400000000001</v>
      </c>
      <c r="AI262" s="1">
        <v>121.05370000000001</v>
      </c>
      <c r="AJ262" s="1">
        <v>19.399999999999999</v>
      </c>
      <c r="AK262" s="1" t="s">
        <v>1028</v>
      </c>
      <c r="AL262" s="1" t="s">
        <v>2834</v>
      </c>
      <c r="AM262" s="1">
        <v>8</v>
      </c>
      <c r="AN262" s="1">
        <v>23</v>
      </c>
      <c r="AO262" s="1">
        <v>73</v>
      </c>
      <c r="AP262" s="1">
        <v>207</v>
      </c>
      <c r="AQ262" s="1">
        <v>68</v>
      </c>
      <c r="AR262" s="1">
        <v>97</v>
      </c>
      <c r="AS262" s="1" t="s">
        <v>2808</v>
      </c>
      <c r="AT262" s="1" t="s">
        <v>731</v>
      </c>
      <c r="AU262" s="1"/>
      <c r="AV262" s="1"/>
      <c r="AW262" s="1"/>
      <c r="AX262" s="1"/>
      <c r="AY262" s="1"/>
      <c r="AZ262" s="1" t="s">
        <v>2812</v>
      </c>
      <c r="BA262" t="s">
        <v>2936</v>
      </c>
    </row>
    <row r="263" spans="1:53" ht="19" customHeight="1">
      <c r="A263" s="4" t="s">
        <v>647</v>
      </c>
      <c r="B263" s="4">
        <v>23.900400000000001</v>
      </c>
      <c r="C263" s="4">
        <v>121.05370000000001</v>
      </c>
      <c r="D263" s="4">
        <v>19.399999999999999</v>
      </c>
      <c r="E263" s="4">
        <v>6.01</v>
      </c>
      <c r="F263" s="4" t="s">
        <v>1028</v>
      </c>
      <c r="G263" s="4" t="s">
        <v>1177</v>
      </c>
      <c r="H263" s="4">
        <v>120.7873</v>
      </c>
      <c r="I263" s="4">
        <v>23.827169999999999</v>
      </c>
      <c r="J263" s="4">
        <v>507.48540000000003</v>
      </c>
      <c r="K263" s="4">
        <v>22.29589</v>
      </c>
      <c r="L263" s="4" t="b">
        <v>1</v>
      </c>
      <c r="M263" s="4">
        <v>1.169</v>
      </c>
      <c r="N263" s="4" t="b">
        <v>0</v>
      </c>
      <c r="O263" s="4" t="s">
        <v>1029</v>
      </c>
      <c r="P263" s="4" t="b">
        <v>0</v>
      </c>
      <c r="Q263" s="4">
        <v>193.33799999999999</v>
      </c>
      <c r="R263" s="4">
        <v>86.804000000000002</v>
      </c>
      <c r="S263" s="4">
        <v>29.952000000000002</v>
      </c>
      <c r="T263" s="4">
        <v>27.337199999999999</v>
      </c>
      <c r="U263" s="4">
        <v>7.5670799999999998</v>
      </c>
      <c r="V263" s="4">
        <v>5.4265999999999996</v>
      </c>
      <c r="W263" s="4">
        <v>6.1430600000000002</v>
      </c>
      <c r="X263" s="4">
        <v>1.3351599999999999</v>
      </c>
      <c r="Y263" s="4">
        <v>2.2455400000000001</v>
      </c>
      <c r="Z263" s="4">
        <v>-3.604E-3</v>
      </c>
      <c r="AA263" s="4">
        <v>-9.4473000000000001E-2</v>
      </c>
      <c r="AB263" s="4">
        <v>-0.49417</v>
      </c>
      <c r="AC263" s="1" t="s">
        <v>646</v>
      </c>
      <c r="AD263" s="1" t="s">
        <v>2933</v>
      </c>
      <c r="AE263" s="1" t="s">
        <v>2934</v>
      </c>
      <c r="AF263" s="1">
        <v>6.01</v>
      </c>
      <c r="AG263" s="1" t="s">
        <v>1003</v>
      </c>
      <c r="AH263" s="1">
        <v>23.900400000000001</v>
      </c>
      <c r="AI263" s="1">
        <v>121.05370000000001</v>
      </c>
      <c r="AJ263" s="1">
        <v>19.399999999999999</v>
      </c>
      <c r="AK263" s="1" t="s">
        <v>1028</v>
      </c>
      <c r="AL263" s="1" t="s">
        <v>2834</v>
      </c>
      <c r="AM263" s="1">
        <v>8</v>
      </c>
      <c r="AN263" s="1">
        <v>23</v>
      </c>
      <c r="AO263" s="1">
        <v>73</v>
      </c>
      <c r="AP263" s="1">
        <v>207</v>
      </c>
      <c r="AQ263" s="1">
        <v>68</v>
      </c>
      <c r="AR263" s="1">
        <v>97</v>
      </c>
      <c r="AS263" s="1" t="s">
        <v>2808</v>
      </c>
      <c r="AT263" s="1" t="s">
        <v>731</v>
      </c>
      <c r="AU263" s="1"/>
      <c r="AV263" s="1"/>
      <c r="AW263" s="1"/>
      <c r="AX263" s="1"/>
      <c r="AY263" s="1"/>
      <c r="AZ263" s="1" t="s">
        <v>2812</v>
      </c>
      <c r="BA263" t="s">
        <v>2936</v>
      </c>
    </row>
    <row r="264" spans="1:53" ht="19" customHeight="1">
      <c r="A264" s="4" t="s">
        <v>647</v>
      </c>
      <c r="B264" s="4">
        <v>23.900400000000001</v>
      </c>
      <c r="C264" s="4">
        <v>121.05370000000001</v>
      </c>
      <c r="D264" s="4">
        <v>19.399999999999999</v>
      </c>
      <c r="E264" s="4">
        <v>6.01</v>
      </c>
      <c r="F264" s="4" t="s">
        <v>1028</v>
      </c>
      <c r="G264" s="4" t="s">
        <v>1071</v>
      </c>
      <c r="H264" s="4">
        <v>120.90819999999999</v>
      </c>
      <c r="I264" s="4">
        <v>23.881329999999998</v>
      </c>
      <c r="J264" s="4">
        <v>733.78</v>
      </c>
      <c r="K264" s="4">
        <v>14.90794</v>
      </c>
      <c r="L264" s="4" t="b">
        <v>1</v>
      </c>
      <c r="M264" s="4">
        <v>1.1479999999999999</v>
      </c>
      <c r="N264" s="4" t="b">
        <v>0</v>
      </c>
      <c r="O264" s="4" t="s">
        <v>1029</v>
      </c>
      <c r="P264" s="4" t="b">
        <v>0</v>
      </c>
      <c r="Q264" s="4">
        <v>275.565</v>
      </c>
      <c r="R264" s="4">
        <v>139.596</v>
      </c>
      <c r="S264" s="4">
        <v>78.98</v>
      </c>
      <c r="T264" s="4">
        <v>31.7485</v>
      </c>
      <c r="U264" s="4">
        <v>22.9496</v>
      </c>
      <c r="V264" s="4">
        <v>8.8388200000000001</v>
      </c>
      <c r="W264" s="4">
        <v>6.54725</v>
      </c>
      <c r="X264" s="4">
        <v>5.0920500000000004</v>
      </c>
      <c r="Y264" s="4">
        <v>4.0010500000000002</v>
      </c>
      <c r="Z264" s="4">
        <v>-0.29188900000000001</v>
      </c>
      <c r="AA264" s="4">
        <v>1.6119999999999999E-3</v>
      </c>
      <c r="AB264" s="4">
        <v>0.31169000000000002</v>
      </c>
      <c r="AC264" s="1" t="s">
        <v>646</v>
      </c>
      <c r="AD264" s="1" t="s">
        <v>2933</v>
      </c>
      <c r="AE264" s="1" t="s">
        <v>2934</v>
      </c>
      <c r="AF264" s="1">
        <v>6.01</v>
      </c>
      <c r="AG264" s="1" t="s">
        <v>1003</v>
      </c>
      <c r="AH264" s="1">
        <v>23.900400000000001</v>
      </c>
      <c r="AI264" s="1">
        <v>121.05370000000001</v>
      </c>
      <c r="AJ264" s="1">
        <v>19.399999999999999</v>
      </c>
      <c r="AK264" s="1" t="s">
        <v>1028</v>
      </c>
      <c r="AL264" s="1" t="s">
        <v>2834</v>
      </c>
      <c r="AM264" s="1">
        <v>8</v>
      </c>
      <c r="AN264" s="1">
        <v>23</v>
      </c>
      <c r="AO264" s="1">
        <v>73</v>
      </c>
      <c r="AP264" s="1">
        <v>207</v>
      </c>
      <c r="AQ264" s="1">
        <v>68</v>
      </c>
      <c r="AR264" s="1">
        <v>97</v>
      </c>
      <c r="AS264" s="1" t="s">
        <v>2808</v>
      </c>
      <c r="AT264" s="1" t="s">
        <v>731</v>
      </c>
      <c r="AU264" s="1"/>
      <c r="AV264" s="1"/>
      <c r="AW264" s="1"/>
      <c r="AX264" s="1"/>
      <c r="AY264" s="1"/>
      <c r="AZ264" s="1" t="s">
        <v>2812</v>
      </c>
      <c r="BA264" t="s">
        <v>2936</v>
      </c>
    </row>
    <row r="265" spans="1:53" ht="19" customHeight="1">
      <c r="A265" s="4" t="s">
        <v>647</v>
      </c>
      <c r="B265" s="4">
        <v>23.900400000000001</v>
      </c>
      <c r="C265" s="4">
        <v>121.05370000000001</v>
      </c>
      <c r="D265" s="4">
        <v>19.399999999999999</v>
      </c>
      <c r="E265" s="4">
        <v>6.01</v>
      </c>
      <c r="F265" s="4" t="s">
        <v>1028</v>
      </c>
      <c r="G265" s="4" t="s">
        <v>1146</v>
      </c>
      <c r="H265" s="4">
        <v>120.6918</v>
      </c>
      <c r="I265" s="4">
        <v>23.913830000000001</v>
      </c>
      <c r="J265" s="4">
        <v>242</v>
      </c>
      <c r="K265" s="4">
        <v>29.404250000000001</v>
      </c>
      <c r="L265" s="4" t="b">
        <v>1</v>
      </c>
      <c r="M265" s="4">
        <v>0.86799999999999999</v>
      </c>
      <c r="N265" s="4" t="b">
        <v>0</v>
      </c>
      <c r="O265" s="4" t="s">
        <v>1029</v>
      </c>
      <c r="P265" s="4" t="b">
        <v>0</v>
      </c>
      <c r="Q265" s="4">
        <v>229.65299999999999</v>
      </c>
      <c r="R265" s="4">
        <v>111.05200000000001</v>
      </c>
      <c r="S265" s="4">
        <v>99.263999999999996</v>
      </c>
      <c r="T265" s="4">
        <v>25.346</v>
      </c>
      <c r="U265" s="4">
        <v>9.6032200000000003</v>
      </c>
      <c r="V265" s="4">
        <v>9.5222200000000008</v>
      </c>
      <c r="W265" s="4">
        <v>4.7050700000000001</v>
      </c>
      <c r="X265" s="4">
        <v>1.23214</v>
      </c>
      <c r="Y265" s="4">
        <v>2.7128000000000001</v>
      </c>
      <c r="Z265" s="4">
        <v>-2.3647000000000001E-2</v>
      </c>
      <c r="AA265" s="4">
        <v>1.15E-4</v>
      </c>
      <c r="AB265" s="4">
        <v>-2.5021000000000002E-2</v>
      </c>
      <c r="AC265" s="1" t="s">
        <v>646</v>
      </c>
      <c r="AD265" s="1" t="s">
        <v>2933</v>
      </c>
      <c r="AE265" s="1" t="s">
        <v>2934</v>
      </c>
      <c r="AF265" s="1">
        <v>6.01</v>
      </c>
      <c r="AG265" s="1" t="s">
        <v>1003</v>
      </c>
      <c r="AH265" s="1">
        <v>23.900400000000001</v>
      </c>
      <c r="AI265" s="1">
        <v>121.05370000000001</v>
      </c>
      <c r="AJ265" s="1">
        <v>19.399999999999999</v>
      </c>
      <c r="AK265" s="1" t="s">
        <v>1028</v>
      </c>
      <c r="AL265" s="1" t="s">
        <v>2834</v>
      </c>
      <c r="AM265" s="1">
        <v>8</v>
      </c>
      <c r="AN265" s="1">
        <v>23</v>
      </c>
      <c r="AO265" s="1">
        <v>73</v>
      </c>
      <c r="AP265" s="1">
        <v>207</v>
      </c>
      <c r="AQ265" s="1">
        <v>68</v>
      </c>
      <c r="AR265" s="1">
        <v>97</v>
      </c>
      <c r="AS265" s="1" t="s">
        <v>2808</v>
      </c>
      <c r="AT265" s="1" t="s">
        <v>731</v>
      </c>
      <c r="AU265" s="1"/>
      <c r="AV265" s="1"/>
      <c r="AW265" s="1"/>
      <c r="AX265" s="1"/>
      <c r="AY265" s="1"/>
      <c r="AZ265" s="1" t="s">
        <v>2812</v>
      </c>
      <c r="BA265" t="s">
        <v>2936</v>
      </c>
    </row>
    <row r="266" spans="1:53" ht="19" customHeight="1">
      <c r="A266" s="4" t="s">
        <v>647</v>
      </c>
      <c r="B266" s="4">
        <v>23.900400000000001</v>
      </c>
      <c r="C266" s="4">
        <v>121.05370000000001</v>
      </c>
      <c r="D266" s="4">
        <v>19.399999999999999</v>
      </c>
      <c r="E266" s="4">
        <v>6.01</v>
      </c>
      <c r="F266" s="4" t="s">
        <v>1028</v>
      </c>
      <c r="G266" s="4" t="s">
        <v>1178</v>
      </c>
      <c r="H266" s="4">
        <v>120.6905</v>
      </c>
      <c r="I266" s="4">
        <v>23.95317</v>
      </c>
      <c r="J266" s="4">
        <v>630.45000000000005</v>
      </c>
      <c r="K266" s="4">
        <v>29.178920000000002</v>
      </c>
      <c r="L266" s="4" t="b">
        <v>1</v>
      </c>
      <c r="M266" s="4">
        <v>0.90300000000000002</v>
      </c>
      <c r="N266" s="4" t="b">
        <v>0</v>
      </c>
      <c r="O266" s="4" t="s">
        <v>1029</v>
      </c>
      <c r="P266" s="4" t="b">
        <v>0</v>
      </c>
      <c r="Q266" s="4">
        <v>245.21299999999999</v>
      </c>
      <c r="R266" s="4">
        <v>76.540000000000006</v>
      </c>
      <c r="S266" s="4">
        <v>46.776000000000003</v>
      </c>
      <c r="T266" s="4">
        <v>34.675400000000003</v>
      </c>
      <c r="U266" s="4">
        <v>8.9495199999999997</v>
      </c>
      <c r="V266" s="4">
        <v>6.0035400000000001</v>
      </c>
      <c r="W266" s="4">
        <v>5.9784199999999998</v>
      </c>
      <c r="X266" s="4">
        <v>1.4771000000000001</v>
      </c>
      <c r="Y266" s="4">
        <v>2.7266699999999999</v>
      </c>
      <c r="Z266" s="4">
        <v>3.0664E-2</v>
      </c>
      <c r="AA266" s="4">
        <v>9.9889999999999996E-3</v>
      </c>
      <c r="AB266" s="4">
        <v>8.5999999999999993E-2</v>
      </c>
      <c r="AC266" s="1" t="s">
        <v>646</v>
      </c>
      <c r="AD266" s="1" t="s">
        <v>2933</v>
      </c>
      <c r="AE266" s="1" t="s">
        <v>2934</v>
      </c>
      <c r="AF266" s="1">
        <v>6.01</v>
      </c>
      <c r="AG266" s="1" t="s">
        <v>1003</v>
      </c>
      <c r="AH266" s="1">
        <v>23.900400000000001</v>
      </c>
      <c r="AI266" s="1">
        <v>121.05370000000001</v>
      </c>
      <c r="AJ266" s="1">
        <v>19.399999999999999</v>
      </c>
      <c r="AK266" s="1" t="s">
        <v>1028</v>
      </c>
      <c r="AL266" s="1" t="s">
        <v>2834</v>
      </c>
      <c r="AM266" s="1">
        <v>8</v>
      </c>
      <c r="AN266" s="1">
        <v>23</v>
      </c>
      <c r="AO266" s="1">
        <v>73</v>
      </c>
      <c r="AP266" s="1">
        <v>207</v>
      </c>
      <c r="AQ266" s="1">
        <v>68</v>
      </c>
      <c r="AR266" s="1">
        <v>97</v>
      </c>
      <c r="AS266" s="1" t="s">
        <v>2808</v>
      </c>
      <c r="AT266" s="1" t="s">
        <v>731</v>
      </c>
      <c r="AU266" s="1"/>
      <c r="AV266" s="1"/>
      <c r="AW266" s="1"/>
      <c r="AX266" s="1"/>
      <c r="AY266" s="1"/>
      <c r="AZ266" s="1" t="s">
        <v>2812</v>
      </c>
      <c r="BA266" t="s">
        <v>2936</v>
      </c>
    </row>
    <row r="267" spans="1:53" ht="19" customHeight="1">
      <c r="A267" s="4" t="s">
        <v>647</v>
      </c>
      <c r="B267" s="4">
        <v>23.900400000000001</v>
      </c>
      <c r="C267" s="4">
        <v>121.05370000000001</v>
      </c>
      <c r="D267" s="4">
        <v>19.399999999999999</v>
      </c>
      <c r="E267" s="4">
        <v>6.01</v>
      </c>
      <c r="F267" s="4" t="s">
        <v>1028</v>
      </c>
      <c r="G267" s="4" t="s">
        <v>1179</v>
      </c>
      <c r="H267" s="4">
        <v>120.7632</v>
      </c>
      <c r="I267" s="4">
        <v>23.879829999999998</v>
      </c>
      <c r="J267" s="4">
        <v>465.91090000000003</v>
      </c>
      <c r="K267" s="4">
        <v>23.625789999999999</v>
      </c>
      <c r="L267" s="4" t="b">
        <v>1</v>
      </c>
      <c r="M267" s="4">
        <v>1.274</v>
      </c>
      <c r="N267" s="4" t="b">
        <v>0</v>
      </c>
      <c r="O267" s="4" t="s">
        <v>1029</v>
      </c>
      <c r="P267" s="4" t="b">
        <v>0</v>
      </c>
      <c r="Q267" s="4">
        <v>445.66899999999998</v>
      </c>
      <c r="R267" s="4">
        <v>239.71100000000001</v>
      </c>
      <c r="S267" s="4">
        <v>75.772000000000006</v>
      </c>
      <c r="T267" s="4">
        <v>61.593400000000003</v>
      </c>
      <c r="U267" s="4">
        <v>13.5024</v>
      </c>
      <c r="V267" s="4">
        <v>7.1587800000000001</v>
      </c>
      <c r="W267" s="4">
        <v>10.4498</v>
      </c>
      <c r="X267" s="4">
        <v>1.45642</v>
      </c>
      <c r="Y267" s="4">
        <v>1.97142</v>
      </c>
      <c r="Z267" s="4">
        <v>-2.0059E-2</v>
      </c>
      <c r="AA267" s="4">
        <v>-1.0214000000000001E-2</v>
      </c>
      <c r="AB267" s="4">
        <v>-1.8187999999999999E-2</v>
      </c>
      <c r="AC267" s="1" t="s">
        <v>646</v>
      </c>
      <c r="AD267" s="1" t="s">
        <v>2933</v>
      </c>
      <c r="AE267" s="1" t="s">
        <v>2934</v>
      </c>
      <c r="AF267" s="1">
        <v>6.01</v>
      </c>
      <c r="AG267" s="1" t="s">
        <v>1003</v>
      </c>
      <c r="AH267" s="1">
        <v>23.900400000000001</v>
      </c>
      <c r="AI267" s="1">
        <v>121.05370000000001</v>
      </c>
      <c r="AJ267" s="1">
        <v>19.399999999999999</v>
      </c>
      <c r="AK267" s="1" t="s">
        <v>1028</v>
      </c>
      <c r="AL267" s="1" t="s">
        <v>2834</v>
      </c>
      <c r="AM267" s="1">
        <v>8</v>
      </c>
      <c r="AN267" s="1">
        <v>23</v>
      </c>
      <c r="AO267" s="1">
        <v>73</v>
      </c>
      <c r="AP267" s="1">
        <v>207</v>
      </c>
      <c r="AQ267" s="1">
        <v>68</v>
      </c>
      <c r="AR267" s="1">
        <v>97</v>
      </c>
      <c r="AS267" s="1" t="s">
        <v>2808</v>
      </c>
      <c r="AT267" s="1" t="s">
        <v>731</v>
      </c>
      <c r="AU267" s="1"/>
      <c r="AV267" s="1"/>
      <c r="AW267" s="1"/>
      <c r="AX267" s="1"/>
      <c r="AY267" s="1"/>
      <c r="AZ267" s="1" t="s">
        <v>2812</v>
      </c>
      <c r="BA267" t="s">
        <v>2936</v>
      </c>
    </row>
    <row r="268" spans="1:53" ht="19" customHeight="1">
      <c r="A268" s="4" t="s">
        <v>652</v>
      </c>
      <c r="B268" s="4">
        <v>23.8583</v>
      </c>
      <c r="C268" s="4">
        <v>120.97620000000001</v>
      </c>
      <c r="D268" s="4">
        <v>14.5</v>
      </c>
      <c r="E268" s="4">
        <v>6.3</v>
      </c>
      <c r="F268" s="4" t="s">
        <v>1028</v>
      </c>
      <c r="G268" s="4" t="s">
        <v>1180</v>
      </c>
      <c r="H268" s="4">
        <v>120.58580000000001</v>
      </c>
      <c r="I268" s="4">
        <v>23.722169999999998</v>
      </c>
      <c r="J268" s="4">
        <v>374.01819999999998</v>
      </c>
      <c r="K268" s="4">
        <v>27.398119999999999</v>
      </c>
      <c r="L268" s="4" t="b">
        <v>1</v>
      </c>
      <c r="M268" s="4">
        <v>1.778</v>
      </c>
      <c r="N268" s="4" t="b">
        <v>0</v>
      </c>
      <c r="O268" s="4" t="s">
        <v>1029</v>
      </c>
      <c r="P268" s="4" t="b">
        <v>0</v>
      </c>
      <c r="Q268" s="4">
        <v>180.95</v>
      </c>
      <c r="R268" s="4">
        <v>204.26900000000001</v>
      </c>
      <c r="S268" s="4">
        <v>63.253</v>
      </c>
      <c r="T268" s="4">
        <v>40.190399999999997</v>
      </c>
      <c r="U268" s="4">
        <v>22.013400000000001</v>
      </c>
      <c r="V268" s="4">
        <v>14.104100000000001</v>
      </c>
      <c r="W268" s="4">
        <v>10.568</v>
      </c>
      <c r="X268" s="4">
        <v>6.1605999999999996</v>
      </c>
      <c r="Y268" s="4">
        <v>3.8863099999999999</v>
      </c>
      <c r="Z268" s="4">
        <v>0.123568</v>
      </c>
      <c r="AA268" s="4">
        <v>-1.0314399999999999</v>
      </c>
      <c r="AB268" s="4">
        <v>0.67508800000000002</v>
      </c>
      <c r="AC268" s="1" t="s">
        <v>651</v>
      </c>
      <c r="AD268" s="1" t="s">
        <v>2937</v>
      </c>
      <c r="AE268" s="1" t="s">
        <v>2938</v>
      </c>
      <c r="AF268" s="1">
        <v>6.3</v>
      </c>
      <c r="AG268" s="1" t="s">
        <v>1003</v>
      </c>
      <c r="AH268" s="1">
        <v>23.8583</v>
      </c>
      <c r="AI268" s="1">
        <v>120.97620000000001</v>
      </c>
      <c r="AJ268" s="1">
        <v>14.5</v>
      </c>
      <c r="AK268" s="1" t="s">
        <v>1028</v>
      </c>
      <c r="AL268" s="1" t="s">
        <v>2834</v>
      </c>
      <c r="AM268" s="1">
        <v>14</v>
      </c>
      <c r="AN268" s="1">
        <v>29</v>
      </c>
      <c r="AO268" s="1">
        <v>87</v>
      </c>
      <c r="AP268" s="1">
        <v>198</v>
      </c>
      <c r="AQ268" s="1">
        <v>61</v>
      </c>
      <c r="AR268" s="1">
        <v>92</v>
      </c>
      <c r="AS268" s="1" t="s">
        <v>2808</v>
      </c>
      <c r="AT268" s="1" t="s">
        <v>731</v>
      </c>
      <c r="AU268" s="1"/>
      <c r="AV268" s="1"/>
      <c r="AW268" s="1"/>
      <c r="AX268" s="1"/>
      <c r="AY268" s="1"/>
      <c r="AZ268" s="1" t="s">
        <v>2812</v>
      </c>
      <c r="BA268" t="s">
        <v>2940</v>
      </c>
    </row>
    <row r="269" spans="1:53" ht="19" customHeight="1">
      <c r="A269" s="4" t="s">
        <v>652</v>
      </c>
      <c r="B269" s="4">
        <v>23.8583</v>
      </c>
      <c r="C269" s="4">
        <v>120.97620000000001</v>
      </c>
      <c r="D269" s="4">
        <v>14.5</v>
      </c>
      <c r="E269" s="4">
        <v>6.3</v>
      </c>
      <c r="F269" s="4" t="s">
        <v>1028</v>
      </c>
      <c r="G269" s="4" t="s">
        <v>144</v>
      </c>
      <c r="H269" s="4">
        <v>120.9712</v>
      </c>
      <c r="I269" s="4">
        <v>23.96133</v>
      </c>
      <c r="J269" s="4">
        <v>558.24339999999995</v>
      </c>
      <c r="K269" s="4">
        <v>13.38852</v>
      </c>
      <c r="L269" s="4" t="b">
        <v>1</v>
      </c>
      <c r="M269" s="4">
        <v>0.91700000000000004</v>
      </c>
      <c r="N269" s="4" t="b">
        <v>0</v>
      </c>
      <c r="O269" s="4" t="s">
        <v>1029</v>
      </c>
      <c r="P269" s="4" t="b">
        <v>0</v>
      </c>
      <c r="Q269" s="4">
        <v>281.00099999999998</v>
      </c>
      <c r="R269" s="4">
        <v>160.15899999999999</v>
      </c>
      <c r="S269" s="4">
        <v>76.674000000000007</v>
      </c>
      <c r="T269" s="4">
        <v>31.171299999999999</v>
      </c>
      <c r="U269" s="4">
        <v>17.335699999999999</v>
      </c>
      <c r="V269" s="4">
        <v>6.0476000000000001</v>
      </c>
      <c r="W269" s="4">
        <v>4.0420699999999998</v>
      </c>
      <c r="X269" s="4">
        <v>3.21271</v>
      </c>
      <c r="Y269" s="4">
        <v>2.1594000000000002</v>
      </c>
      <c r="Z269" s="4">
        <v>-3.6491999999999997E-2</v>
      </c>
      <c r="AA269" s="4">
        <v>3.4887000000000001E-2</v>
      </c>
      <c r="AB269" s="4">
        <v>-2.2342999999999998E-2</v>
      </c>
      <c r="AC269" s="1" t="s">
        <v>651</v>
      </c>
      <c r="AD269" s="1" t="s">
        <v>2937</v>
      </c>
      <c r="AE269" s="1" t="s">
        <v>2938</v>
      </c>
      <c r="AF269" s="1">
        <v>6.3</v>
      </c>
      <c r="AG269" s="1" t="s">
        <v>1003</v>
      </c>
      <c r="AH269" s="1">
        <v>23.8583</v>
      </c>
      <c r="AI269" s="1">
        <v>120.97620000000001</v>
      </c>
      <c r="AJ269" s="1">
        <v>14.5</v>
      </c>
      <c r="AK269" s="1" t="s">
        <v>1028</v>
      </c>
      <c r="AL269" s="1" t="s">
        <v>2834</v>
      </c>
      <c r="AM269" s="1">
        <v>14</v>
      </c>
      <c r="AN269" s="1">
        <v>29</v>
      </c>
      <c r="AO269" s="1">
        <v>87</v>
      </c>
      <c r="AP269" s="1">
        <v>198</v>
      </c>
      <c r="AQ269" s="1">
        <v>61</v>
      </c>
      <c r="AR269" s="1">
        <v>92</v>
      </c>
      <c r="AS269" s="1" t="s">
        <v>2808</v>
      </c>
      <c r="AT269" s="1" t="s">
        <v>731</v>
      </c>
      <c r="AU269" s="1"/>
      <c r="AV269" s="1"/>
      <c r="AW269" s="1"/>
      <c r="AX269" s="1"/>
      <c r="AY269" s="1"/>
      <c r="AZ269" s="1" t="s">
        <v>2812</v>
      </c>
      <c r="BA269" t="s">
        <v>2940</v>
      </c>
    </row>
    <row r="270" spans="1:53" ht="19" customHeight="1">
      <c r="A270" s="4" t="s">
        <v>652</v>
      </c>
      <c r="B270" s="4">
        <v>23.8583</v>
      </c>
      <c r="C270" s="4">
        <v>120.97620000000001</v>
      </c>
      <c r="D270" s="4">
        <v>14.5</v>
      </c>
      <c r="E270" s="4">
        <v>6.3</v>
      </c>
      <c r="F270" s="4" t="s">
        <v>1028</v>
      </c>
      <c r="G270" s="4" t="s">
        <v>1177</v>
      </c>
      <c r="H270" s="4">
        <v>120.7873</v>
      </c>
      <c r="I270" s="4">
        <v>23.827169999999999</v>
      </c>
      <c r="J270" s="4">
        <v>507.48540000000003</v>
      </c>
      <c r="K270" s="4">
        <v>9.3433170000000008</v>
      </c>
      <c r="L270" s="4" t="b">
        <v>1</v>
      </c>
      <c r="M270" s="4">
        <v>1.8759999999999999</v>
      </c>
      <c r="N270" s="4" t="b">
        <v>0</v>
      </c>
      <c r="O270" s="4" t="s">
        <v>1029</v>
      </c>
      <c r="P270" s="4" t="b">
        <v>0</v>
      </c>
      <c r="Q270" s="4">
        <v>312.327</v>
      </c>
      <c r="R270" s="4">
        <v>190.583</v>
      </c>
      <c r="S270" s="4">
        <v>84.236999999999995</v>
      </c>
      <c r="T270" s="4">
        <v>39.685299999999998</v>
      </c>
      <c r="U270" s="4">
        <v>14.328900000000001</v>
      </c>
      <c r="V270" s="4">
        <v>11.2599</v>
      </c>
      <c r="W270" s="4">
        <v>7.0760300000000003</v>
      </c>
      <c r="X270" s="4">
        <v>3.3342299999999998</v>
      </c>
      <c r="Y270" s="4">
        <v>5.9171500000000004</v>
      </c>
      <c r="Z270" s="4">
        <v>-1.9796999999999999E-2</v>
      </c>
      <c r="AA270" s="4">
        <v>-0.18532100000000001</v>
      </c>
      <c r="AB270" s="4">
        <v>9.2355999999999994E-2</v>
      </c>
      <c r="AC270" s="1" t="s">
        <v>651</v>
      </c>
      <c r="AD270" s="1" t="s">
        <v>2937</v>
      </c>
      <c r="AE270" s="1" t="s">
        <v>2938</v>
      </c>
      <c r="AF270" s="1">
        <v>6.3</v>
      </c>
      <c r="AG270" s="1" t="s">
        <v>1003</v>
      </c>
      <c r="AH270" s="1">
        <v>23.8583</v>
      </c>
      <c r="AI270" s="1">
        <v>120.97620000000001</v>
      </c>
      <c r="AJ270" s="1">
        <v>14.5</v>
      </c>
      <c r="AK270" s="1" t="s">
        <v>1028</v>
      </c>
      <c r="AL270" s="1" t="s">
        <v>2834</v>
      </c>
      <c r="AM270" s="1">
        <v>14</v>
      </c>
      <c r="AN270" s="1">
        <v>29</v>
      </c>
      <c r="AO270" s="1">
        <v>87</v>
      </c>
      <c r="AP270" s="1">
        <v>198</v>
      </c>
      <c r="AQ270" s="1">
        <v>61</v>
      </c>
      <c r="AR270" s="1">
        <v>92</v>
      </c>
      <c r="AS270" s="1" t="s">
        <v>2808</v>
      </c>
      <c r="AT270" s="1" t="s">
        <v>731</v>
      </c>
      <c r="AU270" s="1"/>
      <c r="AV270" s="1"/>
      <c r="AW270" s="1"/>
      <c r="AX270" s="1"/>
      <c r="AY270" s="1"/>
      <c r="AZ270" s="1" t="s">
        <v>2812</v>
      </c>
      <c r="BA270" t="s">
        <v>2940</v>
      </c>
    </row>
    <row r="271" spans="1:53" ht="19" customHeight="1">
      <c r="A271" s="4" t="s">
        <v>652</v>
      </c>
      <c r="B271" s="4">
        <v>23.8583</v>
      </c>
      <c r="C271" s="4">
        <v>120.97620000000001</v>
      </c>
      <c r="D271" s="4">
        <v>14.5</v>
      </c>
      <c r="E271" s="4">
        <v>6.3</v>
      </c>
      <c r="F271" s="4" t="s">
        <v>1028</v>
      </c>
      <c r="G271" s="4" t="s">
        <v>1181</v>
      </c>
      <c r="H271" s="4">
        <v>120.6862</v>
      </c>
      <c r="I271" s="4">
        <v>23.76333</v>
      </c>
      <c r="J271" s="4">
        <v>469.07900000000001</v>
      </c>
      <c r="K271" s="4">
        <v>17.531199999999998</v>
      </c>
      <c r="L271" s="4" t="b">
        <v>1</v>
      </c>
      <c r="M271" s="4">
        <v>1.113</v>
      </c>
      <c r="N271" s="4" t="b">
        <v>0</v>
      </c>
      <c r="O271" s="4" t="s">
        <v>1029</v>
      </c>
      <c r="P271" s="4" t="b">
        <v>0</v>
      </c>
      <c r="Q271" s="4">
        <v>227.12299999999999</v>
      </c>
      <c r="R271" s="4">
        <v>320.63799999999998</v>
      </c>
      <c r="S271" s="4">
        <v>80.385000000000005</v>
      </c>
      <c r="T271" s="4">
        <v>35.4071</v>
      </c>
      <c r="U271" s="4">
        <v>20.974599999999999</v>
      </c>
      <c r="V271" s="4">
        <v>8.5016499999999997</v>
      </c>
      <c r="W271" s="4">
        <v>9.9787300000000005</v>
      </c>
      <c r="X271" s="4">
        <v>5.2626799999999996</v>
      </c>
      <c r="Y271" s="4">
        <v>4.44496</v>
      </c>
      <c r="Z271" s="4">
        <v>-0.401974</v>
      </c>
      <c r="AA271" s="4">
        <v>-0.93207799999999996</v>
      </c>
      <c r="AB271" s="4">
        <v>0.141012</v>
      </c>
      <c r="AC271" s="1" t="s">
        <v>651</v>
      </c>
      <c r="AD271" s="1" t="s">
        <v>2937</v>
      </c>
      <c r="AE271" s="1" t="s">
        <v>2938</v>
      </c>
      <c r="AF271" s="1">
        <v>6.3</v>
      </c>
      <c r="AG271" s="1" t="s">
        <v>1003</v>
      </c>
      <c r="AH271" s="1">
        <v>23.8583</v>
      </c>
      <c r="AI271" s="1">
        <v>120.97620000000001</v>
      </c>
      <c r="AJ271" s="1">
        <v>14.5</v>
      </c>
      <c r="AK271" s="1" t="s">
        <v>1028</v>
      </c>
      <c r="AL271" s="1" t="s">
        <v>2834</v>
      </c>
      <c r="AM271" s="1">
        <v>14</v>
      </c>
      <c r="AN271" s="1">
        <v>29</v>
      </c>
      <c r="AO271" s="1">
        <v>87</v>
      </c>
      <c r="AP271" s="1">
        <v>198</v>
      </c>
      <c r="AQ271" s="1">
        <v>61</v>
      </c>
      <c r="AR271" s="1">
        <v>92</v>
      </c>
      <c r="AS271" s="1" t="s">
        <v>2808</v>
      </c>
      <c r="AT271" s="1" t="s">
        <v>731</v>
      </c>
      <c r="AU271" s="1"/>
      <c r="AV271" s="1"/>
      <c r="AW271" s="1"/>
      <c r="AX271" s="1"/>
      <c r="AY271" s="1"/>
      <c r="AZ271" s="1" t="s">
        <v>2812</v>
      </c>
      <c r="BA271" t="s">
        <v>2940</v>
      </c>
    </row>
    <row r="272" spans="1:53" ht="19" customHeight="1">
      <c r="A272" s="4" t="s">
        <v>652</v>
      </c>
      <c r="B272" s="4">
        <v>23.8583</v>
      </c>
      <c r="C272" s="4">
        <v>120.97620000000001</v>
      </c>
      <c r="D272" s="4">
        <v>14.5</v>
      </c>
      <c r="E272" s="4">
        <v>6.3</v>
      </c>
      <c r="F272" s="4" t="s">
        <v>1028</v>
      </c>
      <c r="G272" s="4" t="s">
        <v>1182</v>
      </c>
      <c r="H272" s="4">
        <v>120.7685</v>
      </c>
      <c r="I272" s="4">
        <v>23.6645</v>
      </c>
      <c r="J272" s="4">
        <v>363.85</v>
      </c>
      <c r="K272" s="4">
        <v>14.518269999999999</v>
      </c>
      <c r="L272" s="4" t="b">
        <v>1</v>
      </c>
      <c r="M272" s="4">
        <v>1.19</v>
      </c>
      <c r="N272" s="4" t="b">
        <v>0</v>
      </c>
      <c r="O272" s="4" t="s">
        <v>1029</v>
      </c>
      <c r="P272" s="4" t="b">
        <v>0</v>
      </c>
      <c r="Q272" s="4">
        <v>741.86800000000005</v>
      </c>
      <c r="R272" s="4">
        <v>696.577</v>
      </c>
      <c r="S272" s="4">
        <v>262.08</v>
      </c>
      <c r="T272" s="4">
        <v>59.735700000000001</v>
      </c>
      <c r="U272" s="4">
        <v>50.346600000000002</v>
      </c>
      <c r="V272" s="4">
        <v>20.711500000000001</v>
      </c>
      <c r="W272" s="4">
        <v>9.8645999999999994</v>
      </c>
      <c r="X272" s="4">
        <v>8.3791100000000007</v>
      </c>
      <c r="Y272" s="4">
        <v>5.1502299999999996</v>
      </c>
      <c r="Z272" s="4">
        <v>-1.2165E-2</v>
      </c>
      <c r="AA272" s="4">
        <v>-7.4481000000000006E-2</v>
      </c>
      <c r="AB272" s="4">
        <v>5.3421999999999997E-2</v>
      </c>
      <c r="AC272" s="1" t="s">
        <v>651</v>
      </c>
      <c r="AD272" s="1" t="s">
        <v>2937</v>
      </c>
      <c r="AE272" s="1" t="s">
        <v>2938</v>
      </c>
      <c r="AF272" s="1">
        <v>6.3</v>
      </c>
      <c r="AG272" s="1" t="s">
        <v>1003</v>
      </c>
      <c r="AH272" s="1">
        <v>23.8583</v>
      </c>
      <c r="AI272" s="1">
        <v>120.97620000000001</v>
      </c>
      <c r="AJ272" s="1">
        <v>14.5</v>
      </c>
      <c r="AK272" s="1" t="s">
        <v>1028</v>
      </c>
      <c r="AL272" s="1" t="s">
        <v>2834</v>
      </c>
      <c r="AM272" s="1">
        <v>14</v>
      </c>
      <c r="AN272" s="1">
        <v>29</v>
      </c>
      <c r="AO272" s="1">
        <v>87</v>
      </c>
      <c r="AP272" s="1">
        <v>198</v>
      </c>
      <c r="AQ272" s="1">
        <v>61</v>
      </c>
      <c r="AR272" s="1">
        <v>92</v>
      </c>
      <c r="AS272" s="1" t="s">
        <v>2808</v>
      </c>
      <c r="AT272" s="1" t="s">
        <v>731</v>
      </c>
      <c r="AU272" s="1"/>
      <c r="AV272" s="1"/>
      <c r="AW272" s="1"/>
      <c r="AX272" s="1"/>
      <c r="AY272" s="1"/>
      <c r="AZ272" s="1" t="s">
        <v>2812</v>
      </c>
      <c r="BA272" t="s">
        <v>2940</v>
      </c>
    </row>
    <row r="273" spans="1:53" ht="19" customHeight="1">
      <c r="A273" s="4" t="s">
        <v>657</v>
      </c>
      <c r="B273" s="4">
        <v>23.567900000000002</v>
      </c>
      <c r="C273" s="4">
        <v>121.3463</v>
      </c>
      <c r="D273" s="4">
        <v>14.98</v>
      </c>
      <c r="E273" s="4">
        <v>6.32</v>
      </c>
      <c r="F273" s="4" t="s">
        <v>1055</v>
      </c>
      <c r="G273" s="4" t="s">
        <v>1183</v>
      </c>
      <c r="H273" s="4">
        <v>121.4248</v>
      </c>
      <c r="I273" s="4">
        <v>23.66067</v>
      </c>
      <c r="J273" s="4">
        <v>445.75310000000002</v>
      </c>
      <c r="K273" s="4">
        <v>7.7320880000000001</v>
      </c>
      <c r="L273" s="4" t="b">
        <v>1</v>
      </c>
      <c r="M273" s="4">
        <v>2.0720000000000001</v>
      </c>
      <c r="N273" s="4" t="b">
        <v>0</v>
      </c>
      <c r="O273" s="4" t="s">
        <v>1029</v>
      </c>
      <c r="P273" s="4" t="b">
        <v>0</v>
      </c>
      <c r="Q273" s="4">
        <v>330.34699999999998</v>
      </c>
      <c r="R273" s="4">
        <v>231.55799999999999</v>
      </c>
      <c r="S273" s="4">
        <v>516.62199999999996</v>
      </c>
      <c r="T273" s="4">
        <v>40.270600000000002</v>
      </c>
      <c r="U273" s="4">
        <v>21.515699999999999</v>
      </c>
      <c r="V273" s="4">
        <v>18.155899999999999</v>
      </c>
      <c r="W273" s="4">
        <v>11.498799999999999</v>
      </c>
      <c r="X273" s="4">
        <v>5.24064</v>
      </c>
      <c r="Y273" s="4">
        <v>7.5055800000000001</v>
      </c>
      <c r="Z273" s="4">
        <v>-9.2313999999999993E-2</v>
      </c>
      <c r="AA273" s="4">
        <v>-1.9411999999999999E-2</v>
      </c>
      <c r="AB273" s="4">
        <v>3.5236000000000003E-2</v>
      </c>
      <c r="AC273" s="1" t="s">
        <v>656</v>
      </c>
      <c r="AD273" s="1" t="s">
        <v>2942</v>
      </c>
      <c r="AE273" s="1" t="s">
        <v>2943</v>
      </c>
      <c r="AF273" s="1">
        <v>6.32</v>
      </c>
      <c r="AG273" s="1" t="s">
        <v>1003</v>
      </c>
      <c r="AH273" s="1">
        <v>23.567900000000002</v>
      </c>
      <c r="AI273" s="1">
        <v>121.3463</v>
      </c>
      <c r="AJ273" s="1">
        <v>14.98</v>
      </c>
      <c r="AK273" s="1" t="s">
        <v>1055</v>
      </c>
      <c r="AL273" s="1" t="s">
        <v>2834</v>
      </c>
      <c r="AM273" s="1">
        <v>201</v>
      </c>
      <c r="AN273" s="1">
        <v>45</v>
      </c>
      <c r="AO273" s="1">
        <v>39</v>
      </c>
      <c r="AP273" s="1">
        <v>81</v>
      </c>
      <c r="AQ273" s="1">
        <v>63</v>
      </c>
      <c r="AR273" s="1">
        <v>128</v>
      </c>
      <c r="AS273" s="1" t="s">
        <v>2808</v>
      </c>
      <c r="AT273" s="1" t="s">
        <v>731</v>
      </c>
      <c r="AU273" s="1"/>
      <c r="AV273" s="1"/>
      <c r="AW273" s="1"/>
      <c r="AX273" s="1"/>
      <c r="AY273" s="1"/>
      <c r="AZ273" s="1" t="s">
        <v>2812</v>
      </c>
      <c r="BA273" t="s">
        <v>2945</v>
      </c>
    </row>
    <row r="274" spans="1:53" ht="19" customHeight="1">
      <c r="A274" s="4" t="s">
        <v>657</v>
      </c>
      <c r="B274" s="4">
        <v>23.567900000000002</v>
      </c>
      <c r="C274" s="4">
        <v>121.3463</v>
      </c>
      <c r="D274" s="4">
        <v>14.98</v>
      </c>
      <c r="E274" s="4">
        <v>6.32</v>
      </c>
      <c r="F274" s="4" t="s">
        <v>1055</v>
      </c>
      <c r="G274" s="4" t="s">
        <v>1184</v>
      </c>
      <c r="H274" s="4">
        <v>121.42449999999999</v>
      </c>
      <c r="I274" s="4">
        <v>23.670829999999999</v>
      </c>
      <c r="J274" s="4">
        <v>557.05129999999997</v>
      </c>
      <c r="K274" s="4">
        <v>7.9445920000000001</v>
      </c>
      <c r="L274" s="4" t="b">
        <v>1</v>
      </c>
      <c r="M274" s="4">
        <v>1.1619999999999999</v>
      </c>
      <c r="N274" s="4" t="b">
        <v>0</v>
      </c>
      <c r="O274" s="4" t="s">
        <v>1029</v>
      </c>
      <c r="P274" s="4" t="b">
        <v>0</v>
      </c>
      <c r="Q274" s="4">
        <v>278.78800000000001</v>
      </c>
      <c r="R274" s="4">
        <v>257.62</v>
      </c>
      <c r="S274" s="4">
        <v>355.66800000000001</v>
      </c>
      <c r="T274" s="4">
        <v>20.058299999999999</v>
      </c>
      <c r="U274" s="4">
        <v>27.970300000000002</v>
      </c>
      <c r="V274" s="4">
        <v>16.5627</v>
      </c>
      <c r="W274" s="4">
        <v>7.5408600000000003</v>
      </c>
      <c r="X274" s="4">
        <v>6.3541699999999999</v>
      </c>
      <c r="Y274" s="4">
        <v>7.1378199999999996</v>
      </c>
      <c r="Z274" s="4">
        <v>-8.4326999999999999E-2</v>
      </c>
      <c r="AA274" s="4">
        <v>-3.4944999999999997E-2</v>
      </c>
      <c r="AB274" s="4">
        <v>7.3245000000000005E-2</v>
      </c>
      <c r="AC274" s="1" t="s">
        <v>656</v>
      </c>
      <c r="AD274" s="1" t="s">
        <v>2942</v>
      </c>
      <c r="AE274" s="1" t="s">
        <v>2943</v>
      </c>
      <c r="AF274" s="1">
        <v>6.32</v>
      </c>
      <c r="AG274" s="1" t="s">
        <v>1003</v>
      </c>
      <c r="AH274" s="1">
        <v>23.567900000000002</v>
      </c>
      <c r="AI274" s="1">
        <v>121.3463</v>
      </c>
      <c r="AJ274" s="1">
        <v>14.98</v>
      </c>
      <c r="AK274" s="1" t="s">
        <v>1055</v>
      </c>
      <c r="AL274" s="1" t="s">
        <v>2834</v>
      </c>
      <c r="AM274" s="1">
        <v>201</v>
      </c>
      <c r="AN274" s="1">
        <v>45</v>
      </c>
      <c r="AO274" s="1">
        <v>39</v>
      </c>
      <c r="AP274" s="1">
        <v>81</v>
      </c>
      <c r="AQ274" s="1">
        <v>63</v>
      </c>
      <c r="AR274" s="1">
        <v>128</v>
      </c>
      <c r="AS274" s="1" t="s">
        <v>2808</v>
      </c>
      <c r="AT274" s="1" t="s">
        <v>731</v>
      </c>
      <c r="AU274" s="1"/>
      <c r="AV274" s="1"/>
      <c r="AW274" s="1"/>
      <c r="AX274" s="1"/>
      <c r="AY274" s="1"/>
      <c r="AZ274" s="1" t="s">
        <v>2812</v>
      </c>
      <c r="BA274" t="s">
        <v>2945</v>
      </c>
    </row>
    <row r="275" spans="1:53" ht="19" customHeight="1">
      <c r="A275" s="4" t="s">
        <v>657</v>
      </c>
      <c r="B275" s="4">
        <v>23.567900000000002</v>
      </c>
      <c r="C275" s="4">
        <v>121.3463</v>
      </c>
      <c r="D275" s="4">
        <v>14.98</v>
      </c>
      <c r="E275" s="4">
        <v>6.32</v>
      </c>
      <c r="F275" s="4" t="s">
        <v>1055</v>
      </c>
      <c r="G275" s="4" t="s">
        <v>1185</v>
      </c>
      <c r="H275" s="4">
        <v>121.456</v>
      </c>
      <c r="I275" s="4">
        <v>23.783999999999999</v>
      </c>
      <c r="J275" s="4">
        <v>594.05939999999998</v>
      </c>
      <c r="K275" s="4">
        <v>11.158160000000001</v>
      </c>
      <c r="L275" s="4" t="b">
        <v>1</v>
      </c>
      <c r="M275" s="4">
        <v>1.1200000000000001</v>
      </c>
      <c r="N275" s="4" t="b">
        <v>0</v>
      </c>
      <c r="O275" s="4" t="s">
        <v>1029</v>
      </c>
      <c r="P275" s="4" t="b">
        <v>0</v>
      </c>
      <c r="Q275" s="4">
        <v>250.28899999999999</v>
      </c>
      <c r="R275" s="4">
        <v>227.536</v>
      </c>
      <c r="S275" s="4">
        <v>106.84099999999999</v>
      </c>
      <c r="T275" s="4">
        <v>16.6448</v>
      </c>
      <c r="U275" s="4">
        <v>23.3904</v>
      </c>
      <c r="V275" s="4">
        <v>5.9417299999999997</v>
      </c>
      <c r="W275" s="4">
        <v>3.60453</v>
      </c>
      <c r="X275" s="4">
        <v>6.7921199999999997</v>
      </c>
      <c r="Y275" s="4">
        <v>2.2136499999999999</v>
      </c>
      <c r="Z275" s="4">
        <v>-9.2900000000000003E-4</v>
      </c>
      <c r="AA275" s="4">
        <v>9.1889999999999993E-3</v>
      </c>
      <c r="AB275" s="4">
        <v>8.0579999999999992E-3</v>
      </c>
      <c r="AC275" s="1" t="s">
        <v>656</v>
      </c>
      <c r="AD275" s="1" t="s">
        <v>2942</v>
      </c>
      <c r="AE275" s="1" t="s">
        <v>2943</v>
      </c>
      <c r="AF275" s="1">
        <v>6.32</v>
      </c>
      <c r="AG275" s="1" t="s">
        <v>1003</v>
      </c>
      <c r="AH275" s="1">
        <v>23.567900000000002</v>
      </c>
      <c r="AI275" s="1">
        <v>121.3463</v>
      </c>
      <c r="AJ275" s="1">
        <v>14.98</v>
      </c>
      <c r="AK275" s="1" t="s">
        <v>1055</v>
      </c>
      <c r="AL275" s="1" t="s">
        <v>2834</v>
      </c>
      <c r="AM275" s="1">
        <v>201</v>
      </c>
      <c r="AN275" s="1">
        <v>45</v>
      </c>
      <c r="AO275" s="1">
        <v>39</v>
      </c>
      <c r="AP275" s="1">
        <v>81</v>
      </c>
      <c r="AQ275" s="1">
        <v>63</v>
      </c>
      <c r="AR275" s="1">
        <v>128</v>
      </c>
      <c r="AS275" s="1" t="s">
        <v>2808</v>
      </c>
      <c r="AT275" s="1" t="s">
        <v>731</v>
      </c>
      <c r="AU275" s="1"/>
      <c r="AV275" s="1"/>
      <c r="AW275" s="1"/>
      <c r="AX275" s="1"/>
      <c r="AY275" s="1"/>
      <c r="AZ275" s="1" t="s">
        <v>2812</v>
      </c>
      <c r="BA275" t="s">
        <v>2945</v>
      </c>
    </row>
    <row r="276" spans="1:53" ht="19" customHeight="1">
      <c r="A276" s="4" t="s">
        <v>657</v>
      </c>
      <c r="B276" s="4">
        <v>23.567900000000002</v>
      </c>
      <c r="C276" s="4">
        <v>121.3463</v>
      </c>
      <c r="D276" s="4">
        <v>14.98</v>
      </c>
      <c r="E276" s="4">
        <v>6.32</v>
      </c>
      <c r="F276" s="4" t="s">
        <v>1055</v>
      </c>
      <c r="G276" s="4" t="s">
        <v>1186</v>
      </c>
      <c r="H276" s="4">
        <v>121.4198</v>
      </c>
      <c r="I276" s="4">
        <v>23.70833</v>
      </c>
      <c r="J276" s="4">
        <v>636.2672</v>
      </c>
      <c r="K276" s="4">
        <v>9.2026039999999991</v>
      </c>
      <c r="L276" s="4" t="b">
        <v>1</v>
      </c>
      <c r="M276" s="4">
        <v>1.841</v>
      </c>
      <c r="N276" s="4" t="b">
        <v>0</v>
      </c>
      <c r="O276" s="4" t="s">
        <v>1029</v>
      </c>
      <c r="P276" s="4" t="b">
        <v>0</v>
      </c>
      <c r="Q276" s="4">
        <v>333.166</v>
      </c>
      <c r="R276" s="4">
        <v>426.226</v>
      </c>
      <c r="S276" s="4">
        <v>456.37299999999999</v>
      </c>
      <c r="T276" s="4">
        <v>15.5212</v>
      </c>
      <c r="U276" s="4">
        <v>33.926900000000003</v>
      </c>
      <c r="V276" s="4">
        <v>17.164100000000001</v>
      </c>
      <c r="W276" s="4">
        <v>3.7192400000000001</v>
      </c>
      <c r="X276" s="4">
        <v>7.4390400000000003</v>
      </c>
      <c r="Y276" s="4">
        <v>5.5970300000000002</v>
      </c>
      <c r="Z276" s="4">
        <v>3.3015999999999997E-2</v>
      </c>
      <c r="AA276" s="4">
        <v>-3.5758999999999999E-2</v>
      </c>
      <c r="AB276" s="4">
        <v>-5.8580000000000004E-3</v>
      </c>
      <c r="AC276" s="1" t="s">
        <v>656</v>
      </c>
      <c r="AD276" s="1" t="s">
        <v>2942</v>
      </c>
      <c r="AE276" s="1" t="s">
        <v>2943</v>
      </c>
      <c r="AF276" s="1">
        <v>6.32</v>
      </c>
      <c r="AG276" s="1" t="s">
        <v>1003</v>
      </c>
      <c r="AH276" s="1">
        <v>23.567900000000002</v>
      </c>
      <c r="AI276" s="1">
        <v>121.3463</v>
      </c>
      <c r="AJ276" s="1">
        <v>14.98</v>
      </c>
      <c r="AK276" s="1" t="s">
        <v>1055</v>
      </c>
      <c r="AL276" s="1" t="s">
        <v>2834</v>
      </c>
      <c r="AM276" s="1">
        <v>201</v>
      </c>
      <c r="AN276" s="1">
        <v>45</v>
      </c>
      <c r="AO276" s="1">
        <v>39</v>
      </c>
      <c r="AP276" s="1">
        <v>81</v>
      </c>
      <c r="AQ276" s="1">
        <v>63</v>
      </c>
      <c r="AR276" s="1">
        <v>128</v>
      </c>
      <c r="AS276" s="1" t="s">
        <v>2808</v>
      </c>
      <c r="AT276" s="1" t="s">
        <v>731</v>
      </c>
      <c r="AU276" s="1"/>
      <c r="AV276" s="1"/>
      <c r="AW276" s="1"/>
      <c r="AX276" s="1"/>
      <c r="AY276" s="1"/>
      <c r="AZ276" s="1" t="s">
        <v>2812</v>
      </c>
      <c r="BA276" t="s">
        <v>2945</v>
      </c>
    </row>
    <row r="277" spans="1:53" ht="19" customHeight="1">
      <c r="A277" s="4" t="s">
        <v>657</v>
      </c>
      <c r="B277" s="4">
        <v>23.567900000000002</v>
      </c>
      <c r="C277" s="4">
        <v>121.3463</v>
      </c>
      <c r="D277" s="4">
        <v>14.98</v>
      </c>
      <c r="E277" s="4">
        <v>6.32</v>
      </c>
      <c r="F277" s="4" t="s">
        <v>1055</v>
      </c>
      <c r="G277" s="4" t="s">
        <v>1187</v>
      </c>
      <c r="H277" s="4">
        <v>121.4447</v>
      </c>
      <c r="I277" s="4">
        <v>23.730329999999999</v>
      </c>
      <c r="J277" s="4">
        <v>686.10630000000003</v>
      </c>
      <c r="K277" s="4">
        <v>8.6083590000000001</v>
      </c>
      <c r="L277" s="4" t="b">
        <v>1</v>
      </c>
      <c r="M277" s="4">
        <v>1.4630000000000001</v>
      </c>
      <c r="N277" s="4" t="b">
        <v>0</v>
      </c>
      <c r="O277" s="4" t="s">
        <v>1029</v>
      </c>
      <c r="P277" s="4" t="b">
        <v>0</v>
      </c>
      <c r="Q277" s="4">
        <v>319.75200000000001</v>
      </c>
      <c r="R277" s="4">
        <v>460.613</v>
      </c>
      <c r="S277" s="4">
        <v>309.12099999999998</v>
      </c>
      <c r="T277" s="4">
        <v>20.941299999999998</v>
      </c>
      <c r="U277" s="4">
        <v>27.809100000000001</v>
      </c>
      <c r="V277" s="4">
        <v>9.6441300000000005</v>
      </c>
      <c r="W277" s="4">
        <v>5.0075900000000004</v>
      </c>
      <c r="X277" s="4">
        <v>6.5259799999999997</v>
      </c>
      <c r="Y277" s="4">
        <v>3.22661</v>
      </c>
      <c r="Z277" s="4">
        <v>5.0280000000000004E-3</v>
      </c>
      <c r="AA277" s="4">
        <v>6.0170000000000001E-2</v>
      </c>
      <c r="AB277" s="4">
        <v>7.156E-3</v>
      </c>
      <c r="AC277" s="1" t="s">
        <v>656</v>
      </c>
      <c r="AD277" s="1" t="s">
        <v>2942</v>
      </c>
      <c r="AE277" s="1" t="s">
        <v>2943</v>
      </c>
      <c r="AF277" s="1">
        <v>6.32</v>
      </c>
      <c r="AG277" s="1" t="s">
        <v>1003</v>
      </c>
      <c r="AH277" s="1">
        <v>23.567900000000002</v>
      </c>
      <c r="AI277" s="1">
        <v>121.3463</v>
      </c>
      <c r="AJ277" s="1">
        <v>14.98</v>
      </c>
      <c r="AK277" s="1" t="s">
        <v>1055</v>
      </c>
      <c r="AL277" s="1" t="s">
        <v>2834</v>
      </c>
      <c r="AM277" s="1">
        <v>201</v>
      </c>
      <c r="AN277" s="1">
        <v>45</v>
      </c>
      <c r="AO277" s="1">
        <v>39</v>
      </c>
      <c r="AP277" s="1">
        <v>81</v>
      </c>
      <c r="AQ277" s="1">
        <v>63</v>
      </c>
      <c r="AR277" s="1">
        <v>128</v>
      </c>
      <c r="AS277" s="1" t="s">
        <v>2808</v>
      </c>
      <c r="AT277" s="1" t="s">
        <v>731</v>
      </c>
      <c r="AU277" s="1"/>
      <c r="AV277" s="1"/>
      <c r="AW277" s="1"/>
      <c r="AX277" s="1"/>
      <c r="AY277" s="1"/>
      <c r="AZ277" s="1" t="s">
        <v>2812</v>
      </c>
      <c r="BA277" t="s">
        <v>2945</v>
      </c>
    </row>
    <row r="278" spans="1:53" ht="19" customHeight="1">
      <c r="A278" s="4" t="s">
        <v>657</v>
      </c>
      <c r="B278" s="4">
        <v>23.567900000000002</v>
      </c>
      <c r="C278" s="4">
        <v>121.3463</v>
      </c>
      <c r="D278" s="4">
        <v>14.98</v>
      </c>
      <c r="E278" s="4">
        <v>6.32</v>
      </c>
      <c r="F278" s="4" t="s">
        <v>1055</v>
      </c>
      <c r="G278" s="4" t="s">
        <v>1188</v>
      </c>
      <c r="H278" s="4">
        <v>121.5363</v>
      </c>
      <c r="I278" s="4">
        <v>23.651669999999999</v>
      </c>
      <c r="J278" s="4">
        <v>533.04899999999998</v>
      </c>
      <c r="K278" s="4">
        <v>10.65174</v>
      </c>
      <c r="L278" s="4" t="b">
        <v>1</v>
      </c>
      <c r="M278" s="4">
        <v>0.88200000000000001</v>
      </c>
      <c r="N278" s="4" t="b">
        <v>0</v>
      </c>
      <c r="O278" s="4" t="s">
        <v>1029</v>
      </c>
      <c r="P278" s="4" t="b">
        <v>0</v>
      </c>
      <c r="Q278" s="4">
        <v>172.15600000000001</v>
      </c>
      <c r="R278" s="4">
        <v>293.76400000000001</v>
      </c>
      <c r="S278" s="4">
        <v>98.227999999999994</v>
      </c>
      <c r="T278" s="4">
        <v>15.202500000000001</v>
      </c>
      <c r="U278" s="4">
        <v>28.875699999999998</v>
      </c>
      <c r="V278" s="4">
        <v>8.5422100000000007</v>
      </c>
      <c r="W278" s="4">
        <v>4.1490799999999997</v>
      </c>
      <c r="X278" s="4">
        <v>5.5694600000000003</v>
      </c>
      <c r="Y278" s="4">
        <v>4.0891599999999997</v>
      </c>
      <c r="Z278" s="4">
        <v>-5.2574000000000003E-2</v>
      </c>
      <c r="AA278" s="4">
        <v>6.3072000000000003E-2</v>
      </c>
      <c r="AB278" s="4">
        <v>2.4698000000000001E-2</v>
      </c>
      <c r="AC278" s="1" t="s">
        <v>656</v>
      </c>
      <c r="AD278" s="1" t="s">
        <v>2942</v>
      </c>
      <c r="AE278" s="1" t="s">
        <v>2943</v>
      </c>
      <c r="AF278" s="1">
        <v>6.32</v>
      </c>
      <c r="AG278" s="1" t="s">
        <v>1003</v>
      </c>
      <c r="AH278" s="1">
        <v>23.567900000000002</v>
      </c>
      <c r="AI278" s="1">
        <v>121.3463</v>
      </c>
      <c r="AJ278" s="1">
        <v>14.98</v>
      </c>
      <c r="AK278" s="1" t="s">
        <v>1055</v>
      </c>
      <c r="AL278" s="1" t="s">
        <v>2834</v>
      </c>
      <c r="AM278" s="1">
        <v>201</v>
      </c>
      <c r="AN278" s="1">
        <v>45</v>
      </c>
      <c r="AO278" s="1">
        <v>39</v>
      </c>
      <c r="AP278" s="1">
        <v>81</v>
      </c>
      <c r="AQ278" s="1">
        <v>63</v>
      </c>
      <c r="AR278" s="1">
        <v>128</v>
      </c>
      <c r="AS278" s="1" t="s">
        <v>2808</v>
      </c>
      <c r="AT278" s="1" t="s">
        <v>731</v>
      </c>
      <c r="AU278" s="1"/>
      <c r="AV278" s="1"/>
      <c r="AW278" s="1"/>
      <c r="AX278" s="1"/>
      <c r="AY278" s="1"/>
      <c r="AZ278" s="1" t="s">
        <v>2812</v>
      </c>
      <c r="BA278" t="s">
        <v>2945</v>
      </c>
    </row>
    <row r="279" spans="1:53" ht="19" customHeight="1">
      <c r="A279" s="4" t="s">
        <v>661</v>
      </c>
      <c r="B279" s="4">
        <v>28.231000000000002</v>
      </c>
      <c r="C279" s="4">
        <v>84.730999999999995</v>
      </c>
      <c r="D279" s="4">
        <v>8.1999999999999993</v>
      </c>
      <c r="E279" s="4">
        <v>7.8</v>
      </c>
      <c r="F279" s="4" t="s">
        <v>1028</v>
      </c>
      <c r="G279" s="4" t="s">
        <v>1189</v>
      </c>
      <c r="H279" s="4">
        <v>85.315610000000007</v>
      </c>
      <c r="I279" s="4">
        <v>27.712350000000001</v>
      </c>
      <c r="J279" s="4" t="s">
        <v>1029</v>
      </c>
      <c r="K279" s="4">
        <v>13.21</v>
      </c>
      <c r="L279" s="4" t="b">
        <v>1</v>
      </c>
      <c r="M279" s="4">
        <v>6.5590000000000002</v>
      </c>
      <c r="N279" s="4" t="b">
        <v>1</v>
      </c>
      <c r="O279" s="4">
        <v>11.151</v>
      </c>
      <c r="P279" s="4" t="b">
        <v>0</v>
      </c>
      <c r="Q279" s="4">
        <v>154.447</v>
      </c>
      <c r="R279" s="4">
        <v>160</v>
      </c>
      <c r="S279" s="4">
        <v>179.06200000000001</v>
      </c>
      <c r="T279" s="4">
        <v>114.55</v>
      </c>
      <c r="U279" s="4">
        <v>91.417199999999994</v>
      </c>
      <c r="V279" s="4">
        <v>63.887900000000002</v>
      </c>
      <c r="W279" s="4">
        <v>271.98399999999998</v>
      </c>
      <c r="X279" s="4">
        <v>219.477</v>
      </c>
      <c r="Y279" s="4">
        <v>151.88499999999999</v>
      </c>
      <c r="Z279" s="4">
        <v>-257.11500000000001</v>
      </c>
      <c r="AA279" s="4">
        <v>-82.160899999999998</v>
      </c>
      <c r="AB279" s="4">
        <v>126.113</v>
      </c>
      <c r="AC279" s="1" t="s">
        <v>220</v>
      </c>
      <c r="AD279" s="1" t="s">
        <v>2947</v>
      </c>
      <c r="AE279" s="1" t="s">
        <v>2948</v>
      </c>
      <c r="AF279" s="1">
        <v>7.8</v>
      </c>
      <c r="AG279" s="1" t="s">
        <v>1003</v>
      </c>
      <c r="AH279" s="1">
        <v>28.231000000000002</v>
      </c>
      <c r="AI279" s="1">
        <v>84.730999999999995</v>
      </c>
      <c r="AJ279" s="1">
        <v>8.1999999999999993</v>
      </c>
      <c r="AK279" s="1" t="s">
        <v>1028</v>
      </c>
      <c r="AL279" s="1" t="s">
        <v>2834</v>
      </c>
      <c r="AM279" s="1">
        <v>99</v>
      </c>
      <c r="AN279" s="1">
        <v>83</v>
      </c>
      <c r="AO279" s="1">
        <v>89</v>
      </c>
      <c r="AP279" s="1">
        <v>290</v>
      </c>
      <c r="AQ279" s="1">
        <v>7</v>
      </c>
      <c r="AR279" s="1">
        <v>101</v>
      </c>
      <c r="AS279" s="1" t="s">
        <v>2808</v>
      </c>
      <c r="AT279" s="1" t="s">
        <v>862</v>
      </c>
      <c r="AU279" s="1">
        <v>1</v>
      </c>
      <c r="AV279" s="1">
        <v>7.82</v>
      </c>
      <c r="AW279" s="1">
        <v>4.4804000000000004</v>
      </c>
      <c r="AX279" s="1">
        <v>32457.599999999999</v>
      </c>
      <c r="AY279" s="1" t="s">
        <v>1190</v>
      </c>
      <c r="AZ279" s="1" t="s">
        <v>2812</v>
      </c>
      <c r="BA279" t="s">
        <v>2952</v>
      </c>
    </row>
    <row r="280" spans="1:53" ht="19" customHeight="1">
      <c r="A280" s="4" t="s">
        <v>664</v>
      </c>
      <c r="B280" s="4">
        <v>-42.737000000000002</v>
      </c>
      <c r="C280" s="4">
        <v>173.054</v>
      </c>
      <c r="D280" s="4">
        <v>15.1</v>
      </c>
      <c r="E280" s="4">
        <v>7.8</v>
      </c>
      <c r="F280" s="4" t="s">
        <v>1055</v>
      </c>
      <c r="G280" s="4" t="s">
        <v>1191</v>
      </c>
      <c r="H280" s="4">
        <v>173.68212500000001</v>
      </c>
      <c r="I280" s="4">
        <v>-42.425812000000001</v>
      </c>
      <c r="J280" s="4">
        <v>195</v>
      </c>
      <c r="K280" s="4">
        <v>0.7</v>
      </c>
      <c r="L280" s="4" t="b">
        <v>1</v>
      </c>
      <c r="M280" s="4">
        <v>5.74</v>
      </c>
      <c r="N280" s="4" t="b">
        <v>1</v>
      </c>
      <c r="O280" s="4">
        <v>11.276999999999999</v>
      </c>
      <c r="P280" s="4" t="b">
        <v>0</v>
      </c>
      <c r="Q280" s="4">
        <v>244.27500000000001</v>
      </c>
      <c r="R280" s="4">
        <v>191.048</v>
      </c>
      <c r="S280" s="4">
        <v>239.089</v>
      </c>
      <c r="T280" s="4">
        <v>65.737499999999997</v>
      </c>
      <c r="U280" s="4">
        <v>72.062299999999993</v>
      </c>
      <c r="V280" s="4">
        <v>66.128399999999999</v>
      </c>
      <c r="W280" s="4">
        <v>132.59100000000001</v>
      </c>
      <c r="X280" s="4">
        <v>150.31299999999999</v>
      </c>
      <c r="Y280" s="4">
        <v>121.2</v>
      </c>
      <c r="Z280" s="4">
        <v>112.136</v>
      </c>
      <c r="AA280" s="4">
        <v>82.023499999999999</v>
      </c>
      <c r="AB280" s="4">
        <v>73.985100000000003</v>
      </c>
      <c r="AC280" s="1" t="s">
        <v>223</v>
      </c>
      <c r="AD280" s="1" t="s">
        <v>2953</v>
      </c>
      <c r="AE280" s="1" t="s">
        <v>2954</v>
      </c>
      <c r="AF280" s="1">
        <v>7.8</v>
      </c>
      <c r="AG280" s="1" t="s">
        <v>1003</v>
      </c>
      <c r="AH280" s="1">
        <v>-42.737000000000002</v>
      </c>
      <c r="AI280" s="1">
        <v>173.054</v>
      </c>
      <c r="AJ280" s="1">
        <v>15.1</v>
      </c>
      <c r="AK280" s="1" t="s">
        <v>1055</v>
      </c>
      <c r="AL280" s="1" t="s">
        <v>2834</v>
      </c>
      <c r="AM280" s="1">
        <v>354</v>
      </c>
      <c r="AN280" s="1">
        <v>61</v>
      </c>
      <c r="AO280" s="1">
        <v>64</v>
      </c>
      <c r="AP280" s="1">
        <v>219</v>
      </c>
      <c r="AQ280" s="1">
        <v>38</v>
      </c>
      <c r="AR280" s="1">
        <v>128</v>
      </c>
      <c r="AS280" s="1" t="s">
        <v>2808</v>
      </c>
      <c r="AT280" s="1" t="s">
        <v>862</v>
      </c>
      <c r="AU280" s="1">
        <v>5</v>
      </c>
      <c r="AV280" s="1">
        <v>7.89</v>
      </c>
      <c r="AW280" s="1">
        <v>5.2484999999999999</v>
      </c>
      <c r="AX280" s="1">
        <v>38805</v>
      </c>
      <c r="AY280" s="1" t="s">
        <v>1192</v>
      </c>
      <c r="AZ280" s="1" t="s">
        <v>2812</v>
      </c>
      <c r="BA280" t="s">
        <v>2958</v>
      </c>
    </row>
    <row r="281" spans="1:53" ht="19" customHeight="1">
      <c r="A281" s="4" t="s">
        <v>664</v>
      </c>
      <c r="B281" s="4">
        <v>-42.737000000000002</v>
      </c>
      <c r="C281" s="4">
        <v>173.054</v>
      </c>
      <c r="D281" s="4">
        <v>15.1</v>
      </c>
      <c r="E281" s="4">
        <v>7.8</v>
      </c>
      <c r="F281" s="4" t="s">
        <v>1055</v>
      </c>
      <c r="G281" s="4" t="s">
        <v>1193</v>
      </c>
      <c r="H281" s="4">
        <v>174.07644999999999</v>
      </c>
      <c r="I281" s="4">
        <v>-41.672289999999997</v>
      </c>
      <c r="J281" s="4">
        <v>350</v>
      </c>
      <c r="K281" s="4">
        <v>23.2</v>
      </c>
      <c r="L281" s="4" t="b">
        <v>1</v>
      </c>
      <c r="M281" s="4">
        <v>10.997</v>
      </c>
      <c r="N281" s="4" t="b">
        <v>0</v>
      </c>
      <c r="O281" s="4" t="s">
        <v>1029</v>
      </c>
      <c r="P281" s="4" t="b">
        <v>0</v>
      </c>
      <c r="Q281" s="4">
        <v>738.93</v>
      </c>
      <c r="R281" s="4">
        <v>569.95100000000002</v>
      </c>
      <c r="S281" s="4">
        <v>172.42500000000001</v>
      </c>
      <c r="T281" s="4">
        <v>64.4465</v>
      </c>
      <c r="U281" s="4">
        <v>75.546499999999995</v>
      </c>
      <c r="V281" s="4">
        <v>47.450699999999998</v>
      </c>
      <c r="W281" s="4">
        <v>84.985500000000002</v>
      </c>
      <c r="X281" s="4">
        <v>313.084</v>
      </c>
      <c r="Y281" s="4">
        <v>88.039599999999993</v>
      </c>
      <c r="Z281" s="4">
        <v>-24.083400000000001</v>
      </c>
      <c r="AA281" s="4">
        <v>228.84800000000001</v>
      </c>
      <c r="AB281" s="4">
        <v>53.206400000000002</v>
      </c>
      <c r="AC281" s="1" t="s">
        <v>223</v>
      </c>
      <c r="AD281" s="1" t="s">
        <v>2953</v>
      </c>
      <c r="AE281" s="1" t="s">
        <v>2954</v>
      </c>
      <c r="AF281" s="1">
        <v>7.8</v>
      </c>
      <c r="AG281" s="1" t="s">
        <v>1003</v>
      </c>
      <c r="AH281" s="1">
        <v>-42.737000000000002</v>
      </c>
      <c r="AI281" s="1">
        <v>173.054</v>
      </c>
      <c r="AJ281" s="1">
        <v>15.1</v>
      </c>
      <c r="AK281" s="1" t="s">
        <v>1055</v>
      </c>
      <c r="AL281" s="1" t="s">
        <v>2834</v>
      </c>
      <c r="AM281" s="1">
        <v>354</v>
      </c>
      <c r="AN281" s="1">
        <v>61</v>
      </c>
      <c r="AO281" s="1">
        <v>64</v>
      </c>
      <c r="AP281" s="1">
        <v>219</v>
      </c>
      <c r="AQ281" s="1">
        <v>38</v>
      </c>
      <c r="AR281" s="1">
        <v>128</v>
      </c>
      <c r="AS281" s="1" t="s">
        <v>2808</v>
      </c>
      <c r="AT281" s="1" t="s">
        <v>862</v>
      </c>
      <c r="AU281" s="1">
        <v>5</v>
      </c>
      <c r="AV281" s="1">
        <v>7.89</v>
      </c>
      <c r="AW281" s="1">
        <v>5.2484999999999999</v>
      </c>
      <c r="AX281" s="1">
        <v>38805</v>
      </c>
      <c r="AY281" s="1" t="s">
        <v>1192</v>
      </c>
      <c r="AZ281" s="1" t="s">
        <v>2812</v>
      </c>
      <c r="BA281" t="s">
        <v>2958</v>
      </c>
    </row>
    <row r="282" spans="1:53" ht="19" customHeight="1">
      <c r="A282" s="4" t="s">
        <v>1194</v>
      </c>
      <c r="B282" s="4">
        <v>32.790999999999997</v>
      </c>
      <c r="C282" s="4">
        <v>130.75399999999999</v>
      </c>
      <c r="D282" s="4">
        <v>15.1</v>
      </c>
      <c r="E282" s="4">
        <v>7</v>
      </c>
      <c r="F282" s="4" t="s">
        <v>1032</v>
      </c>
      <c r="G282" s="4" t="s">
        <v>1195</v>
      </c>
      <c r="H282" s="4">
        <v>131.12139999999999</v>
      </c>
      <c r="I282" s="4">
        <v>32.932000000000002</v>
      </c>
      <c r="J282" s="4">
        <v>286</v>
      </c>
      <c r="K282" s="4">
        <v>10.61</v>
      </c>
      <c r="L282" s="4" t="b">
        <v>1</v>
      </c>
      <c r="M282" s="4">
        <v>3.9620000000000002</v>
      </c>
      <c r="N282" s="4" t="b">
        <v>0</v>
      </c>
      <c r="O282" s="4" t="s">
        <v>1029</v>
      </c>
      <c r="P282" s="4" t="b">
        <v>0</v>
      </c>
      <c r="Q282" s="4">
        <v>329.66899999999998</v>
      </c>
      <c r="R282" s="4">
        <v>255.89</v>
      </c>
      <c r="S282" s="4">
        <v>226.58199999999999</v>
      </c>
      <c r="T282" s="4">
        <v>80.750500000000002</v>
      </c>
      <c r="U282" s="4">
        <v>74.792100000000005</v>
      </c>
      <c r="V282" s="4">
        <v>22.245200000000001</v>
      </c>
      <c r="W282" s="4">
        <v>71.018799999999999</v>
      </c>
      <c r="X282" s="4">
        <v>43.223300000000002</v>
      </c>
      <c r="Y282" s="4">
        <v>19.292200000000001</v>
      </c>
      <c r="Z282" s="4">
        <v>-9.1504999999999992</v>
      </c>
      <c r="AA282" s="4">
        <v>-2.2938200000000002</v>
      </c>
      <c r="AB282" s="4">
        <v>-3.7463799999999998</v>
      </c>
      <c r="AC282" s="1" t="s">
        <v>226</v>
      </c>
      <c r="AD282" s="1" t="s">
        <v>2959</v>
      </c>
      <c r="AE282" s="1" t="s">
        <v>2960</v>
      </c>
      <c r="AF282" s="1">
        <v>7</v>
      </c>
      <c r="AG282" s="1" t="s">
        <v>1003</v>
      </c>
      <c r="AH282" s="1">
        <v>32.790999999999997</v>
      </c>
      <c r="AI282" s="1">
        <v>130.75399999999999</v>
      </c>
      <c r="AJ282" s="1">
        <v>15.1</v>
      </c>
      <c r="AK282" s="1" t="s">
        <v>1032</v>
      </c>
      <c r="AL282" s="1" t="s">
        <v>2961</v>
      </c>
      <c r="AM282" s="1">
        <v>205</v>
      </c>
      <c r="AN282" s="1">
        <v>72</v>
      </c>
      <c r="AO282" s="1">
        <v>-142</v>
      </c>
      <c r="AP282" s="1">
        <v>235</v>
      </c>
      <c r="AQ282" s="1">
        <v>65</v>
      </c>
      <c r="AR282" s="1">
        <v>-142</v>
      </c>
      <c r="AS282" s="1" t="s">
        <v>2808</v>
      </c>
      <c r="AT282" s="1" t="s">
        <v>862</v>
      </c>
      <c r="AU282" s="1">
        <v>1</v>
      </c>
      <c r="AV282" s="1">
        <v>7.04</v>
      </c>
      <c r="AW282" s="1">
        <v>3.4371</v>
      </c>
      <c r="AX282" s="1">
        <v>2349</v>
      </c>
      <c r="AY282" s="1" t="s">
        <v>1196</v>
      </c>
      <c r="AZ282" s="1" t="s">
        <v>2812</v>
      </c>
      <c r="BA282" t="s">
        <v>2964</v>
      </c>
    </row>
    <row r="283" spans="1:53" ht="19" customHeight="1">
      <c r="A283" s="4" t="s">
        <v>1194</v>
      </c>
      <c r="B283" s="4">
        <v>32.790999999999997</v>
      </c>
      <c r="C283" s="4">
        <v>130.75399999999999</v>
      </c>
      <c r="D283" s="4">
        <v>15.1</v>
      </c>
      <c r="E283" s="4">
        <v>7</v>
      </c>
      <c r="F283" s="4" t="s">
        <v>1032</v>
      </c>
      <c r="G283" s="4" t="s">
        <v>1197</v>
      </c>
      <c r="H283" s="4">
        <v>130.87739999999999</v>
      </c>
      <c r="I283" s="4">
        <v>32.876100000000001</v>
      </c>
      <c r="J283" s="4">
        <v>382</v>
      </c>
      <c r="K283" s="4">
        <v>3.27</v>
      </c>
      <c r="L283" s="4" t="b">
        <v>1</v>
      </c>
      <c r="M283" s="4">
        <v>3.024</v>
      </c>
      <c r="N283" s="4" t="b">
        <v>1</v>
      </c>
      <c r="O283" s="4">
        <v>6.8879999999999999</v>
      </c>
      <c r="P283" s="4" t="b">
        <v>0</v>
      </c>
      <c r="Q283" s="4">
        <v>469.62200000000001</v>
      </c>
      <c r="R283" s="4">
        <v>514.21500000000003</v>
      </c>
      <c r="S283" s="4">
        <v>368.185</v>
      </c>
      <c r="T283" s="4">
        <v>67.549499999999995</v>
      </c>
      <c r="U283" s="4">
        <v>60.356499999999997</v>
      </c>
      <c r="V283" s="4">
        <v>59.620899999999999</v>
      </c>
      <c r="W283" s="4">
        <v>117.79</v>
      </c>
      <c r="X283" s="4">
        <v>51.461300000000001</v>
      </c>
      <c r="Y283" s="4">
        <v>70.911900000000003</v>
      </c>
      <c r="Z283" s="4">
        <v>93.587500000000006</v>
      </c>
      <c r="AA283" s="4">
        <v>38.529400000000003</v>
      </c>
      <c r="AB283" s="4">
        <v>-62.1995</v>
      </c>
      <c r="AC283" s="1" t="s">
        <v>226</v>
      </c>
      <c r="AD283" s="1" t="s">
        <v>2959</v>
      </c>
      <c r="AE283" s="1" t="s">
        <v>2960</v>
      </c>
      <c r="AF283" s="1">
        <v>7</v>
      </c>
      <c r="AG283" s="1" t="s">
        <v>1003</v>
      </c>
      <c r="AH283" s="1">
        <v>32.790999999999997</v>
      </c>
      <c r="AI283" s="1">
        <v>130.75399999999999</v>
      </c>
      <c r="AJ283" s="1">
        <v>15.1</v>
      </c>
      <c r="AK283" s="1" t="s">
        <v>1032</v>
      </c>
      <c r="AL283" s="1" t="s">
        <v>2961</v>
      </c>
      <c r="AM283" s="1">
        <v>205</v>
      </c>
      <c r="AN283" s="1">
        <v>72</v>
      </c>
      <c r="AO283" s="1">
        <v>-142</v>
      </c>
      <c r="AP283" s="1">
        <v>235</v>
      </c>
      <c r="AQ283" s="1">
        <v>65</v>
      </c>
      <c r="AR283" s="1">
        <v>-142</v>
      </c>
      <c r="AS283" s="1" t="s">
        <v>2808</v>
      </c>
      <c r="AT283" s="1" t="s">
        <v>862</v>
      </c>
      <c r="AU283" s="1">
        <v>1</v>
      </c>
      <c r="AV283" s="1">
        <v>7.04</v>
      </c>
      <c r="AW283" s="1">
        <v>3.4371</v>
      </c>
      <c r="AX283" s="1">
        <v>2349</v>
      </c>
      <c r="AY283" s="1" t="s">
        <v>1196</v>
      </c>
      <c r="AZ283" s="1" t="s">
        <v>2812</v>
      </c>
      <c r="BA283" t="s">
        <v>2964</v>
      </c>
    </row>
    <row r="284" spans="1:53" ht="19" customHeight="1">
      <c r="A284" s="4" t="s">
        <v>1194</v>
      </c>
      <c r="B284" s="4">
        <v>32.790999999999997</v>
      </c>
      <c r="C284" s="4">
        <v>130.75399999999999</v>
      </c>
      <c r="D284" s="4">
        <v>15.1</v>
      </c>
      <c r="E284" s="4">
        <v>7</v>
      </c>
      <c r="F284" s="4" t="s">
        <v>1032</v>
      </c>
      <c r="G284" s="4" t="s">
        <v>1198</v>
      </c>
      <c r="H284" s="4">
        <v>130.77719999999999</v>
      </c>
      <c r="I284" s="4">
        <v>32.793399999999998</v>
      </c>
      <c r="J284" s="4">
        <v>238</v>
      </c>
      <c r="K284" s="4">
        <v>2.69</v>
      </c>
      <c r="L284" s="4" t="b">
        <v>1</v>
      </c>
      <c r="M284" s="4">
        <v>6.1459999999999999</v>
      </c>
      <c r="N284" s="4" t="b">
        <v>0</v>
      </c>
      <c r="O284" s="4" t="s">
        <v>1029</v>
      </c>
      <c r="P284" s="4" t="b">
        <v>0</v>
      </c>
      <c r="Q284" s="4">
        <v>570.06500000000005</v>
      </c>
      <c r="R284" s="4">
        <v>763.12599999999998</v>
      </c>
      <c r="S284" s="4">
        <v>494.51400000000001</v>
      </c>
      <c r="T284" s="4">
        <v>100.063</v>
      </c>
      <c r="U284" s="4">
        <v>70.239999999999995</v>
      </c>
      <c r="V284" s="4">
        <v>35.976300000000002</v>
      </c>
      <c r="W284" s="4">
        <v>82.038200000000003</v>
      </c>
      <c r="X284" s="4">
        <v>73.099699999999999</v>
      </c>
      <c r="Y284" s="4">
        <v>35.245100000000001</v>
      </c>
      <c r="Z284" s="4">
        <v>46.725700000000003</v>
      </c>
      <c r="AA284" s="4">
        <v>65.2119</v>
      </c>
      <c r="AB284" s="4">
        <v>-35.098700000000001</v>
      </c>
      <c r="AC284" s="1" t="s">
        <v>226</v>
      </c>
      <c r="AD284" s="1" t="s">
        <v>2959</v>
      </c>
      <c r="AE284" s="1" t="s">
        <v>2960</v>
      </c>
      <c r="AF284" s="1">
        <v>7</v>
      </c>
      <c r="AG284" s="1" t="s">
        <v>1003</v>
      </c>
      <c r="AH284" s="1">
        <v>32.790999999999997</v>
      </c>
      <c r="AI284" s="1">
        <v>130.75399999999999</v>
      </c>
      <c r="AJ284" s="1">
        <v>15.1</v>
      </c>
      <c r="AK284" s="1" t="s">
        <v>1032</v>
      </c>
      <c r="AL284" s="1" t="s">
        <v>2961</v>
      </c>
      <c r="AM284" s="1">
        <v>205</v>
      </c>
      <c r="AN284" s="1">
        <v>72</v>
      </c>
      <c r="AO284" s="1">
        <v>-142</v>
      </c>
      <c r="AP284" s="1">
        <v>235</v>
      </c>
      <c r="AQ284" s="1">
        <v>65</v>
      </c>
      <c r="AR284" s="1">
        <v>-142</v>
      </c>
      <c r="AS284" s="1" t="s">
        <v>2808</v>
      </c>
      <c r="AT284" s="1" t="s">
        <v>862</v>
      </c>
      <c r="AU284" s="1">
        <v>1</v>
      </c>
      <c r="AV284" s="1">
        <v>7.04</v>
      </c>
      <c r="AW284" s="1">
        <v>3.4371</v>
      </c>
      <c r="AX284" s="1">
        <v>2349</v>
      </c>
      <c r="AY284" s="1" t="s">
        <v>1196</v>
      </c>
      <c r="AZ284" s="1" t="s">
        <v>2812</v>
      </c>
      <c r="BA284" t="s">
        <v>2964</v>
      </c>
    </row>
    <row r="285" spans="1:53" ht="19" customHeight="1">
      <c r="A285" s="4" t="s">
        <v>1194</v>
      </c>
      <c r="B285" s="4">
        <v>32.790999999999997</v>
      </c>
      <c r="C285" s="4">
        <v>130.75399999999999</v>
      </c>
      <c r="D285" s="4">
        <v>15.1</v>
      </c>
      <c r="E285" s="4">
        <v>7</v>
      </c>
      <c r="F285" s="4" t="s">
        <v>1032</v>
      </c>
      <c r="G285" s="4" t="s">
        <v>1199</v>
      </c>
      <c r="H285" s="4">
        <v>131.12260000000001</v>
      </c>
      <c r="I285" s="4">
        <v>32.826700000000002</v>
      </c>
      <c r="J285" s="4">
        <v>341</v>
      </c>
      <c r="K285" s="4">
        <v>18.54</v>
      </c>
      <c r="L285" s="4" t="b">
        <v>1</v>
      </c>
      <c r="M285" s="4">
        <v>5.4039999999999999</v>
      </c>
      <c r="N285" s="4" t="b">
        <v>0</v>
      </c>
      <c r="O285" s="4" t="s">
        <v>1029</v>
      </c>
      <c r="P285" s="4" t="b">
        <v>0</v>
      </c>
      <c r="Q285" s="4">
        <v>408.899</v>
      </c>
      <c r="R285" s="4">
        <v>273.26900000000001</v>
      </c>
      <c r="S285" s="4">
        <v>292.53300000000002</v>
      </c>
      <c r="T285" s="4">
        <v>43.701999999999998</v>
      </c>
      <c r="U285" s="4">
        <v>34.256599999999999</v>
      </c>
      <c r="V285" s="4">
        <v>21.219200000000001</v>
      </c>
      <c r="W285" s="4">
        <v>37.824100000000001</v>
      </c>
      <c r="X285" s="4">
        <v>32.281300000000002</v>
      </c>
      <c r="Y285" s="4">
        <v>13.2859</v>
      </c>
      <c r="Z285" s="4">
        <v>-12.0967</v>
      </c>
      <c r="AA285" s="4">
        <v>-3.5265399999999998</v>
      </c>
      <c r="AB285" s="4">
        <v>-1.5578799999999999</v>
      </c>
      <c r="AC285" s="1" t="s">
        <v>226</v>
      </c>
      <c r="AD285" s="1" t="s">
        <v>2959</v>
      </c>
      <c r="AE285" s="1" t="s">
        <v>2960</v>
      </c>
      <c r="AF285" s="1">
        <v>7</v>
      </c>
      <c r="AG285" s="1" t="s">
        <v>1003</v>
      </c>
      <c r="AH285" s="1">
        <v>32.790999999999997</v>
      </c>
      <c r="AI285" s="1">
        <v>130.75399999999999</v>
      </c>
      <c r="AJ285" s="1">
        <v>15.1</v>
      </c>
      <c r="AK285" s="1" t="s">
        <v>1032</v>
      </c>
      <c r="AL285" s="1" t="s">
        <v>2961</v>
      </c>
      <c r="AM285" s="1">
        <v>205</v>
      </c>
      <c r="AN285" s="1">
        <v>72</v>
      </c>
      <c r="AO285" s="1">
        <v>-142</v>
      </c>
      <c r="AP285" s="1">
        <v>235</v>
      </c>
      <c r="AQ285" s="1">
        <v>65</v>
      </c>
      <c r="AR285" s="1">
        <v>-142</v>
      </c>
      <c r="AS285" s="1" t="s">
        <v>2808</v>
      </c>
      <c r="AT285" s="1" t="s">
        <v>862</v>
      </c>
      <c r="AU285" s="1">
        <v>1</v>
      </c>
      <c r="AV285" s="1">
        <v>7.04</v>
      </c>
      <c r="AW285" s="1">
        <v>3.4371</v>
      </c>
      <c r="AX285" s="1">
        <v>2349</v>
      </c>
      <c r="AY285" s="1" t="s">
        <v>1196</v>
      </c>
      <c r="AZ285" s="1" t="s">
        <v>2812</v>
      </c>
      <c r="BA285" t="s">
        <v>2964</v>
      </c>
    </row>
    <row r="286" spans="1:53" ht="19" customHeight="1">
      <c r="A286" s="4" t="s">
        <v>1194</v>
      </c>
      <c r="B286" s="4">
        <v>32.790999999999997</v>
      </c>
      <c r="C286" s="4">
        <v>130.75399999999999</v>
      </c>
      <c r="D286" s="4">
        <v>15.1</v>
      </c>
      <c r="E286" s="4">
        <v>7</v>
      </c>
      <c r="F286" s="4" t="s">
        <v>1032</v>
      </c>
      <c r="G286" s="4" t="s">
        <v>1200</v>
      </c>
      <c r="H286" s="4">
        <v>130.83009999999999</v>
      </c>
      <c r="I286" s="4">
        <v>32.998399999999997</v>
      </c>
      <c r="J286" s="4">
        <v>421.16</v>
      </c>
      <c r="K286" s="4">
        <v>13.83</v>
      </c>
      <c r="L286" s="4" t="b">
        <v>1</v>
      </c>
      <c r="M286" s="4">
        <v>1.288</v>
      </c>
      <c r="N286" s="4" t="b">
        <v>0</v>
      </c>
      <c r="O286" s="4" t="s">
        <v>1029</v>
      </c>
      <c r="P286" s="4" t="b">
        <v>0</v>
      </c>
      <c r="Q286" s="4">
        <v>219.761</v>
      </c>
      <c r="R286" s="4">
        <v>764.63499999999999</v>
      </c>
      <c r="S286" s="4">
        <v>348.86599999999999</v>
      </c>
      <c r="T286" s="4">
        <v>22.031500000000001</v>
      </c>
      <c r="U286" s="4">
        <v>76.598699999999994</v>
      </c>
      <c r="V286" s="4">
        <v>15.900499999999999</v>
      </c>
      <c r="W286" s="4">
        <v>15.165800000000001</v>
      </c>
      <c r="X286" s="4">
        <v>60.982300000000002</v>
      </c>
      <c r="Y286" s="4">
        <v>13.700699999999999</v>
      </c>
      <c r="Z286" s="4">
        <v>12.8947</v>
      </c>
      <c r="AA286" s="4">
        <v>40.048200000000001</v>
      </c>
      <c r="AB286" s="4">
        <v>5.0391500000000002</v>
      </c>
      <c r="AC286" s="1" t="s">
        <v>226</v>
      </c>
      <c r="AD286" s="1" t="s">
        <v>2959</v>
      </c>
      <c r="AE286" s="1" t="s">
        <v>2960</v>
      </c>
      <c r="AF286" s="1">
        <v>7</v>
      </c>
      <c r="AG286" s="1" t="s">
        <v>1003</v>
      </c>
      <c r="AH286" s="1">
        <v>32.790999999999997</v>
      </c>
      <c r="AI286" s="1">
        <v>130.75399999999999</v>
      </c>
      <c r="AJ286" s="1">
        <v>15.1</v>
      </c>
      <c r="AK286" s="1" t="s">
        <v>1032</v>
      </c>
      <c r="AL286" s="1" t="s">
        <v>2961</v>
      </c>
      <c r="AM286" s="1">
        <v>205</v>
      </c>
      <c r="AN286" s="1">
        <v>72</v>
      </c>
      <c r="AO286" s="1">
        <v>-142</v>
      </c>
      <c r="AP286" s="1">
        <v>235</v>
      </c>
      <c r="AQ286" s="1">
        <v>65</v>
      </c>
      <c r="AR286" s="1">
        <v>-142</v>
      </c>
      <c r="AS286" s="1" t="s">
        <v>2808</v>
      </c>
      <c r="AT286" s="1" t="s">
        <v>862</v>
      </c>
      <c r="AU286" s="1">
        <v>1</v>
      </c>
      <c r="AV286" s="1">
        <v>7.04</v>
      </c>
      <c r="AW286" s="1">
        <v>3.4371</v>
      </c>
      <c r="AX286" s="1">
        <v>2349</v>
      </c>
      <c r="AY286" s="1" t="s">
        <v>1196</v>
      </c>
      <c r="AZ286" s="1" t="s">
        <v>2812</v>
      </c>
      <c r="BA286" t="s">
        <v>2964</v>
      </c>
    </row>
    <row r="287" spans="1:53" ht="19" customHeight="1">
      <c r="A287" s="4" t="s">
        <v>1194</v>
      </c>
      <c r="B287" s="4">
        <v>32.790999999999997</v>
      </c>
      <c r="C287" s="4">
        <v>130.75399999999999</v>
      </c>
      <c r="D287" s="4">
        <v>15.1</v>
      </c>
      <c r="E287" s="4">
        <v>7</v>
      </c>
      <c r="F287" s="4" t="s">
        <v>1032</v>
      </c>
      <c r="G287" s="4" t="s">
        <v>1201</v>
      </c>
      <c r="H287" s="4">
        <v>130.81989999999999</v>
      </c>
      <c r="I287" s="4">
        <v>32.796700000000001</v>
      </c>
      <c r="J287" s="4">
        <v>2700</v>
      </c>
      <c r="K287" s="4">
        <v>2.71</v>
      </c>
      <c r="L287" s="4" t="b">
        <v>1</v>
      </c>
      <c r="M287" s="4">
        <v>6.3140000000000001</v>
      </c>
      <c r="N287" s="4" t="b">
        <v>1</v>
      </c>
      <c r="O287" s="4">
        <v>6.0060000000000002</v>
      </c>
      <c r="P287" s="4" t="b">
        <v>0</v>
      </c>
      <c r="Q287" s="4">
        <v>238.989</v>
      </c>
      <c r="R287" s="4">
        <v>157.268</v>
      </c>
      <c r="S287" s="4">
        <v>171.87299999999999</v>
      </c>
      <c r="T287" s="4">
        <v>68.605199999999996</v>
      </c>
      <c r="U287" s="4">
        <v>44.406500000000001</v>
      </c>
      <c r="V287" s="4">
        <v>42.636200000000002</v>
      </c>
      <c r="W287" s="4">
        <v>106.821</v>
      </c>
      <c r="X287" s="4">
        <v>65.370999999999995</v>
      </c>
      <c r="Y287" s="4">
        <v>56.597799999999999</v>
      </c>
      <c r="Z287" s="4">
        <v>103.23699999999999</v>
      </c>
      <c r="AA287" s="4">
        <v>61.225200000000001</v>
      </c>
      <c r="AB287" s="4">
        <v>-28.441500000000001</v>
      </c>
      <c r="AC287" s="1" t="s">
        <v>226</v>
      </c>
      <c r="AD287" s="1" t="s">
        <v>2959</v>
      </c>
      <c r="AE287" s="1" t="s">
        <v>2960</v>
      </c>
      <c r="AF287" s="1">
        <v>7</v>
      </c>
      <c r="AG287" s="1" t="s">
        <v>1003</v>
      </c>
      <c r="AH287" s="1">
        <v>32.790999999999997</v>
      </c>
      <c r="AI287" s="1">
        <v>130.75399999999999</v>
      </c>
      <c r="AJ287" s="1">
        <v>15.1</v>
      </c>
      <c r="AK287" s="1" t="s">
        <v>1032</v>
      </c>
      <c r="AL287" s="1" t="s">
        <v>2961</v>
      </c>
      <c r="AM287" s="1">
        <v>205</v>
      </c>
      <c r="AN287" s="1">
        <v>72</v>
      </c>
      <c r="AO287" s="1">
        <v>-142</v>
      </c>
      <c r="AP287" s="1">
        <v>235</v>
      </c>
      <c r="AQ287" s="1">
        <v>65</v>
      </c>
      <c r="AR287" s="1">
        <v>-142</v>
      </c>
      <c r="AS287" s="1" t="s">
        <v>2808</v>
      </c>
      <c r="AT287" s="1" t="s">
        <v>862</v>
      </c>
      <c r="AU287" s="1">
        <v>1</v>
      </c>
      <c r="AV287" s="1">
        <v>7.04</v>
      </c>
      <c r="AW287" s="1">
        <v>3.4371</v>
      </c>
      <c r="AX287" s="1">
        <v>2349</v>
      </c>
      <c r="AY287" s="1" t="s">
        <v>1196</v>
      </c>
      <c r="AZ287" s="1" t="s">
        <v>2812</v>
      </c>
      <c r="BA287" t="s">
        <v>2964</v>
      </c>
    </row>
    <row r="288" spans="1:53" ht="19" customHeight="1">
      <c r="A288" s="4" t="s">
        <v>1202</v>
      </c>
      <c r="B288" s="4">
        <v>22.922000000000001</v>
      </c>
      <c r="C288" s="4">
        <v>120.544</v>
      </c>
      <c r="D288" s="4">
        <v>14.6</v>
      </c>
      <c r="E288" s="4">
        <v>6.4</v>
      </c>
      <c r="F288" s="4" t="s">
        <v>1032</v>
      </c>
      <c r="G288" s="4" t="s">
        <v>1203</v>
      </c>
      <c r="H288" s="4">
        <v>120.4217</v>
      </c>
      <c r="I288" s="4">
        <v>23.61</v>
      </c>
      <c r="J288" s="4">
        <v>211.02979999999999</v>
      </c>
      <c r="K288" s="4">
        <v>63.165080000000003</v>
      </c>
      <c r="L288" s="4" t="b">
        <v>1</v>
      </c>
      <c r="M288" s="4">
        <v>1.1479999999999999</v>
      </c>
      <c r="N288" s="4" t="b">
        <v>0</v>
      </c>
      <c r="O288" s="4" t="s">
        <v>1029</v>
      </c>
      <c r="P288" s="4" t="b">
        <v>0</v>
      </c>
      <c r="Q288" s="4">
        <v>227.59399999999999</v>
      </c>
      <c r="R288" s="4">
        <v>206.20400000000001</v>
      </c>
      <c r="S288" s="4">
        <v>31.664000000000001</v>
      </c>
      <c r="T288" s="4">
        <v>28.2727</v>
      </c>
      <c r="U288" s="4">
        <v>29.7637</v>
      </c>
      <c r="V288" s="4">
        <v>2.9899</v>
      </c>
      <c r="W288" s="4">
        <v>5.1216699999999999</v>
      </c>
      <c r="X288" s="4">
        <v>4.2123499999999998</v>
      </c>
      <c r="Y288" s="4">
        <v>0.72866900000000001</v>
      </c>
      <c r="Z288" s="4">
        <v>-0.55828999999999995</v>
      </c>
      <c r="AA288" s="4">
        <v>-0.301178</v>
      </c>
      <c r="AB288" s="4">
        <v>-0.45030999999999999</v>
      </c>
      <c r="AC288" s="1" t="s">
        <v>672</v>
      </c>
      <c r="AD288" s="1" t="s">
        <v>2966</v>
      </c>
      <c r="AE288" s="1" t="s">
        <v>2967</v>
      </c>
      <c r="AF288" s="1">
        <v>6.4</v>
      </c>
      <c r="AG288" s="1" t="s">
        <v>1003</v>
      </c>
      <c r="AH288" s="1">
        <v>22.922000000000001</v>
      </c>
      <c r="AI288" s="1">
        <v>120.544</v>
      </c>
      <c r="AJ288" s="1">
        <v>14.6</v>
      </c>
      <c r="AK288" s="1" t="s">
        <v>1032</v>
      </c>
      <c r="AL288" s="1" t="s">
        <v>2922</v>
      </c>
      <c r="AM288" s="1">
        <v>295</v>
      </c>
      <c r="AN288" s="1">
        <v>22</v>
      </c>
      <c r="AO288" s="1">
        <v>20</v>
      </c>
      <c r="AP288" s="1"/>
      <c r="AQ288" s="1"/>
      <c r="AR288" s="1"/>
      <c r="AS288" s="1" t="s">
        <v>2808</v>
      </c>
      <c r="AT288" s="1" t="s">
        <v>731</v>
      </c>
      <c r="AU288" s="1"/>
      <c r="AV288" s="1"/>
      <c r="AW288" s="1"/>
      <c r="AX288" s="1"/>
      <c r="AY288" s="1"/>
      <c r="AZ288" s="1" t="s">
        <v>2812</v>
      </c>
      <c r="BA288" t="s">
        <v>2968</v>
      </c>
    </row>
    <row r="289" spans="1:53" ht="19" customHeight="1">
      <c r="A289" s="4" t="s">
        <v>1202</v>
      </c>
      <c r="B289" s="4">
        <v>22.922000000000001</v>
      </c>
      <c r="C289" s="4">
        <v>120.544</v>
      </c>
      <c r="D289" s="4">
        <v>14.6</v>
      </c>
      <c r="E289" s="4">
        <v>6.4</v>
      </c>
      <c r="F289" s="4" t="s">
        <v>1032</v>
      </c>
      <c r="G289" s="4" t="s">
        <v>1204</v>
      </c>
      <c r="H289" s="4">
        <v>120.1598</v>
      </c>
      <c r="I289" s="4">
        <v>23.330500000000001</v>
      </c>
      <c r="J289" s="4">
        <v>192.22139999999999</v>
      </c>
      <c r="K289" s="4">
        <v>42.787909999999997</v>
      </c>
      <c r="L289" s="4" t="b">
        <v>1</v>
      </c>
      <c r="M289" s="4">
        <v>1.8480000000000001</v>
      </c>
      <c r="N289" s="4" t="b">
        <v>0</v>
      </c>
      <c r="O289" s="4" t="s">
        <v>1029</v>
      </c>
      <c r="P289" s="4" t="b">
        <v>0</v>
      </c>
      <c r="Q289" s="4">
        <v>108.964</v>
      </c>
      <c r="R289" s="4">
        <v>131.602</v>
      </c>
      <c r="S289" s="4">
        <v>37.725999999999999</v>
      </c>
      <c r="T289" s="4">
        <v>17.0093</v>
      </c>
      <c r="U289" s="4">
        <v>21.2805</v>
      </c>
      <c r="V289" s="4">
        <v>3.86232</v>
      </c>
      <c r="W289" s="4">
        <v>4.3752800000000001</v>
      </c>
      <c r="X289" s="4">
        <v>5.03071</v>
      </c>
      <c r="Y289" s="4">
        <v>0.75412999999999997</v>
      </c>
      <c r="Z289" s="4">
        <v>-4.4929999999999996E-3</v>
      </c>
      <c r="AA289" s="4">
        <v>-8.097E-3</v>
      </c>
      <c r="AB289" s="4">
        <v>-0.26354100000000003</v>
      </c>
      <c r="AC289" s="1" t="s">
        <v>672</v>
      </c>
      <c r="AD289" s="1" t="s">
        <v>2966</v>
      </c>
      <c r="AE289" s="1" t="s">
        <v>2967</v>
      </c>
      <c r="AF289" s="1">
        <v>6.4</v>
      </c>
      <c r="AG289" s="1" t="s">
        <v>1003</v>
      </c>
      <c r="AH289" s="1">
        <v>22.922000000000001</v>
      </c>
      <c r="AI289" s="1">
        <v>120.544</v>
      </c>
      <c r="AJ289" s="1">
        <v>14.6</v>
      </c>
      <c r="AK289" s="1" t="s">
        <v>1032</v>
      </c>
      <c r="AL289" s="1" t="s">
        <v>2922</v>
      </c>
      <c r="AM289" s="1">
        <v>295</v>
      </c>
      <c r="AN289" s="1">
        <v>22</v>
      </c>
      <c r="AO289" s="1">
        <v>20</v>
      </c>
      <c r="AP289" s="1"/>
      <c r="AQ289" s="1"/>
      <c r="AR289" s="1"/>
      <c r="AS289" s="1" t="s">
        <v>2808</v>
      </c>
      <c r="AT289" s="1" t="s">
        <v>731</v>
      </c>
      <c r="AU289" s="1"/>
      <c r="AV289" s="1"/>
      <c r="AW289" s="1"/>
      <c r="AX289" s="1"/>
      <c r="AY289" s="1"/>
      <c r="AZ289" s="1" t="s">
        <v>2812</v>
      </c>
      <c r="BA289" t="s">
        <v>2968</v>
      </c>
    </row>
    <row r="290" spans="1:53" ht="19" customHeight="1">
      <c r="A290" s="4" t="s">
        <v>1202</v>
      </c>
      <c r="B290" s="4">
        <v>22.922000000000001</v>
      </c>
      <c r="C290" s="4">
        <v>120.544</v>
      </c>
      <c r="D290" s="4">
        <v>14.6</v>
      </c>
      <c r="E290" s="4">
        <v>6.4</v>
      </c>
      <c r="F290" s="4" t="s">
        <v>1032</v>
      </c>
      <c r="G290" s="4" t="s">
        <v>1157</v>
      </c>
      <c r="H290" s="4">
        <v>120.277</v>
      </c>
      <c r="I290" s="4">
        <v>23.21367</v>
      </c>
      <c r="J290" s="4">
        <v>196.01859999999999</v>
      </c>
      <c r="K290" s="4">
        <v>28.65258</v>
      </c>
      <c r="L290" s="4" t="b">
        <v>1</v>
      </c>
      <c r="M290" s="4">
        <v>1.5609999999999999</v>
      </c>
      <c r="N290" s="4" t="b">
        <v>0</v>
      </c>
      <c r="O290" s="4" t="s">
        <v>1029</v>
      </c>
      <c r="P290" s="4" t="b">
        <v>1</v>
      </c>
      <c r="Q290" s="4">
        <v>176.62799999999999</v>
      </c>
      <c r="R290" s="4">
        <v>210.083</v>
      </c>
      <c r="S290" s="4">
        <v>38.189799999999998</v>
      </c>
      <c r="T290" s="4">
        <v>27.6191</v>
      </c>
      <c r="U290" s="4">
        <v>48.605400000000003</v>
      </c>
      <c r="V290" s="4">
        <v>4.0488999999999997</v>
      </c>
      <c r="W290" s="4">
        <v>8.8347700000000007</v>
      </c>
      <c r="X290" s="4">
        <v>12.4832</v>
      </c>
      <c r="Y290" s="4">
        <v>3.8576299999999999</v>
      </c>
      <c r="Z290" s="4">
        <v>0.40312999999999999</v>
      </c>
      <c r="AA290" s="4">
        <v>-2.5080999999999999E-2</v>
      </c>
      <c r="AB290" s="4">
        <v>-2.7307299999999999</v>
      </c>
      <c r="AC290" s="1" t="s">
        <v>672</v>
      </c>
      <c r="AD290" s="1" t="s">
        <v>2966</v>
      </c>
      <c r="AE290" s="1" t="s">
        <v>2967</v>
      </c>
      <c r="AF290" s="1">
        <v>6.4</v>
      </c>
      <c r="AG290" s="1" t="s">
        <v>1003</v>
      </c>
      <c r="AH290" s="1">
        <v>22.922000000000001</v>
      </c>
      <c r="AI290" s="1">
        <v>120.544</v>
      </c>
      <c r="AJ290" s="1">
        <v>14.6</v>
      </c>
      <c r="AK290" s="1" t="s">
        <v>1032</v>
      </c>
      <c r="AL290" s="1" t="s">
        <v>2922</v>
      </c>
      <c r="AM290" s="1">
        <v>295</v>
      </c>
      <c r="AN290" s="1">
        <v>22</v>
      </c>
      <c r="AO290" s="1">
        <v>20</v>
      </c>
      <c r="AP290" s="1"/>
      <c r="AQ290" s="1"/>
      <c r="AR290" s="1"/>
      <c r="AS290" s="1" t="s">
        <v>2808</v>
      </c>
      <c r="AT290" s="1" t="s">
        <v>731</v>
      </c>
      <c r="AU290" s="1"/>
      <c r="AV290" s="1"/>
      <c r="AW290" s="1"/>
      <c r="AX290" s="1"/>
      <c r="AY290" s="1"/>
      <c r="AZ290" s="1" t="s">
        <v>2812</v>
      </c>
      <c r="BA290" t="s">
        <v>2968</v>
      </c>
    </row>
    <row r="291" spans="1:53" ht="19" customHeight="1">
      <c r="A291" s="4" t="s">
        <v>1202</v>
      </c>
      <c r="B291" s="4">
        <v>22.922000000000001</v>
      </c>
      <c r="C291" s="4">
        <v>120.544</v>
      </c>
      <c r="D291" s="4">
        <v>14.6</v>
      </c>
      <c r="E291" s="4">
        <v>6.4</v>
      </c>
      <c r="F291" s="4" t="s">
        <v>1032</v>
      </c>
      <c r="G291" s="4" t="s">
        <v>1205</v>
      </c>
      <c r="H291" s="4">
        <v>120.4003</v>
      </c>
      <c r="I291" s="4">
        <v>23.2225</v>
      </c>
      <c r="J291" s="4">
        <v>594.64819999999997</v>
      </c>
      <c r="K291" s="4">
        <v>26.49578</v>
      </c>
      <c r="L291" s="4" t="b">
        <v>1</v>
      </c>
      <c r="M291" s="4">
        <v>0.93799999999999994</v>
      </c>
      <c r="N291" s="4" t="b">
        <v>0</v>
      </c>
      <c r="O291" s="4" t="s">
        <v>1029</v>
      </c>
      <c r="P291" s="4" t="b">
        <v>0</v>
      </c>
      <c r="Q291" s="4">
        <v>164.988</v>
      </c>
      <c r="R291" s="4">
        <v>227.57599999999999</v>
      </c>
      <c r="S291" s="4">
        <v>61.57</v>
      </c>
      <c r="T291" s="4">
        <v>16.973800000000001</v>
      </c>
      <c r="U291" s="4">
        <v>27.508299999999998</v>
      </c>
      <c r="V291" s="4">
        <v>6.3611199999999997</v>
      </c>
      <c r="W291" s="4">
        <v>4.3973300000000002</v>
      </c>
      <c r="X291" s="4">
        <v>4.4598899999999997</v>
      </c>
      <c r="Y291" s="4">
        <v>1.0837699999999999</v>
      </c>
      <c r="Z291" s="4">
        <v>-2.8811E-2</v>
      </c>
      <c r="AA291" s="4">
        <v>-0.307278</v>
      </c>
      <c r="AB291" s="4">
        <v>-4.3156E-2</v>
      </c>
      <c r="AC291" s="1" t="s">
        <v>672</v>
      </c>
      <c r="AD291" s="1" t="s">
        <v>2966</v>
      </c>
      <c r="AE291" s="1" t="s">
        <v>2967</v>
      </c>
      <c r="AF291" s="1">
        <v>6.4</v>
      </c>
      <c r="AG291" s="1" t="s">
        <v>1003</v>
      </c>
      <c r="AH291" s="1">
        <v>22.922000000000001</v>
      </c>
      <c r="AI291" s="1">
        <v>120.544</v>
      </c>
      <c r="AJ291" s="1">
        <v>14.6</v>
      </c>
      <c r="AK291" s="1" t="s">
        <v>1032</v>
      </c>
      <c r="AL291" s="1" t="s">
        <v>2922</v>
      </c>
      <c r="AM291" s="1">
        <v>295</v>
      </c>
      <c r="AN291" s="1">
        <v>22</v>
      </c>
      <c r="AO291" s="1">
        <v>20</v>
      </c>
      <c r="AP291" s="1"/>
      <c r="AQ291" s="1"/>
      <c r="AR291" s="1"/>
      <c r="AS291" s="1" t="s">
        <v>2808</v>
      </c>
      <c r="AT291" s="1" t="s">
        <v>731</v>
      </c>
      <c r="AU291" s="1"/>
      <c r="AV291" s="1"/>
      <c r="AW291" s="1"/>
      <c r="AX291" s="1"/>
      <c r="AY291" s="1"/>
      <c r="AZ291" s="1" t="s">
        <v>2812</v>
      </c>
      <c r="BA291" t="s">
        <v>2968</v>
      </c>
    </row>
    <row r="292" spans="1:53" ht="19" customHeight="1">
      <c r="A292" s="4" t="s">
        <v>1202</v>
      </c>
      <c r="B292" s="4">
        <v>22.922000000000001</v>
      </c>
      <c r="C292" s="4">
        <v>120.544</v>
      </c>
      <c r="D292" s="4">
        <v>14.6</v>
      </c>
      <c r="E292" s="4">
        <v>6.4</v>
      </c>
      <c r="F292" s="4" t="s">
        <v>1032</v>
      </c>
      <c r="G292" s="4" t="s">
        <v>1206</v>
      </c>
      <c r="H292" s="4">
        <v>120.158333</v>
      </c>
      <c r="I292" s="4">
        <v>23.102333000000002</v>
      </c>
      <c r="J292" s="4">
        <v>214.1404</v>
      </c>
      <c r="K292" s="4">
        <v>37.143805999999998</v>
      </c>
      <c r="L292" s="4" t="b">
        <v>1</v>
      </c>
      <c r="M292" s="4">
        <v>2.3940000000000001</v>
      </c>
      <c r="N292" s="4" t="b">
        <v>0</v>
      </c>
      <c r="O292" s="4" t="s">
        <v>1029</v>
      </c>
      <c r="P292" s="4" t="b">
        <v>1</v>
      </c>
      <c r="Q292" s="4">
        <v>173.97800000000001</v>
      </c>
      <c r="R292" s="4">
        <v>76.270899999999997</v>
      </c>
      <c r="S292" s="4">
        <v>56.5809</v>
      </c>
      <c r="T292" s="4">
        <v>51.078000000000003</v>
      </c>
      <c r="U292" s="4">
        <v>20.425799999999999</v>
      </c>
      <c r="V292" s="4">
        <v>6.7905300000000004</v>
      </c>
      <c r="W292" s="4">
        <v>15.4473</v>
      </c>
      <c r="X292" s="4">
        <v>11.505000000000001</v>
      </c>
      <c r="Y292" s="4">
        <v>4.9908000000000001</v>
      </c>
      <c r="Z292" s="4">
        <v>-4.1569799999999999</v>
      </c>
      <c r="AA292" s="4">
        <v>0.32148300000000002</v>
      </c>
      <c r="AB292" s="4">
        <v>-3.68784</v>
      </c>
      <c r="AC292" s="1" t="s">
        <v>672</v>
      </c>
      <c r="AD292" s="1" t="s">
        <v>2966</v>
      </c>
      <c r="AE292" s="1" t="s">
        <v>2967</v>
      </c>
      <c r="AF292" s="1">
        <v>6.4</v>
      </c>
      <c r="AG292" s="1" t="s">
        <v>1003</v>
      </c>
      <c r="AH292" s="1">
        <v>22.922000000000001</v>
      </c>
      <c r="AI292" s="1">
        <v>120.544</v>
      </c>
      <c r="AJ292" s="1">
        <v>14.6</v>
      </c>
      <c r="AK292" s="1" t="s">
        <v>1032</v>
      </c>
      <c r="AL292" s="1" t="s">
        <v>2922</v>
      </c>
      <c r="AM292" s="1">
        <v>295</v>
      </c>
      <c r="AN292" s="1">
        <v>22</v>
      </c>
      <c r="AO292" s="1">
        <v>20</v>
      </c>
      <c r="AP292" s="1"/>
      <c r="AQ292" s="1"/>
      <c r="AR292" s="1"/>
      <c r="AS292" s="1" t="s">
        <v>2808</v>
      </c>
      <c r="AT292" s="1" t="s">
        <v>731</v>
      </c>
      <c r="AU292" s="1"/>
      <c r="AV292" s="1"/>
      <c r="AW292" s="1"/>
      <c r="AX292" s="1"/>
      <c r="AY292" s="1"/>
      <c r="AZ292" s="1" t="s">
        <v>2812</v>
      </c>
      <c r="BA292" t="s">
        <v>2968</v>
      </c>
    </row>
    <row r="293" spans="1:53" ht="19" customHeight="1">
      <c r="A293" s="4" t="s">
        <v>1202</v>
      </c>
      <c r="B293" s="4">
        <v>22.922000000000001</v>
      </c>
      <c r="C293" s="4">
        <v>120.544</v>
      </c>
      <c r="D293" s="4">
        <v>14.6</v>
      </c>
      <c r="E293" s="4">
        <v>6.4</v>
      </c>
      <c r="F293" s="4" t="s">
        <v>1032</v>
      </c>
      <c r="G293" s="4" t="s">
        <v>1086</v>
      </c>
      <c r="H293" s="4">
        <v>120.42919999999999</v>
      </c>
      <c r="I293" s="4">
        <v>23.554500000000001</v>
      </c>
      <c r="J293" s="4">
        <v>208.77549999999999</v>
      </c>
      <c r="K293" s="4">
        <v>57.414790000000004</v>
      </c>
      <c r="L293" s="4" t="b">
        <v>1</v>
      </c>
      <c r="M293" s="4">
        <v>1.218</v>
      </c>
      <c r="N293" s="4" t="b">
        <v>0</v>
      </c>
      <c r="O293" s="4" t="s">
        <v>1029</v>
      </c>
      <c r="P293" s="4" t="b">
        <v>0</v>
      </c>
      <c r="Q293" s="4">
        <v>271.28100000000001</v>
      </c>
      <c r="R293" s="4">
        <v>212.06100000000001</v>
      </c>
      <c r="S293" s="4">
        <v>56.991999999999997</v>
      </c>
      <c r="T293" s="4">
        <v>24.8675</v>
      </c>
      <c r="U293" s="4">
        <v>25.587599999999998</v>
      </c>
      <c r="V293" s="4">
        <v>2.5968900000000001</v>
      </c>
      <c r="W293" s="4">
        <v>4.6223099999999997</v>
      </c>
      <c r="X293" s="4">
        <v>4.4294099999999998</v>
      </c>
      <c r="Y293" s="4">
        <v>0.70756600000000003</v>
      </c>
      <c r="Z293" s="4">
        <v>-2.9076999999999999E-2</v>
      </c>
      <c r="AA293" s="4">
        <v>0.126412</v>
      </c>
      <c r="AB293" s="4">
        <v>-5.8520000000000004E-3</v>
      </c>
      <c r="AC293" s="1" t="s">
        <v>672</v>
      </c>
      <c r="AD293" s="1" t="s">
        <v>2966</v>
      </c>
      <c r="AE293" s="1" t="s">
        <v>2967</v>
      </c>
      <c r="AF293" s="1">
        <v>6.4</v>
      </c>
      <c r="AG293" s="1" t="s">
        <v>1003</v>
      </c>
      <c r="AH293" s="1">
        <v>22.922000000000001</v>
      </c>
      <c r="AI293" s="1">
        <v>120.544</v>
      </c>
      <c r="AJ293" s="1">
        <v>14.6</v>
      </c>
      <c r="AK293" s="1" t="s">
        <v>1032</v>
      </c>
      <c r="AL293" s="1" t="s">
        <v>2922</v>
      </c>
      <c r="AM293" s="1">
        <v>295</v>
      </c>
      <c r="AN293" s="1">
        <v>22</v>
      </c>
      <c r="AO293" s="1">
        <v>20</v>
      </c>
      <c r="AP293" s="1"/>
      <c r="AQ293" s="1"/>
      <c r="AR293" s="1"/>
      <c r="AS293" s="1" t="s">
        <v>2808</v>
      </c>
      <c r="AT293" s="1" t="s">
        <v>731</v>
      </c>
      <c r="AU293" s="1"/>
      <c r="AV293" s="1"/>
      <c r="AW293" s="1"/>
      <c r="AX293" s="1"/>
      <c r="AY293" s="1"/>
      <c r="AZ293" s="1" t="s">
        <v>2812</v>
      </c>
      <c r="BA293" t="s">
        <v>2968</v>
      </c>
    </row>
    <row r="294" spans="1:53" ht="19" customHeight="1">
      <c r="A294" s="4" t="s">
        <v>1202</v>
      </c>
      <c r="B294" s="4">
        <v>22.922000000000001</v>
      </c>
      <c r="C294" s="4">
        <v>120.544</v>
      </c>
      <c r="D294" s="4">
        <v>14.6</v>
      </c>
      <c r="E294" s="4">
        <v>6.4</v>
      </c>
      <c r="F294" s="4" t="s">
        <v>1032</v>
      </c>
      <c r="G294" s="4" t="s">
        <v>1095</v>
      </c>
      <c r="H294" s="4">
        <v>120.35120000000001</v>
      </c>
      <c r="I294" s="4">
        <v>23.51933</v>
      </c>
      <c r="J294" s="4">
        <v>195.14949999999999</v>
      </c>
      <c r="K294" s="4">
        <v>53.892139999999998</v>
      </c>
      <c r="L294" s="4" t="b">
        <v>1</v>
      </c>
      <c r="M294" s="4">
        <v>1.099</v>
      </c>
      <c r="N294" s="4" t="b">
        <v>0</v>
      </c>
      <c r="O294" s="4" t="s">
        <v>1029</v>
      </c>
      <c r="P294" s="4" t="b">
        <v>0</v>
      </c>
      <c r="Q294" s="4">
        <v>219.578</v>
      </c>
      <c r="R294" s="4">
        <v>205.28399999999999</v>
      </c>
      <c r="S294" s="4">
        <v>22.969000000000001</v>
      </c>
      <c r="T294" s="4">
        <v>28.0181</v>
      </c>
      <c r="U294" s="4">
        <v>22.306799999999999</v>
      </c>
      <c r="V294" s="4">
        <v>1.6615899999999999</v>
      </c>
      <c r="W294" s="4">
        <v>4.8347899999999999</v>
      </c>
      <c r="X294" s="4">
        <v>4.7094500000000004</v>
      </c>
      <c r="Y294" s="4">
        <v>0.57899500000000004</v>
      </c>
      <c r="Z294" s="4">
        <v>8.6383000000000001E-2</v>
      </c>
      <c r="AA294" s="4">
        <v>3.0960000000000001E-2</v>
      </c>
      <c r="AB294" s="4">
        <v>-1.111E-2</v>
      </c>
      <c r="AC294" s="1" t="s">
        <v>672</v>
      </c>
      <c r="AD294" s="1" t="s">
        <v>2966</v>
      </c>
      <c r="AE294" s="1" t="s">
        <v>2967</v>
      </c>
      <c r="AF294" s="1">
        <v>6.4</v>
      </c>
      <c r="AG294" s="1" t="s">
        <v>1003</v>
      </c>
      <c r="AH294" s="1">
        <v>22.922000000000001</v>
      </c>
      <c r="AI294" s="1">
        <v>120.544</v>
      </c>
      <c r="AJ294" s="1">
        <v>14.6</v>
      </c>
      <c r="AK294" s="1" t="s">
        <v>1032</v>
      </c>
      <c r="AL294" s="1" t="s">
        <v>2922</v>
      </c>
      <c r="AM294" s="1">
        <v>295</v>
      </c>
      <c r="AN294" s="1">
        <v>22</v>
      </c>
      <c r="AO294" s="1">
        <v>20</v>
      </c>
      <c r="AP294" s="1"/>
      <c r="AQ294" s="1"/>
      <c r="AR294" s="1"/>
      <c r="AS294" s="1" t="s">
        <v>2808</v>
      </c>
      <c r="AT294" s="1" t="s">
        <v>731</v>
      </c>
      <c r="AU294" s="1"/>
      <c r="AV294" s="1"/>
      <c r="AW294" s="1"/>
      <c r="AX294" s="1"/>
      <c r="AY294" s="1"/>
      <c r="AZ294" s="1" t="s">
        <v>2812</v>
      </c>
      <c r="BA294" t="s">
        <v>2968</v>
      </c>
    </row>
    <row r="295" spans="1:53" ht="19" customHeight="1">
      <c r="A295" s="4" t="s">
        <v>1202</v>
      </c>
      <c r="B295" s="4">
        <v>22.922000000000001</v>
      </c>
      <c r="C295" s="4">
        <v>120.544</v>
      </c>
      <c r="D295" s="4">
        <v>14.6</v>
      </c>
      <c r="E295" s="4">
        <v>6.4</v>
      </c>
      <c r="F295" s="4" t="s">
        <v>1032</v>
      </c>
      <c r="G295" s="4" t="s">
        <v>1207</v>
      </c>
      <c r="H295" s="4">
        <v>120.46729999999999</v>
      </c>
      <c r="I295" s="4">
        <v>23.28</v>
      </c>
      <c r="J295" s="4">
        <v>363.88</v>
      </c>
      <c r="K295" s="4">
        <v>31.778199999999998</v>
      </c>
      <c r="L295" s="4" t="b">
        <v>1</v>
      </c>
      <c r="M295" s="4">
        <v>1.0289999999999999</v>
      </c>
      <c r="N295" s="4" t="b">
        <v>0</v>
      </c>
      <c r="O295" s="4" t="s">
        <v>1029</v>
      </c>
      <c r="P295" s="4" t="b">
        <v>0</v>
      </c>
      <c r="Q295" s="4">
        <v>195.802595</v>
      </c>
      <c r="R295" s="4">
        <v>216.43963199999999</v>
      </c>
      <c r="S295" s="4">
        <v>51.275267999999997</v>
      </c>
      <c r="T295" s="4">
        <v>21.587375000000002</v>
      </c>
      <c r="U295" s="4">
        <v>18.140789999999999</v>
      </c>
      <c r="V295" s="4">
        <v>2.7244600000000001</v>
      </c>
      <c r="W295" s="4">
        <v>3.6880869999999999</v>
      </c>
      <c r="X295" s="4">
        <v>3.296068</v>
      </c>
      <c r="Y295" s="4">
        <v>0.63501399999999997</v>
      </c>
      <c r="Z295" s="4">
        <v>1.089E-2</v>
      </c>
      <c r="AA295" s="4">
        <v>-5.0000000000000001E-4</v>
      </c>
      <c r="AB295" s="4">
        <v>5.1279999999999997E-3</v>
      </c>
      <c r="AC295" s="1" t="s">
        <v>672</v>
      </c>
      <c r="AD295" s="1" t="s">
        <v>2966</v>
      </c>
      <c r="AE295" s="1" t="s">
        <v>2967</v>
      </c>
      <c r="AF295" s="1">
        <v>6.4</v>
      </c>
      <c r="AG295" s="1" t="s">
        <v>1003</v>
      </c>
      <c r="AH295" s="1">
        <v>22.922000000000001</v>
      </c>
      <c r="AI295" s="1">
        <v>120.544</v>
      </c>
      <c r="AJ295" s="1">
        <v>14.6</v>
      </c>
      <c r="AK295" s="1" t="s">
        <v>1032</v>
      </c>
      <c r="AL295" s="1" t="s">
        <v>2922</v>
      </c>
      <c r="AM295" s="1">
        <v>295</v>
      </c>
      <c r="AN295" s="1">
        <v>22</v>
      </c>
      <c r="AO295" s="1">
        <v>20</v>
      </c>
      <c r="AP295" s="1"/>
      <c r="AQ295" s="1"/>
      <c r="AR295" s="1"/>
      <c r="AS295" s="1" t="s">
        <v>2808</v>
      </c>
      <c r="AT295" s="1" t="s">
        <v>731</v>
      </c>
      <c r="AU295" s="1"/>
      <c r="AV295" s="1"/>
      <c r="AW295" s="1"/>
      <c r="AX295" s="1"/>
      <c r="AY295" s="1"/>
      <c r="AZ295" s="1" t="s">
        <v>2812</v>
      </c>
      <c r="BA295" t="s">
        <v>2968</v>
      </c>
    </row>
    <row r="296" spans="1:53" ht="19" customHeight="1">
      <c r="A296" s="4" t="s">
        <v>1202</v>
      </c>
      <c r="B296" s="4">
        <v>22.922000000000001</v>
      </c>
      <c r="C296" s="4">
        <v>120.544</v>
      </c>
      <c r="D296" s="4">
        <v>14.6</v>
      </c>
      <c r="E296" s="4">
        <v>6.4</v>
      </c>
      <c r="F296" s="4" t="s">
        <v>1032</v>
      </c>
      <c r="G296" s="4" t="s">
        <v>1160</v>
      </c>
      <c r="H296" s="4">
        <v>120.27679999999999</v>
      </c>
      <c r="I296" s="4">
        <v>23.26867</v>
      </c>
      <c r="J296" s="4">
        <v>221.4512</v>
      </c>
      <c r="K296" s="4">
        <v>32.389749999999999</v>
      </c>
      <c r="L296" s="4" t="b">
        <v>1</v>
      </c>
      <c r="M296" s="4">
        <v>1.7849999999999999</v>
      </c>
      <c r="N296" s="4" t="b">
        <v>0</v>
      </c>
      <c r="O296" s="4" t="s">
        <v>1029</v>
      </c>
      <c r="P296" s="4" t="b">
        <v>0</v>
      </c>
      <c r="Q296" s="4">
        <v>139.28700000000001</v>
      </c>
      <c r="R296" s="4">
        <v>173.96299999999999</v>
      </c>
      <c r="S296" s="4">
        <v>33.506999999999998</v>
      </c>
      <c r="T296" s="4">
        <v>20.721299999999999</v>
      </c>
      <c r="U296" s="4">
        <v>29.1173</v>
      </c>
      <c r="V296" s="4">
        <v>3.20533</v>
      </c>
      <c r="W296" s="4">
        <v>4.0391899999999996</v>
      </c>
      <c r="X296" s="4">
        <v>6.6281800000000004</v>
      </c>
      <c r="Y296" s="4">
        <v>1.2370300000000001</v>
      </c>
      <c r="Z296" s="4">
        <v>-0.121613</v>
      </c>
      <c r="AA296" s="4">
        <v>-0.190972</v>
      </c>
      <c r="AB296" s="4">
        <v>6.7247000000000001E-2</v>
      </c>
      <c r="AC296" s="1" t="s">
        <v>672</v>
      </c>
      <c r="AD296" s="1" t="s">
        <v>2966</v>
      </c>
      <c r="AE296" s="1" t="s">
        <v>2967</v>
      </c>
      <c r="AF296" s="1">
        <v>6.4</v>
      </c>
      <c r="AG296" s="1" t="s">
        <v>1003</v>
      </c>
      <c r="AH296" s="1">
        <v>22.922000000000001</v>
      </c>
      <c r="AI296" s="1">
        <v>120.544</v>
      </c>
      <c r="AJ296" s="1">
        <v>14.6</v>
      </c>
      <c r="AK296" s="1" t="s">
        <v>1032</v>
      </c>
      <c r="AL296" s="1" t="s">
        <v>2922</v>
      </c>
      <c r="AM296" s="1">
        <v>295</v>
      </c>
      <c r="AN296" s="1">
        <v>22</v>
      </c>
      <c r="AO296" s="1">
        <v>20</v>
      </c>
      <c r="AP296" s="1"/>
      <c r="AQ296" s="1"/>
      <c r="AR296" s="1"/>
      <c r="AS296" s="1" t="s">
        <v>2808</v>
      </c>
      <c r="AT296" s="1" t="s">
        <v>731</v>
      </c>
      <c r="AU296" s="1"/>
      <c r="AV296" s="1"/>
      <c r="AW296" s="1"/>
      <c r="AX296" s="1"/>
      <c r="AY296" s="1"/>
      <c r="AZ296" s="1" t="s">
        <v>2812</v>
      </c>
      <c r="BA296" t="s">
        <v>2968</v>
      </c>
    </row>
    <row r="297" spans="1:53" ht="19" customHeight="1">
      <c r="A297" s="4" t="s">
        <v>1202</v>
      </c>
      <c r="B297" s="4">
        <v>22.922000000000001</v>
      </c>
      <c r="C297" s="4">
        <v>120.544</v>
      </c>
      <c r="D297" s="4">
        <v>14.6</v>
      </c>
      <c r="E297" s="4">
        <v>6.4</v>
      </c>
      <c r="F297" s="4" t="s">
        <v>1032</v>
      </c>
      <c r="G297" s="4" t="s">
        <v>1161</v>
      </c>
      <c r="H297" s="4">
        <v>120.1392</v>
      </c>
      <c r="I297" s="4">
        <v>23.2622</v>
      </c>
      <c r="J297" s="4">
        <v>189</v>
      </c>
      <c r="K297" s="4">
        <v>45.304400000000001</v>
      </c>
      <c r="L297" s="4" t="b">
        <v>1</v>
      </c>
      <c r="M297" s="4">
        <v>1.764</v>
      </c>
      <c r="N297" s="4" t="b">
        <v>0</v>
      </c>
      <c r="O297" s="4" t="s">
        <v>1029</v>
      </c>
      <c r="P297" s="4" t="b">
        <v>0</v>
      </c>
      <c r="Q297" s="4">
        <v>150.06997699999999</v>
      </c>
      <c r="R297" s="4">
        <v>164.47866400000001</v>
      </c>
      <c r="S297" s="4">
        <v>34.573242999999998</v>
      </c>
      <c r="T297" s="4">
        <v>29.583195</v>
      </c>
      <c r="U297" s="4">
        <v>21.905684999999998</v>
      </c>
      <c r="V297" s="4">
        <v>3.95458</v>
      </c>
      <c r="W297" s="4">
        <v>8.3229830000000007</v>
      </c>
      <c r="X297" s="4">
        <v>7.6687859999999999</v>
      </c>
      <c r="Y297" s="4">
        <v>0.99465000000000003</v>
      </c>
      <c r="Z297" s="4">
        <v>3.6049999999999999E-2</v>
      </c>
      <c r="AA297" s="4">
        <v>7.2672E-2</v>
      </c>
      <c r="AB297" s="4">
        <v>-1.9782000000000001E-2</v>
      </c>
      <c r="AC297" s="1" t="s">
        <v>672</v>
      </c>
      <c r="AD297" s="1" t="s">
        <v>2966</v>
      </c>
      <c r="AE297" s="1" t="s">
        <v>2967</v>
      </c>
      <c r="AF297" s="1">
        <v>6.4</v>
      </c>
      <c r="AG297" s="1" t="s">
        <v>1003</v>
      </c>
      <c r="AH297" s="1">
        <v>22.922000000000001</v>
      </c>
      <c r="AI297" s="1">
        <v>120.544</v>
      </c>
      <c r="AJ297" s="1">
        <v>14.6</v>
      </c>
      <c r="AK297" s="1" t="s">
        <v>1032</v>
      </c>
      <c r="AL297" s="1" t="s">
        <v>2922</v>
      </c>
      <c r="AM297" s="1">
        <v>295</v>
      </c>
      <c r="AN297" s="1">
        <v>22</v>
      </c>
      <c r="AO297" s="1">
        <v>20</v>
      </c>
      <c r="AP297" s="1"/>
      <c r="AQ297" s="1"/>
      <c r="AR297" s="1"/>
      <c r="AS297" s="1" t="s">
        <v>2808</v>
      </c>
      <c r="AT297" s="1" t="s">
        <v>731</v>
      </c>
      <c r="AU297" s="1"/>
      <c r="AV297" s="1"/>
      <c r="AW297" s="1"/>
      <c r="AX297" s="1"/>
      <c r="AY297" s="1"/>
      <c r="AZ297" s="1" t="s">
        <v>2812</v>
      </c>
      <c r="BA297" t="s">
        <v>2968</v>
      </c>
    </row>
    <row r="298" spans="1:53" ht="19" customHeight="1">
      <c r="A298" s="4" t="s">
        <v>1202</v>
      </c>
      <c r="B298" s="4">
        <v>22.922000000000001</v>
      </c>
      <c r="C298" s="4">
        <v>120.544</v>
      </c>
      <c r="D298" s="4">
        <v>14.6</v>
      </c>
      <c r="E298" s="4">
        <v>6.4</v>
      </c>
      <c r="F298" s="4" t="s">
        <v>1032</v>
      </c>
      <c r="G298" s="4" t="s">
        <v>1162</v>
      </c>
      <c r="H298" s="4">
        <v>120.3272</v>
      </c>
      <c r="I298" s="4">
        <v>23.171330000000001</v>
      </c>
      <c r="J298" s="4">
        <v>271.12520000000001</v>
      </c>
      <c r="K298" s="4">
        <v>24.43253</v>
      </c>
      <c r="L298" s="4" t="b">
        <v>1</v>
      </c>
      <c r="M298" s="4">
        <v>2.1280000000000001</v>
      </c>
      <c r="N298" s="4" t="b">
        <v>0</v>
      </c>
      <c r="O298" s="4" t="s">
        <v>1029</v>
      </c>
      <c r="P298" s="4" t="b">
        <v>1</v>
      </c>
      <c r="Q298" s="4">
        <v>233.27799999999999</v>
      </c>
      <c r="R298" s="4">
        <v>248.93899999999999</v>
      </c>
      <c r="S298" s="4">
        <v>66.976100000000002</v>
      </c>
      <c r="T298" s="4">
        <v>27.895299999999999</v>
      </c>
      <c r="U298" s="4">
        <v>50.818300000000001</v>
      </c>
      <c r="V298" s="4">
        <v>7.4531400000000003</v>
      </c>
      <c r="W298" s="4">
        <v>9.1689399999999992</v>
      </c>
      <c r="X298" s="4">
        <v>14.620100000000001</v>
      </c>
      <c r="Y298" s="4">
        <v>3.38367</v>
      </c>
      <c r="Z298" s="4">
        <v>1.32551</v>
      </c>
      <c r="AA298" s="4">
        <v>-0.53958799999999996</v>
      </c>
      <c r="AB298" s="4">
        <v>2.1369099999999999</v>
      </c>
      <c r="AC298" s="1" t="s">
        <v>672</v>
      </c>
      <c r="AD298" s="1" t="s">
        <v>2966</v>
      </c>
      <c r="AE298" s="1" t="s">
        <v>2967</v>
      </c>
      <c r="AF298" s="1">
        <v>6.4</v>
      </c>
      <c r="AG298" s="1" t="s">
        <v>1003</v>
      </c>
      <c r="AH298" s="1">
        <v>22.922000000000001</v>
      </c>
      <c r="AI298" s="1">
        <v>120.544</v>
      </c>
      <c r="AJ298" s="1">
        <v>14.6</v>
      </c>
      <c r="AK298" s="1" t="s">
        <v>1032</v>
      </c>
      <c r="AL298" s="1" t="s">
        <v>2922</v>
      </c>
      <c r="AM298" s="1">
        <v>295</v>
      </c>
      <c r="AN298" s="1">
        <v>22</v>
      </c>
      <c r="AO298" s="1">
        <v>20</v>
      </c>
      <c r="AP298" s="1"/>
      <c r="AQ298" s="1"/>
      <c r="AR298" s="1"/>
      <c r="AS298" s="1" t="s">
        <v>2808</v>
      </c>
      <c r="AT298" s="1" t="s">
        <v>731</v>
      </c>
      <c r="AU298" s="1"/>
      <c r="AV298" s="1"/>
      <c r="AW298" s="1"/>
      <c r="AX298" s="1"/>
      <c r="AY298" s="1"/>
      <c r="AZ298" s="1" t="s">
        <v>2812</v>
      </c>
      <c r="BA298" t="s">
        <v>2968</v>
      </c>
    </row>
    <row r="299" spans="1:53" ht="19" customHeight="1">
      <c r="A299" s="4" t="s">
        <v>1202</v>
      </c>
      <c r="B299" s="4">
        <v>22.922000000000001</v>
      </c>
      <c r="C299" s="4">
        <v>120.544</v>
      </c>
      <c r="D299" s="4">
        <v>14.6</v>
      </c>
      <c r="E299" s="4">
        <v>6.4</v>
      </c>
      <c r="F299" s="4" t="s">
        <v>1032</v>
      </c>
      <c r="G299" s="4" t="s">
        <v>1208</v>
      </c>
      <c r="H299" s="4">
        <v>120.2458</v>
      </c>
      <c r="I299" s="4">
        <v>23.1235</v>
      </c>
      <c r="J299" s="4">
        <v>223.9238</v>
      </c>
      <c r="K299" s="4">
        <v>25.69933</v>
      </c>
      <c r="L299" s="4" t="b">
        <v>1</v>
      </c>
      <c r="M299" s="4">
        <v>1.778</v>
      </c>
      <c r="N299" s="4" t="b">
        <v>0</v>
      </c>
      <c r="O299" s="4" t="s">
        <v>1029</v>
      </c>
      <c r="P299" s="4" t="b">
        <v>1</v>
      </c>
      <c r="Q299" s="4">
        <v>236.625</v>
      </c>
      <c r="R299" s="4">
        <v>168.566</v>
      </c>
      <c r="S299" s="4">
        <v>77.645899999999997</v>
      </c>
      <c r="T299" s="4">
        <v>52.014899999999997</v>
      </c>
      <c r="U299" s="4">
        <v>33.752600000000001</v>
      </c>
      <c r="V299" s="4">
        <v>6.69679</v>
      </c>
      <c r="W299" s="4">
        <v>15.2979</v>
      </c>
      <c r="X299" s="4">
        <v>13.5749</v>
      </c>
      <c r="Y299" s="4">
        <v>6.3145600000000002</v>
      </c>
      <c r="Z299" s="4">
        <v>-1.17045</v>
      </c>
      <c r="AA299" s="4">
        <v>1.67317</v>
      </c>
      <c r="AB299" s="4">
        <v>-3.7749600000000001</v>
      </c>
      <c r="AC299" s="1" t="s">
        <v>672</v>
      </c>
      <c r="AD299" s="1" t="s">
        <v>2966</v>
      </c>
      <c r="AE299" s="1" t="s">
        <v>2967</v>
      </c>
      <c r="AF299" s="1">
        <v>6.4</v>
      </c>
      <c r="AG299" s="1" t="s">
        <v>1003</v>
      </c>
      <c r="AH299" s="1">
        <v>22.922000000000001</v>
      </c>
      <c r="AI299" s="1">
        <v>120.544</v>
      </c>
      <c r="AJ299" s="1">
        <v>14.6</v>
      </c>
      <c r="AK299" s="1" t="s">
        <v>1032</v>
      </c>
      <c r="AL299" s="1" t="s">
        <v>2922</v>
      </c>
      <c r="AM299" s="1">
        <v>295</v>
      </c>
      <c r="AN299" s="1">
        <v>22</v>
      </c>
      <c r="AO299" s="1">
        <v>20</v>
      </c>
      <c r="AP299" s="1"/>
      <c r="AQ299" s="1"/>
      <c r="AR299" s="1"/>
      <c r="AS299" s="1" t="s">
        <v>2808</v>
      </c>
      <c r="AT299" s="1" t="s">
        <v>731</v>
      </c>
      <c r="AU299" s="1"/>
      <c r="AV299" s="1"/>
      <c r="AW299" s="1"/>
      <c r="AX299" s="1"/>
      <c r="AY299" s="1"/>
      <c r="AZ299" s="1" t="s">
        <v>2812</v>
      </c>
      <c r="BA299" t="s">
        <v>2968</v>
      </c>
    </row>
    <row r="300" spans="1:53" ht="19" customHeight="1">
      <c r="A300" s="4" t="s">
        <v>1202</v>
      </c>
      <c r="B300" s="4">
        <v>22.922000000000001</v>
      </c>
      <c r="C300" s="4">
        <v>120.544</v>
      </c>
      <c r="D300" s="4">
        <v>14.6</v>
      </c>
      <c r="E300" s="4">
        <v>6.4</v>
      </c>
      <c r="F300" s="4" t="s">
        <v>1032</v>
      </c>
      <c r="G300" s="4" t="s">
        <v>1209</v>
      </c>
      <c r="H300" s="4">
        <v>120.459</v>
      </c>
      <c r="I300" s="4">
        <v>23.121500000000001</v>
      </c>
      <c r="J300" s="4">
        <v>597.84770000000003</v>
      </c>
      <c r="K300" s="4">
        <v>21.519100000000002</v>
      </c>
      <c r="L300" s="4" t="b">
        <v>1</v>
      </c>
      <c r="M300" s="4">
        <v>0.89600000000000002</v>
      </c>
      <c r="N300" s="4" t="b">
        <v>0</v>
      </c>
      <c r="O300" s="4" t="s">
        <v>1029</v>
      </c>
      <c r="P300" s="4" t="b">
        <v>1</v>
      </c>
      <c r="Q300" s="4">
        <v>422.66899999999998</v>
      </c>
      <c r="R300" s="4">
        <v>441.755</v>
      </c>
      <c r="S300" s="4">
        <v>131.566</v>
      </c>
      <c r="T300" s="4">
        <v>38.736699999999999</v>
      </c>
      <c r="U300" s="4">
        <v>20.1737</v>
      </c>
      <c r="V300" s="4">
        <v>10.569800000000001</v>
      </c>
      <c r="W300" s="4">
        <v>9.0382800000000003</v>
      </c>
      <c r="X300" s="4">
        <v>6.3095400000000001</v>
      </c>
      <c r="Y300" s="4">
        <v>4.4434300000000002</v>
      </c>
      <c r="Z300" s="4">
        <v>4.3668999999999999E-2</v>
      </c>
      <c r="AA300" s="4">
        <v>0.344862</v>
      </c>
      <c r="AB300" s="4">
        <v>0.89061699999999999</v>
      </c>
      <c r="AC300" s="1" t="s">
        <v>672</v>
      </c>
      <c r="AD300" s="1" t="s">
        <v>2966</v>
      </c>
      <c r="AE300" s="1" t="s">
        <v>2967</v>
      </c>
      <c r="AF300" s="1">
        <v>6.4</v>
      </c>
      <c r="AG300" s="1" t="s">
        <v>1003</v>
      </c>
      <c r="AH300" s="1">
        <v>22.922000000000001</v>
      </c>
      <c r="AI300" s="1">
        <v>120.544</v>
      </c>
      <c r="AJ300" s="1">
        <v>14.6</v>
      </c>
      <c r="AK300" s="1" t="s">
        <v>1032</v>
      </c>
      <c r="AL300" s="1" t="s">
        <v>2922</v>
      </c>
      <c r="AM300" s="1">
        <v>295</v>
      </c>
      <c r="AN300" s="1">
        <v>22</v>
      </c>
      <c r="AO300" s="1">
        <v>20</v>
      </c>
      <c r="AP300" s="1"/>
      <c r="AQ300" s="1"/>
      <c r="AR300" s="1"/>
      <c r="AS300" s="1" t="s">
        <v>2808</v>
      </c>
      <c r="AT300" s="1" t="s">
        <v>731</v>
      </c>
      <c r="AU300" s="1"/>
      <c r="AV300" s="1"/>
      <c r="AW300" s="1"/>
      <c r="AX300" s="1"/>
      <c r="AY300" s="1"/>
      <c r="AZ300" s="1" t="s">
        <v>2812</v>
      </c>
      <c r="BA300" t="s">
        <v>2968</v>
      </c>
    </row>
    <row r="301" spans="1:53" ht="19" customHeight="1">
      <c r="A301" s="4" t="s">
        <v>1202</v>
      </c>
      <c r="B301" s="4">
        <v>22.922000000000001</v>
      </c>
      <c r="C301" s="4">
        <v>120.544</v>
      </c>
      <c r="D301" s="4">
        <v>14.6</v>
      </c>
      <c r="E301" s="4">
        <v>6.4</v>
      </c>
      <c r="F301" s="4" t="s">
        <v>1032</v>
      </c>
      <c r="G301" s="4" t="s">
        <v>1164</v>
      </c>
      <c r="H301" s="4">
        <v>120.34950000000001</v>
      </c>
      <c r="I301" s="4">
        <v>23.025829999999999</v>
      </c>
      <c r="J301" s="4">
        <v>287.65940000000001</v>
      </c>
      <c r="K301" s="4">
        <v>16.82912</v>
      </c>
      <c r="L301" s="4" t="b">
        <v>1</v>
      </c>
      <c r="M301" s="4">
        <v>1.4350000000000001</v>
      </c>
      <c r="N301" s="4" t="b">
        <v>0</v>
      </c>
      <c r="O301" s="4" t="s">
        <v>1029</v>
      </c>
      <c r="P301" s="4" t="b">
        <v>1</v>
      </c>
      <c r="Q301" s="4">
        <v>416.78699999999998</v>
      </c>
      <c r="R301" s="4">
        <v>238.137</v>
      </c>
      <c r="S301" s="4">
        <v>161.506</v>
      </c>
      <c r="T301" s="4">
        <v>69.727800000000002</v>
      </c>
      <c r="U301" s="4">
        <v>45.014400000000002</v>
      </c>
      <c r="V301" s="4">
        <v>14.9999</v>
      </c>
      <c r="W301" s="4">
        <v>17.8111</v>
      </c>
      <c r="X301" s="4">
        <v>16.355</v>
      </c>
      <c r="Y301" s="4">
        <v>12.914</v>
      </c>
      <c r="Z301" s="4">
        <v>-4.4727300000000003</v>
      </c>
      <c r="AA301" s="4">
        <v>0.97865400000000002</v>
      </c>
      <c r="AB301" s="4">
        <v>6.3159999999999998</v>
      </c>
      <c r="AC301" s="1" t="s">
        <v>672</v>
      </c>
      <c r="AD301" s="1" t="s">
        <v>2966</v>
      </c>
      <c r="AE301" s="1" t="s">
        <v>2967</v>
      </c>
      <c r="AF301" s="1">
        <v>6.4</v>
      </c>
      <c r="AG301" s="1" t="s">
        <v>1003</v>
      </c>
      <c r="AH301" s="1">
        <v>22.922000000000001</v>
      </c>
      <c r="AI301" s="1">
        <v>120.544</v>
      </c>
      <c r="AJ301" s="1">
        <v>14.6</v>
      </c>
      <c r="AK301" s="1" t="s">
        <v>1032</v>
      </c>
      <c r="AL301" s="1" t="s">
        <v>2922</v>
      </c>
      <c r="AM301" s="1">
        <v>295</v>
      </c>
      <c r="AN301" s="1">
        <v>22</v>
      </c>
      <c r="AO301" s="1">
        <v>20</v>
      </c>
      <c r="AP301" s="1"/>
      <c r="AQ301" s="1"/>
      <c r="AR301" s="1"/>
      <c r="AS301" s="1" t="s">
        <v>2808</v>
      </c>
      <c r="AT301" s="1" t="s">
        <v>731</v>
      </c>
      <c r="AU301" s="1"/>
      <c r="AV301" s="1"/>
      <c r="AW301" s="1"/>
      <c r="AX301" s="1"/>
      <c r="AY301" s="1"/>
      <c r="AZ301" s="1" t="s">
        <v>2812</v>
      </c>
      <c r="BA301" t="s">
        <v>2968</v>
      </c>
    </row>
    <row r="302" spans="1:53" ht="19" customHeight="1">
      <c r="A302" s="4" t="s">
        <v>1202</v>
      </c>
      <c r="B302" s="4">
        <v>22.922000000000001</v>
      </c>
      <c r="C302" s="4">
        <v>120.544</v>
      </c>
      <c r="D302" s="4">
        <v>14.6</v>
      </c>
      <c r="E302" s="4">
        <v>6.4</v>
      </c>
      <c r="F302" s="4" t="s">
        <v>1032</v>
      </c>
      <c r="G302" s="4" t="s">
        <v>1210</v>
      </c>
      <c r="H302" s="4">
        <v>120.35169999999999</v>
      </c>
      <c r="I302" s="4">
        <v>22.904299999999999</v>
      </c>
      <c r="J302" s="4">
        <v>222.69</v>
      </c>
      <c r="K302" s="4">
        <v>14.825100000000001</v>
      </c>
      <c r="L302" s="4" t="b">
        <v>1</v>
      </c>
      <c r="M302" s="4">
        <v>1.645</v>
      </c>
      <c r="N302" s="4" t="b">
        <v>0</v>
      </c>
      <c r="O302" s="4" t="s">
        <v>1029</v>
      </c>
      <c r="P302" s="4" t="b">
        <v>0</v>
      </c>
      <c r="Q302" s="4">
        <v>155.740757</v>
      </c>
      <c r="R302" s="4">
        <v>177.70814999999999</v>
      </c>
      <c r="S302" s="4">
        <v>128.681173</v>
      </c>
      <c r="T302" s="4">
        <v>27.393174999999999</v>
      </c>
      <c r="U302" s="4">
        <v>32.779915000000003</v>
      </c>
      <c r="V302" s="4">
        <v>7.1084050000000003</v>
      </c>
      <c r="W302" s="4">
        <v>6.5651999999999999</v>
      </c>
      <c r="X302" s="4">
        <v>8.534796</v>
      </c>
      <c r="Y302" s="4">
        <v>3.836004</v>
      </c>
      <c r="Z302" s="4">
        <v>2.8730000000000001E-3</v>
      </c>
      <c r="AA302" s="4">
        <v>1.732E-3</v>
      </c>
      <c r="AB302" s="4">
        <v>-1.0003E-2</v>
      </c>
      <c r="AC302" s="1" t="s">
        <v>672</v>
      </c>
      <c r="AD302" s="1" t="s">
        <v>2966</v>
      </c>
      <c r="AE302" s="1" t="s">
        <v>2967</v>
      </c>
      <c r="AF302" s="1">
        <v>6.4</v>
      </c>
      <c r="AG302" s="1" t="s">
        <v>1003</v>
      </c>
      <c r="AH302" s="1">
        <v>22.922000000000001</v>
      </c>
      <c r="AI302" s="1">
        <v>120.544</v>
      </c>
      <c r="AJ302" s="1">
        <v>14.6</v>
      </c>
      <c r="AK302" s="1" t="s">
        <v>1032</v>
      </c>
      <c r="AL302" s="1" t="s">
        <v>2922</v>
      </c>
      <c r="AM302" s="1">
        <v>295</v>
      </c>
      <c r="AN302" s="1">
        <v>22</v>
      </c>
      <c r="AO302" s="1">
        <v>20</v>
      </c>
      <c r="AP302" s="1"/>
      <c r="AQ302" s="1"/>
      <c r="AR302" s="1"/>
      <c r="AS302" s="1" t="s">
        <v>2808</v>
      </c>
      <c r="AT302" s="1" t="s">
        <v>731</v>
      </c>
      <c r="AU302" s="1"/>
      <c r="AV302" s="1"/>
      <c r="AW302" s="1"/>
      <c r="AX302" s="1"/>
      <c r="AY302" s="1"/>
      <c r="AZ302" s="1" t="s">
        <v>2812</v>
      </c>
      <c r="BA302" t="s">
        <v>2968</v>
      </c>
    </row>
    <row r="303" spans="1:53" ht="19" customHeight="1">
      <c r="A303" s="4" t="s">
        <v>1202</v>
      </c>
      <c r="B303" s="4">
        <v>22.922000000000001</v>
      </c>
      <c r="C303" s="4">
        <v>120.544</v>
      </c>
      <c r="D303" s="4">
        <v>14.6</v>
      </c>
      <c r="E303" s="4">
        <v>6.4</v>
      </c>
      <c r="F303" s="4" t="s">
        <v>1032</v>
      </c>
      <c r="G303" s="4" t="s">
        <v>1211</v>
      </c>
      <c r="H303" s="4">
        <v>120.1923</v>
      </c>
      <c r="I303" s="4">
        <v>22.997330000000002</v>
      </c>
      <c r="J303" s="4">
        <v>229.04259999999999</v>
      </c>
      <c r="K303" s="4">
        <v>23.507909999999999</v>
      </c>
      <c r="L303" s="4" t="b">
        <v>1</v>
      </c>
      <c r="M303" s="4">
        <v>2.6110000000000002</v>
      </c>
      <c r="N303" s="4" t="b">
        <v>0</v>
      </c>
      <c r="O303" s="4" t="s">
        <v>1029</v>
      </c>
      <c r="P303" s="4" t="b">
        <v>1</v>
      </c>
      <c r="Q303" s="4">
        <v>207.142</v>
      </c>
      <c r="R303" s="4">
        <v>146.44800000000001</v>
      </c>
      <c r="S303" s="4">
        <v>73.643100000000004</v>
      </c>
      <c r="T303" s="4">
        <v>43.0672</v>
      </c>
      <c r="U303" s="4">
        <v>20.408200000000001</v>
      </c>
      <c r="V303" s="4">
        <v>13.9442</v>
      </c>
      <c r="W303" s="4">
        <v>14.1327</v>
      </c>
      <c r="X303" s="4">
        <v>9.1495499999999996</v>
      </c>
      <c r="Y303" s="4">
        <v>7.3155200000000002</v>
      </c>
      <c r="Z303" s="4">
        <v>-2.9054899999999999</v>
      </c>
      <c r="AA303" s="4">
        <v>2.4221699999999999</v>
      </c>
      <c r="AB303" s="4">
        <v>1.7358899999999999</v>
      </c>
      <c r="AC303" s="1" t="s">
        <v>672</v>
      </c>
      <c r="AD303" s="1" t="s">
        <v>2966</v>
      </c>
      <c r="AE303" s="1" t="s">
        <v>2967</v>
      </c>
      <c r="AF303" s="1">
        <v>6.4</v>
      </c>
      <c r="AG303" s="1" t="s">
        <v>1003</v>
      </c>
      <c r="AH303" s="1">
        <v>22.922000000000001</v>
      </c>
      <c r="AI303" s="1">
        <v>120.544</v>
      </c>
      <c r="AJ303" s="1">
        <v>14.6</v>
      </c>
      <c r="AK303" s="1" t="s">
        <v>1032</v>
      </c>
      <c r="AL303" s="1" t="s">
        <v>2922</v>
      </c>
      <c r="AM303" s="1">
        <v>295</v>
      </c>
      <c r="AN303" s="1">
        <v>22</v>
      </c>
      <c r="AO303" s="1">
        <v>20</v>
      </c>
      <c r="AP303" s="1"/>
      <c r="AQ303" s="1"/>
      <c r="AR303" s="1"/>
      <c r="AS303" s="1" t="s">
        <v>2808</v>
      </c>
      <c r="AT303" s="1" t="s">
        <v>731</v>
      </c>
      <c r="AU303" s="1"/>
      <c r="AV303" s="1"/>
      <c r="AW303" s="1"/>
      <c r="AX303" s="1"/>
      <c r="AY303" s="1"/>
      <c r="AZ303" s="1" t="s">
        <v>2812</v>
      </c>
      <c r="BA303" t="s">
        <v>2968</v>
      </c>
    </row>
    <row r="304" spans="1:53" ht="19" customHeight="1">
      <c r="A304" s="4" t="s">
        <v>1202</v>
      </c>
      <c r="B304" s="4">
        <v>22.922000000000001</v>
      </c>
      <c r="C304" s="4">
        <v>120.544</v>
      </c>
      <c r="D304" s="4">
        <v>14.6</v>
      </c>
      <c r="E304" s="4">
        <v>6.4</v>
      </c>
      <c r="F304" s="4" t="s">
        <v>1032</v>
      </c>
      <c r="G304" s="4" t="s">
        <v>1212</v>
      </c>
      <c r="H304" s="4">
        <v>120.20950000000001</v>
      </c>
      <c r="I304" s="4">
        <v>22.986170000000001</v>
      </c>
      <c r="J304" s="4">
        <v>196.04929999999999</v>
      </c>
      <c r="K304" s="4">
        <v>21.731729999999999</v>
      </c>
      <c r="L304" s="4" t="b">
        <v>1</v>
      </c>
      <c r="M304" s="4">
        <v>1.498</v>
      </c>
      <c r="N304" s="4" t="b">
        <v>0</v>
      </c>
      <c r="O304" s="4" t="s">
        <v>1029</v>
      </c>
      <c r="P304" s="4" t="b">
        <v>1</v>
      </c>
      <c r="Q304" s="4">
        <v>165.03700000000001</v>
      </c>
      <c r="R304" s="4">
        <v>134.834</v>
      </c>
      <c r="S304" s="4">
        <v>52.942300000000003</v>
      </c>
      <c r="T304" s="4">
        <v>36.988599999999998</v>
      </c>
      <c r="U304" s="4">
        <v>24.400700000000001</v>
      </c>
      <c r="V304" s="4">
        <v>8.8480699999999999</v>
      </c>
      <c r="W304" s="4">
        <v>10.950799999999999</v>
      </c>
      <c r="X304" s="4">
        <v>11.1381</v>
      </c>
      <c r="Y304" s="4">
        <v>4.9104299999999999</v>
      </c>
      <c r="Z304" s="4">
        <v>-3.50393</v>
      </c>
      <c r="AA304" s="4">
        <v>0.140296</v>
      </c>
      <c r="AB304" s="4">
        <v>-1.4366300000000001</v>
      </c>
      <c r="AC304" s="1" t="s">
        <v>672</v>
      </c>
      <c r="AD304" s="1" t="s">
        <v>2966</v>
      </c>
      <c r="AE304" s="1" t="s">
        <v>2967</v>
      </c>
      <c r="AF304" s="1">
        <v>6.4</v>
      </c>
      <c r="AG304" s="1" t="s">
        <v>1003</v>
      </c>
      <c r="AH304" s="1">
        <v>22.922000000000001</v>
      </c>
      <c r="AI304" s="1">
        <v>120.544</v>
      </c>
      <c r="AJ304" s="1">
        <v>14.6</v>
      </c>
      <c r="AK304" s="1" t="s">
        <v>1032</v>
      </c>
      <c r="AL304" s="1" t="s">
        <v>2922</v>
      </c>
      <c r="AM304" s="1">
        <v>295</v>
      </c>
      <c r="AN304" s="1">
        <v>22</v>
      </c>
      <c r="AO304" s="1">
        <v>20</v>
      </c>
      <c r="AP304" s="1"/>
      <c r="AQ304" s="1"/>
      <c r="AR304" s="1"/>
      <c r="AS304" s="1" t="s">
        <v>2808</v>
      </c>
      <c r="AT304" s="1" t="s">
        <v>731</v>
      </c>
      <c r="AU304" s="1"/>
      <c r="AV304" s="1"/>
      <c r="AW304" s="1"/>
      <c r="AX304" s="1"/>
      <c r="AY304" s="1"/>
      <c r="AZ304" s="1" t="s">
        <v>2812</v>
      </c>
      <c r="BA304" t="s">
        <v>2968</v>
      </c>
    </row>
    <row r="305" spans="1:53" ht="19" customHeight="1">
      <c r="A305" s="4" t="s">
        <v>1202</v>
      </c>
      <c r="B305" s="4">
        <v>22.922000000000001</v>
      </c>
      <c r="C305" s="4">
        <v>120.544</v>
      </c>
      <c r="D305" s="4">
        <v>14.6</v>
      </c>
      <c r="E305" s="4">
        <v>6.4</v>
      </c>
      <c r="F305" s="4" t="s">
        <v>1032</v>
      </c>
      <c r="G305" s="4" t="s">
        <v>1213</v>
      </c>
      <c r="H305" s="4">
        <v>120.1897</v>
      </c>
      <c r="I305" s="4">
        <v>22.97317</v>
      </c>
      <c r="J305" s="4">
        <v>219.98169999999999</v>
      </c>
      <c r="K305" s="4">
        <v>22.678290000000001</v>
      </c>
      <c r="L305" s="4" t="b">
        <v>1</v>
      </c>
      <c r="M305" s="4">
        <v>2.0230000000000001</v>
      </c>
      <c r="N305" s="4" t="b">
        <v>0</v>
      </c>
      <c r="O305" s="4" t="s">
        <v>1029</v>
      </c>
      <c r="P305" s="4" t="b">
        <v>1</v>
      </c>
      <c r="Q305" s="4">
        <v>229.84299999999999</v>
      </c>
      <c r="R305" s="4">
        <v>113.084</v>
      </c>
      <c r="S305" s="4">
        <v>78.075000000000003</v>
      </c>
      <c r="T305" s="4">
        <v>51.285299999999999</v>
      </c>
      <c r="U305" s="4">
        <v>13.853199999999999</v>
      </c>
      <c r="V305" s="4">
        <v>11.004</v>
      </c>
      <c r="W305" s="4">
        <v>16.854600000000001</v>
      </c>
      <c r="X305" s="4">
        <v>9.1868700000000008</v>
      </c>
      <c r="Y305" s="4">
        <v>6.4807499999999996</v>
      </c>
      <c r="Z305" s="4">
        <v>2.7162299999999999</v>
      </c>
      <c r="AA305" s="4">
        <v>-2.3687</v>
      </c>
      <c r="AB305" s="4">
        <v>1.57731</v>
      </c>
      <c r="AC305" s="1" t="s">
        <v>672</v>
      </c>
      <c r="AD305" s="1" t="s">
        <v>2966</v>
      </c>
      <c r="AE305" s="1" t="s">
        <v>2967</v>
      </c>
      <c r="AF305" s="1">
        <v>6.4</v>
      </c>
      <c r="AG305" s="1" t="s">
        <v>1003</v>
      </c>
      <c r="AH305" s="1">
        <v>22.922000000000001</v>
      </c>
      <c r="AI305" s="1">
        <v>120.544</v>
      </c>
      <c r="AJ305" s="1">
        <v>14.6</v>
      </c>
      <c r="AK305" s="1" t="s">
        <v>1032</v>
      </c>
      <c r="AL305" s="1" t="s">
        <v>2922</v>
      </c>
      <c r="AM305" s="1">
        <v>295</v>
      </c>
      <c r="AN305" s="1">
        <v>22</v>
      </c>
      <c r="AO305" s="1">
        <v>20</v>
      </c>
      <c r="AP305" s="1"/>
      <c r="AQ305" s="1"/>
      <c r="AR305" s="1"/>
      <c r="AS305" s="1" t="s">
        <v>2808</v>
      </c>
      <c r="AT305" s="1" t="s">
        <v>731</v>
      </c>
      <c r="AU305" s="1"/>
      <c r="AV305" s="1"/>
      <c r="AW305" s="1"/>
      <c r="AX305" s="1"/>
      <c r="AY305" s="1"/>
      <c r="AZ305" s="1" t="s">
        <v>2812</v>
      </c>
      <c r="BA305" t="s">
        <v>2968</v>
      </c>
    </row>
    <row r="306" spans="1:53" ht="19" customHeight="1">
      <c r="A306" s="4" t="s">
        <v>1202</v>
      </c>
      <c r="B306" s="4">
        <v>22.922000000000001</v>
      </c>
      <c r="C306" s="4">
        <v>120.544</v>
      </c>
      <c r="D306" s="4">
        <v>14.6</v>
      </c>
      <c r="E306" s="4">
        <v>6.4</v>
      </c>
      <c r="F306" s="4" t="s">
        <v>1032</v>
      </c>
      <c r="G306" s="4" t="s">
        <v>1214</v>
      </c>
      <c r="H306" s="4">
        <v>120.2363</v>
      </c>
      <c r="I306" s="4">
        <v>22.963830000000002</v>
      </c>
      <c r="J306" s="4">
        <v>228.66730000000001</v>
      </c>
      <c r="K306" s="4">
        <v>18.817440000000001</v>
      </c>
      <c r="L306" s="4" t="b">
        <v>1</v>
      </c>
      <c r="M306" s="4">
        <v>1.645</v>
      </c>
      <c r="N306" s="4" t="b">
        <v>0</v>
      </c>
      <c r="O306" s="4" t="s">
        <v>1029</v>
      </c>
      <c r="P306" s="4" t="b">
        <v>1</v>
      </c>
      <c r="Q306" s="4">
        <v>250.54300000000001</v>
      </c>
      <c r="R306" s="4">
        <v>152.53100000000001</v>
      </c>
      <c r="S306" s="4">
        <v>163.80699999999999</v>
      </c>
      <c r="T306" s="4">
        <v>58.617899999999999</v>
      </c>
      <c r="U306" s="4">
        <v>25.9221</v>
      </c>
      <c r="V306" s="4">
        <v>9.8741800000000008</v>
      </c>
      <c r="W306" s="4">
        <v>15.763</v>
      </c>
      <c r="X306" s="4">
        <v>7.45418</v>
      </c>
      <c r="Y306" s="4">
        <v>6.7004000000000001</v>
      </c>
      <c r="Z306" s="4">
        <v>-1.6116999999999999</v>
      </c>
      <c r="AA306" s="4">
        <v>-1.0740700000000001</v>
      </c>
      <c r="AB306" s="4">
        <v>-2.1822300000000001</v>
      </c>
      <c r="AC306" s="1" t="s">
        <v>672</v>
      </c>
      <c r="AD306" s="1" t="s">
        <v>2966</v>
      </c>
      <c r="AE306" s="1" t="s">
        <v>2967</v>
      </c>
      <c r="AF306" s="1">
        <v>6.4</v>
      </c>
      <c r="AG306" s="1" t="s">
        <v>1003</v>
      </c>
      <c r="AH306" s="1">
        <v>22.922000000000001</v>
      </c>
      <c r="AI306" s="1">
        <v>120.544</v>
      </c>
      <c r="AJ306" s="1">
        <v>14.6</v>
      </c>
      <c r="AK306" s="1" t="s">
        <v>1032</v>
      </c>
      <c r="AL306" s="1" t="s">
        <v>2922</v>
      </c>
      <c r="AM306" s="1">
        <v>295</v>
      </c>
      <c r="AN306" s="1">
        <v>22</v>
      </c>
      <c r="AO306" s="1">
        <v>20</v>
      </c>
      <c r="AP306" s="1"/>
      <c r="AQ306" s="1"/>
      <c r="AR306" s="1"/>
      <c r="AS306" s="1" t="s">
        <v>2808</v>
      </c>
      <c r="AT306" s="1" t="s">
        <v>731</v>
      </c>
      <c r="AU306" s="1"/>
      <c r="AV306" s="1"/>
      <c r="AW306" s="1"/>
      <c r="AX306" s="1"/>
      <c r="AY306" s="1"/>
      <c r="AZ306" s="1" t="s">
        <v>2812</v>
      </c>
      <c r="BA306" t="s">
        <v>2968</v>
      </c>
    </row>
    <row r="307" spans="1:53" ht="19" customHeight="1">
      <c r="A307" s="4" t="s">
        <v>1202</v>
      </c>
      <c r="B307" s="4">
        <v>22.922000000000001</v>
      </c>
      <c r="C307" s="4">
        <v>120.544</v>
      </c>
      <c r="D307" s="4">
        <v>14.6</v>
      </c>
      <c r="E307" s="4">
        <v>6.4</v>
      </c>
      <c r="F307" s="4" t="s">
        <v>1032</v>
      </c>
      <c r="G307" s="4" t="s">
        <v>1215</v>
      </c>
      <c r="H307" s="4">
        <v>120.1728</v>
      </c>
      <c r="I307" s="4">
        <v>23.062999999999999</v>
      </c>
      <c r="J307" s="4">
        <v>200.5214</v>
      </c>
      <c r="K307" s="4">
        <v>27.834620000000001</v>
      </c>
      <c r="L307" s="4" t="b">
        <v>1</v>
      </c>
      <c r="M307" s="4">
        <v>2.3380000000000001</v>
      </c>
      <c r="N307" s="4" t="b">
        <v>0</v>
      </c>
      <c r="O307" s="4" t="s">
        <v>1029</v>
      </c>
      <c r="P307" s="4" t="b">
        <v>1</v>
      </c>
      <c r="Q307" s="4">
        <v>187.06399999999999</v>
      </c>
      <c r="R307" s="4">
        <v>122.581</v>
      </c>
      <c r="S307" s="4">
        <v>62.952599999999997</v>
      </c>
      <c r="T307" s="4">
        <v>48.9011</v>
      </c>
      <c r="U307" s="4">
        <v>18.713899999999999</v>
      </c>
      <c r="V307" s="4">
        <v>8.7844800000000003</v>
      </c>
      <c r="W307" s="4">
        <v>13.3965</v>
      </c>
      <c r="X307" s="4">
        <v>10.6409</v>
      </c>
      <c r="Y307" s="4">
        <v>7.75258</v>
      </c>
      <c r="Z307" s="4">
        <v>-0.99305900000000003</v>
      </c>
      <c r="AA307" s="4">
        <v>-0.71608700000000003</v>
      </c>
      <c r="AB307" s="4">
        <v>-0.26549200000000001</v>
      </c>
      <c r="AC307" s="1" t="s">
        <v>672</v>
      </c>
      <c r="AD307" s="1" t="s">
        <v>2966</v>
      </c>
      <c r="AE307" s="1" t="s">
        <v>2967</v>
      </c>
      <c r="AF307" s="1">
        <v>6.4</v>
      </c>
      <c r="AG307" s="1" t="s">
        <v>1003</v>
      </c>
      <c r="AH307" s="1">
        <v>22.922000000000001</v>
      </c>
      <c r="AI307" s="1">
        <v>120.544</v>
      </c>
      <c r="AJ307" s="1">
        <v>14.6</v>
      </c>
      <c r="AK307" s="1" t="s">
        <v>1032</v>
      </c>
      <c r="AL307" s="1" t="s">
        <v>2922</v>
      </c>
      <c r="AM307" s="1">
        <v>295</v>
      </c>
      <c r="AN307" s="1">
        <v>22</v>
      </c>
      <c r="AO307" s="1">
        <v>20</v>
      </c>
      <c r="AP307" s="1"/>
      <c r="AQ307" s="1"/>
      <c r="AR307" s="1"/>
      <c r="AS307" s="1" t="s">
        <v>2808</v>
      </c>
      <c r="AT307" s="1" t="s">
        <v>731</v>
      </c>
      <c r="AU307" s="1"/>
      <c r="AV307" s="1"/>
      <c r="AW307" s="1"/>
      <c r="AX307" s="1"/>
      <c r="AY307" s="1"/>
      <c r="AZ307" s="1" t="s">
        <v>2812</v>
      </c>
      <c r="BA307" t="s">
        <v>2968</v>
      </c>
    </row>
    <row r="308" spans="1:53" ht="19" customHeight="1">
      <c r="A308" s="4" t="s">
        <v>1202</v>
      </c>
      <c r="B308" s="4">
        <v>22.922000000000001</v>
      </c>
      <c r="C308" s="4">
        <v>120.544</v>
      </c>
      <c r="D308" s="4">
        <v>14.6</v>
      </c>
      <c r="E308" s="4">
        <v>6.4</v>
      </c>
      <c r="F308" s="4" t="s">
        <v>1032</v>
      </c>
      <c r="G308" s="4" t="s">
        <v>915</v>
      </c>
      <c r="H308" s="4">
        <v>120.6768</v>
      </c>
      <c r="I308" s="4">
        <v>23.597169999999998</v>
      </c>
      <c r="J308" s="4">
        <v>499.16809999999998</v>
      </c>
      <c r="K308" s="4">
        <v>65.91619</v>
      </c>
      <c r="L308" s="4" t="b">
        <v>1</v>
      </c>
      <c r="M308" s="4">
        <v>0.84699999999999998</v>
      </c>
      <c r="N308" s="4" t="b">
        <v>0</v>
      </c>
      <c r="O308" s="4" t="s">
        <v>1029</v>
      </c>
      <c r="P308" s="4" t="b">
        <v>0</v>
      </c>
      <c r="Q308" s="4">
        <v>334.00200000000001</v>
      </c>
      <c r="R308" s="4">
        <v>233.989</v>
      </c>
      <c r="S308" s="4">
        <v>90.201999999999998</v>
      </c>
      <c r="T308" s="4">
        <v>39.838799999999999</v>
      </c>
      <c r="U308" s="4">
        <v>26.278199999999998</v>
      </c>
      <c r="V308" s="4">
        <v>7.0620900000000004</v>
      </c>
      <c r="W308" s="4">
        <v>4.4630900000000002</v>
      </c>
      <c r="X308" s="4">
        <v>4.3866100000000001</v>
      </c>
      <c r="Y308" s="4">
        <v>1.0432900000000001</v>
      </c>
      <c r="Z308" s="4">
        <v>5.2880000000000002E-3</v>
      </c>
      <c r="AA308" s="4">
        <v>0.143737</v>
      </c>
      <c r="AB308" s="4">
        <v>0.16988</v>
      </c>
      <c r="AC308" s="1" t="s">
        <v>672</v>
      </c>
      <c r="AD308" s="1" t="s">
        <v>2966</v>
      </c>
      <c r="AE308" s="1" t="s">
        <v>2967</v>
      </c>
      <c r="AF308" s="1">
        <v>6.4</v>
      </c>
      <c r="AG308" s="1" t="s">
        <v>1003</v>
      </c>
      <c r="AH308" s="1">
        <v>22.922000000000001</v>
      </c>
      <c r="AI308" s="1">
        <v>120.544</v>
      </c>
      <c r="AJ308" s="1">
        <v>14.6</v>
      </c>
      <c r="AK308" s="1" t="s">
        <v>1032</v>
      </c>
      <c r="AL308" s="1" t="s">
        <v>2922</v>
      </c>
      <c r="AM308" s="1">
        <v>295</v>
      </c>
      <c r="AN308" s="1">
        <v>22</v>
      </c>
      <c r="AO308" s="1">
        <v>20</v>
      </c>
      <c r="AP308" s="1"/>
      <c r="AQ308" s="1"/>
      <c r="AR308" s="1"/>
      <c r="AS308" s="1" t="s">
        <v>2808</v>
      </c>
      <c r="AT308" s="1" t="s">
        <v>731</v>
      </c>
      <c r="AU308" s="1"/>
      <c r="AV308" s="1"/>
      <c r="AW308" s="1"/>
      <c r="AX308" s="1"/>
      <c r="AY308" s="1"/>
      <c r="AZ308" s="1" t="s">
        <v>2812</v>
      </c>
      <c r="BA308" t="s">
        <v>2968</v>
      </c>
    </row>
    <row r="309" spans="1:53" ht="19" customHeight="1">
      <c r="A309" s="4" t="s">
        <v>1202</v>
      </c>
      <c r="B309" s="4">
        <v>22.922000000000001</v>
      </c>
      <c r="C309" s="4">
        <v>120.544</v>
      </c>
      <c r="D309" s="4">
        <v>14.6</v>
      </c>
      <c r="E309" s="4">
        <v>6.4</v>
      </c>
      <c r="F309" s="4" t="s">
        <v>1032</v>
      </c>
      <c r="G309" s="4" t="s">
        <v>1216</v>
      </c>
      <c r="H309" s="4">
        <v>120.2047</v>
      </c>
      <c r="I309" s="4">
        <v>22.99333</v>
      </c>
      <c r="J309" s="4">
        <v>272.6463</v>
      </c>
      <c r="K309" s="4">
        <v>22.399249999999999</v>
      </c>
      <c r="L309" s="4" t="b">
        <v>1</v>
      </c>
      <c r="M309" s="4">
        <v>1.1339999999999999</v>
      </c>
      <c r="N309" s="4" t="b">
        <v>0</v>
      </c>
      <c r="O309" s="4" t="s">
        <v>1029</v>
      </c>
      <c r="P309" s="4" t="b">
        <v>1</v>
      </c>
      <c r="Q309" s="4">
        <v>230.078</v>
      </c>
      <c r="R309" s="4">
        <v>152.578</v>
      </c>
      <c r="S309" s="4">
        <v>88.868700000000004</v>
      </c>
      <c r="T309" s="4">
        <v>39.3947</v>
      </c>
      <c r="U309" s="4">
        <v>15.813700000000001</v>
      </c>
      <c r="V309" s="4">
        <v>9.1235499999999998</v>
      </c>
      <c r="W309" s="4">
        <v>9.1852800000000006</v>
      </c>
      <c r="X309" s="4">
        <v>6.8154599999999999</v>
      </c>
      <c r="Y309" s="4">
        <v>6.3449600000000004</v>
      </c>
      <c r="Z309" s="4">
        <v>-3.3173599999999999</v>
      </c>
      <c r="AA309" s="4">
        <v>-2.79365</v>
      </c>
      <c r="AB309" s="4">
        <v>1.13693</v>
      </c>
      <c r="AC309" s="1" t="s">
        <v>672</v>
      </c>
      <c r="AD309" s="1" t="s">
        <v>2966</v>
      </c>
      <c r="AE309" s="1" t="s">
        <v>2967</v>
      </c>
      <c r="AF309" s="1">
        <v>6.4</v>
      </c>
      <c r="AG309" s="1" t="s">
        <v>1003</v>
      </c>
      <c r="AH309" s="1">
        <v>22.922000000000001</v>
      </c>
      <c r="AI309" s="1">
        <v>120.544</v>
      </c>
      <c r="AJ309" s="1">
        <v>14.6</v>
      </c>
      <c r="AK309" s="1" t="s">
        <v>1032</v>
      </c>
      <c r="AL309" s="1" t="s">
        <v>2922</v>
      </c>
      <c r="AM309" s="1">
        <v>295</v>
      </c>
      <c r="AN309" s="1">
        <v>22</v>
      </c>
      <c r="AO309" s="1">
        <v>20</v>
      </c>
      <c r="AP309" s="1"/>
      <c r="AQ309" s="1"/>
      <c r="AR309" s="1"/>
      <c r="AS309" s="1" t="s">
        <v>2808</v>
      </c>
      <c r="AT309" s="1" t="s">
        <v>731</v>
      </c>
      <c r="AU309" s="1"/>
      <c r="AV309" s="1"/>
      <c r="AW309" s="1"/>
      <c r="AX309" s="1"/>
      <c r="AY309" s="1"/>
      <c r="AZ309" s="1" t="s">
        <v>2812</v>
      </c>
      <c r="BA309" t="s">
        <v>2968</v>
      </c>
    </row>
    <row r="310" spans="1:53" ht="19" customHeight="1">
      <c r="A310" s="4" t="s">
        <v>1202</v>
      </c>
      <c r="B310" s="4">
        <v>22.922000000000001</v>
      </c>
      <c r="C310" s="4">
        <v>120.544</v>
      </c>
      <c r="D310" s="4">
        <v>14.6</v>
      </c>
      <c r="E310" s="4">
        <v>6.4</v>
      </c>
      <c r="F310" s="4" t="s">
        <v>1032</v>
      </c>
      <c r="G310" s="4" t="s">
        <v>1165</v>
      </c>
      <c r="H310" s="4">
        <v>120.364</v>
      </c>
      <c r="I310" s="4">
        <v>23.075330000000001</v>
      </c>
      <c r="J310" s="4">
        <v>396.19650000000001</v>
      </c>
      <c r="K310" s="4">
        <v>19.013269999999999</v>
      </c>
      <c r="L310" s="4" t="b">
        <v>1</v>
      </c>
      <c r="M310" s="4">
        <v>2.5760000000000001</v>
      </c>
      <c r="N310" s="4" t="b">
        <v>0</v>
      </c>
      <c r="O310" s="4" t="s">
        <v>1029</v>
      </c>
      <c r="P310" s="4" t="b">
        <v>1</v>
      </c>
      <c r="Q310" s="4">
        <v>392.642</v>
      </c>
      <c r="R310" s="4">
        <v>278.98700000000002</v>
      </c>
      <c r="S310" s="4">
        <v>101.69499999999999</v>
      </c>
      <c r="T310" s="4">
        <v>56.220700000000001</v>
      </c>
      <c r="U310" s="4">
        <v>57.386899999999997</v>
      </c>
      <c r="V310" s="4">
        <v>10.739800000000001</v>
      </c>
      <c r="W310" s="4">
        <v>19.186499999999999</v>
      </c>
      <c r="X310" s="4">
        <v>26.6538</v>
      </c>
      <c r="Y310" s="4">
        <v>10.8111</v>
      </c>
      <c r="Z310" s="4">
        <v>-6.9788800000000002</v>
      </c>
      <c r="AA310" s="4">
        <v>2.5367500000000001</v>
      </c>
      <c r="AB310" s="4">
        <v>4.1382099999999999</v>
      </c>
      <c r="AC310" s="1" t="s">
        <v>672</v>
      </c>
      <c r="AD310" s="1" t="s">
        <v>2966</v>
      </c>
      <c r="AE310" s="1" t="s">
        <v>2967</v>
      </c>
      <c r="AF310" s="1">
        <v>6.4</v>
      </c>
      <c r="AG310" s="1" t="s">
        <v>1003</v>
      </c>
      <c r="AH310" s="1">
        <v>22.922000000000001</v>
      </c>
      <c r="AI310" s="1">
        <v>120.544</v>
      </c>
      <c r="AJ310" s="1">
        <v>14.6</v>
      </c>
      <c r="AK310" s="1" t="s">
        <v>1032</v>
      </c>
      <c r="AL310" s="1" t="s">
        <v>2922</v>
      </c>
      <c r="AM310" s="1">
        <v>295</v>
      </c>
      <c r="AN310" s="1">
        <v>22</v>
      </c>
      <c r="AO310" s="1">
        <v>20</v>
      </c>
      <c r="AP310" s="1"/>
      <c r="AQ310" s="1"/>
      <c r="AR310" s="1"/>
      <c r="AS310" s="1" t="s">
        <v>2808</v>
      </c>
      <c r="AT310" s="1" t="s">
        <v>731</v>
      </c>
      <c r="AU310" s="1"/>
      <c r="AV310" s="1"/>
      <c r="AW310" s="1"/>
      <c r="AX310" s="1"/>
      <c r="AY310" s="1"/>
      <c r="AZ310" s="1" t="s">
        <v>2812</v>
      </c>
      <c r="BA310" t="s">
        <v>2968</v>
      </c>
    </row>
    <row r="311" spans="1:53" ht="19" customHeight="1">
      <c r="A311" s="4" t="s">
        <v>1202</v>
      </c>
      <c r="B311" s="4">
        <v>22.922000000000001</v>
      </c>
      <c r="C311" s="4">
        <v>120.544</v>
      </c>
      <c r="D311" s="4">
        <v>14.6</v>
      </c>
      <c r="E311" s="4">
        <v>6.4</v>
      </c>
      <c r="F311" s="4" t="s">
        <v>1032</v>
      </c>
      <c r="G311" s="4" t="s">
        <v>1217</v>
      </c>
      <c r="H311" s="4">
        <v>120.2115</v>
      </c>
      <c r="I311" s="4">
        <v>23.009</v>
      </c>
      <c r="J311" s="4">
        <v>341.38330000000002</v>
      </c>
      <c r="K311" s="4">
        <v>22.59815</v>
      </c>
      <c r="L311" s="4" t="b">
        <v>1</v>
      </c>
      <c r="M311" s="4">
        <v>1.512</v>
      </c>
      <c r="N311" s="4" t="b">
        <v>0</v>
      </c>
      <c r="O311" s="4" t="s">
        <v>1029</v>
      </c>
      <c r="P311" s="4" t="b">
        <v>1</v>
      </c>
      <c r="Q311" s="4">
        <v>127.01900000000001</v>
      </c>
      <c r="R311" s="4">
        <v>123.709</v>
      </c>
      <c r="S311" s="4">
        <v>47.9405</v>
      </c>
      <c r="T311" s="4">
        <v>36.4221</v>
      </c>
      <c r="U311" s="4">
        <v>20.991700000000002</v>
      </c>
      <c r="V311" s="4">
        <v>10.125500000000001</v>
      </c>
      <c r="W311" s="4">
        <v>11.612299999999999</v>
      </c>
      <c r="X311" s="4">
        <v>9.9810999999999996</v>
      </c>
      <c r="Y311" s="4">
        <v>4.8280000000000003</v>
      </c>
      <c r="Z311" s="4">
        <v>-1.1182799999999999</v>
      </c>
      <c r="AA311" s="4">
        <v>0.377745</v>
      </c>
      <c r="AB311" s="4">
        <v>-0.969642</v>
      </c>
      <c r="AC311" s="1" t="s">
        <v>672</v>
      </c>
      <c r="AD311" s="1" t="s">
        <v>2966</v>
      </c>
      <c r="AE311" s="1" t="s">
        <v>2967</v>
      </c>
      <c r="AF311" s="1">
        <v>6.4</v>
      </c>
      <c r="AG311" s="1" t="s">
        <v>1003</v>
      </c>
      <c r="AH311" s="1">
        <v>22.922000000000001</v>
      </c>
      <c r="AI311" s="1">
        <v>120.544</v>
      </c>
      <c r="AJ311" s="1">
        <v>14.6</v>
      </c>
      <c r="AK311" s="1" t="s">
        <v>1032</v>
      </c>
      <c r="AL311" s="1" t="s">
        <v>2922</v>
      </c>
      <c r="AM311" s="1">
        <v>295</v>
      </c>
      <c r="AN311" s="1">
        <v>22</v>
      </c>
      <c r="AO311" s="1">
        <v>20</v>
      </c>
      <c r="AP311" s="1"/>
      <c r="AQ311" s="1"/>
      <c r="AR311" s="1"/>
      <c r="AS311" s="1" t="s">
        <v>2808</v>
      </c>
      <c r="AT311" s="1" t="s">
        <v>731</v>
      </c>
      <c r="AU311" s="1"/>
      <c r="AV311" s="1"/>
      <c r="AW311" s="1"/>
      <c r="AX311" s="1"/>
      <c r="AY311" s="1"/>
      <c r="AZ311" s="1" t="s">
        <v>2812</v>
      </c>
      <c r="BA311" t="s">
        <v>2968</v>
      </c>
    </row>
    <row r="312" spans="1:53" ht="19" customHeight="1">
      <c r="A312" s="4" t="s">
        <v>1202</v>
      </c>
      <c r="B312" s="4">
        <v>22.922000000000001</v>
      </c>
      <c r="C312" s="4">
        <v>120.544</v>
      </c>
      <c r="D312" s="4">
        <v>14.6</v>
      </c>
      <c r="E312" s="4">
        <v>6.4</v>
      </c>
      <c r="F312" s="4" t="s">
        <v>1032</v>
      </c>
      <c r="G312" s="4" t="s">
        <v>1218</v>
      </c>
      <c r="H312" s="4">
        <v>120.1662</v>
      </c>
      <c r="I312" s="4">
        <v>23.00067</v>
      </c>
      <c r="J312" s="4">
        <v>229.2081</v>
      </c>
      <c r="K312" s="4">
        <v>25.701509999999999</v>
      </c>
      <c r="L312" s="4" t="b">
        <v>1</v>
      </c>
      <c r="M312" s="4">
        <v>3.1989999999999998</v>
      </c>
      <c r="N312" s="4" t="b">
        <v>0</v>
      </c>
      <c r="O312" s="4" t="s">
        <v>1029</v>
      </c>
      <c r="P312" s="4" t="b">
        <v>1</v>
      </c>
      <c r="Q312" s="4">
        <v>191.809</v>
      </c>
      <c r="R312" s="4">
        <v>128.09100000000001</v>
      </c>
      <c r="S312" s="4">
        <v>66.321799999999996</v>
      </c>
      <c r="T312" s="4">
        <v>52.340299999999999</v>
      </c>
      <c r="U312" s="4">
        <v>21.150700000000001</v>
      </c>
      <c r="V312" s="4">
        <v>12.986700000000001</v>
      </c>
      <c r="W312" s="4">
        <v>18.387599999999999</v>
      </c>
      <c r="X312" s="4">
        <v>8.8845100000000006</v>
      </c>
      <c r="Y312" s="4">
        <v>7.0791300000000001</v>
      </c>
      <c r="Z312" s="4">
        <v>-2.0493199999999998</v>
      </c>
      <c r="AA312" s="4">
        <v>0.74358000000000002</v>
      </c>
      <c r="AB312" s="4">
        <v>1.53426</v>
      </c>
      <c r="AC312" s="1" t="s">
        <v>672</v>
      </c>
      <c r="AD312" s="1" t="s">
        <v>2966</v>
      </c>
      <c r="AE312" s="1" t="s">
        <v>2967</v>
      </c>
      <c r="AF312" s="1">
        <v>6.4</v>
      </c>
      <c r="AG312" s="1" t="s">
        <v>1003</v>
      </c>
      <c r="AH312" s="1">
        <v>22.922000000000001</v>
      </c>
      <c r="AI312" s="1">
        <v>120.544</v>
      </c>
      <c r="AJ312" s="1">
        <v>14.6</v>
      </c>
      <c r="AK312" s="1" t="s">
        <v>1032</v>
      </c>
      <c r="AL312" s="1" t="s">
        <v>2922</v>
      </c>
      <c r="AM312" s="1">
        <v>295</v>
      </c>
      <c r="AN312" s="1">
        <v>22</v>
      </c>
      <c r="AO312" s="1">
        <v>20</v>
      </c>
      <c r="AP312" s="1"/>
      <c r="AQ312" s="1"/>
      <c r="AR312" s="1"/>
      <c r="AS312" s="1" t="s">
        <v>2808</v>
      </c>
      <c r="AT312" s="1" t="s">
        <v>731</v>
      </c>
      <c r="AU312" s="1"/>
      <c r="AV312" s="1"/>
      <c r="AW312" s="1"/>
      <c r="AX312" s="1"/>
      <c r="AY312" s="1"/>
      <c r="AZ312" s="1" t="s">
        <v>2812</v>
      </c>
      <c r="BA312" t="s">
        <v>2968</v>
      </c>
    </row>
    <row r="313" spans="1:53" ht="19" customHeight="1">
      <c r="A313" s="4" t="s">
        <v>1202</v>
      </c>
      <c r="B313" s="4">
        <v>22.922000000000001</v>
      </c>
      <c r="C313" s="4">
        <v>120.544</v>
      </c>
      <c r="D313" s="4">
        <v>14.6</v>
      </c>
      <c r="E313" s="4">
        <v>6.4</v>
      </c>
      <c r="F313" s="4" t="s">
        <v>1032</v>
      </c>
      <c r="G313" s="4" t="s">
        <v>1219</v>
      </c>
      <c r="H313" s="4">
        <v>120.34529999999999</v>
      </c>
      <c r="I313" s="4">
        <v>23.554670000000002</v>
      </c>
      <c r="J313" s="4">
        <v>204.3597</v>
      </c>
      <c r="K313" s="4">
        <v>57.583329999999997</v>
      </c>
      <c r="L313" s="4" t="b">
        <v>1</v>
      </c>
      <c r="M313" s="4">
        <v>1.19</v>
      </c>
      <c r="N313" s="4" t="b">
        <v>0</v>
      </c>
      <c r="O313" s="4" t="s">
        <v>1029</v>
      </c>
      <c r="P313" s="4" t="b">
        <v>0</v>
      </c>
      <c r="Q313" s="4">
        <v>175.541</v>
      </c>
      <c r="R313" s="4">
        <v>190.28399999999999</v>
      </c>
      <c r="S313" s="4">
        <v>25.411999999999999</v>
      </c>
      <c r="T313" s="4">
        <v>24.094899999999999</v>
      </c>
      <c r="U313" s="4">
        <v>24.185199999999998</v>
      </c>
      <c r="V313" s="4">
        <v>1.87297</v>
      </c>
      <c r="W313" s="4">
        <v>4.1017099999999997</v>
      </c>
      <c r="X313" s="4">
        <v>5.2387899999999998</v>
      </c>
      <c r="Y313" s="4">
        <v>0.68247899999999995</v>
      </c>
      <c r="Z313" s="4">
        <v>-4.4481E-2</v>
      </c>
      <c r="AA313" s="4">
        <v>-0.339333</v>
      </c>
      <c r="AB313" s="4">
        <v>0.47735899999999998</v>
      </c>
      <c r="AC313" s="1" t="s">
        <v>672</v>
      </c>
      <c r="AD313" s="1" t="s">
        <v>2966</v>
      </c>
      <c r="AE313" s="1" t="s">
        <v>2967</v>
      </c>
      <c r="AF313" s="1">
        <v>6.4</v>
      </c>
      <c r="AG313" s="1" t="s">
        <v>1003</v>
      </c>
      <c r="AH313" s="1">
        <v>22.922000000000001</v>
      </c>
      <c r="AI313" s="1">
        <v>120.544</v>
      </c>
      <c r="AJ313" s="1">
        <v>14.6</v>
      </c>
      <c r="AK313" s="1" t="s">
        <v>1032</v>
      </c>
      <c r="AL313" s="1" t="s">
        <v>2922</v>
      </c>
      <c r="AM313" s="1">
        <v>295</v>
      </c>
      <c r="AN313" s="1">
        <v>22</v>
      </c>
      <c r="AO313" s="1">
        <v>20</v>
      </c>
      <c r="AP313" s="1"/>
      <c r="AQ313" s="1"/>
      <c r="AR313" s="1"/>
      <c r="AS313" s="1" t="s">
        <v>2808</v>
      </c>
      <c r="AT313" s="1" t="s">
        <v>731</v>
      </c>
      <c r="AU313" s="1"/>
      <c r="AV313" s="1"/>
      <c r="AW313" s="1"/>
      <c r="AX313" s="1"/>
      <c r="AY313" s="1"/>
      <c r="AZ313" s="1" t="s">
        <v>2812</v>
      </c>
      <c r="BA313" t="s">
        <v>2968</v>
      </c>
    </row>
    <row r="314" spans="1:53" ht="19" customHeight="1">
      <c r="A314" s="4" t="s">
        <v>1202</v>
      </c>
      <c r="B314" s="4">
        <v>22.922000000000001</v>
      </c>
      <c r="C314" s="4">
        <v>120.544</v>
      </c>
      <c r="D314" s="4">
        <v>14.6</v>
      </c>
      <c r="E314" s="4">
        <v>6.4</v>
      </c>
      <c r="F314" s="4" t="s">
        <v>1032</v>
      </c>
      <c r="G314" s="4" t="s">
        <v>1166</v>
      </c>
      <c r="H314" s="4">
        <v>120.2992</v>
      </c>
      <c r="I314" s="4">
        <v>23.29767</v>
      </c>
      <c r="J314" s="4">
        <v>181.0514</v>
      </c>
      <c r="K314" s="4">
        <v>33.885559999999998</v>
      </c>
      <c r="L314" s="4" t="b">
        <v>1</v>
      </c>
      <c r="M314" s="4">
        <v>2.1280000000000001</v>
      </c>
      <c r="N314" s="4" t="b">
        <v>0</v>
      </c>
      <c r="O314" s="4" t="s">
        <v>1029</v>
      </c>
      <c r="P314" s="4" t="b">
        <v>1</v>
      </c>
      <c r="Q314" s="4">
        <v>240.126</v>
      </c>
      <c r="R314" s="4">
        <v>162.87899999999999</v>
      </c>
      <c r="S314" s="4">
        <v>52.127099999999999</v>
      </c>
      <c r="T314" s="4">
        <v>24.2883</v>
      </c>
      <c r="U314" s="4">
        <v>32.594900000000003</v>
      </c>
      <c r="V314" s="4">
        <v>3.6096599999999999</v>
      </c>
      <c r="W314" s="4">
        <v>4.0380099999999999</v>
      </c>
      <c r="X314" s="4">
        <v>7.0182700000000002</v>
      </c>
      <c r="Y314" s="4">
        <v>1.55182</v>
      </c>
      <c r="Z314" s="4">
        <v>-0.30337399999999998</v>
      </c>
      <c r="AA314" s="4">
        <v>0.50302000000000002</v>
      </c>
      <c r="AB314" s="4">
        <v>0.22789200000000001</v>
      </c>
      <c r="AC314" s="1" t="s">
        <v>672</v>
      </c>
      <c r="AD314" s="1" t="s">
        <v>2966</v>
      </c>
      <c r="AE314" s="1" t="s">
        <v>2967</v>
      </c>
      <c r="AF314" s="1">
        <v>6.4</v>
      </c>
      <c r="AG314" s="1" t="s">
        <v>1003</v>
      </c>
      <c r="AH314" s="1">
        <v>22.922000000000001</v>
      </c>
      <c r="AI314" s="1">
        <v>120.544</v>
      </c>
      <c r="AJ314" s="1">
        <v>14.6</v>
      </c>
      <c r="AK314" s="1" t="s">
        <v>1032</v>
      </c>
      <c r="AL314" s="1" t="s">
        <v>2922</v>
      </c>
      <c r="AM314" s="1">
        <v>295</v>
      </c>
      <c r="AN314" s="1">
        <v>22</v>
      </c>
      <c r="AO314" s="1">
        <v>20</v>
      </c>
      <c r="AP314" s="1"/>
      <c r="AQ314" s="1"/>
      <c r="AR314" s="1"/>
      <c r="AS314" s="1" t="s">
        <v>2808</v>
      </c>
      <c r="AT314" s="1" t="s">
        <v>731</v>
      </c>
      <c r="AU314" s="1"/>
      <c r="AV314" s="1"/>
      <c r="AW314" s="1"/>
      <c r="AX314" s="1"/>
      <c r="AY314" s="1"/>
      <c r="AZ314" s="1" t="s">
        <v>2812</v>
      </c>
      <c r="BA314" t="s">
        <v>2968</v>
      </c>
    </row>
    <row r="315" spans="1:53" ht="19" customHeight="1">
      <c r="A315" s="4" t="s">
        <v>1202</v>
      </c>
      <c r="B315" s="4">
        <v>22.922000000000001</v>
      </c>
      <c r="C315" s="4">
        <v>120.544</v>
      </c>
      <c r="D315" s="4">
        <v>14.6</v>
      </c>
      <c r="E315" s="4">
        <v>6.4</v>
      </c>
      <c r="F315" s="4" t="s">
        <v>1032</v>
      </c>
      <c r="G315" s="4" t="s">
        <v>1168</v>
      </c>
      <c r="H315" s="4">
        <v>120.08580000000001</v>
      </c>
      <c r="I315" s="4">
        <v>23.146999999999998</v>
      </c>
      <c r="J315" s="4">
        <v>206.31729999999999</v>
      </c>
      <c r="K315" s="4">
        <v>38.260629999999999</v>
      </c>
      <c r="L315" s="4" t="b">
        <v>1</v>
      </c>
      <c r="M315" s="4">
        <v>2.3380000000000001</v>
      </c>
      <c r="N315" s="4" t="b">
        <v>0</v>
      </c>
      <c r="O315" s="4" t="s">
        <v>1029</v>
      </c>
      <c r="P315" s="4" t="b">
        <v>1</v>
      </c>
      <c r="Q315" s="4">
        <v>157.22300000000001</v>
      </c>
      <c r="R315" s="4">
        <v>101.61799999999999</v>
      </c>
      <c r="S315" s="4">
        <v>30.395800000000001</v>
      </c>
      <c r="T315" s="4">
        <v>34.558599999999998</v>
      </c>
      <c r="U315" s="4">
        <v>12.895200000000001</v>
      </c>
      <c r="V315" s="4">
        <v>4.9541399999999998</v>
      </c>
      <c r="W315" s="4">
        <v>8.3235399999999995</v>
      </c>
      <c r="X315" s="4">
        <v>10.0778</v>
      </c>
      <c r="Y315" s="4">
        <v>6.41648</v>
      </c>
      <c r="Z315" s="4">
        <v>-2.3849100000000001</v>
      </c>
      <c r="AA315" s="4">
        <v>0.49169099999999999</v>
      </c>
      <c r="AB315" s="4">
        <v>5.1718500000000001</v>
      </c>
      <c r="AC315" s="1" t="s">
        <v>672</v>
      </c>
      <c r="AD315" s="1" t="s">
        <v>2966</v>
      </c>
      <c r="AE315" s="1" t="s">
        <v>2967</v>
      </c>
      <c r="AF315" s="1">
        <v>6.4</v>
      </c>
      <c r="AG315" s="1" t="s">
        <v>1003</v>
      </c>
      <c r="AH315" s="1">
        <v>22.922000000000001</v>
      </c>
      <c r="AI315" s="1">
        <v>120.544</v>
      </c>
      <c r="AJ315" s="1">
        <v>14.6</v>
      </c>
      <c r="AK315" s="1" t="s">
        <v>1032</v>
      </c>
      <c r="AL315" s="1" t="s">
        <v>2922</v>
      </c>
      <c r="AM315" s="1">
        <v>295</v>
      </c>
      <c r="AN315" s="1">
        <v>22</v>
      </c>
      <c r="AO315" s="1">
        <v>20</v>
      </c>
      <c r="AP315" s="1"/>
      <c r="AQ315" s="1"/>
      <c r="AR315" s="1"/>
      <c r="AS315" s="1" t="s">
        <v>2808</v>
      </c>
      <c r="AT315" s="1" t="s">
        <v>731</v>
      </c>
      <c r="AU315" s="1"/>
      <c r="AV315" s="1"/>
      <c r="AW315" s="1"/>
      <c r="AX315" s="1"/>
      <c r="AY315" s="1"/>
      <c r="AZ315" s="1" t="s">
        <v>2812</v>
      </c>
      <c r="BA315" t="s">
        <v>2968</v>
      </c>
    </row>
    <row r="316" spans="1:53" ht="19" customHeight="1">
      <c r="A316" s="4" t="s">
        <v>1202</v>
      </c>
      <c r="B316" s="4">
        <v>22.922000000000001</v>
      </c>
      <c r="C316" s="4">
        <v>120.544</v>
      </c>
      <c r="D316" s="4">
        <v>14.6</v>
      </c>
      <c r="E316" s="4">
        <v>6.4</v>
      </c>
      <c r="F316" s="4" t="s">
        <v>1032</v>
      </c>
      <c r="G316" s="4" t="s">
        <v>1220</v>
      </c>
      <c r="H316" s="4">
        <v>120.1168</v>
      </c>
      <c r="I316" s="4">
        <v>23.076830000000001</v>
      </c>
      <c r="J316" s="4">
        <v>194.3365</v>
      </c>
      <c r="K316" s="4">
        <v>32.853389999999997</v>
      </c>
      <c r="L316" s="4" t="b">
        <v>1</v>
      </c>
      <c r="M316" s="4">
        <v>2.3450000000000002</v>
      </c>
      <c r="N316" s="4" t="b">
        <v>0</v>
      </c>
      <c r="O316" s="4" t="s">
        <v>1029</v>
      </c>
      <c r="P316" s="4" t="b">
        <v>1</v>
      </c>
      <c r="Q316" s="4">
        <v>165.93100000000001</v>
      </c>
      <c r="R316" s="4">
        <v>115.754</v>
      </c>
      <c r="S316" s="4">
        <v>54.933799999999998</v>
      </c>
      <c r="T316" s="4">
        <v>45.5916</v>
      </c>
      <c r="U316" s="4">
        <v>17.0398</v>
      </c>
      <c r="V316" s="4">
        <v>5.76173</v>
      </c>
      <c r="W316" s="4">
        <v>11.920199999999999</v>
      </c>
      <c r="X316" s="4">
        <v>14.7995</v>
      </c>
      <c r="Y316" s="4">
        <v>5.4649000000000001</v>
      </c>
      <c r="Z316" s="4">
        <v>-0.91187200000000002</v>
      </c>
      <c r="AA316" s="4">
        <v>0.87145300000000003</v>
      </c>
      <c r="AB316" s="4">
        <v>0.52498599999999995</v>
      </c>
      <c r="AC316" s="1" t="s">
        <v>672</v>
      </c>
      <c r="AD316" s="1" t="s">
        <v>2966</v>
      </c>
      <c r="AE316" s="1" t="s">
        <v>2967</v>
      </c>
      <c r="AF316" s="1">
        <v>6.4</v>
      </c>
      <c r="AG316" s="1" t="s">
        <v>1003</v>
      </c>
      <c r="AH316" s="1">
        <v>22.922000000000001</v>
      </c>
      <c r="AI316" s="1">
        <v>120.544</v>
      </c>
      <c r="AJ316" s="1">
        <v>14.6</v>
      </c>
      <c r="AK316" s="1" t="s">
        <v>1032</v>
      </c>
      <c r="AL316" s="1" t="s">
        <v>2922</v>
      </c>
      <c r="AM316" s="1">
        <v>295</v>
      </c>
      <c r="AN316" s="1">
        <v>22</v>
      </c>
      <c r="AO316" s="1">
        <v>20</v>
      </c>
      <c r="AP316" s="1"/>
      <c r="AQ316" s="1"/>
      <c r="AR316" s="1"/>
      <c r="AS316" s="1" t="s">
        <v>2808</v>
      </c>
      <c r="AT316" s="1" t="s">
        <v>731</v>
      </c>
      <c r="AU316" s="1"/>
      <c r="AV316" s="1"/>
      <c r="AW316" s="1"/>
      <c r="AX316" s="1"/>
      <c r="AY316" s="1"/>
      <c r="AZ316" s="1" t="s">
        <v>2812</v>
      </c>
      <c r="BA316" t="s">
        <v>2968</v>
      </c>
    </row>
    <row r="317" spans="1:53" ht="19" customHeight="1">
      <c r="A317" s="4" t="s">
        <v>1202</v>
      </c>
      <c r="B317" s="4">
        <v>22.922000000000001</v>
      </c>
      <c r="C317" s="4">
        <v>120.544</v>
      </c>
      <c r="D317" s="4">
        <v>14.6</v>
      </c>
      <c r="E317" s="4">
        <v>6.4</v>
      </c>
      <c r="F317" s="4" t="s">
        <v>1032</v>
      </c>
      <c r="G317" s="4" t="s">
        <v>1221</v>
      </c>
      <c r="H317" s="4">
        <v>120.16679999999999</v>
      </c>
      <c r="I317" s="4">
        <v>22.992170000000002</v>
      </c>
      <c r="J317" s="4">
        <v>271.64400000000001</v>
      </c>
      <c r="K317" s="4">
        <v>25.300560000000001</v>
      </c>
      <c r="L317" s="4" t="b">
        <v>1</v>
      </c>
      <c r="M317" s="4">
        <v>2.9329999999999998</v>
      </c>
      <c r="N317" s="4" t="b">
        <v>0</v>
      </c>
      <c r="O317" s="4" t="s">
        <v>1029</v>
      </c>
      <c r="P317" s="4" t="b">
        <v>1</v>
      </c>
      <c r="Q317" s="4">
        <v>133.14699999999999</v>
      </c>
      <c r="R317" s="4">
        <v>81.429199999999994</v>
      </c>
      <c r="S317" s="4">
        <v>47.635199999999998</v>
      </c>
      <c r="T317" s="4">
        <v>52.383400000000002</v>
      </c>
      <c r="U317" s="4">
        <v>17.825700000000001</v>
      </c>
      <c r="V317" s="4">
        <v>13.411799999999999</v>
      </c>
      <c r="W317" s="4">
        <v>19.829999999999998</v>
      </c>
      <c r="X317" s="4">
        <v>9.9962300000000006</v>
      </c>
      <c r="Y317" s="4">
        <v>7.0963799999999999</v>
      </c>
      <c r="Z317" s="4">
        <v>-1.147</v>
      </c>
      <c r="AA317" s="4">
        <v>-0.75851500000000005</v>
      </c>
      <c r="AB317" s="4">
        <v>0.79632000000000003</v>
      </c>
      <c r="AC317" s="1" t="s">
        <v>672</v>
      </c>
      <c r="AD317" s="1" t="s">
        <v>2966</v>
      </c>
      <c r="AE317" s="1" t="s">
        <v>2967</v>
      </c>
      <c r="AF317" s="1">
        <v>6.4</v>
      </c>
      <c r="AG317" s="1" t="s">
        <v>1003</v>
      </c>
      <c r="AH317" s="1">
        <v>22.922000000000001</v>
      </c>
      <c r="AI317" s="1">
        <v>120.544</v>
      </c>
      <c r="AJ317" s="1">
        <v>14.6</v>
      </c>
      <c r="AK317" s="1" t="s">
        <v>1032</v>
      </c>
      <c r="AL317" s="1" t="s">
        <v>2922</v>
      </c>
      <c r="AM317" s="1">
        <v>295</v>
      </c>
      <c r="AN317" s="1">
        <v>22</v>
      </c>
      <c r="AO317" s="1">
        <v>20</v>
      </c>
      <c r="AP317" s="1"/>
      <c r="AQ317" s="1"/>
      <c r="AR317" s="1"/>
      <c r="AS317" s="1" t="s">
        <v>2808</v>
      </c>
      <c r="AT317" s="1" t="s">
        <v>731</v>
      </c>
      <c r="AU317" s="1"/>
      <c r="AV317" s="1"/>
      <c r="AW317" s="1"/>
      <c r="AX317" s="1"/>
      <c r="AY317" s="1"/>
      <c r="AZ317" s="1" t="s">
        <v>2812</v>
      </c>
      <c r="BA317" t="s">
        <v>2968</v>
      </c>
    </row>
    <row r="318" spans="1:53" ht="19" customHeight="1">
      <c r="A318" s="4" t="s">
        <v>1202</v>
      </c>
      <c r="B318" s="4">
        <v>22.922000000000001</v>
      </c>
      <c r="C318" s="4">
        <v>120.544</v>
      </c>
      <c r="D318" s="4">
        <v>14.6</v>
      </c>
      <c r="E318" s="4">
        <v>6.4</v>
      </c>
      <c r="F318" s="4" t="s">
        <v>1032</v>
      </c>
      <c r="G318" s="4" t="s">
        <v>1173</v>
      </c>
      <c r="H318" s="4">
        <v>120.3613</v>
      </c>
      <c r="I318" s="4">
        <v>23.119669999999999</v>
      </c>
      <c r="J318" s="4">
        <v>457.68860000000001</v>
      </c>
      <c r="K318" s="4">
        <v>21.162410000000001</v>
      </c>
      <c r="L318" s="4" t="b">
        <v>1</v>
      </c>
      <c r="M318" s="4">
        <v>1.8480000000000001</v>
      </c>
      <c r="N318" s="4" t="b">
        <v>0</v>
      </c>
      <c r="O318" s="4" t="s">
        <v>1029</v>
      </c>
      <c r="P318" s="4" t="b">
        <v>1</v>
      </c>
      <c r="Q318" s="4">
        <v>262.96499999999997</v>
      </c>
      <c r="R318" s="4">
        <v>260.26400000000001</v>
      </c>
      <c r="S318" s="4">
        <v>166.36199999999999</v>
      </c>
      <c r="T318" s="4">
        <v>41.3095</v>
      </c>
      <c r="U318" s="4">
        <v>58.843499999999999</v>
      </c>
      <c r="V318" s="4">
        <v>13.6776</v>
      </c>
      <c r="W318" s="4">
        <v>16.695399999999999</v>
      </c>
      <c r="X318" s="4">
        <v>19.028300000000002</v>
      </c>
      <c r="Y318" s="4">
        <v>5.1742800000000004</v>
      </c>
      <c r="Z318" s="4">
        <v>-1.9692099999999999</v>
      </c>
      <c r="AA318" s="4">
        <v>2.3756499999999998</v>
      </c>
      <c r="AB318" s="4">
        <v>1.7991600000000001</v>
      </c>
      <c r="AC318" s="1" t="s">
        <v>672</v>
      </c>
      <c r="AD318" s="1" t="s">
        <v>2966</v>
      </c>
      <c r="AE318" s="1" t="s">
        <v>2967</v>
      </c>
      <c r="AF318" s="1">
        <v>6.4</v>
      </c>
      <c r="AG318" s="1" t="s">
        <v>1003</v>
      </c>
      <c r="AH318" s="1">
        <v>22.922000000000001</v>
      </c>
      <c r="AI318" s="1">
        <v>120.544</v>
      </c>
      <c r="AJ318" s="1">
        <v>14.6</v>
      </c>
      <c r="AK318" s="1" t="s">
        <v>1032</v>
      </c>
      <c r="AL318" s="1" t="s">
        <v>2922</v>
      </c>
      <c r="AM318" s="1">
        <v>295</v>
      </c>
      <c r="AN318" s="1">
        <v>22</v>
      </c>
      <c r="AO318" s="1">
        <v>20</v>
      </c>
      <c r="AP318" s="1"/>
      <c r="AQ318" s="1"/>
      <c r="AR318" s="1"/>
      <c r="AS318" s="1" t="s">
        <v>2808</v>
      </c>
      <c r="AT318" s="1" t="s">
        <v>731</v>
      </c>
      <c r="AU318" s="1"/>
      <c r="AV318" s="1"/>
      <c r="AW318" s="1"/>
      <c r="AX318" s="1"/>
      <c r="AY318" s="1"/>
      <c r="AZ318" s="1" t="s">
        <v>2812</v>
      </c>
      <c r="BA318" t="s">
        <v>2968</v>
      </c>
    </row>
    <row r="319" spans="1:53" ht="19" customHeight="1">
      <c r="A319" s="4" t="s">
        <v>1202</v>
      </c>
      <c r="B319" s="4">
        <v>22.922000000000001</v>
      </c>
      <c r="C319" s="4">
        <v>120.544</v>
      </c>
      <c r="D319" s="4">
        <v>14.6</v>
      </c>
      <c r="E319" s="4">
        <v>6.4</v>
      </c>
      <c r="F319" s="4" t="s">
        <v>1032</v>
      </c>
      <c r="G319" s="4" t="s">
        <v>1222</v>
      </c>
      <c r="H319" s="4">
        <v>120.3479</v>
      </c>
      <c r="I319" s="4">
        <v>23.0213</v>
      </c>
      <c r="J319" s="4" t="s">
        <v>1029</v>
      </c>
      <c r="K319" s="4">
        <v>20.106081</v>
      </c>
      <c r="L319" s="4" t="b">
        <v>1</v>
      </c>
      <c r="M319" s="4">
        <v>1.75</v>
      </c>
      <c r="N319" s="4" t="b">
        <v>0</v>
      </c>
      <c r="O319" s="4" t="s">
        <v>1029</v>
      </c>
      <c r="P319" s="4" t="b">
        <v>1</v>
      </c>
      <c r="Q319" s="4">
        <v>425.40100000000001</v>
      </c>
      <c r="R319" s="4">
        <v>243.31700000000001</v>
      </c>
      <c r="S319" s="4">
        <v>186.31800000000001</v>
      </c>
      <c r="T319" s="4">
        <v>70.027699999999996</v>
      </c>
      <c r="U319" s="4">
        <v>29.657399999999999</v>
      </c>
      <c r="V319" s="4">
        <v>12.683999999999999</v>
      </c>
      <c r="W319" s="4">
        <v>24.052900000000001</v>
      </c>
      <c r="X319" s="4">
        <v>8.8400400000000001</v>
      </c>
      <c r="Y319" s="4">
        <v>13.7346</v>
      </c>
      <c r="Z319" s="4">
        <v>-2.7199200000000001</v>
      </c>
      <c r="AA319" s="4">
        <v>-9.639E-3</v>
      </c>
      <c r="AB319" s="4">
        <v>2.3423099999999999</v>
      </c>
      <c r="AC319" s="1" t="s">
        <v>672</v>
      </c>
      <c r="AD319" s="1" t="s">
        <v>2966</v>
      </c>
      <c r="AE319" s="1" t="s">
        <v>2967</v>
      </c>
      <c r="AF319" s="1">
        <v>6.4</v>
      </c>
      <c r="AG319" s="1" t="s">
        <v>1003</v>
      </c>
      <c r="AH319" s="1">
        <v>22.922000000000001</v>
      </c>
      <c r="AI319" s="1">
        <v>120.544</v>
      </c>
      <c r="AJ319" s="1">
        <v>14.6</v>
      </c>
      <c r="AK319" s="1" t="s">
        <v>1032</v>
      </c>
      <c r="AL319" s="1" t="s">
        <v>2922</v>
      </c>
      <c r="AM319" s="1">
        <v>295</v>
      </c>
      <c r="AN319" s="1">
        <v>22</v>
      </c>
      <c r="AO319" s="1">
        <v>20</v>
      </c>
      <c r="AP319" s="1"/>
      <c r="AQ319" s="1"/>
      <c r="AR319" s="1"/>
      <c r="AS319" s="1" t="s">
        <v>2808</v>
      </c>
      <c r="AT319" s="1" t="s">
        <v>731</v>
      </c>
      <c r="AU319" s="1"/>
      <c r="AV319" s="1"/>
      <c r="AW319" s="1"/>
      <c r="AX319" s="1"/>
      <c r="AY319" s="1"/>
      <c r="AZ319" s="1" t="s">
        <v>2812</v>
      </c>
      <c r="BA319" t="s">
        <v>2968</v>
      </c>
    </row>
    <row r="320" spans="1:53" ht="19" customHeight="1">
      <c r="A320" s="4" t="s">
        <v>1202</v>
      </c>
      <c r="B320" s="4">
        <v>22.922000000000001</v>
      </c>
      <c r="C320" s="4">
        <v>120.544</v>
      </c>
      <c r="D320" s="4">
        <v>14.6</v>
      </c>
      <c r="E320" s="4">
        <v>6.4</v>
      </c>
      <c r="F320" s="4" t="s">
        <v>1032</v>
      </c>
      <c r="G320" s="4" t="s">
        <v>1223</v>
      </c>
      <c r="H320" s="4">
        <v>120.28819300000001</v>
      </c>
      <c r="I320" s="4">
        <v>23.136146</v>
      </c>
      <c r="J320" s="4">
        <v>217.11770000000001</v>
      </c>
      <c r="K320" s="4">
        <v>28.577749000000001</v>
      </c>
      <c r="L320" s="4" t="b">
        <v>1</v>
      </c>
      <c r="M320" s="4">
        <v>2.016</v>
      </c>
      <c r="N320" s="4" t="b">
        <v>0</v>
      </c>
      <c r="O320" s="4" t="s">
        <v>1029</v>
      </c>
      <c r="P320" s="4" t="b">
        <v>1</v>
      </c>
      <c r="Q320" s="4">
        <v>222.35599999999999</v>
      </c>
      <c r="R320" s="4">
        <v>221.64</v>
      </c>
      <c r="S320" s="4">
        <v>52.043100000000003</v>
      </c>
      <c r="T320" s="4">
        <v>29.522500000000001</v>
      </c>
      <c r="U320" s="4">
        <v>55.849800000000002</v>
      </c>
      <c r="V320" s="4">
        <v>9.0351300000000005</v>
      </c>
      <c r="W320" s="4">
        <v>8.2867300000000004</v>
      </c>
      <c r="X320" s="4">
        <v>16.002800000000001</v>
      </c>
      <c r="Y320" s="4">
        <v>6.1974900000000002</v>
      </c>
      <c r="Z320" s="4">
        <v>-4.6222399999999997</v>
      </c>
      <c r="AA320" s="4">
        <v>-1.5434300000000001</v>
      </c>
      <c r="AB320" s="4">
        <v>-0.19475799999999999</v>
      </c>
      <c r="AC320" s="1" t="s">
        <v>672</v>
      </c>
      <c r="AD320" s="1" t="s">
        <v>2966</v>
      </c>
      <c r="AE320" s="1" t="s">
        <v>2967</v>
      </c>
      <c r="AF320" s="1">
        <v>6.4</v>
      </c>
      <c r="AG320" s="1" t="s">
        <v>1003</v>
      </c>
      <c r="AH320" s="1">
        <v>22.922000000000001</v>
      </c>
      <c r="AI320" s="1">
        <v>120.544</v>
      </c>
      <c r="AJ320" s="1">
        <v>14.6</v>
      </c>
      <c r="AK320" s="1" t="s">
        <v>1032</v>
      </c>
      <c r="AL320" s="1" t="s">
        <v>2922</v>
      </c>
      <c r="AM320" s="1">
        <v>295</v>
      </c>
      <c r="AN320" s="1">
        <v>22</v>
      </c>
      <c r="AO320" s="1">
        <v>20</v>
      </c>
      <c r="AP320" s="1"/>
      <c r="AQ320" s="1"/>
      <c r="AR320" s="1"/>
      <c r="AS320" s="1" t="s">
        <v>2808</v>
      </c>
      <c r="AT320" s="1" t="s">
        <v>731</v>
      </c>
      <c r="AU320" s="1"/>
      <c r="AV320" s="1"/>
      <c r="AW320" s="1"/>
      <c r="AX320" s="1"/>
      <c r="AY320" s="1"/>
      <c r="AZ320" s="1" t="s">
        <v>2812</v>
      </c>
      <c r="BA320" t="s">
        <v>2968</v>
      </c>
    </row>
    <row r="321" spans="1:53" ht="19" customHeight="1">
      <c r="A321" s="4" t="s">
        <v>1202</v>
      </c>
      <c r="B321" s="4">
        <v>22.922000000000001</v>
      </c>
      <c r="C321" s="4">
        <v>120.544</v>
      </c>
      <c r="D321" s="4">
        <v>14.6</v>
      </c>
      <c r="E321" s="4">
        <v>6.4</v>
      </c>
      <c r="F321" s="4" t="s">
        <v>1032</v>
      </c>
      <c r="G321" s="4" t="s">
        <v>1224</v>
      </c>
      <c r="H321" s="4">
        <v>120.30697000000001</v>
      </c>
      <c r="I321" s="4">
        <v>23.137080000000001</v>
      </c>
      <c r="J321" s="4" t="s">
        <v>1029</v>
      </c>
      <c r="K321" s="4">
        <v>27.437298999999999</v>
      </c>
      <c r="L321" s="4" t="b">
        <v>1</v>
      </c>
      <c r="M321" s="4">
        <v>2.2890000000000001</v>
      </c>
      <c r="N321" s="4" t="b">
        <v>0</v>
      </c>
      <c r="O321" s="4" t="s">
        <v>1029</v>
      </c>
      <c r="P321" s="4" t="b">
        <v>1</v>
      </c>
      <c r="Q321" s="4">
        <v>170.66200000000001</v>
      </c>
      <c r="R321" s="4">
        <v>234.73</v>
      </c>
      <c r="S321" s="4">
        <v>56.843400000000003</v>
      </c>
      <c r="T321" s="4">
        <v>31.6036</v>
      </c>
      <c r="U321" s="4">
        <v>66.198999999999998</v>
      </c>
      <c r="V321" s="4">
        <v>10.1417</v>
      </c>
      <c r="W321" s="4">
        <v>7.7173699999999998</v>
      </c>
      <c r="X321" s="4">
        <v>20.129300000000001</v>
      </c>
      <c r="Y321" s="4">
        <v>4.7302200000000001</v>
      </c>
      <c r="Z321" s="4">
        <v>-3.9203399999999999</v>
      </c>
      <c r="AA321" s="4">
        <v>1.5647599999999999</v>
      </c>
      <c r="AB321" s="4">
        <v>2.0579299999999998</v>
      </c>
      <c r="AC321" s="1" t="s">
        <v>672</v>
      </c>
      <c r="AD321" s="1" t="s">
        <v>2966</v>
      </c>
      <c r="AE321" s="1" t="s">
        <v>2967</v>
      </c>
      <c r="AF321" s="1">
        <v>6.4</v>
      </c>
      <c r="AG321" s="1" t="s">
        <v>1003</v>
      </c>
      <c r="AH321" s="1">
        <v>22.922000000000001</v>
      </c>
      <c r="AI321" s="1">
        <v>120.544</v>
      </c>
      <c r="AJ321" s="1">
        <v>14.6</v>
      </c>
      <c r="AK321" s="1" t="s">
        <v>1032</v>
      </c>
      <c r="AL321" s="1" t="s">
        <v>2922</v>
      </c>
      <c r="AM321" s="1">
        <v>295</v>
      </c>
      <c r="AN321" s="1">
        <v>22</v>
      </c>
      <c r="AO321" s="1">
        <v>20</v>
      </c>
      <c r="AP321" s="1"/>
      <c r="AQ321" s="1"/>
      <c r="AR321" s="1"/>
      <c r="AS321" s="1" t="s">
        <v>2808</v>
      </c>
      <c r="AT321" s="1" t="s">
        <v>731</v>
      </c>
      <c r="AU321" s="1"/>
      <c r="AV321" s="1"/>
      <c r="AW321" s="1"/>
      <c r="AX321" s="1"/>
      <c r="AY321" s="1"/>
      <c r="AZ321" s="1" t="s">
        <v>2812</v>
      </c>
      <c r="BA321" t="s">
        <v>2968</v>
      </c>
    </row>
    <row r="322" spans="1:53" ht="19" customHeight="1">
      <c r="A322" s="4" t="s">
        <v>1225</v>
      </c>
      <c r="B322" s="4">
        <v>24.116199999999999</v>
      </c>
      <c r="C322" s="4">
        <v>121.7225</v>
      </c>
      <c r="D322" s="4">
        <v>4.8899999999999997</v>
      </c>
      <c r="E322" s="4">
        <v>6.42</v>
      </c>
      <c r="F322" s="4" t="s">
        <v>1032</v>
      </c>
      <c r="G322" s="4" t="s">
        <v>1226</v>
      </c>
      <c r="H322" s="4">
        <v>121.626167</v>
      </c>
      <c r="I322" s="4">
        <v>23.986499999999999</v>
      </c>
      <c r="J322" s="4">
        <v>378.85310700000002</v>
      </c>
      <c r="K322" s="4">
        <v>1.7</v>
      </c>
      <c r="L322" s="4" t="b">
        <v>1</v>
      </c>
      <c r="M322" s="4">
        <v>4.4729999999999999</v>
      </c>
      <c r="N322" s="4" t="b">
        <v>0</v>
      </c>
      <c r="O322" s="4" t="s">
        <v>1029</v>
      </c>
      <c r="P322" s="4" t="b">
        <v>1</v>
      </c>
      <c r="Q322" s="4">
        <v>288.25299999999999</v>
      </c>
      <c r="R322" s="4">
        <v>243.411</v>
      </c>
      <c r="S322" s="4">
        <v>234.73699999999999</v>
      </c>
      <c r="T322" s="4">
        <v>94.970299999999995</v>
      </c>
      <c r="U322" s="4">
        <v>72.797200000000004</v>
      </c>
      <c r="V322" s="4">
        <v>24.930099999999999</v>
      </c>
      <c r="W322" s="4">
        <v>98.976600000000005</v>
      </c>
      <c r="X322" s="4">
        <v>60.376800000000003</v>
      </c>
      <c r="Y322" s="4">
        <v>44.8063</v>
      </c>
      <c r="Z322" s="4">
        <v>52.0398</v>
      </c>
      <c r="AA322" s="4">
        <v>23.604900000000001</v>
      </c>
      <c r="AB322" s="4">
        <v>23.421399999999998</v>
      </c>
      <c r="AC322" s="1" t="s">
        <v>676</v>
      </c>
      <c r="AD322" s="1" t="s">
        <v>2970</v>
      </c>
      <c r="AE322" s="1" t="s">
        <v>2971</v>
      </c>
      <c r="AF322" s="1">
        <v>6.42</v>
      </c>
      <c r="AG322" s="1" t="s">
        <v>1003</v>
      </c>
      <c r="AH322" s="1">
        <v>24.116199999999999</v>
      </c>
      <c r="AI322" s="1">
        <v>121.7225</v>
      </c>
      <c r="AJ322" s="1">
        <v>4.8899999999999997</v>
      </c>
      <c r="AK322" s="1" t="s">
        <v>1032</v>
      </c>
      <c r="AL322" s="1" t="s">
        <v>2922</v>
      </c>
      <c r="AM322" s="1">
        <v>216</v>
      </c>
      <c r="AN322" s="1">
        <v>56</v>
      </c>
      <c r="AO322" s="1">
        <v>26</v>
      </c>
      <c r="AP322" s="1"/>
      <c r="AQ322" s="1"/>
      <c r="AR322" s="1"/>
      <c r="AS322" s="1" t="s">
        <v>2808</v>
      </c>
      <c r="AT322" s="1" t="s">
        <v>731</v>
      </c>
      <c r="AU322" s="1"/>
      <c r="AV322" s="1"/>
      <c r="AW322" s="1"/>
      <c r="AX322" s="1"/>
      <c r="AY322" s="1"/>
      <c r="AZ322" s="1" t="s">
        <v>2812</v>
      </c>
      <c r="BA322" t="s">
        <v>2972</v>
      </c>
    </row>
    <row r="323" spans="1:53" ht="19" customHeight="1">
      <c r="A323" s="4" t="s">
        <v>1225</v>
      </c>
      <c r="B323" s="4">
        <v>24.116199999999999</v>
      </c>
      <c r="C323" s="4">
        <v>121.7225</v>
      </c>
      <c r="D323" s="4">
        <v>4.8899999999999997</v>
      </c>
      <c r="E323" s="4">
        <v>6.42</v>
      </c>
      <c r="F323" s="4" t="s">
        <v>1032</v>
      </c>
      <c r="G323" s="4" t="s">
        <v>1227</v>
      </c>
      <c r="H323" s="4">
        <v>121.60299999999999</v>
      </c>
      <c r="I323" s="4">
        <v>23.987333</v>
      </c>
      <c r="J323" s="4">
        <v>297.02970299999998</v>
      </c>
      <c r="K323" s="4">
        <v>0.7</v>
      </c>
      <c r="L323" s="4" t="b">
        <v>1</v>
      </c>
      <c r="M323" s="4">
        <v>3.2690000000000001</v>
      </c>
      <c r="N323" s="4" t="b">
        <v>1</v>
      </c>
      <c r="O323" s="4">
        <v>2.758</v>
      </c>
      <c r="P323" s="4" t="b">
        <v>1</v>
      </c>
      <c r="Q323" s="4">
        <v>227.672</v>
      </c>
      <c r="R323" s="4">
        <v>335.70100000000002</v>
      </c>
      <c r="S323" s="4">
        <v>314.41000000000003</v>
      </c>
      <c r="T323" s="4">
        <v>95.235200000000006</v>
      </c>
      <c r="U323" s="4">
        <v>80.353800000000007</v>
      </c>
      <c r="V323" s="4">
        <v>32.441400000000002</v>
      </c>
      <c r="W323" s="4">
        <v>46.859900000000003</v>
      </c>
      <c r="X323" s="4">
        <v>79.861699999999999</v>
      </c>
      <c r="Y323" s="4">
        <v>25.210599999999999</v>
      </c>
      <c r="Z323" s="4">
        <v>9.86191</v>
      </c>
      <c r="AA323" s="4">
        <v>-39.164299999999997</v>
      </c>
      <c r="AB323" s="4">
        <v>-3.20357</v>
      </c>
      <c r="AC323" s="1" t="s">
        <v>676</v>
      </c>
      <c r="AD323" s="1" t="s">
        <v>2970</v>
      </c>
      <c r="AE323" s="1" t="s">
        <v>2971</v>
      </c>
      <c r="AF323" s="1">
        <v>6.42</v>
      </c>
      <c r="AG323" s="1" t="s">
        <v>1003</v>
      </c>
      <c r="AH323" s="1">
        <v>24.116199999999999</v>
      </c>
      <c r="AI323" s="1">
        <v>121.7225</v>
      </c>
      <c r="AJ323" s="1">
        <v>4.8899999999999997</v>
      </c>
      <c r="AK323" s="1" t="s">
        <v>1032</v>
      </c>
      <c r="AL323" s="1" t="s">
        <v>2922</v>
      </c>
      <c r="AM323" s="1">
        <v>216</v>
      </c>
      <c r="AN323" s="1">
        <v>56</v>
      </c>
      <c r="AO323" s="1">
        <v>26</v>
      </c>
      <c r="AP323" s="1"/>
      <c r="AQ323" s="1"/>
      <c r="AR323" s="1"/>
      <c r="AS323" s="1" t="s">
        <v>2808</v>
      </c>
      <c r="AT323" s="1" t="s">
        <v>731</v>
      </c>
      <c r="AU323" s="1"/>
      <c r="AV323" s="1"/>
      <c r="AW323" s="1"/>
      <c r="AX323" s="1"/>
      <c r="AY323" s="1"/>
      <c r="AZ323" s="1" t="s">
        <v>2812</v>
      </c>
      <c r="BA323" t="s">
        <v>2972</v>
      </c>
    </row>
    <row r="324" spans="1:53" ht="19" customHeight="1">
      <c r="A324" s="4" t="s">
        <v>1225</v>
      </c>
      <c r="B324" s="4">
        <v>24.116199999999999</v>
      </c>
      <c r="C324" s="4">
        <v>121.7225</v>
      </c>
      <c r="D324" s="4">
        <v>4.8899999999999997</v>
      </c>
      <c r="E324" s="4">
        <v>6.42</v>
      </c>
      <c r="F324" s="4" t="s">
        <v>1032</v>
      </c>
      <c r="G324" s="4" t="s">
        <v>1228</v>
      </c>
      <c r="H324" s="4">
        <v>121.622333</v>
      </c>
      <c r="I324" s="4">
        <v>23.990333</v>
      </c>
      <c r="J324" s="4">
        <v>461.07150799999999</v>
      </c>
      <c r="K324" s="4">
        <v>1.3</v>
      </c>
      <c r="L324" s="4" t="b">
        <v>1</v>
      </c>
      <c r="M324" s="4">
        <v>4.7809999999999997</v>
      </c>
      <c r="N324" s="4" t="b">
        <v>0</v>
      </c>
      <c r="O324" s="4" t="s">
        <v>1029</v>
      </c>
      <c r="P324" s="4" t="b">
        <v>1</v>
      </c>
      <c r="Q324" s="4">
        <v>249.14699999999999</v>
      </c>
      <c r="R324" s="4">
        <v>258.22399999999999</v>
      </c>
      <c r="S324" s="4">
        <v>303.89400000000001</v>
      </c>
      <c r="T324" s="4">
        <v>106.273</v>
      </c>
      <c r="U324" s="4">
        <v>78.721800000000002</v>
      </c>
      <c r="V324" s="4">
        <v>21.7042</v>
      </c>
      <c r="W324" s="4">
        <v>113.949</v>
      </c>
      <c r="X324" s="4">
        <v>49.9557</v>
      </c>
      <c r="Y324" s="4">
        <v>40.390300000000003</v>
      </c>
      <c r="Z324" s="4">
        <v>44.769100000000002</v>
      </c>
      <c r="AA324" s="4">
        <v>35.5989</v>
      </c>
      <c r="AB324" s="4">
        <v>19.1403</v>
      </c>
      <c r="AC324" s="1" t="s">
        <v>676</v>
      </c>
      <c r="AD324" s="1" t="s">
        <v>2970</v>
      </c>
      <c r="AE324" s="1" t="s">
        <v>2971</v>
      </c>
      <c r="AF324" s="1">
        <v>6.42</v>
      </c>
      <c r="AG324" s="1" t="s">
        <v>1003</v>
      </c>
      <c r="AH324" s="1">
        <v>24.116199999999999</v>
      </c>
      <c r="AI324" s="1">
        <v>121.7225</v>
      </c>
      <c r="AJ324" s="1">
        <v>4.8899999999999997</v>
      </c>
      <c r="AK324" s="1" t="s">
        <v>1032</v>
      </c>
      <c r="AL324" s="1" t="s">
        <v>2922</v>
      </c>
      <c r="AM324" s="1">
        <v>216</v>
      </c>
      <c r="AN324" s="1">
        <v>56</v>
      </c>
      <c r="AO324" s="1">
        <v>26</v>
      </c>
      <c r="AP324" s="1"/>
      <c r="AQ324" s="1"/>
      <c r="AR324" s="1"/>
      <c r="AS324" s="1" t="s">
        <v>2808</v>
      </c>
      <c r="AT324" s="1" t="s">
        <v>731</v>
      </c>
      <c r="AU324" s="1"/>
      <c r="AV324" s="1"/>
      <c r="AW324" s="1"/>
      <c r="AX324" s="1"/>
      <c r="AY324" s="1"/>
      <c r="AZ324" s="1" t="s">
        <v>2812</v>
      </c>
      <c r="BA324" t="s">
        <v>2972</v>
      </c>
    </row>
    <row r="325" spans="1:53" ht="19" customHeight="1">
      <c r="A325" s="4" t="s">
        <v>1225</v>
      </c>
      <c r="B325" s="4">
        <v>24.116199999999999</v>
      </c>
      <c r="C325" s="4">
        <v>121.7225</v>
      </c>
      <c r="D325" s="4">
        <v>4.8899999999999997</v>
      </c>
      <c r="E325" s="4">
        <v>6.42</v>
      </c>
      <c r="F325" s="4" t="s">
        <v>1032</v>
      </c>
      <c r="G325" s="4" t="s">
        <v>1229</v>
      </c>
      <c r="H325" s="4">
        <v>121.602667</v>
      </c>
      <c r="I325" s="4">
        <v>23.978332999999999</v>
      </c>
      <c r="J325" s="4">
        <v>249.67750000000001</v>
      </c>
      <c r="K325" s="4">
        <v>0.7</v>
      </c>
      <c r="L325" s="4" t="b">
        <v>1</v>
      </c>
      <c r="M325" s="4">
        <v>3.2480000000000002</v>
      </c>
      <c r="N325" s="4" t="b">
        <v>0</v>
      </c>
      <c r="O325" s="4" t="s">
        <v>1029</v>
      </c>
      <c r="P325" s="4" t="b">
        <v>1</v>
      </c>
      <c r="Q325" s="4">
        <v>313.75799999999998</v>
      </c>
      <c r="R325" s="4">
        <v>195.989</v>
      </c>
      <c r="S325" s="4">
        <v>261.52100000000002</v>
      </c>
      <c r="T325" s="4">
        <v>120.488</v>
      </c>
      <c r="U325" s="4">
        <v>77.181899999999999</v>
      </c>
      <c r="V325" s="4">
        <v>28.2575</v>
      </c>
      <c r="W325" s="4">
        <v>64.5548</v>
      </c>
      <c r="X325" s="4">
        <v>46.735199999999999</v>
      </c>
      <c r="Y325" s="4">
        <v>21.720199999999998</v>
      </c>
      <c r="Z325" s="4">
        <v>-0.25421899999999997</v>
      </c>
      <c r="AA325" s="4">
        <v>-40.526200000000003</v>
      </c>
      <c r="AB325" s="4">
        <v>-7.59429</v>
      </c>
      <c r="AC325" s="1" t="s">
        <v>676</v>
      </c>
      <c r="AD325" s="1" t="s">
        <v>2970</v>
      </c>
      <c r="AE325" s="1" t="s">
        <v>2971</v>
      </c>
      <c r="AF325" s="1">
        <v>6.42</v>
      </c>
      <c r="AG325" s="1" t="s">
        <v>1003</v>
      </c>
      <c r="AH325" s="1">
        <v>24.116199999999999</v>
      </c>
      <c r="AI325" s="1">
        <v>121.7225</v>
      </c>
      <c r="AJ325" s="1">
        <v>4.8899999999999997</v>
      </c>
      <c r="AK325" s="1" t="s">
        <v>1032</v>
      </c>
      <c r="AL325" s="1" t="s">
        <v>2922</v>
      </c>
      <c r="AM325" s="1">
        <v>216</v>
      </c>
      <c r="AN325" s="1">
        <v>56</v>
      </c>
      <c r="AO325" s="1">
        <v>26</v>
      </c>
      <c r="AP325" s="1"/>
      <c r="AQ325" s="1"/>
      <c r="AR325" s="1"/>
      <c r="AS325" s="1" t="s">
        <v>2808</v>
      </c>
      <c r="AT325" s="1" t="s">
        <v>731</v>
      </c>
      <c r="AU325" s="1"/>
      <c r="AV325" s="1"/>
      <c r="AW325" s="1"/>
      <c r="AX325" s="1"/>
      <c r="AY325" s="1"/>
      <c r="AZ325" s="1" t="s">
        <v>2812</v>
      </c>
      <c r="BA325" t="s">
        <v>2972</v>
      </c>
    </row>
    <row r="326" spans="1:53" ht="19" customHeight="1">
      <c r="A326" s="4" t="s">
        <v>1225</v>
      </c>
      <c r="B326" s="4">
        <v>24.116199999999999</v>
      </c>
      <c r="C326" s="4">
        <v>121.7225</v>
      </c>
      <c r="D326" s="4">
        <v>4.8899999999999997</v>
      </c>
      <c r="E326" s="4">
        <v>6.42</v>
      </c>
      <c r="F326" s="4" t="s">
        <v>1032</v>
      </c>
      <c r="G326" s="4" t="s">
        <v>1099</v>
      </c>
      <c r="H326" s="4">
        <v>121.59483299999999</v>
      </c>
      <c r="I326" s="4">
        <v>23.995332999999999</v>
      </c>
      <c r="J326" s="4">
        <v>360.83714199999997</v>
      </c>
      <c r="K326" s="4">
        <v>1.6</v>
      </c>
      <c r="L326" s="4" t="b">
        <v>1</v>
      </c>
      <c r="M326" s="4">
        <v>3.8290000000000002</v>
      </c>
      <c r="N326" s="4" t="b">
        <v>0</v>
      </c>
      <c r="O326" s="4" t="s">
        <v>1029</v>
      </c>
      <c r="P326" s="4" t="b">
        <v>1</v>
      </c>
      <c r="Q326" s="4">
        <v>247.733</v>
      </c>
      <c r="R326" s="4">
        <v>198.988</v>
      </c>
      <c r="S326" s="4">
        <v>302.267</v>
      </c>
      <c r="T326" s="4">
        <v>53.377000000000002</v>
      </c>
      <c r="U326" s="4">
        <v>86.932199999999995</v>
      </c>
      <c r="V326" s="4">
        <v>18.9316</v>
      </c>
      <c r="W326" s="4">
        <v>20.4758</v>
      </c>
      <c r="X326" s="4">
        <v>63.994900000000001</v>
      </c>
      <c r="Y326" s="4">
        <v>23.306899999999999</v>
      </c>
      <c r="Z326" s="4">
        <v>-1.20662</v>
      </c>
      <c r="AA326" s="4">
        <v>-27.040299999999998</v>
      </c>
      <c r="AB326" s="4">
        <v>2.1874199999999999</v>
      </c>
      <c r="AC326" s="1" t="s">
        <v>676</v>
      </c>
      <c r="AD326" s="1" t="s">
        <v>2970</v>
      </c>
      <c r="AE326" s="1" t="s">
        <v>2971</v>
      </c>
      <c r="AF326" s="1">
        <v>6.42</v>
      </c>
      <c r="AG326" s="1" t="s">
        <v>1003</v>
      </c>
      <c r="AH326" s="1">
        <v>24.116199999999999</v>
      </c>
      <c r="AI326" s="1">
        <v>121.7225</v>
      </c>
      <c r="AJ326" s="1">
        <v>4.8899999999999997</v>
      </c>
      <c r="AK326" s="1" t="s">
        <v>1032</v>
      </c>
      <c r="AL326" s="1" t="s">
        <v>2922</v>
      </c>
      <c r="AM326" s="1">
        <v>216</v>
      </c>
      <c r="AN326" s="1">
        <v>56</v>
      </c>
      <c r="AO326" s="1">
        <v>26</v>
      </c>
      <c r="AP326" s="1"/>
      <c r="AQ326" s="1"/>
      <c r="AR326" s="1"/>
      <c r="AS326" s="1" t="s">
        <v>2808</v>
      </c>
      <c r="AT326" s="1" t="s">
        <v>731</v>
      </c>
      <c r="AU326" s="1"/>
      <c r="AV326" s="1"/>
      <c r="AW326" s="1"/>
      <c r="AX326" s="1"/>
      <c r="AY326" s="1"/>
      <c r="AZ326" s="1" t="s">
        <v>2812</v>
      </c>
      <c r="BA326" t="s">
        <v>2972</v>
      </c>
    </row>
    <row r="327" spans="1:53" ht="19" customHeight="1">
      <c r="A327" s="4" t="s">
        <v>1225</v>
      </c>
      <c r="B327" s="4">
        <v>24.116199999999999</v>
      </c>
      <c r="C327" s="4">
        <v>121.7225</v>
      </c>
      <c r="D327" s="4">
        <v>4.8899999999999997</v>
      </c>
      <c r="E327" s="4">
        <v>6.42</v>
      </c>
      <c r="F327" s="4" t="s">
        <v>1032</v>
      </c>
      <c r="G327" s="4" t="s">
        <v>1230</v>
      </c>
      <c r="H327" s="4">
        <v>121.631333</v>
      </c>
      <c r="I327" s="4">
        <v>23.992000000000001</v>
      </c>
      <c r="J327" s="4">
        <v>409.78050000000002</v>
      </c>
      <c r="K327" s="4">
        <v>2.1</v>
      </c>
      <c r="L327" s="4" t="b">
        <v>1</v>
      </c>
      <c r="M327" s="4">
        <v>4.8650000000000002</v>
      </c>
      <c r="N327" s="4" t="b">
        <v>0</v>
      </c>
      <c r="O327" s="4" t="s">
        <v>1029</v>
      </c>
      <c r="P327" s="4" t="b">
        <v>1</v>
      </c>
      <c r="Q327" s="4">
        <v>276.39800000000002</v>
      </c>
      <c r="R327" s="4">
        <v>278.70999999999998</v>
      </c>
      <c r="S327" s="4">
        <v>309.95699999999999</v>
      </c>
      <c r="T327" s="4">
        <v>81.844999999999999</v>
      </c>
      <c r="U327" s="4">
        <v>64.051699999999997</v>
      </c>
      <c r="V327" s="4">
        <v>27.0212</v>
      </c>
      <c r="W327" s="4">
        <v>96.68</v>
      </c>
      <c r="X327" s="4">
        <v>52.423699999999997</v>
      </c>
      <c r="Y327" s="4">
        <v>39.1417</v>
      </c>
      <c r="Z327" s="4">
        <v>43.924199999999999</v>
      </c>
      <c r="AA327" s="4">
        <v>25.153199999999998</v>
      </c>
      <c r="AB327" s="4">
        <v>21.610700000000001</v>
      </c>
      <c r="AC327" s="1" t="s">
        <v>676</v>
      </c>
      <c r="AD327" s="1" t="s">
        <v>2970</v>
      </c>
      <c r="AE327" s="1" t="s">
        <v>2971</v>
      </c>
      <c r="AF327" s="1">
        <v>6.42</v>
      </c>
      <c r="AG327" s="1" t="s">
        <v>1003</v>
      </c>
      <c r="AH327" s="1">
        <v>24.116199999999999</v>
      </c>
      <c r="AI327" s="1">
        <v>121.7225</v>
      </c>
      <c r="AJ327" s="1">
        <v>4.8899999999999997</v>
      </c>
      <c r="AK327" s="1" t="s">
        <v>1032</v>
      </c>
      <c r="AL327" s="1" t="s">
        <v>2922</v>
      </c>
      <c r="AM327" s="1">
        <v>216</v>
      </c>
      <c r="AN327" s="1">
        <v>56</v>
      </c>
      <c r="AO327" s="1">
        <v>26</v>
      </c>
      <c r="AP327" s="1"/>
      <c r="AQ327" s="1"/>
      <c r="AR327" s="1"/>
      <c r="AS327" s="1" t="s">
        <v>2808</v>
      </c>
      <c r="AT327" s="1" t="s">
        <v>731</v>
      </c>
      <c r="AU327" s="1"/>
      <c r="AV327" s="1"/>
      <c r="AW327" s="1"/>
      <c r="AX327" s="1"/>
      <c r="AY327" s="1"/>
      <c r="AZ327" s="1" t="s">
        <v>2812</v>
      </c>
      <c r="BA327" t="s">
        <v>2972</v>
      </c>
    </row>
    <row r="328" spans="1:53" ht="19" customHeight="1">
      <c r="A328" s="4" t="s">
        <v>1225</v>
      </c>
      <c r="B328" s="4">
        <v>24.116199999999999</v>
      </c>
      <c r="C328" s="4">
        <v>121.7225</v>
      </c>
      <c r="D328" s="4">
        <v>4.8899999999999997</v>
      </c>
      <c r="E328" s="4">
        <v>6.42</v>
      </c>
      <c r="F328" s="4" t="s">
        <v>1032</v>
      </c>
      <c r="G328" s="4" t="s">
        <v>1231</v>
      </c>
      <c r="H328" s="4">
        <v>121.5985</v>
      </c>
      <c r="I328" s="4">
        <v>23.9755</v>
      </c>
      <c r="J328" s="4">
        <v>336.75702999999999</v>
      </c>
      <c r="K328" s="4">
        <v>1.2</v>
      </c>
      <c r="L328" s="4" t="b">
        <v>1</v>
      </c>
      <c r="M328" s="4">
        <v>2.7440000000000002</v>
      </c>
      <c r="N328" s="4" t="b">
        <v>0</v>
      </c>
      <c r="O328" s="4" t="s">
        <v>1029</v>
      </c>
      <c r="P328" s="4" t="b">
        <v>1</v>
      </c>
      <c r="Q328" s="4">
        <v>315.84899999999999</v>
      </c>
      <c r="R328" s="4">
        <v>219.58</v>
      </c>
      <c r="S328" s="4">
        <v>296.01499999999999</v>
      </c>
      <c r="T328" s="4">
        <v>102.01900000000001</v>
      </c>
      <c r="U328" s="4">
        <v>52.704799999999999</v>
      </c>
      <c r="V328" s="4">
        <v>27.2361</v>
      </c>
      <c r="W328" s="4">
        <v>50.133899999999997</v>
      </c>
      <c r="X328" s="4">
        <v>30.870899999999999</v>
      </c>
      <c r="Y328" s="4">
        <v>22.51</v>
      </c>
      <c r="Z328" s="4">
        <v>3.3024800000000001</v>
      </c>
      <c r="AA328" s="4">
        <v>-22.177199999999999</v>
      </c>
      <c r="AB328" s="4">
        <v>-4.32233</v>
      </c>
      <c r="AC328" s="1" t="s">
        <v>676</v>
      </c>
      <c r="AD328" s="1" t="s">
        <v>2970</v>
      </c>
      <c r="AE328" s="1" t="s">
        <v>2971</v>
      </c>
      <c r="AF328" s="1">
        <v>6.42</v>
      </c>
      <c r="AG328" s="1" t="s">
        <v>1003</v>
      </c>
      <c r="AH328" s="1">
        <v>24.116199999999999</v>
      </c>
      <c r="AI328" s="1">
        <v>121.7225</v>
      </c>
      <c r="AJ328" s="1">
        <v>4.8899999999999997</v>
      </c>
      <c r="AK328" s="1" t="s">
        <v>1032</v>
      </c>
      <c r="AL328" s="1" t="s">
        <v>2922</v>
      </c>
      <c r="AM328" s="1">
        <v>216</v>
      </c>
      <c r="AN328" s="1">
        <v>56</v>
      </c>
      <c r="AO328" s="1">
        <v>26</v>
      </c>
      <c r="AP328" s="1"/>
      <c r="AQ328" s="1"/>
      <c r="AR328" s="1"/>
      <c r="AS328" s="1" t="s">
        <v>2808</v>
      </c>
      <c r="AT328" s="1" t="s">
        <v>731</v>
      </c>
      <c r="AU328" s="1"/>
      <c r="AV328" s="1"/>
      <c r="AW328" s="1"/>
      <c r="AX328" s="1"/>
      <c r="AY328" s="1"/>
      <c r="AZ328" s="1" t="s">
        <v>2812</v>
      </c>
      <c r="BA328" t="s">
        <v>2972</v>
      </c>
    </row>
    <row r="329" spans="1:53" ht="19" customHeight="1">
      <c r="A329" s="4" t="s">
        <v>1225</v>
      </c>
      <c r="B329" s="4">
        <v>24.116199999999999</v>
      </c>
      <c r="C329" s="4">
        <v>121.7225</v>
      </c>
      <c r="D329" s="4">
        <v>4.8899999999999997</v>
      </c>
      <c r="E329" s="4">
        <v>6.42</v>
      </c>
      <c r="F329" s="4" t="s">
        <v>1032</v>
      </c>
      <c r="G329" s="4" t="s">
        <v>1232</v>
      </c>
      <c r="H329" s="4">
        <v>121.605667</v>
      </c>
      <c r="I329" s="4">
        <v>23.971167000000001</v>
      </c>
      <c r="J329" s="4">
        <v>279.95520699999997</v>
      </c>
      <c r="K329" s="4">
        <v>0.5</v>
      </c>
      <c r="L329" s="4" t="b">
        <v>1</v>
      </c>
      <c r="M329" s="4">
        <v>3.6539999999999999</v>
      </c>
      <c r="N329" s="4" t="b">
        <v>0</v>
      </c>
      <c r="O329" s="4" t="s">
        <v>1029</v>
      </c>
      <c r="P329" s="4" t="b">
        <v>1</v>
      </c>
      <c r="Q329" s="4">
        <v>317.423</v>
      </c>
      <c r="R329" s="4">
        <v>216.33500000000001</v>
      </c>
      <c r="S329" s="4">
        <v>348.267</v>
      </c>
      <c r="T329" s="4">
        <v>146.48500000000001</v>
      </c>
      <c r="U329" s="4">
        <v>55.508899999999997</v>
      </c>
      <c r="V329" s="4">
        <v>25.799099999999999</v>
      </c>
      <c r="W329" s="4">
        <v>79.977800000000002</v>
      </c>
      <c r="X329" s="4">
        <v>56.755499999999998</v>
      </c>
      <c r="Y329" s="4">
        <v>17.814299999999999</v>
      </c>
      <c r="Z329" s="4">
        <v>-14.9657</v>
      </c>
      <c r="AA329" s="4">
        <v>-45.142899999999997</v>
      </c>
      <c r="AB329" s="4">
        <v>-6.4563199999999998</v>
      </c>
      <c r="AC329" s="1" t="s">
        <v>676</v>
      </c>
      <c r="AD329" s="1" t="s">
        <v>2970</v>
      </c>
      <c r="AE329" s="1" t="s">
        <v>2971</v>
      </c>
      <c r="AF329" s="1">
        <v>6.42</v>
      </c>
      <c r="AG329" s="1" t="s">
        <v>1003</v>
      </c>
      <c r="AH329" s="1">
        <v>24.116199999999999</v>
      </c>
      <c r="AI329" s="1">
        <v>121.7225</v>
      </c>
      <c r="AJ329" s="1">
        <v>4.8899999999999997</v>
      </c>
      <c r="AK329" s="1" t="s">
        <v>1032</v>
      </c>
      <c r="AL329" s="1" t="s">
        <v>2922</v>
      </c>
      <c r="AM329" s="1">
        <v>216</v>
      </c>
      <c r="AN329" s="1">
        <v>56</v>
      </c>
      <c r="AO329" s="1">
        <v>26</v>
      </c>
      <c r="AP329" s="1"/>
      <c r="AQ329" s="1"/>
      <c r="AR329" s="1"/>
      <c r="AS329" s="1" t="s">
        <v>2808</v>
      </c>
      <c r="AT329" s="1" t="s">
        <v>731</v>
      </c>
      <c r="AU329" s="1"/>
      <c r="AV329" s="1"/>
      <c r="AW329" s="1"/>
      <c r="AX329" s="1"/>
      <c r="AY329" s="1"/>
      <c r="AZ329" s="1" t="s">
        <v>2812</v>
      </c>
      <c r="BA329" t="s">
        <v>2972</v>
      </c>
    </row>
    <row r="330" spans="1:53" ht="19" customHeight="1">
      <c r="A330" s="4" t="s">
        <v>1225</v>
      </c>
      <c r="B330" s="4">
        <v>24.116199999999999</v>
      </c>
      <c r="C330" s="4">
        <v>121.7225</v>
      </c>
      <c r="D330" s="4">
        <v>4.8899999999999997</v>
      </c>
      <c r="E330" s="4">
        <v>6.42</v>
      </c>
      <c r="F330" s="4" t="s">
        <v>1032</v>
      </c>
      <c r="G330" s="4" t="s">
        <v>1138</v>
      </c>
      <c r="H330" s="4">
        <v>121.562667</v>
      </c>
      <c r="I330" s="4">
        <v>23.972833000000001</v>
      </c>
      <c r="J330" s="4">
        <v>445.59969999999998</v>
      </c>
      <c r="K330" s="4">
        <v>22.146996999999999</v>
      </c>
      <c r="L330" s="4" t="b">
        <v>1</v>
      </c>
      <c r="M330" s="4">
        <v>2.9049999999999998</v>
      </c>
      <c r="N330" s="4" t="b">
        <v>0</v>
      </c>
      <c r="O330" s="4" t="s">
        <v>1029</v>
      </c>
      <c r="P330" s="4" t="b">
        <v>1</v>
      </c>
      <c r="Q330" s="4">
        <v>173.38800000000001</v>
      </c>
      <c r="R330" s="4">
        <v>183.941</v>
      </c>
      <c r="S330" s="4">
        <v>218.65600000000001</v>
      </c>
      <c r="T330" s="4">
        <v>33.971800000000002</v>
      </c>
      <c r="U330" s="4">
        <v>18.257200000000001</v>
      </c>
      <c r="V330" s="4">
        <v>20.986899999999999</v>
      </c>
      <c r="W330" s="4">
        <v>26.1233</v>
      </c>
      <c r="X330" s="4">
        <v>24.080500000000001</v>
      </c>
      <c r="Y330" s="4">
        <v>19.988700000000001</v>
      </c>
      <c r="Z330" s="4">
        <v>-15.2935</v>
      </c>
      <c r="AA330" s="4">
        <v>-16.462</v>
      </c>
      <c r="AB330" s="4">
        <v>7.7355600000000004</v>
      </c>
      <c r="AC330" s="1" t="s">
        <v>676</v>
      </c>
      <c r="AD330" s="1" t="s">
        <v>2970</v>
      </c>
      <c r="AE330" s="1" t="s">
        <v>2971</v>
      </c>
      <c r="AF330" s="1">
        <v>6.42</v>
      </c>
      <c r="AG330" s="1" t="s">
        <v>1003</v>
      </c>
      <c r="AH330" s="1">
        <v>24.116199999999999</v>
      </c>
      <c r="AI330" s="1">
        <v>121.7225</v>
      </c>
      <c r="AJ330" s="1">
        <v>4.8899999999999997</v>
      </c>
      <c r="AK330" s="1" t="s">
        <v>1032</v>
      </c>
      <c r="AL330" s="1" t="s">
        <v>2922</v>
      </c>
      <c r="AM330" s="1">
        <v>216</v>
      </c>
      <c r="AN330" s="1">
        <v>56</v>
      </c>
      <c r="AO330" s="1">
        <v>26</v>
      </c>
      <c r="AP330" s="1"/>
      <c r="AQ330" s="1"/>
      <c r="AR330" s="1"/>
      <c r="AS330" s="1" t="s">
        <v>2808</v>
      </c>
      <c r="AT330" s="1" t="s">
        <v>731</v>
      </c>
      <c r="AU330" s="1"/>
      <c r="AV330" s="1"/>
      <c r="AW330" s="1"/>
      <c r="AX330" s="1"/>
      <c r="AY330" s="1"/>
      <c r="AZ330" s="1" t="s">
        <v>2812</v>
      </c>
      <c r="BA330" t="s">
        <v>2972</v>
      </c>
    </row>
    <row r="331" spans="1:53" ht="19" customHeight="1">
      <c r="A331" s="4" t="s">
        <v>1225</v>
      </c>
      <c r="B331" s="4">
        <v>24.116199999999999</v>
      </c>
      <c r="C331" s="4">
        <v>121.7225</v>
      </c>
      <c r="D331" s="4">
        <v>4.8899999999999997</v>
      </c>
      <c r="E331" s="4">
        <v>6.42</v>
      </c>
      <c r="F331" s="4" t="s">
        <v>1032</v>
      </c>
      <c r="G331" s="4" t="s">
        <v>1139</v>
      </c>
      <c r="H331" s="4">
        <v>121.5685</v>
      </c>
      <c r="I331" s="4">
        <v>23.963166999999999</v>
      </c>
      <c r="J331" s="4">
        <v>579.59814500000005</v>
      </c>
      <c r="K331" s="4">
        <v>22.448481999999998</v>
      </c>
      <c r="L331" s="4" t="b">
        <v>1</v>
      </c>
      <c r="M331" s="4">
        <v>2.758</v>
      </c>
      <c r="N331" s="4" t="b">
        <v>0</v>
      </c>
      <c r="O331" s="4" t="s">
        <v>1029</v>
      </c>
      <c r="P331" s="4" t="b">
        <v>1</v>
      </c>
      <c r="Q331" s="4">
        <v>194.161</v>
      </c>
      <c r="R331" s="4">
        <v>159.25399999999999</v>
      </c>
      <c r="S331" s="4">
        <v>238.58099999999999</v>
      </c>
      <c r="T331" s="4">
        <v>37.359299999999998</v>
      </c>
      <c r="U331" s="4">
        <v>24.199100000000001</v>
      </c>
      <c r="V331" s="4">
        <v>19.7347</v>
      </c>
      <c r="W331" s="4">
        <v>31.0444</v>
      </c>
      <c r="X331" s="4">
        <v>16.346399999999999</v>
      </c>
      <c r="Y331" s="4">
        <v>23.727399999999999</v>
      </c>
      <c r="Z331" s="4">
        <v>-12.829599999999999</v>
      </c>
      <c r="AA331" s="4">
        <v>-8.6684699999999992</v>
      </c>
      <c r="AB331" s="4">
        <v>9.89771</v>
      </c>
      <c r="AC331" s="1" t="s">
        <v>676</v>
      </c>
      <c r="AD331" s="1" t="s">
        <v>2970</v>
      </c>
      <c r="AE331" s="1" t="s">
        <v>2971</v>
      </c>
      <c r="AF331" s="1">
        <v>6.42</v>
      </c>
      <c r="AG331" s="1" t="s">
        <v>1003</v>
      </c>
      <c r="AH331" s="1">
        <v>24.116199999999999</v>
      </c>
      <c r="AI331" s="1">
        <v>121.7225</v>
      </c>
      <c r="AJ331" s="1">
        <v>4.8899999999999997</v>
      </c>
      <c r="AK331" s="1" t="s">
        <v>1032</v>
      </c>
      <c r="AL331" s="1" t="s">
        <v>2922</v>
      </c>
      <c r="AM331" s="1">
        <v>216</v>
      </c>
      <c r="AN331" s="1">
        <v>56</v>
      </c>
      <c r="AO331" s="1">
        <v>26</v>
      </c>
      <c r="AP331" s="1"/>
      <c r="AQ331" s="1"/>
      <c r="AR331" s="1"/>
      <c r="AS331" s="1" t="s">
        <v>2808</v>
      </c>
      <c r="AT331" s="1" t="s">
        <v>731</v>
      </c>
      <c r="AU331" s="1"/>
      <c r="AV331" s="1"/>
      <c r="AW331" s="1"/>
      <c r="AX331" s="1"/>
      <c r="AY331" s="1"/>
      <c r="AZ331" s="1" t="s">
        <v>2812</v>
      </c>
      <c r="BA331" t="s">
        <v>2972</v>
      </c>
    </row>
    <row r="332" spans="1:53" ht="19" customHeight="1">
      <c r="A332" s="4" t="s">
        <v>1225</v>
      </c>
      <c r="B332" s="4">
        <v>24.116199999999999</v>
      </c>
      <c r="C332" s="4">
        <v>121.7225</v>
      </c>
      <c r="D332" s="4">
        <v>4.8899999999999997</v>
      </c>
      <c r="E332" s="4">
        <v>6.42</v>
      </c>
      <c r="F332" s="4" t="s">
        <v>1032</v>
      </c>
      <c r="G332" s="4" t="s">
        <v>1233</v>
      </c>
      <c r="H332" s="4">
        <v>121.547</v>
      </c>
      <c r="I332" s="4">
        <v>23.9482</v>
      </c>
      <c r="J332" s="4">
        <v>584.67999999999995</v>
      </c>
      <c r="K332" s="4">
        <v>25.163599999999999</v>
      </c>
      <c r="L332" s="4" t="b">
        <v>1</v>
      </c>
      <c r="M332" s="4">
        <v>3.423</v>
      </c>
      <c r="N332" s="4" t="b">
        <v>0</v>
      </c>
      <c r="O332" s="4" t="s">
        <v>1029</v>
      </c>
      <c r="P332" s="4" t="b">
        <v>0</v>
      </c>
      <c r="Q332" s="4">
        <v>292.47914400000002</v>
      </c>
      <c r="R332" s="4">
        <v>209.73179400000001</v>
      </c>
      <c r="S332" s="4">
        <v>227.15355299999999</v>
      </c>
      <c r="T332" s="4">
        <v>23.121490000000001</v>
      </c>
      <c r="U332" s="4">
        <v>18.711860000000001</v>
      </c>
      <c r="V332" s="4">
        <v>18.47137</v>
      </c>
      <c r="W332" s="4">
        <v>10.729430000000001</v>
      </c>
      <c r="X332" s="4">
        <v>8.0585660000000008</v>
      </c>
      <c r="Y332" s="4">
        <v>9.4350950000000005</v>
      </c>
      <c r="Z332" s="4">
        <v>0.10329000000000001</v>
      </c>
      <c r="AA332" s="4">
        <v>-1.9585000000000002E-2</v>
      </c>
      <c r="AB332" s="4">
        <v>4.3290000000000002E-2</v>
      </c>
      <c r="AC332" s="1" t="s">
        <v>676</v>
      </c>
      <c r="AD332" s="1" t="s">
        <v>2970</v>
      </c>
      <c r="AE332" s="1" t="s">
        <v>2971</v>
      </c>
      <c r="AF332" s="1">
        <v>6.42</v>
      </c>
      <c r="AG332" s="1" t="s">
        <v>1003</v>
      </c>
      <c r="AH332" s="1">
        <v>24.116199999999999</v>
      </c>
      <c r="AI332" s="1">
        <v>121.7225</v>
      </c>
      <c r="AJ332" s="1">
        <v>4.8899999999999997</v>
      </c>
      <c r="AK332" s="1" t="s">
        <v>1032</v>
      </c>
      <c r="AL332" s="1" t="s">
        <v>2922</v>
      </c>
      <c r="AM332" s="1">
        <v>216</v>
      </c>
      <c r="AN332" s="1">
        <v>56</v>
      </c>
      <c r="AO332" s="1">
        <v>26</v>
      </c>
      <c r="AP332" s="1"/>
      <c r="AQ332" s="1"/>
      <c r="AR332" s="1"/>
      <c r="AS332" s="1" t="s">
        <v>2808</v>
      </c>
      <c r="AT332" s="1" t="s">
        <v>731</v>
      </c>
      <c r="AU332" s="1"/>
      <c r="AV332" s="1"/>
      <c r="AW332" s="1"/>
      <c r="AX332" s="1"/>
      <c r="AY332" s="1"/>
      <c r="AZ332" s="1" t="s">
        <v>2812</v>
      </c>
      <c r="BA332" t="s">
        <v>2972</v>
      </c>
    </row>
    <row r="333" spans="1:53" ht="19" customHeight="1">
      <c r="A333" s="4" t="s">
        <v>1225</v>
      </c>
      <c r="B333" s="4">
        <v>24.116199999999999</v>
      </c>
      <c r="C333" s="4">
        <v>121.7225</v>
      </c>
      <c r="D333" s="4">
        <v>4.8899999999999997</v>
      </c>
      <c r="E333" s="4">
        <v>6.42</v>
      </c>
      <c r="F333" s="4" t="s">
        <v>1032</v>
      </c>
      <c r="G333" s="4" t="s">
        <v>1234</v>
      </c>
      <c r="H333" s="4">
        <v>121.6135</v>
      </c>
      <c r="I333" s="4">
        <v>23.975000000000001</v>
      </c>
      <c r="J333" s="4">
        <v>503.52467300000001</v>
      </c>
      <c r="K333" s="4">
        <v>0.3</v>
      </c>
      <c r="L333" s="4" t="b">
        <v>1</v>
      </c>
      <c r="M333" s="4">
        <v>3.3180000000000001</v>
      </c>
      <c r="N333" s="4" t="b">
        <v>0</v>
      </c>
      <c r="O333" s="4" t="s">
        <v>1029</v>
      </c>
      <c r="P333" s="4" t="b">
        <v>1</v>
      </c>
      <c r="Q333" s="4">
        <v>402.99599999999998</v>
      </c>
      <c r="R333" s="4">
        <v>368.55799999999999</v>
      </c>
      <c r="S333" s="4">
        <v>211.011</v>
      </c>
      <c r="T333" s="4">
        <v>138.38800000000001</v>
      </c>
      <c r="U333" s="4">
        <v>95.748000000000005</v>
      </c>
      <c r="V333" s="4">
        <v>26.808299999999999</v>
      </c>
      <c r="W333" s="4">
        <v>94.581299999999999</v>
      </c>
      <c r="X333" s="4">
        <v>88.597700000000003</v>
      </c>
      <c r="Y333" s="4">
        <v>22.1677</v>
      </c>
      <c r="Z333" s="4">
        <v>9.1727600000000002</v>
      </c>
      <c r="AA333" s="4">
        <v>44.1297</v>
      </c>
      <c r="AB333" s="4">
        <v>3.68275</v>
      </c>
      <c r="AC333" s="1" t="s">
        <v>676</v>
      </c>
      <c r="AD333" s="1" t="s">
        <v>2970</v>
      </c>
      <c r="AE333" s="1" t="s">
        <v>2971</v>
      </c>
      <c r="AF333" s="1">
        <v>6.42</v>
      </c>
      <c r="AG333" s="1" t="s">
        <v>1003</v>
      </c>
      <c r="AH333" s="1">
        <v>24.116199999999999</v>
      </c>
      <c r="AI333" s="1">
        <v>121.7225</v>
      </c>
      <c r="AJ333" s="1">
        <v>4.8899999999999997</v>
      </c>
      <c r="AK333" s="1" t="s">
        <v>1032</v>
      </c>
      <c r="AL333" s="1" t="s">
        <v>2922</v>
      </c>
      <c r="AM333" s="1">
        <v>216</v>
      </c>
      <c r="AN333" s="1">
        <v>56</v>
      </c>
      <c r="AO333" s="1">
        <v>26</v>
      </c>
      <c r="AP333" s="1"/>
      <c r="AQ333" s="1"/>
      <c r="AR333" s="1"/>
      <c r="AS333" s="1" t="s">
        <v>2808</v>
      </c>
      <c r="AT333" s="1" t="s">
        <v>731</v>
      </c>
      <c r="AU333" s="1"/>
      <c r="AV333" s="1"/>
      <c r="AW333" s="1"/>
      <c r="AX333" s="1"/>
      <c r="AY333" s="1"/>
      <c r="AZ333" s="1" t="s">
        <v>2812</v>
      </c>
      <c r="BA333" t="s">
        <v>2972</v>
      </c>
    </row>
    <row r="334" spans="1:53" ht="19" customHeight="1">
      <c r="A334" s="4" t="s">
        <v>1225</v>
      </c>
      <c r="B334" s="4">
        <v>24.116199999999999</v>
      </c>
      <c r="C334" s="4">
        <v>121.7225</v>
      </c>
      <c r="D334" s="4">
        <v>4.8899999999999997</v>
      </c>
      <c r="E334" s="4">
        <v>6.42</v>
      </c>
      <c r="F334" s="4" t="s">
        <v>1032</v>
      </c>
      <c r="G334" s="4" t="s">
        <v>1141</v>
      </c>
      <c r="H334" s="4">
        <v>121.6095</v>
      </c>
      <c r="I334" s="4">
        <v>24.014333000000001</v>
      </c>
      <c r="J334" s="4">
        <v>404.91289999999998</v>
      </c>
      <c r="K334" s="4">
        <v>0.9</v>
      </c>
      <c r="L334" s="4" t="b">
        <v>1</v>
      </c>
      <c r="M334" s="4">
        <v>4.1719999999999997</v>
      </c>
      <c r="N334" s="4" t="b">
        <v>0</v>
      </c>
      <c r="O334" s="4" t="s">
        <v>1029</v>
      </c>
      <c r="P334" s="4" t="b">
        <v>1</v>
      </c>
      <c r="Q334" s="4">
        <v>273.46199999999999</v>
      </c>
      <c r="R334" s="4">
        <v>251.911</v>
      </c>
      <c r="S334" s="4">
        <v>370.90800000000002</v>
      </c>
      <c r="T334" s="4">
        <v>31.5093</v>
      </c>
      <c r="U334" s="4">
        <v>51.724299999999999</v>
      </c>
      <c r="V334" s="4">
        <v>14.5677</v>
      </c>
      <c r="W334" s="4">
        <v>20.192399999999999</v>
      </c>
      <c r="X334" s="4">
        <v>49.578499999999998</v>
      </c>
      <c r="Y334" s="4">
        <v>19.084299999999999</v>
      </c>
      <c r="Z334" s="4">
        <v>-6.9406800000000004</v>
      </c>
      <c r="AA334" s="4">
        <v>-34.103000000000002</v>
      </c>
      <c r="AB334" s="4">
        <v>4.9730800000000004</v>
      </c>
      <c r="AC334" s="1" t="s">
        <v>676</v>
      </c>
      <c r="AD334" s="1" t="s">
        <v>2970</v>
      </c>
      <c r="AE334" s="1" t="s">
        <v>2971</v>
      </c>
      <c r="AF334" s="1">
        <v>6.42</v>
      </c>
      <c r="AG334" s="1" t="s">
        <v>1003</v>
      </c>
      <c r="AH334" s="1">
        <v>24.116199999999999</v>
      </c>
      <c r="AI334" s="1">
        <v>121.7225</v>
      </c>
      <c r="AJ334" s="1">
        <v>4.8899999999999997</v>
      </c>
      <c r="AK334" s="1" t="s">
        <v>1032</v>
      </c>
      <c r="AL334" s="1" t="s">
        <v>2922</v>
      </c>
      <c r="AM334" s="1">
        <v>216</v>
      </c>
      <c r="AN334" s="1">
        <v>56</v>
      </c>
      <c r="AO334" s="1">
        <v>26</v>
      </c>
      <c r="AP334" s="1"/>
      <c r="AQ334" s="1"/>
      <c r="AR334" s="1"/>
      <c r="AS334" s="1" t="s">
        <v>2808</v>
      </c>
      <c r="AT334" s="1" t="s">
        <v>731</v>
      </c>
      <c r="AU334" s="1"/>
      <c r="AV334" s="1"/>
      <c r="AW334" s="1"/>
      <c r="AX334" s="1"/>
      <c r="AY334" s="1"/>
      <c r="AZ334" s="1" t="s">
        <v>2812</v>
      </c>
      <c r="BA334" t="s">
        <v>2972</v>
      </c>
    </row>
    <row r="335" spans="1:53" ht="19" customHeight="1">
      <c r="A335" s="4" t="s">
        <v>1225</v>
      </c>
      <c r="B335" s="4">
        <v>24.116199999999999</v>
      </c>
      <c r="C335" s="4">
        <v>121.7225</v>
      </c>
      <c r="D335" s="4">
        <v>4.8899999999999997</v>
      </c>
      <c r="E335" s="4">
        <v>6.42</v>
      </c>
      <c r="F335" s="4" t="s">
        <v>1032</v>
      </c>
      <c r="G335" s="4" t="s">
        <v>1143</v>
      </c>
      <c r="H335" s="4">
        <v>121.590833</v>
      </c>
      <c r="I335" s="4">
        <v>23.987832999999998</v>
      </c>
      <c r="J335" s="4">
        <v>343.43935800000003</v>
      </c>
      <c r="K335" s="4">
        <v>1.9</v>
      </c>
      <c r="L335" s="4" t="b">
        <v>1</v>
      </c>
      <c r="M335" s="4">
        <v>2.1560000000000001</v>
      </c>
      <c r="N335" s="4" t="b">
        <v>0</v>
      </c>
      <c r="O335" s="4" t="s">
        <v>1029</v>
      </c>
      <c r="P335" s="4" t="b">
        <v>1</v>
      </c>
      <c r="Q335" s="4">
        <v>278.57900000000001</v>
      </c>
      <c r="R335" s="4">
        <v>197.25200000000001</v>
      </c>
      <c r="S335" s="4">
        <v>298.59199999999998</v>
      </c>
      <c r="T335" s="4">
        <v>56.423499999999997</v>
      </c>
      <c r="U335" s="4">
        <v>75.417400000000001</v>
      </c>
      <c r="V335" s="4">
        <v>25.0136</v>
      </c>
      <c r="W335" s="4">
        <v>25.815100000000001</v>
      </c>
      <c r="X335" s="4">
        <v>51.330500000000001</v>
      </c>
      <c r="Y335" s="4">
        <v>26.079799999999999</v>
      </c>
      <c r="Z335" s="4">
        <v>-11.242000000000001</v>
      </c>
      <c r="AA335" s="4">
        <v>-32.173000000000002</v>
      </c>
      <c r="AB335" s="4">
        <v>0.70687500000000003</v>
      </c>
      <c r="AC335" s="1" t="s">
        <v>676</v>
      </c>
      <c r="AD335" s="1" t="s">
        <v>2970</v>
      </c>
      <c r="AE335" s="1" t="s">
        <v>2971</v>
      </c>
      <c r="AF335" s="1">
        <v>6.42</v>
      </c>
      <c r="AG335" s="1" t="s">
        <v>1003</v>
      </c>
      <c r="AH335" s="1">
        <v>24.116199999999999</v>
      </c>
      <c r="AI335" s="1">
        <v>121.7225</v>
      </c>
      <c r="AJ335" s="1">
        <v>4.8899999999999997</v>
      </c>
      <c r="AK335" s="1" t="s">
        <v>1032</v>
      </c>
      <c r="AL335" s="1" t="s">
        <v>2922</v>
      </c>
      <c r="AM335" s="1">
        <v>216</v>
      </c>
      <c r="AN335" s="1">
        <v>56</v>
      </c>
      <c r="AO335" s="1">
        <v>26</v>
      </c>
      <c r="AP335" s="1"/>
      <c r="AQ335" s="1"/>
      <c r="AR335" s="1"/>
      <c r="AS335" s="1" t="s">
        <v>2808</v>
      </c>
      <c r="AT335" s="1" t="s">
        <v>731</v>
      </c>
      <c r="AU335" s="1"/>
      <c r="AV335" s="1"/>
      <c r="AW335" s="1"/>
      <c r="AX335" s="1"/>
      <c r="AY335" s="1"/>
      <c r="AZ335" s="1" t="s">
        <v>2812</v>
      </c>
      <c r="BA335" t="s">
        <v>2972</v>
      </c>
    </row>
    <row r="336" spans="1:53" ht="19" customHeight="1">
      <c r="A336" s="4" t="s">
        <v>1225</v>
      </c>
      <c r="B336" s="4">
        <v>24.116199999999999</v>
      </c>
      <c r="C336" s="4">
        <v>121.7225</v>
      </c>
      <c r="D336" s="4">
        <v>4.8899999999999997</v>
      </c>
      <c r="E336" s="4">
        <v>6.42</v>
      </c>
      <c r="F336" s="4" t="s">
        <v>1032</v>
      </c>
      <c r="G336" s="4" t="s">
        <v>1235</v>
      </c>
      <c r="H336" s="4">
        <v>121.60169999999999</v>
      </c>
      <c r="I336" s="4">
        <v>23.903500000000001</v>
      </c>
      <c r="J336" s="4">
        <v>555.88</v>
      </c>
      <c r="K336" s="4">
        <v>25.629000000000001</v>
      </c>
      <c r="L336" s="4" t="b">
        <v>1</v>
      </c>
      <c r="M336" s="4">
        <v>1.246</v>
      </c>
      <c r="N336" s="4" t="b">
        <v>1</v>
      </c>
      <c r="O336" s="4">
        <v>2.2330000000000001</v>
      </c>
      <c r="P336" s="4" t="b">
        <v>0</v>
      </c>
      <c r="Q336" s="4">
        <v>484.67005699999999</v>
      </c>
      <c r="R336" s="4">
        <v>444.51512400000001</v>
      </c>
      <c r="S336" s="4">
        <v>280.92636700000003</v>
      </c>
      <c r="T336" s="4">
        <v>51.361445000000003</v>
      </c>
      <c r="U336" s="4">
        <v>55.264515000000003</v>
      </c>
      <c r="V336" s="4">
        <v>33.387245</v>
      </c>
      <c r="W336" s="4">
        <v>18.756532</v>
      </c>
      <c r="X336" s="4">
        <v>23.789147</v>
      </c>
      <c r="Y336" s="4">
        <v>10.861591000000001</v>
      </c>
      <c r="Z336" s="4">
        <v>-2.4312E-2</v>
      </c>
      <c r="AA336" s="4">
        <v>-2.1499999999999999E-4</v>
      </c>
      <c r="AB336" s="4">
        <v>-1.3835E-2</v>
      </c>
      <c r="AC336" s="1" t="s">
        <v>676</v>
      </c>
      <c r="AD336" s="1" t="s">
        <v>2970</v>
      </c>
      <c r="AE336" s="1" t="s">
        <v>2971</v>
      </c>
      <c r="AF336" s="1">
        <v>6.42</v>
      </c>
      <c r="AG336" s="1" t="s">
        <v>1003</v>
      </c>
      <c r="AH336" s="1">
        <v>24.116199999999999</v>
      </c>
      <c r="AI336" s="1">
        <v>121.7225</v>
      </c>
      <c r="AJ336" s="1">
        <v>4.8899999999999997</v>
      </c>
      <c r="AK336" s="1" t="s">
        <v>1032</v>
      </c>
      <c r="AL336" s="1" t="s">
        <v>2922</v>
      </c>
      <c r="AM336" s="1">
        <v>216</v>
      </c>
      <c r="AN336" s="1">
        <v>56</v>
      </c>
      <c r="AO336" s="1">
        <v>26</v>
      </c>
      <c r="AP336" s="1"/>
      <c r="AQ336" s="1"/>
      <c r="AR336" s="1"/>
      <c r="AS336" s="1" t="s">
        <v>2808</v>
      </c>
      <c r="AT336" s="1" t="s">
        <v>731</v>
      </c>
      <c r="AU336" s="1"/>
      <c r="AV336" s="1"/>
      <c r="AW336" s="1"/>
      <c r="AX336" s="1"/>
      <c r="AY336" s="1"/>
      <c r="AZ336" s="1" t="s">
        <v>2812</v>
      </c>
      <c r="BA336" t="s">
        <v>2972</v>
      </c>
    </row>
    <row r="337" spans="1:53" ht="19" customHeight="1">
      <c r="A337" s="4" t="s">
        <v>1225</v>
      </c>
      <c r="B337" s="4">
        <v>24.116199999999999</v>
      </c>
      <c r="C337" s="4">
        <v>121.7225</v>
      </c>
      <c r="D337" s="4">
        <v>4.8899999999999997</v>
      </c>
      <c r="E337" s="4">
        <v>6.42</v>
      </c>
      <c r="F337" s="4" t="s">
        <v>1032</v>
      </c>
      <c r="G337" s="4" t="s">
        <v>1236</v>
      </c>
      <c r="H337" s="4">
        <v>121.619833</v>
      </c>
      <c r="I337" s="4">
        <v>23.979666999999999</v>
      </c>
      <c r="J337" s="4">
        <v>605.69351900000004</v>
      </c>
      <c r="K337" s="4">
        <v>1</v>
      </c>
      <c r="L337" s="4" t="b">
        <v>1</v>
      </c>
      <c r="M337" s="4">
        <v>3.9060000000000001</v>
      </c>
      <c r="N337" s="4" t="b">
        <v>0</v>
      </c>
      <c r="O337" s="4" t="s">
        <v>1029</v>
      </c>
      <c r="P337" s="4" t="b">
        <v>1</v>
      </c>
      <c r="Q337" s="4">
        <v>208.79300000000001</v>
      </c>
      <c r="R337" s="4">
        <v>199.209</v>
      </c>
      <c r="S337" s="4">
        <v>200.12799999999999</v>
      </c>
      <c r="T337" s="4">
        <v>95.671599999999998</v>
      </c>
      <c r="U337" s="4">
        <v>76.527699999999996</v>
      </c>
      <c r="V337" s="4">
        <v>22.318899999999999</v>
      </c>
      <c r="W337" s="4">
        <v>62.9726</v>
      </c>
      <c r="X337" s="4">
        <v>72.096100000000007</v>
      </c>
      <c r="Y337" s="4">
        <v>54.918599999999998</v>
      </c>
      <c r="Z337" s="4">
        <v>18.340499999999999</v>
      </c>
      <c r="AA337" s="4">
        <v>26.9496</v>
      </c>
      <c r="AB337" s="4">
        <v>36.399500000000003</v>
      </c>
      <c r="AC337" s="1" t="s">
        <v>676</v>
      </c>
      <c r="AD337" s="1" t="s">
        <v>2970</v>
      </c>
      <c r="AE337" s="1" t="s">
        <v>2971</v>
      </c>
      <c r="AF337" s="1">
        <v>6.42</v>
      </c>
      <c r="AG337" s="1" t="s">
        <v>1003</v>
      </c>
      <c r="AH337" s="1">
        <v>24.116199999999999</v>
      </c>
      <c r="AI337" s="1">
        <v>121.7225</v>
      </c>
      <c r="AJ337" s="1">
        <v>4.8899999999999997</v>
      </c>
      <c r="AK337" s="1" t="s">
        <v>1032</v>
      </c>
      <c r="AL337" s="1" t="s">
        <v>2922</v>
      </c>
      <c r="AM337" s="1">
        <v>216</v>
      </c>
      <c r="AN337" s="1">
        <v>56</v>
      </c>
      <c r="AO337" s="1">
        <v>26</v>
      </c>
      <c r="AP337" s="1"/>
      <c r="AQ337" s="1"/>
      <c r="AR337" s="1"/>
      <c r="AS337" s="1" t="s">
        <v>2808</v>
      </c>
      <c r="AT337" s="1" t="s">
        <v>731</v>
      </c>
      <c r="AU337" s="1"/>
      <c r="AV337" s="1"/>
      <c r="AW337" s="1"/>
      <c r="AX337" s="1"/>
      <c r="AY337" s="1"/>
      <c r="AZ337" s="1" t="s">
        <v>2812</v>
      </c>
      <c r="BA337" t="s">
        <v>2972</v>
      </c>
    </row>
    <row r="338" spans="1:53" ht="19" customHeight="1">
      <c r="A338" s="4" t="s">
        <v>1225</v>
      </c>
      <c r="B338" s="4">
        <v>24.116199999999999</v>
      </c>
      <c r="C338" s="4">
        <v>121.7225</v>
      </c>
      <c r="D338" s="4">
        <v>4.8899999999999997</v>
      </c>
      <c r="E338" s="4">
        <v>6.42</v>
      </c>
      <c r="F338" s="4" t="s">
        <v>1032</v>
      </c>
      <c r="G338" s="4" t="s">
        <v>1237</v>
      </c>
      <c r="H338" s="4">
        <v>121.593</v>
      </c>
      <c r="I338" s="4">
        <v>23.993500000000001</v>
      </c>
      <c r="J338" s="4">
        <v>288.92634700000002</v>
      </c>
      <c r="K338" s="4">
        <v>1.7</v>
      </c>
      <c r="L338" s="4" t="b">
        <v>1</v>
      </c>
      <c r="M338" s="4">
        <v>2.3450000000000002</v>
      </c>
      <c r="N338" s="4" t="b">
        <v>0</v>
      </c>
      <c r="O338" s="4" t="s">
        <v>1029</v>
      </c>
      <c r="P338" s="4" t="b">
        <v>1</v>
      </c>
      <c r="Q338" s="4">
        <v>215.11699999999999</v>
      </c>
      <c r="R338" s="4">
        <v>253.12200000000001</v>
      </c>
      <c r="S338" s="4">
        <v>241.02600000000001</v>
      </c>
      <c r="T338" s="4">
        <v>41.090499999999999</v>
      </c>
      <c r="U338" s="4">
        <v>87.347700000000003</v>
      </c>
      <c r="V338" s="4">
        <v>21.640799999999999</v>
      </c>
      <c r="W338" s="4">
        <v>21.8384</v>
      </c>
      <c r="X338" s="4">
        <v>62.047499999999999</v>
      </c>
      <c r="Y338" s="4">
        <v>25.387899999999998</v>
      </c>
      <c r="Z338" s="4">
        <v>-5.2683799999999996</v>
      </c>
      <c r="AA338" s="4">
        <v>-14.9384</v>
      </c>
      <c r="AB338" s="4">
        <v>3.7812999999999999</v>
      </c>
      <c r="AC338" s="1" t="s">
        <v>676</v>
      </c>
      <c r="AD338" s="1" t="s">
        <v>2970</v>
      </c>
      <c r="AE338" s="1" t="s">
        <v>2971</v>
      </c>
      <c r="AF338" s="1">
        <v>6.42</v>
      </c>
      <c r="AG338" s="1" t="s">
        <v>1003</v>
      </c>
      <c r="AH338" s="1">
        <v>24.116199999999999</v>
      </c>
      <c r="AI338" s="1">
        <v>121.7225</v>
      </c>
      <c r="AJ338" s="1">
        <v>4.8899999999999997</v>
      </c>
      <c r="AK338" s="1" t="s">
        <v>1032</v>
      </c>
      <c r="AL338" s="1" t="s">
        <v>2922</v>
      </c>
      <c r="AM338" s="1">
        <v>216</v>
      </c>
      <c r="AN338" s="1">
        <v>56</v>
      </c>
      <c r="AO338" s="1">
        <v>26</v>
      </c>
      <c r="AP338" s="1"/>
      <c r="AQ338" s="1"/>
      <c r="AR338" s="1"/>
      <c r="AS338" s="1" t="s">
        <v>2808</v>
      </c>
      <c r="AT338" s="1" t="s">
        <v>731</v>
      </c>
      <c r="AU338" s="1"/>
      <c r="AV338" s="1"/>
      <c r="AW338" s="1"/>
      <c r="AX338" s="1"/>
      <c r="AY338" s="1"/>
      <c r="AZ338" s="1" t="s">
        <v>2812</v>
      </c>
      <c r="BA338" t="s">
        <v>2972</v>
      </c>
    </row>
    <row r="339" spans="1:53" ht="19" customHeight="1">
      <c r="A339" s="4" t="s">
        <v>1225</v>
      </c>
      <c r="B339" s="4">
        <v>24.116199999999999</v>
      </c>
      <c r="C339" s="4">
        <v>121.7225</v>
      </c>
      <c r="D339" s="4">
        <v>4.8899999999999997</v>
      </c>
      <c r="E339" s="4">
        <v>6.42</v>
      </c>
      <c r="F339" s="4" t="s">
        <v>1032</v>
      </c>
      <c r="G339" s="4" t="s">
        <v>1238</v>
      </c>
      <c r="H339" s="4">
        <v>121.601</v>
      </c>
      <c r="I339" s="4">
        <v>23.992799999999999</v>
      </c>
      <c r="J339" s="4">
        <v>334.46199799999999</v>
      </c>
      <c r="K339" s="4">
        <v>17.802420000000001</v>
      </c>
      <c r="L339" s="4" t="b">
        <v>1</v>
      </c>
      <c r="M339" s="4">
        <v>3.339</v>
      </c>
      <c r="N339" s="4" t="b">
        <v>0</v>
      </c>
      <c r="O339" s="4" t="s">
        <v>1029</v>
      </c>
      <c r="P339" s="4" t="b">
        <v>1</v>
      </c>
      <c r="Q339" s="4">
        <v>208.60210000000001</v>
      </c>
      <c r="R339" s="4">
        <v>333.53390000000002</v>
      </c>
      <c r="S339" s="4">
        <v>181.51070000000001</v>
      </c>
      <c r="T339" s="4">
        <v>88.728820999999996</v>
      </c>
      <c r="U339" s="4">
        <v>90.391588999999996</v>
      </c>
      <c r="V339" s="4">
        <v>18.125917999999999</v>
      </c>
      <c r="W339" s="4">
        <v>77.089061000000001</v>
      </c>
      <c r="X339" s="4">
        <v>35.907541000000002</v>
      </c>
      <c r="Y339" s="4">
        <v>26.110977999999999</v>
      </c>
      <c r="Z339" s="4">
        <v>-23.824895000000001</v>
      </c>
      <c r="AA339" s="4">
        <v>-15.100121</v>
      </c>
      <c r="AB339" s="4">
        <v>-1.4776480000000001</v>
      </c>
      <c r="AC339" s="1" t="s">
        <v>676</v>
      </c>
      <c r="AD339" s="1" t="s">
        <v>2970</v>
      </c>
      <c r="AE339" s="1" t="s">
        <v>2971</v>
      </c>
      <c r="AF339" s="1">
        <v>6.42</v>
      </c>
      <c r="AG339" s="1" t="s">
        <v>1003</v>
      </c>
      <c r="AH339" s="1">
        <v>24.116199999999999</v>
      </c>
      <c r="AI339" s="1">
        <v>121.7225</v>
      </c>
      <c r="AJ339" s="1">
        <v>4.8899999999999997</v>
      </c>
      <c r="AK339" s="1" t="s">
        <v>1032</v>
      </c>
      <c r="AL339" s="1" t="s">
        <v>2922</v>
      </c>
      <c r="AM339" s="1">
        <v>216</v>
      </c>
      <c r="AN339" s="1">
        <v>56</v>
      </c>
      <c r="AO339" s="1">
        <v>26</v>
      </c>
      <c r="AP339" s="1"/>
      <c r="AQ339" s="1"/>
      <c r="AR339" s="1"/>
      <c r="AS339" s="1" t="s">
        <v>2808</v>
      </c>
      <c r="AT339" s="1" t="s">
        <v>731</v>
      </c>
      <c r="AU339" s="1"/>
      <c r="AV339" s="1"/>
      <c r="AW339" s="1"/>
      <c r="AX339" s="1"/>
      <c r="AY339" s="1"/>
      <c r="AZ339" s="1" t="s">
        <v>2812</v>
      </c>
      <c r="BA339" t="s">
        <v>2972</v>
      </c>
    </row>
    <row r="340" spans="1:53" ht="19" customHeight="1">
      <c r="A340" s="4" t="s">
        <v>1225</v>
      </c>
      <c r="B340" s="4">
        <v>24.116199999999999</v>
      </c>
      <c r="C340" s="4">
        <v>121.7225</v>
      </c>
      <c r="D340" s="4">
        <v>4.8899999999999997</v>
      </c>
      <c r="E340" s="4">
        <v>6.42</v>
      </c>
      <c r="F340" s="4" t="s">
        <v>1032</v>
      </c>
      <c r="G340" s="4" t="s">
        <v>1239</v>
      </c>
      <c r="H340" s="4">
        <v>121.5689</v>
      </c>
      <c r="I340" s="4">
        <v>23.963000000000001</v>
      </c>
      <c r="J340" s="4">
        <v>571.03041199999996</v>
      </c>
      <c r="K340" s="4">
        <v>22.432600000000001</v>
      </c>
      <c r="L340" s="4" t="b">
        <v>1</v>
      </c>
      <c r="M340" s="4">
        <v>2.7440000000000002</v>
      </c>
      <c r="N340" s="4" t="b">
        <v>0</v>
      </c>
      <c r="O340" s="4" t="s">
        <v>1029</v>
      </c>
      <c r="P340" s="4" t="b">
        <v>1</v>
      </c>
      <c r="Q340" s="4">
        <v>192.97329999999999</v>
      </c>
      <c r="R340" s="4">
        <v>145.37440000000001</v>
      </c>
      <c r="S340" s="4">
        <v>215.5061</v>
      </c>
      <c r="T340" s="4">
        <v>32.777827000000002</v>
      </c>
      <c r="U340" s="4">
        <v>25.391501999999999</v>
      </c>
      <c r="V340" s="4">
        <v>20.885358</v>
      </c>
      <c r="W340" s="4">
        <v>31.008559000000002</v>
      </c>
      <c r="X340" s="4">
        <v>26.223890000000001</v>
      </c>
      <c r="Y340" s="4">
        <v>21.282698</v>
      </c>
      <c r="Z340" s="4">
        <v>12.519071</v>
      </c>
      <c r="AA340" s="4">
        <v>-15.630917</v>
      </c>
      <c r="AB340" s="4">
        <v>6.9474330000000002</v>
      </c>
      <c r="AC340" s="1" t="s">
        <v>676</v>
      </c>
      <c r="AD340" s="1" t="s">
        <v>2970</v>
      </c>
      <c r="AE340" s="1" t="s">
        <v>2971</v>
      </c>
      <c r="AF340" s="1">
        <v>6.42</v>
      </c>
      <c r="AG340" s="1" t="s">
        <v>1003</v>
      </c>
      <c r="AH340" s="1">
        <v>24.116199999999999</v>
      </c>
      <c r="AI340" s="1">
        <v>121.7225</v>
      </c>
      <c r="AJ340" s="1">
        <v>4.8899999999999997</v>
      </c>
      <c r="AK340" s="1" t="s">
        <v>1032</v>
      </c>
      <c r="AL340" s="1" t="s">
        <v>2922</v>
      </c>
      <c r="AM340" s="1">
        <v>216</v>
      </c>
      <c r="AN340" s="1">
        <v>56</v>
      </c>
      <c r="AO340" s="1">
        <v>26</v>
      </c>
      <c r="AP340" s="1"/>
      <c r="AQ340" s="1"/>
      <c r="AR340" s="1"/>
      <c r="AS340" s="1" t="s">
        <v>2808</v>
      </c>
      <c r="AT340" s="1" t="s">
        <v>731</v>
      </c>
      <c r="AU340" s="1"/>
      <c r="AV340" s="1"/>
      <c r="AW340" s="1"/>
      <c r="AX340" s="1"/>
      <c r="AY340" s="1"/>
      <c r="AZ340" s="1" t="s">
        <v>2812</v>
      </c>
      <c r="BA340" t="s">
        <v>2972</v>
      </c>
    </row>
    <row r="341" spans="1:53" ht="19" customHeight="1">
      <c r="A341" s="4" t="s">
        <v>1225</v>
      </c>
      <c r="B341" s="4">
        <v>24.116199999999999</v>
      </c>
      <c r="C341" s="4">
        <v>121.7225</v>
      </c>
      <c r="D341" s="4">
        <v>4.8899999999999997</v>
      </c>
      <c r="E341" s="4">
        <v>6.42</v>
      </c>
      <c r="F341" s="4" t="s">
        <v>1032</v>
      </c>
      <c r="G341" s="4" t="s">
        <v>1240</v>
      </c>
      <c r="H341" s="4">
        <v>121.60380000000001</v>
      </c>
      <c r="I341" s="4">
        <v>24.000299999999999</v>
      </c>
      <c r="J341" s="4" t="s">
        <v>1029</v>
      </c>
      <c r="K341" s="4">
        <v>0.9</v>
      </c>
      <c r="L341" s="4" t="b">
        <v>1</v>
      </c>
      <c r="M341" s="4">
        <v>3.2759999999999998</v>
      </c>
      <c r="N341" s="4" t="b">
        <v>0</v>
      </c>
      <c r="O341" s="4" t="s">
        <v>1029</v>
      </c>
      <c r="P341" s="4" t="b">
        <v>1</v>
      </c>
      <c r="Q341" s="4">
        <v>204.18899999999999</v>
      </c>
      <c r="R341" s="4">
        <v>186.173</v>
      </c>
      <c r="S341" s="4">
        <v>205.489</v>
      </c>
      <c r="T341" s="4">
        <v>66.681700000000006</v>
      </c>
      <c r="U341" s="4">
        <v>80.431700000000006</v>
      </c>
      <c r="V341" s="4">
        <v>17.600259999999999</v>
      </c>
      <c r="W341" s="4">
        <v>27.2378</v>
      </c>
      <c r="X341" s="4">
        <v>77.667000000000002</v>
      </c>
      <c r="Y341" s="4">
        <v>23.132400000000001</v>
      </c>
      <c r="Z341" s="4">
        <v>3.1071000000000001E-2</v>
      </c>
      <c r="AA341" s="4">
        <v>-30.247</v>
      </c>
      <c r="AB341" s="4">
        <v>-0.72483200000000003</v>
      </c>
      <c r="AC341" s="1" t="s">
        <v>676</v>
      </c>
      <c r="AD341" s="1" t="s">
        <v>2970</v>
      </c>
      <c r="AE341" s="1" t="s">
        <v>2971</v>
      </c>
      <c r="AF341" s="1">
        <v>6.42</v>
      </c>
      <c r="AG341" s="1" t="s">
        <v>1003</v>
      </c>
      <c r="AH341" s="1">
        <v>24.116199999999999</v>
      </c>
      <c r="AI341" s="1">
        <v>121.7225</v>
      </c>
      <c r="AJ341" s="1">
        <v>4.8899999999999997</v>
      </c>
      <c r="AK341" s="1" t="s">
        <v>1032</v>
      </c>
      <c r="AL341" s="1" t="s">
        <v>2922</v>
      </c>
      <c r="AM341" s="1">
        <v>216</v>
      </c>
      <c r="AN341" s="1">
        <v>56</v>
      </c>
      <c r="AO341" s="1">
        <v>26</v>
      </c>
      <c r="AP341" s="1"/>
      <c r="AQ341" s="1"/>
      <c r="AR341" s="1"/>
      <c r="AS341" s="1" t="s">
        <v>2808</v>
      </c>
      <c r="AT341" s="1" t="s">
        <v>731</v>
      </c>
      <c r="AU341" s="1"/>
      <c r="AV341" s="1"/>
      <c r="AW341" s="1"/>
      <c r="AX341" s="1"/>
      <c r="AY341" s="1"/>
      <c r="AZ341" s="1" t="s">
        <v>2812</v>
      </c>
      <c r="BA341" t="s">
        <v>2972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6B91"/>
  </sheetPr>
  <dimension ref="A1:AK11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0" width="20" customWidth="1"/>
    <col min="11" max="12" width="44" customWidth="1"/>
    <col min="13" max="13" width="25.1640625" customWidth="1"/>
    <col min="14" max="21" width="20" customWidth="1"/>
    <col min="22" max="22" width="44" customWidth="1"/>
    <col min="23" max="28" width="20" customWidth="1"/>
    <col min="29" max="30" width="44" customWidth="1"/>
    <col min="31" max="34" width="20" customWidth="1"/>
    <col min="35" max="36" width="55" customWidth="1"/>
    <col min="37" max="37" width="40" customWidth="1"/>
  </cols>
  <sheetData>
    <row r="1" spans="1:37" ht="58" customHeight="1">
      <c r="A1" s="12" t="s">
        <v>693</v>
      </c>
      <c r="B1" s="12" t="s">
        <v>694</v>
      </c>
      <c r="C1" s="12" t="s">
        <v>695</v>
      </c>
      <c r="D1" s="12" t="s">
        <v>696</v>
      </c>
      <c r="E1" s="12" t="s">
        <v>1241</v>
      </c>
      <c r="F1" s="12" t="s">
        <v>1242</v>
      </c>
      <c r="G1" s="12" t="s">
        <v>699</v>
      </c>
      <c r="H1" s="12" t="s">
        <v>700</v>
      </c>
      <c r="I1" s="12" t="s">
        <v>701</v>
      </c>
      <c r="J1" s="12" t="s">
        <v>702</v>
      </c>
      <c r="K1" s="12" t="s">
        <v>1243</v>
      </c>
      <c r="L1" s="12" t="s">
        <v>1244</v>
      </c>
      <c r="M1" s="12" t="s">
        <v>194</v>
      </c>
      <c r="N1" s="12" t="s">
        <v>706</v>
      </c>
      <c r="O1" s="12" t="s">
        <v>707</v>
      </c>
      <c r="P1" s="12" t="s">
        <v>708</v>
      </c>
      <c r="Q1" s="12" t="s">
        <v>709</v>
      </c>
      <c r="R1" s="12" t="s">
        <v>710</v>
      </c>
      <c r="S1" s="12" t="s">
        <v>711</v>
      </c>
      <c r="T1" s="12" t="s">
        <v>712</v>
      </c>
      <c r="U1" s="12" t="s">
        <v>713</v>
      </c>
      <c r="V1" s="12" t="s">
        <v>714</v>
      </c>
      <c r="W1" s="12" t="s">
        <v>715</v>
      </c>
      <c r="X1" s="12" t="s">
        <v>716</v>
      </c>
      <c r="Y1" s="12" t="s">
        <v>717</v>
      </c>
      <c r="Z1" s="12" t="s">
        <v>718</v>
      </c>
      <c r="AA1" s="12" t="s">
        <v>719</v>
      </c>
      <c r="AB1" s="12" t="s">
        <v>720</v>
      </c>
      <c r="AC1" s="12" t="s">
        <v>721</v>
      </c>
      <c r="AD1" s="12" t="s">
        <v>722</v>
      </c>
      <c r="AE1" s="12" t="s">
        <v>723</v>
      </c>
      <c r="AF1" s="12" t="s">
        <v>724</v>
      </c>
      <c r="AG1" s="12" t="s">
        <v>725</v>
      </c>
      <c r="AH1" s="12" t="s">
        <v>726</v>
      </c>
      <c r="AI1" s="12" t="s">
        <v>727</v>
      </c>
      <c r="AJ1" s="12" t="s">
        <v>728</v>
      </c>
      <c r="AK1" s="33" t="s">
        <v>2564</v>
      </c>
    </row>
    <row r="2" spans="1:37" ht="22" customHeight="1">
      <c r="A2" s="1" t="s">
        <v>1433</v>
      </c>
      <c r="B2" s="1">
        <v>2016</v>
      </c>
      <c r="C2" s="1">
        <v>93002</v>
      </c>
      <c r="D2" s="1">
        <v>7.04</v>
      </c>
      <c r="E2" s="1">
        <v>8.3000000000000007</v>
      </c>
      <c r="F2" s="1">
        <v>37.700000000000003</v>
      </c>
      <c r="G2" s="1">
        <v>11.16</v>
      </c>
      <c r="H2" s="1">
        <v>62.24</v>
      </c>
      <c r="I2" s="1">
        <v>348.43</v>
      </c>
      <c r="J2" s="1">
        <v>36.569999999999993</v>
      </c>
      <c r="K2" s="1" t="s">
        <v>1245</v>
      </c>
      <c r="L2" s="1">
        <v>2</v>
      </c>
      <c r="M2" s="1" t="s">
        <v>226</v>
      </c>
      <c r="N2" s="1" t="s">
        <v>2959</v>
      </c>
      <c r="O2" s="1" t="s">
        <v>2960</v>
      </c>
      <c r="P2" s="1">
        <v>7.04</v>
      </c>
      <c r="Q2" s="1" t="s">
        <v>1003</v>
      </c>
      <c r="R2" s="1">
        <v>32.7545</v>
      </c>
      <c r="S2" s="1">
        <v>130.76300000000001</v>
      </c>
      <c r="T2" s="1">
        <v>12.45</v>
      </c>
      <c r="U2" s="1" t="s">
        <v>730</v>
      </c>
      <c r="V2" s="1" t="s">
        <v>2961</v>
      </c>
      <c r="W2" s="1">
        <v>205</v>
      </c>
      <c r="X2" s="1">
        <v>72</v>
      </c>
      <c r="Y2" s="1">
        <v>-142</v>
      </c>
      <c r="Z2" s="1">
        <v>235</v>
      </c>
      <c r="AA2" s="1">
        <v>65</v>
      </c>
      <c r="AB2" s="1">
        <v>-142</v>
      </c>
      <c r="AC2" s="1" t="s">
        <v>2973</v>
      </c>
      <c r="AD2" s="1" t="s">
        <v>862</v>
      </c>
      <c r="AE2" s="1">
        <v>1</v>
      </c>
      <c r="AF2" s="1">
        <v>7.04</v>
      </c>
      <c r="AG2" s="1">
        <v>3.4371</v>
      </c>
      <c r="AH2" s="1">
        <v>2349</v>
      </c>
      <c r="AI2" s="1" t="s">
        <v>1196</v>
      </c>
      <c r="AJ2" s="1" t="s">
        <v>1357</v>
      </c>
      <c r="AK2" t="s">
        <v>2977</v>
      </c>
    </row>
    <row r="3" spans="1:37" ht="22" customHeight="1">
      <c r="A3" s="1" t="s">
        <v>1433</v>
      </c>
      <c r="B3" s="1">
        <v>2016</v>
      </c>
      <c r="C3" s="1">
        <v>93009</v>
      </c>
      <c r="D3" s="1">
        <v>7.04</v>
      </c>
      <c r="E3" s="1">
        <v>10.3</v>
      </c>
      <c r="F3" s="1">
        <v>33.4</v>
      </c>
      <c r="G3" s="1">
        <v>4.28</v>
      </c>
      <c r="H3" s="1">
        <v>70.430000000000007</v>
      </c>
      <c r="I3" s="1">
        <v>17.760000000000002</v>
      </c>
      <c r="J3" s="1">
        <v>7.2399999999999984</v>
      </c>
      <c r="K3" s="1" t="s">
        <v>1245</v>
      </c>
      <c r="L3" s="1">
        <v>3</v>
      </c>
      <c r="M3" s="1" t="s">
        <v>226</v>
      </c>
      <c r="N3" s="1" t="s">
        <v>2959</v>
      </c>
      <c r="O3" s="1" t="s">
        <v>2960</v>
      </c>
      <c r="P3" s="1">
        <v>7.04</v>
      </c>
      <c r="Q3" s="1" t="s">
        <v>1003</v>
      </c>
      <c r="R3" s="1">
        <v>32.7545</v>
      </c>
      <c r="S3" s="1">
        <v>130.76300000000001</v>
      </c>
      <c r="T3" s="1">
        <v>12.45</v>
      </c>
      <c r="U3" s="1" t="s">
        <v>730</v>
      </c>
      <c r="V3" s="1" t="s">
        <v>2961</v>
      </c>
      <c r="W3" s="1">
        <v>205</v>
      </c>
      <c r="X3" s="1">
        <v>72</v>
      </c>
      <c r="Y3" s="1">
        <v>-142</v>
      </c>
      <c r="Z3" s="1">
        <v>235</v>
      </c>
      <c r="AA3" s="1">
        <v>65</v>
      </c>
      <c r="AB3" s="1">
        <v>-142</v>
      </c>
      <c r="AC3" s="1" t="s">
        <v>2973</v>
      </c>
      <c r="AD3" s="1" t="s">
        <v>862</v>
      </c>
      <c r="AE3" s="1">
        <v>1</v>
      </c>
      <c r="AF3" s="1">
        <v>7.04</v>
      </c>
      <c r="AG3" s="1">
        <v>3.4371</v>
      </c>
      <c r="AH3" s="1">
        <v>2349</v>
      </c>
      <c r="AI3" s="1" t="s">
        <v>1196</v>
      </c>
      <c r="AJ3" s="1" t="s">
        <v>1357</v>
      </c>
      <c r="AK3" t="s">
        <v>2977</v>
      </c>
    </row>
    <row r="4" spans="1:37" ht="22" customHeight="1">
      <c r="A4" s="1" t="s">
        <v>1433</v>
      </c>
      <c r="B4" s="1">
        <v>2016</v>
      </c>
      <c r="C4" s="1">
        <v>93010</v>
      </c>
      <c r="D4" s="1">
        <v>7.04</v>
      </c>
      <c r="E4" s="1">
        <v>8.1</v>
      </c>
      <c r="F4" s="1">
        <v>29.2</v>
      </c>
      <c r="G4" s="1">
        <v>4.28</v>
      </c>
      <c r="H4" s="1">
        <v>44.94</v>
      </c>
      <c r="I4" s="1">
        <v>21.8</v>
      </c>
      <c r="J4" s="1">
        <v>3.1999999999999988</v>
      </c>
      <c r="K4" s="1" t="s">
        <v>1245</v>
      </c>
      <c r="L4" s="1">
        <v>4</v>
      </c>
      <c r="M4" s="1" t="s">
        <v>226</v>
      </c>
      <c r="N4" s="1" t="s">
        <v>2959</v>
      </c>
      <c r="O4" s="1" t="s">
        <v>2960</v>
      </c>
      <c r="P4" s="1">
        <v>7.04</v>
      </c>
      <c r="Q4" s="1" t="s">
        <v>1003</v>
      </c>
      <c r="R4" s="1">
        <v>32.7545</v>
      </c>
      <c r="S4" s="1">
        <v>130.76300000000001</v>
      </c>
      <c r="T4" s="1">
        <v>12.45</v>
      </c>
      <c r="U4" s="1" t="s">
        <v>730</v>
      </c>
      <c r="V4" s="1" t="s">
        <v>2961</v>
      </c>
      <c r="W4" s="1">
        <v>205</v>
      </c>
      <c r="X4" s="1">
        <v>72</v>
      </c>
      <c r="Y4" s="1">
        <v>-142</v>
      </c>
      <c r="Z4" s="1">
        <v>235</v>
      </c>
      <c r="AA4" s="1">
        <v>65</v>
      </c>
      <c r="AB4" s="1">
        <v>-142</v>
      </c>
      <c r="AC4" s="1" t="s">
        <v>2973</v>
      </c>
      <c r="AD4" s="1" t="s">
        <v>862</v>
      </c>
      <c r="AE4" s="1">
        <v>1</v>
      </c>
      <c r="AF4" s="1">
        <v>7.04</v>
      </c>
      <c r="AG4" s="1">
        <v>3.4371</v>
      </c>
      <c r="AH4" s="1">
        <v>2349</v>
      </c>
      <c r="AI4" s="1" t="s">
        <v>1196</v>
      </c>
      <c r="AJ4" s="1" t="s">
        <v>1357</v>
      </c>
      <c r="AK4" t="s">
        <v>2977</v>
      </c>
    </row>
    <row r="5" spans="1:37" ht="22" customHeight="1">
      <c r="A5" s="1" t="s">
        <v>1433</v>
      </c>
      <c r="B5" s="1">
        <v>2016</v>
      </c>
      <c r="C5" s="1">
        <v>93011</v>
      </c>
      <c r="D5" s="1">
        <v>7.04</v>
      </c>
      <c r="E5" s="1">
        <v>3.4</v>
      </c>
      <c r="F5" s="1">
        <v>28.1</v>
      </c>
      <c r="G5" s="1">
        <v>3.08</v>
      </c>
      <c r="H5" s="1">
        <v>93.36</v>
      </c>
      <c r="I5" s="1">
        <v>356.27</v>
      </c>
      <c r="J5" s="1">
        <v>28.730000000000022</v>
      </c>
      <c r="K5" s="1" t="s">
        <v>1245</v>
      </c>
      <c r="L5" s="1">
        <v>5</v>
      </c>
      <c r="M5" s="1" t="s">
        <v>226</v>
      </c>
      <c r="N5" s="1" t="s">
        <v>2959</v>
      </c>
      <c r="O5" s="1" t="s">
        <v>2960</v>
      </c>
      <c r="P5" s="1">
        <v>7.04</v>
      </c>
      <c r="Q5" s="1" t="s">
        <v>1003</v>
      </c>
      <c r="R5" s="1">
        <v>32.7545</v>
      </c>
      <c r="S5" s="1">
        <v>130.76300000000001</v>
      </c>
      <c r="T5" s="1">
        <v>12.45</v>
      </c>
      <c r="U5" s="1" t="s">
        <v>730</v>
      </c>
      <c r="V5" s="1" t="s">
        <v>2961</v>
      </c>
      <c r="W5" s="1">
        <v>205</v>
      </c>
      <c r="X5" s="1">
        <v>72</v>
      </c>
      <c r="Y5" s="1">
        <v>-142</v>
      </c>
      <c r="Z5" s="1">
        <v>235</v>
      </c>
      <c r="AA5" s="1">
        <v>65</v>
      </c>
      <c r="AB5" s="1">
        <v>-142</v>
      </c>
      <c r="AC5" s="1" t="s">
        <v>2973</v>
      </c>
      <c r="AD5" s="1" t="s">
        <v>862</v>
      </c>
      <c r="AE5" s="1">
        <v>1</v>
      </c>
      <c r="AF5" s="1">
        <v>7.04</v>
      </c>
      <c r="AG5" s="1">
        <v>3.4371</v>
      </c>
      <c r="AH5" s="1">
        <v>2349</v>
      </c>
      <c r="AI5" s="1" t="s">
        <v>1196</v>
      </c>
      <c r="AJ5" s="1" t="s">
        <v>1357</v>
      </c>
      <c r="AK5" t="s">
        <v>2977</v>
      </c>
    </row>
    <row r="6" spans="1:37" ht="22" customHeight="1">
      <c r="A6" s="1" t="s">
        <v>1433</v>
      </c>
      <c r="B6" s="1">
        <v>2016</v>
      </c>
      <c r="C6" s="1">
        <v>93020</v>
      </c>
      <c r="D6" s="1">
        <v>7.04</v>
      </c>
      <c r="E6" s="1">
        <v>12.5</v>
      </c>
      <c r="F6" s="1">
        <v>19.600000000000001</v>
      </c>
      <c r="G6" s="1">
        <v>1.1599999999999999</v>
      </c>
      <c r="H6" s="1">
        <v>69.27</v>
      </c>
      <c r="I6" s="1">
        <v>334.43</v>
      </c>
      <c r="J6" s="1">
        <v>50.569999999999993</v>
      </c>
      <c r="K6" s="1" t="s">
        <v>1245</v>
      </c>
      <c r="L6" s="1">
        <v>6</v>
      </c>
      <c r="M6" s="1" t="s">
        <v>226</v>
      </c>
      <c r="N6" s="1" t="s">
        <v>2959</v>
      </c>
      <c r="O6" s="1" t="s">
        <v>2960</v>
      </c>
      <c r="P6" s="1">
        <v>7.04</v>
      </c>
      <c r="Q6" s="1" t="s">
        <v>1003</v>
      </c>
      <c r="R6" s="1">
        <v>32.7545</v>
      </c>
      <c r="S6" s="1">
        <v>130.76300000000001</v>
      </c>
      <c r="T6" s="1">
        <v>12.45</v>
      </c>
      <c r="U6" s="1" t="s">
        <v>730</v>
      </c>
      <c r="V6" s="1" t="s">
        <v>2961</v>
      </c>
      <c r="W6" s="1">
        <v>205</v>
      </c>
      <c r="X6" s="1">
        <v>72</v>
      </c>
      <c r="Y6" s="1">
        <v>-142</v>
      </c>
      <c r="Z6" s="1">
        <v>235</v>
      </c>
      <c r="AA6" s="1">
        <v>65</v>
      </c>
      <c r="AB6" s="1">
        <v>-142</v>
      </c>
      <c r="AC6" s="1" t="s">
        <v>2973</v>
      </c>
      <c r="AD6" s="1" t="s">
        <v>862</v>
      </c>
      <c r="AE6" s="1">
        <v>1</v>
      </c>
      <c r="AF6" s="1">
        <v>7.04</v>
      </c>
      <c r="AG6" s="1">
        <v>3.4371</v>
      </c>
      <c r="AH6" s="1">
        <v>2349</v>
      </c>
      <c r="AI6" s="1" t="s">
        <v>1196</v>
      </c>
      <c r="AJ6" s="1" t="s">
        <v>1357</v>
      </c>
      <c r="AK6" t="s">
        <v>2977</v>
      </c>
    </row>
    <row r="7" spans="1:37" ht="22" customHeight="1">
      <c r="A7" s="1" t="s">
        <v>1433</v>
      </c>
      <c r="B7" s="1">
        <v>2016</v>
      </c>
      <c r="C7" s="1">
        <v>93025</v>
      </c>
      <c r="D7" s="1">
        <v>7.04</v>
      </c>
      <c r="E7" s="1">
        <v>8.6</v>
      </c>
      <c r="F7" s="1">
        <v>18.100000000000001</v>
      </c>
      <c r="G7" s="1">
        <v>2.0299999999999998</v>
      </c>
      <c r="H7" s="1">
        <v>87.6</v>
      </c>
      <c r="I7" s="1">
        <v>5.19</v>
      </c>
      <c r="J7" s="1">
        <v>19.809999999999999</v>
      </c>
      <c r="K7" s="1" t="s">
        <v>1245</v>
      </c>
      <c r="L7" s="1">
        <v>7</v>
      </c>
      <c r="M7" s="1" t="s">
        <v>226</v>
      </c>
      <c r="N7" s="1" t="s">
        <v>2959</v>
      </c>
      <c r="O7" s="1" t="s">
        <v>2960</v>
      </c>
      <c r="P7" s="1">
        <v>7.04</v>
      </c>
      <c r="Q7" s="1" t="s">
        <v>1003</v>
      </c>
      <c r="R7" s="1">
        <v>32.7545</v>
      </c>
      <c r="S7" s="1">
        <v>130.76300000000001</v>
      </c>
      <c r="T7" s="1">
        <v>12.45</v>
      </c>
      <c r="U7" s="1" t="s">
        <v>730</v>
      </c>
      <c r="V7" s="1" t="s">
        <v>2961</v>
      </c>
      <c r="W7" s="1">
        <v>205</v>
      </c>
      <c r="X7" s="1">
        <v>72</v>
      </c>
      <c r="Y7" s="1">
        <v>-142</v>
      </c>
      <c r="Z7" s="1">
        <v>235</v>
      </c>
      <c r="AA7" s="1">
        <v>65</v>
      </c>
      <c r="AB7" s="1">
        <v>-142</v>
      </c>
      <c r="AC7" s="1" t="s">
        <v>2973</v>
      </c>
      <c r="AD7" s="1" t="s">
        <v>862</v>
      </c>
      <c r="AE7" s="1">
        <v>1</v>
      </c>
      <c r="AF7" s="1">
        <v>7.04</v>
      </c>
      <c r="AG7" s="1">
        <v>3.4371</v>
      </c>
      <c r="AH7" s="1">
        <v>2349</v>
      </c>
      <c r="AI7" s="1" t="s">
        <v>1196</v>
      </c>
      <c r="AJ7" s="1" t="s">
        <v>1357</v>
      </c>
      <c r="AK7" t="s">
        <v>2977</v>
      </c>
    </row>
    <row r="8" spans="1:37" ht="22" customHeight="1">
      <c r="A8" s="1" t="s">
        <v>1433</v>
      </c>
      <c r="B8" s="1">
        <v>2016</v>
      </c>
      <c r="C8" s="1">
        <v>93029</v>
      </c>
      <c r="D8" s="1">
        <v>7.04</v>
      </c>
      <c r="E8" s="1">
        <v>25</v>
      </c>
      <c r="F8" s="1">
        <v>26.5</v>
      </c>
      <c r="G8" s="1">
        <v>1.88</v>
      </c>
      <c r="H8" s="1">
        <v>53.31</v>
      </c>
      <c r="I8" s="1">
        <v>353.49</v>
      </c>
      <c r="J8" s="1">
        <v>31.509999999999991</v>
      </c>
      <c r="K8" s="1" t="s">
        <v>1245</v>
      </c>
      <c r="L8" s="1">
        <v>8</v>
      </c>
      <c r="M8" s="1" t="s">
        <v>226</v>
      </c>
      <c r="N8" s="1" t="s">
        <v>2959</v>
      </c>
      <c r="O8" s="1" t="s">
        <v>2960</v>
      </c>
      <c r="P8" s="1">
        <v>7.04</v>
      </c>
      <c r="Q8" s="1" t="s">
        <v>1003</v>
      </c>
      <c r="R8" s="1">
        <v>32.7545</v>
      </c>
      <c r="S8" s="1">
        <v>130.76300000000001</v>
      </c>
      <c r="T8" s="1">
        <v>12.45</v>
      </c>
      <c r="U8" s="1" t="s">
        <v>730</v>
      </c>
      <c r="V8" s="1" t="s">
        <v>2961</v>
      </c>
      <c r="W8" s="1">
        <v>205</v>
      </c>
      <c r="X8" s="1">
        <v>72</v>
      </c>
      <c r="Y8" s="1">
        <v>-142</v>
      </c>
      <c r="Z8" s="1">
        <v>235</v>
      </c>
      <c r="AA8" s="1">
        <v>65</v>
      </c>
      <c r="AB8" s="1">
        <v>-142</v>
      </c>
      <c r="AC8" s="1" t="s">
        <v>2973</v>
      </c>
      <c r="AD8" s="1" t="s">
        <v>862</v>
      </c>
      <c r="AE8" s="1">
        <v>1</v>
      </c>
      <c r="AF8" s="1">
        <v>7.04</v>
      </c>
      <c r="AG8" s="1">
        <v>3.4371</v>
      </c>
      <c r="AH8" s="1">
        <v>2349</v>
      </c>
      <c r="AI8" s="1" t="s">
        <v>1196</v>
      </c>
      <c r="AJ8" s="1" t="s">
        <v>1357</v>
      </c>
      <c r="AK8" t="s">
        <v>2977</v>
      </c>
    </row>
    <row r="9" spans="1:37" ht="22" customHeight="1">
      <c r="A9" s="1" t="s">
        <v>1433</v>
      </c>
      <c r="B9" s="1">
        <v>2016</v>
      </c>
      <c r="C9" s="1">
        <v>93030</v>
      </c>
      <c r="D9" s="1">
        <v>7.04</v>
      </c>
      <c r="E9" s="1">
        <v>21.5</v>
      </c>
      <c r="F9" s="1">
        <v>23.3</v>
      </c>
      <c r="G9" s="1">
        <v>2</v>
      </c>
      <c r="H9" s="1">
        <v>68.8</v>
      </c>
      <c r="I9" s="1">
        <v>349.16</v>
      </c>
      <c r="J9" s="1">
        <v>35.839999999999968</v>
      </c>
      <c r="K9" s="1" t="s">
        <v>1245</v>
      </c>
      <c r="L9" s="1">
        <v>9</v>
      </c>
      <c r="M9" s="1" t="s">
        <v>226</v>
      </c>
      <c r="N9" s="1" t="s">
        <v>2959</v>
      </c>
      <c r="O9" s="1" t="s">
        <v>2960</v>
      </c>
      <c r="P9" s="1">
        <v>7.04</v>
      </c>
      <c r="Q9" s="1" t="s">
        <v>1003</v>
      </c>
      <c r="R9" s="1">
        <v>32.7545</v>
      </c>
      <c r="S9" s="1">
        <v>130.76300000000001</v>
      </c>
      <c r="T9" s="1">
        <v>12.45</v>
      </c>
      <c r="U9" s="1" t="s">
        <v>730</v>
      </c>
      <c r="V9" s="1" t="s">
        <v>2961</v>
      </c>
      <c r="W9" s="1">
        <v>205</v>
      </c>
      <c r="X9" s="1">
        <v>72</v>
      </c>
      <c r="Y9" s="1">
        <v>-142</v>
      </c>
      <c r="Z9" s="1">
        <v>235</v>
      </c>
      <c r="AA9" s="1">
        <v>65</v>
      </c>
      <c r="AB9" s="1">
        <v>-142</v>
      </c>
      <c r="AC9" s="1" t="s">
        <v>2973</v>
      </c>
      <c r="AD9" s="1" t="s">
        <v>862</v>
      </c>
      <c r="AE9" s="1">
        <v>1</v>
      </c>
      <c r="AF9" s="1">
        <v>7.04</v>
      </c>
      <c r="AG9" s="1">
        <v>3.4371</v>
      </c>
      <c r="AH9" s="1">
        <v>2349</v>
      </c>
      <c r="AI9" s="1" t="s">
        <v>1196</v>
      </c>
      <c r="AJ9" s="1" t="s">
        <v>1357</v>
      </c>
      <c r="AK9" t="s">
        <v>2977</v>
      </c>
    </row>
    <row r="10" spans="1:37" ht="22" customHeight="1">
      <c r="A10" s="1" t="s">
        <v>1433</v>
      </c>
      <c r="B10" s="1">
        <v>2016</v>
      </c>
      <c r="C10" s="1">
        <v>93041</v>
      </c>
      <c r="D10" s="1">
        <v>7.04</v>
      </c>
      <c r="E10" s="1">
        <v>18.7</v>
      </c>
      <c r="F10" s="1">
        <v>26.6</v>
      </c>
      <c r="G10" s="1">
        <v>3.23</v>
      </c>
      <c r="H10" s="1">
        <v>46.52</v>
      </c>
      <c r="I10" s="1">
        <v>64.349999999999994</v>
      </c>
      <c r="J10" s="1">
        <v>39.349999999999987</v>
      </c>
      <c r="K10" s="1" t="s">
        <v>1245</v>
      </c>
      <c r="L10" s="1">
        <v>10</v>
      </c>
      <c r="M10" s="1" t="s">
        <v>226</v>
      </c>
      <c r="N10" s="1" t="s">
        <v>2959</v>
      </c>
      <c r="O10" s="1" t="s">
        <v>2960</v>
      </c>
      <c r="P10" s="1">
        <v>7.04</v>
      </c>
      <c r="Q10" s="1" t="s">
        <v>1003</v>
      </c>
      <c r="R10" s="1">
        <v>32.7545</v>
      </c>
      <c r="S10" s="1">
        <v>130.76300000000001</v>
      </c>
      <c r="T10" s="1">
        <v>12.45</v>
      </c>
      <c r="U10" s="1" t="s">
        <v>730</v>
      </c>
      <c r="V10" s="1" t="s">
        <v>2961</v>
      </c>
      <c r="W10" s="1">
        <v>205</v>
      </c>
      <c r="X10" s="1">
        <v>72</v>
      </c>
      <c r="Y10" s="1">
        <v>-142</v>
      </c>
      <c r="Z10" s="1">
        <v>235</v>
      </c>
      <c r="AA10" s="1">
        <v>65</v>
      </c>
      <c r="AB10" s="1">
        <v>-142</v>
      </c>
      <c r="AC10" s="1" t="s">
        <v>2973</v>
      </c>
      <c r="AD10" s="1" t="s">
        <v>862</v>
      </c>
      <c r="AE10" s="1">
        <v>1</v>
      </c>
      <c r="AF10" s="1">
        <v>7.04</v>
      </c>
      <c r="AG10" s="1">
        <v>3.4371</v>
      </c>
      <c r="AH10" s="1">
        <v>2349</v>
      </c>
      <c r="AI10" s="1" t="s">
        <v>1196</v>
      </c>
      <c r="AJ10" s="1" t="s">
        <v>1357</v>
      </c>
      <c r="AK10" t="s">
        <v>2977</v>
      </c>
    </row>
    <row r="11" spans="1:37" ht="22" customHeight="1">
      <c r="A11" s="1" t="s">
        <v>1433</v>
      </c>
      <c r="B11" s="1">
        <v>2016</v>
      </c>
      <c r="C11" s="1">
        <v>93042</v>
      </c>
      <c r="D11" s="1">
        <v>7.04</v>
      </c>
      <c r="E11" s="1">
        <v>12.5</v>
      </c>
      <c r="F11" s="1">
        <v>25.9</v>
      </c>
      <c r="G11" s="1">
        <v>1.79</v>
      </c>
      <c r="H11" s="1">
        <v>126.79</v>
      </c>
      <c r="I11" s="1">
        <v>10.94</v>
      </c>
      <c r="J11" s="1">
        <v>14.06</v>
      </c>
      <c r="K11" s="1" t="s">
        <v>1245</v>
      </c>
      <c r="L11" s="1">
        <v>11</v>
      </c>
      <c r="M11" s="1" t="s">
        <v>226</v>
      </c>
      <c r="N11" s="1" t="s">
        <v>2959</v>
      </c>
      <c r="O11" s="1" t="s">
        <v>2960</v>
      </c>
      <c r="P11" s="1">
        <v>7.04</v>
      </c>
      <c r="Q11" s="1" t="s">
        <v>1003</v>
      </c>
      <c r="R11" s="1">
        <v>32.7545</v>
      </c>
      <c r="S11" s="1">
        <v>130.76300000000001</v>
      </c>
      <c r="T11" s="1">
        <v>12.45</v>
      </c>
      <c r="U11" s="1" t="s">
        <v>730</v>
      </c>
      <c r="V11" s="1" t="s">
        <v>2961</v>
      </c>
      <c r="W11" s="1">
        <v>205</v>
      </c>
      <c r="X11" s="1">
        <v>72</v>
      </c>
      <c r="Y11" s="1">
        <v>-142</v>
      </c>
      <c r="Z11" s="1">
        <v>235</v>
      </c>
      <c r="AA11" s="1">
        <v>65</v>
      </c>
      <c r="AB11" s="1">
        <v>-142</v>
      </c>
      <c r="AC11" s="1" t="s">
        <v>2973</v>
      </c>
      <c r="AD11" s="1" t="s">
        <v>862</v>
      </c>
      <c r="AE11" s="1">
        <v>1</v>
      </c>
      <c r="AF11" s="1">
        <v>7.04</v>
      </c>
      <c r="AG11" s="1">
        <v>3.4371</v>
      </c>
      <c r="AH11" s="1">
        <v>2349</v>
      </c>
      <c r="AI11" s="1" t="s">
        <v>1196</v>
      </c>
      <c r="AJ11" s="1" t="s">
        <v>1357</v>
      </c>
      <c r="AK11" t="s">
        <v>2977</v>
      </c>
    </row>
    <row r="12" spans="1:37" ht="22" customHeight="1">
      <c r="A12" s="1" t="s">
        <v>1433</v>
      </c>
      <c r="B12" s="1">
        <v>2016</v>
      </c>
      <c r="C12" s="1">
        <v>93044</v>
      </c>
      <c r="D12" s="1">
        <v>7.04</v>
      </c>
      <c r="E12" s="1">
        <v>6.8</v>
      </c>
      <c r="F12" s="1">
        <v>18.2</v>
      </c>
      <c r="G12" s="1">
        <v>2.65</v>
      </c>
      <c r="H12" s="1">
        <v>59.56</v>
      </c>
      <c r="I12" s="1">
        <v>54.03</v>
      </c>
      <c r="J12" s="1">
        <v>29.03</v>
      </c>
      <c r="K12" s="1" t="s">
        <v>1245</v>
      </c>
      <c r="L12" s="1">
        <v>12</v>
      </c>
      <c r="M12" s="1" t="s">
        <v>226</v>
      </c>
      <c r="N12" s="1" t="s">
        <v>2959</v>
      </c>
      <c r="O12" s="1" t="s">
        <v>2960</v>
      </c>
      <c r="P12" s="1">
        <v>7.04</v>
      </c>
      <c r="Q12" s="1" t="s">
        <v>1003</v>
      </c>
      <c r="R12" s="1">
        <v>32.7545</v>
      </c>
      <c r="S12" s="1">
        <v>130.76300000000001</v>
      </c>
      <c r="T12" s="1">
        <v>12.45</v>
      </c>
      <c r="U12" s="1" t="s">
        <v>730</v>
      </c>
      <c r="V12" s="1" t="s">
        <v>2961</v>
      </c>
      <c r="W12" s="1">
        <v>205</v>
      </c>
      <c r="X12" s="1">
        <v>72</v>
      </c>
      <c r="Y12" s="1">
        <v>-142</v>
      </c>
      <c r="Z12" s="1">
        <v>235</v>
      </c>
      <c r="AA12" s="1">
        <v>65</v>
      </c>
      <c r="AB12" s="1">
        <v>-142</v>
      </c>
      <c r="AC12" s="1" t="s">
        <v>2973</v>
      </c>
      <c r="AD12" s="1" t="s">
        <v>862</v>
      </c>
      <c r="AE12" s="1">
        <v>1</v>
      </c>
      <c r="AF12" s="1">
        <v>7.04</v>
      </c>
      <c r="AG12" s="1">
        <v>3.4371</v>
      </c>
      <c r="AH12" s="1">
        <v>2349</v>
      </c>
      <c r="AI12" s="1" t="s">
        <v>1196</v>
      </c>
      <c r="AJ12" s="1" t="s">
        <v>1357</v>
      </c>
      <c r="AK12" t="s">
        <v>2977</v>
      </c>
    </row>
    <row r="13" spans="1:37" ht="22" customHeight="1">
      <c r="A13" s="1" t="s">
        <v>1433</v>
      </c>
      <c r="B13" s="1">
        <v>2016</v>
      </c>
      <c r="C13" s="1">
        <v>93048</v>
      </c>
      <c r="D13" s="1">
        <v>7.04</v>
      </c>
      <c r="E13" s="1">
        <v>2.1</v>
      </c>
      <c r="F13" s="1">
        <v>20.100000000000001</v>
      </c>
      <c r="G13" s="1">
        <v>3.57</v>
      </c>
      <c r="H13" s="1">
        <v>150.13999999999999</v>
      </c>
      <c r="I13" s="1">
        <v>82.09</v>
      </c>
      <c r="J13" s="1">
        <v>57.09</v>
      </c>
      <c r="K13" s="1" t="s">
        <v>1245</v>
      </c>
      <c r="L13" s="1">
        <v>13</v>
      </c>
      <c r="M13" s="1" t="s">
        <v>226</v>
      </c>
      <c r="N13" s="1" t="s">
        <v>2959</v>
      </c>
      <c r="O13" s="1" t="s">
        <v>2960</v>
      </c>
      <c r="P13" s="1">
        <v>7.04</v>
      </c>
      <c r="Q13" s="1" t="s">
        <v>1003</v>
      </c>
      <c r="R13" s="1">
        <v>32.7545</v>
      </c>
      <c r="S13" s="1">
        <v>130.76300000000001</v>
      </c>
      <c r="T13" s="1">
        <v>12.45</v>
      </c>
      <c r="U13" s="1" t="s">
        <v>730</v>
      </c>
      <c r="V13" s="1" t="s">
        <v>2961</v>
      </c>
      <c r="W13" s="1">
        <v>205</v>
      </c>
      <c r="X13" s="1">
        <v>72</v>
      </c>
      <c r="Y13" s="1">
        <v>-142</v>
      </c>
      <c r="Z13" s="1">
        <v>235</v>
      </c>
      <c r="AA13" s="1">
        <v>65</v>
      </c>
      <c r="AB13" s="1">
        <v>-142</v>
      </c>
      <c r="AC13" s="1" t="s">
        <v>2973</v>
      </c>
      <c r="AD13" s="1" t="s">
        <v>862</v>
      </c>
      <c r="AE13" s="1">
        <v>1</v>
      </c>
      <c r="AF13" s="1">
        <v>7.04</v>
      </c>
      <c r="AG13" s="1">
        <v>3.4371</v>
      </c>
      <c r="AH13" s="1">
        <v>2349</v>
      </c>
      <c r="AI13" s="1" t="s">
        <v>1196</v>
      </c>
      <c r="AJ13" s="1" t="s">
        <v>1357</v>
      </c>
      <c r="AK13" t="s">
        <v>2977</v>
      </c>
    </row>
    <row r="14" spans="1:37" ht="22" customHeight="1">
      <c r="A14" s="1" t="s">
        <v>1433</v>
      </c>
      <c r="B14" s="1">
        <v>2016</v>
      </c>
      <c r="C14" s="1">
        <v>93051</v>
      </c>
      <c r="D14" s="1">
        <v>7.04</v>
      </c>
      <c r="E14" s="1">
        <v>2.2000000000000002</v>
      </c>
      <c r="F14" s="1">
        <v>14</v>
      </c>
      <c r="G14" s="1">
        <v>1.48</v>
      </c>
      <c r="H14" s="1">
        <v>171.99</v>
      </c>
      <c r="I14" s="1">
        <v>66.599999999999994</v>
      </c>
      <c r="J14" s="1">
        <v>41.599999999999987</v>
      </c>
      <c r="K14" s="1" t="s">
        <v>1245</v>
      </c>
      <c r="L14" s="1">
        <v>14</v>
      </c>
      <c r="M14" s="1" t="s">
        <v>226</v>
      </c>
      <c r="N14" s="1" t="s">
        <v>2959</v>
      </c>
      <c r="O14" s="1" t="s">
        <v>2960</v>
      </c>
      <c r="P14" s="1">
        <v>7.04</v>
      </c>
      <c r="Q14" s="1" t="s">
        <v>1003</v>
      </c>
      <c r="R14" s="1">
        <v>32.7545</v>
      </c>
      <c r="S14" s="1">
        <v>130.76300000000001</v>
      </c>
      <c r="T14" s="1">
        <v>12.45</v>
      </c>
      <c r="U14" s="1" t="s">
        <v>730</v>
      </c>
      <c r="V14" s="1" t="s">
        <v>2961</v>
      </c>
      <c r="W14" s="1">
        <v>205</v>
      </c>
      <c r="X14" s="1">
        <v>72</v>
      </c>
      <c r="Y14" s="1">
        <v>-142</v>
      </c>
      <c r="Z14" s="1">
        <v>235</v>
      </c>
      <c r="AA14" s="1">
        <v>65</v>
      </c>
      <c r="AB14" s="1">
        <v>-142</v>
      </c>
      <c r="AC14" s="1" t="s">
        <v>2973</v>
      </c>
      <c r="AD14" s="1" t="s">
        <v>862</v>
      </c>
      <c r="AE14" s="1">
        <v>1</v>
      </c>
      <c r="AF14" s="1">
        <v>7.04</v>
      </c>
      <c r="AG14" s="1">
        <v>3.4371</v>
      </c>
      <c r="AH14" s="1">
        <v>2349</v>
      </c>
      <c r="AI14" s="1" t="s">
        <v>1196</v>
      </c>
      <c r="AJ14" s="1" t="s">
        <v>1357</v>
      </c>
      <c r="AK14" t="s">
        <v>2977</v>
      </c>
    </row>
    <row r="15" spans="1:37" ht="22" customHeight="1">
      <c r="A15" s="1" t="s">
        <v>1433</v>
      </c>
      <c r="B15" s="1">
        <v>2016</v>
      </c>
      <c r="C15" s="1">
        <v>93055</v>
      </c>
      <c r="D15" s="1">
        <v>7.04</v>
      </c>
      <c r="E15" s="1">
        <v>23.9</v>
      </c>
      <c r="F15" s="1">
        <v>30.3</v>
      </c>
      <c r="G15" s="1">
        <v>1.82</v>
      </c>
      <c r="H15" s="1">
        <v>40.200000000000003</v>
      </c>
      <c r="I15" s="1">
        <v>304.64999999999998</v>
      </c>
      <c r="J15" s="1">
        <v>80.350000000000023</v>
      </c>
      <c r="K15" s="1" t="s">
        <v>1245</v>
      </c>
      <c r="L15" s="1">
        <v>15</v>
      </c>
      <c r="M15" s="1" t="s">
        <v>226</v>
      </c>
      <c r="N15" s="1" t="s">
        <v>2959</v>
      </c>
      <c r="O15" s="1" t="s">
        <v>2960</v>
      </c>
      <c r="P15" s="1">
        <v>7.04</v>
      </c>
      <c r="Q15" s="1" t="s">
        <v>1003</v>
      </c>
      <c r="R15" s="1">
        <v>32.7545</v>
      </c>
      <c r="S15" s="1">
        <v>130.76300000000001</v>
      </c>
      <c r="T15" s="1">
        <v>12.45</v>
      </c>
      <c r="U15" s="1" t="s">
        <v>730</v>
      </c>
      <c r="V15" s="1" t="s">
        <v>2961</v>
      </c>
      <c r="W15" s="1">
        <v>205</v>
      </c>
      <c r="X15" s="1">
        <v>72</v>
      </c>
      <c r="Y15" s="1">
        <v>-142</v>
      </c>
      <c r="Z15" s="1">
        <v>235</v>
      </c>
      <c r="AA15" s="1">
        <v>65</v>
      </c>
      <c r="AB15" s="1">
        <v>-142</v>
      </c>
      <c r="AC15" s="1" t="s">
        <v>2973</v>
      </c>
      <c r="AD15" s="1" t="s">
        <v>862</v>
      </c>
      <c r="AE15" s="1">
        <v>1</v>
      </c>
      <c r="AF15" s="1">
        <v>7.04</v>
      </c>
      <c r="AG15" s="1">
        <v>3.4371</v>
      </c>
      <c r="AH15" s="1">
        <v>2349</v>
      </c>
      <c r="AI15" s="1" t="s">
        <v>1196</v>
      </c>
      <c r="AJ15" s="1" t="s">
        <v>1357</v>
      </c>
      <c r="AK15" t="s">
        <v>2977</v>
      </c>
    </row>
    <row r="16" spans="1:37" ht="22" customHeight="1">
      <c r="A16" s="1" t="s">
        <v>1433</v>
      </c>
      <c r="B16" s="1">
        <v>2016</v>
      </c>
      <c r="C16" s="1">
        <v>93056</v>
      </c>
      <c r="D16" s="1">
        <v>7.04</v>
      </c>
      <c r="E16" s="1">
        <v>20.5</v>
      </c>
      <c r="F16" s="1">
        <v>27.2</v>
      </c>
      <c r="G16" s="1">
        <v>1.44</v>
      </c>
      <c r="H16" s="1">
        <v>52.35</v>
      </c>
      <c r="I16" s="1">
        <v>332.62</v>
      </c>
      <c r="J16" s="1">
        <v>52.38</v>
      </c>
      <c r="K16" s="1" t="s">
        <v>1245</v>
      </c>
      <c r="L16" s="1">
        <v>16</v>
      </c>
      <c r="M16" s="1" t="s">
        <v>226</v>
      </c>
      <c r="N16" s="1" t="s">
        <v>2959</v>
      </c>
      <c r="O16" s="1" t="s">
        <v>2960</v>
      </c>
      <c r="P16" s="1">
        <v>7.04</v>
      </c>
      <c r="Q16" s="1" t="s">
        <v>1003</v>
      </c>
      <c r="R16" s="1">
        <v>32.7545</v>
      </c>
      <c r="S16" s="1">
        <v>130.76300000000001</v>
      </c>
      <c r="T16" s="1">
        <v>12.45</v>
      </c>
      <c r="U16" s="1" t="s">
        <v>730</v>
      </c>
      <c r="V16" s="1" t="s">
        <v>2961</v>
      </c>
      <c r="W16" s="1">
        <v>205</v>
      </c>
      <c r="X16" s="1">
        <v>72</v>
      </c>
      <c r="Y16" s="1">
        <v>-142</v>
      </c>
      <c r="Z16" s="1">
        <v>235</v>
      </c>
      <c r="AA16" s="1">
        <v>65</v>
      </c>
      <c r="AB16" s="1">
        <v>-142</v>
      </c>
      <c r="AC16" s="1" t="s">
        <v>2973</v>
      </c>
      <c r="AD16" s="1" t="s">
        <v>862</v>
      </c>
      <c r="AE16" s="1">
        <v>1</v>
      </c>
      <c r="AF16" s="1">
        <v>7.04</v>
      </c>
      <c r="AG16" s="1">
        <v>3.4371</v>
      </c>
      <c r="AH16" s="1">
        <v>2349</v>
      </c>
      <c r="AI16" s="1" t="s">
        <v>1196</v>
      </c>
      <c r="AJ16" s="1" t="s">
        <v>1357</v>
      </c>
      <c r="AK16" t="s">
        <v>2977</v>
      </c>
    </row>
    <row r="17" spans="1:37" ht="22" customHeight="1">
      <c r="A17" s="1" t="s">
        <v>1433</v>
      </c>
      <c r="B17" s="1">
        <v>2016</v>
      </c>
      <c r="C17" s="1">
        <v>93057</v>
      </c>
      <c r="D17" s="1">
        <v>7.04</v>
      </c>
      <c r="E17" s="1">
        <v>17.3</v>
      </c>
      <c r="F17" s="1">
        <v>24.5</v>
      </c>
      <c r="G17" s="1">
        <v>1.78</v>
      </c>
      <c r="H17" s="1">
        <v>65.510000000000005</v>
      </c>
      <c r="I17" s="1">
        <v>315.93</v>
      </c>
      <c r="J17" s="1">
        <v>69.069999999999993</v>
      </c>
      <c r="K17" s="1" t="s">
        <v>1245</v>
      </c>
      <c r="L17" s="1">
        <v>17</v>
      </c>
      <c r="M17" s="1" t="s">
        <v>226</v>
      </c>
      <c r="N17" s="1" t="s">
        <v>2959</v>
      </c>
      <c r="O17" s="1" t="s">
        <v>2960</v>
      </c>
      <c r="P17" s="1">
        <v>7.04</v>
      </c>
      <c r="Q17" s="1" t="s">
        <v>1003</v>
      </c>
      <c r="R17" s="1">
        <v>32.7545</v>
      </c>
      <c r="S17" s="1">
        <v>130.76300000000001</v>
      </c>
      <c r="T17" s="1">
        <v>12.45</v>
      </c>
      <c r="U17" s="1" t="s">
        <v>730</v>
      </c>
      <c r="V17" s="1" t="s">
        <v>2961</v>
      </c>
      <c r="W17" s="1">
        <v>205</v>
      </c>
      <c r="X17" s="1">
        <v>72</v>
      </c>
      <c r="Y17" s="1">
        <v>-142</v>
      </c>
      <c r="Z17" s="1">
        <v>235</v>
      </c>
      <c r="AA17" s="1">
        <v>65</v>
      </c>
      <c r="AB17" s="1">
        <v>-142</v>
      </c>
      <c r="AC17" s="1" t="s">
        <v>2973</v>
      </c>
      <c r="AD17" s="1" t="s">
        <v>862</v>
      </c>
      <c r="AE17" s="1">
        <v>1</v>
      </c>
      <c r="AF17" s="1">
        <v>7.04</v>
      </c>
      <c r="AG17" s="1">
        <v>3.4371</v>
      </c>
      <c r="AH17" s="1">
        <v>2349</v>
      </c>
      <c r="AI17" s="1" t="s">
        <v>1196</v>
      </c>
      <c r="AJ17" s="1" t="s">
        <v>1357</v>
      </c>
      <c r="AK17" t="s">
        <v>2977</v>
      </c>
    </row>
    <row r="18" spans="1:37" ht="22" customHeight="1">
      <c r="A18" s="1" t="s">
        <v>1433</v>
      </c>
      <c r="B18" s="1">
        <v>2016</v>
      </c>
      <c r="C18" s="1">
        <v>93096</v>
      </c>
      <c r="D18" s="1">
        <v>7.04</v>
      </c>
      <c r="E18" s="1">
        <v>6.3</v>
      </c>
      <c r="F18" s="1">
        <v>21</v>
      </c>
      <c r="G18" s="1">
        <v>3.05</v>
      </c>
      <c r="H18" s="1">
        <v>75.62</v>
      </c>
      <c r="I18" s="1">
        <v>340.24</v>
      </c>
      <c r="J18" s="1">
        <v>44.759999999999991</v>
      </c>
      <c r="K18" s="1" t="s">
        <v>1245</v>
      </c>
      <c r="L18" s="1">
        <v>18</v>
      </c>
      <c r="M18" s="1" t="s">
        <v>226</v>
      </c>
      <c r="N18" s="1" t="s">
        <v>2959</v>
      </c>
      <c r="O18" s="1" t="s">
        <v>2960</v>
      </c>
      <c r="P18" s="1">
        <v>7.04</v>
      </c>
      <c r="Q18" s="1" t="s">
        <v>1003</v>
      </c>
      <c r="R18" s="1">
        <v>32.7545</v>
      </c>
      <c r="S18" s="1">
        <v>130.76300000000001</v>
      </c>
      <c r="T18" s="1">
        <v>12.45</v>
      </c>
      <c r="U18" s="1" t="s">
        <v>730</v>
      </c>
      <c r="V18" s="1" t="s">
        <v>2961</v>
      </c>
      <c r="W18" s="1">
        <v>205</v>
      </c>
      <c r="X18" s="1">
        <v>72</v>
      </c>
      <c r="Y18" s="1">
        <v>-142</v>
      </c>
      <c r="Z18" s="1">
        <v>235</v>
      </c>
      <c r="AA18" s="1">
        <v>65</v>
      </c>
      <c r="AB18" s="1">
        <v>-142</v>
      </c>
      <c r="AC18" s="1" t="s">
        <v>2973</v>
      </c>
      <c r="AD18" s="1" t="s">
        <v>862</v>
      </c>
      <c r="AE18" s="1">
        <v>1</v>
      </c>
      <c r="AF18" s="1">
        <v>7.04</v>
      </c>
      <c r="AG18" s="1">
        <v>3.4371</v>
      </c>
      <c r="AH18" s="1">
        <v>2349</v>
      </c>
      <c r="AI18" s="1" t="s">
        <v>1196</v>
      </c>
      <c r="AJ18" s="1" t="s">
        <v>1357</v>
      </c>
      <c r="AK18" t="s">
        <v>2977</v>
      </c>
    </row>
    <row r="19" spans="1:37" ht="22" customHeight="1">
      <c r="A19" s="1" t="s">
        <v>1433</v>
      </c>
      <c r="B19" s="1">
        <v>2016</v>
      </c>
      <c r="C19" s="1" t="s">
        <v>1246</v>
      </c>
      <c r="D19" s="1">
        <v>7.04</v>
      </c>
      <c r="E19" s="1">
        <v>11.2</v>
      </c>
      <c r="F19" s="1">
        <v>18.7</v>
      </c>
      <c r="G19" s="1">
        <v>1.55</v>
      </c>
      <c r="H19" s="1">
        <v>78.28</v>
      </c>
      <c r="I19" s="1">
        <v>346.94</v>
      </c>
      <c r="J19" s="1">
        <v>38.06</v>
      </c>
      <c r="K19" s="1" t="s">
        <v>1245</v>
      </c>
      <c r="L19" s="1">
        <v>19</v>
      </c>
      <c r="M19" s="1" t="s">
        <v>226</v>
      </c>
      <c r="N19" s="1" t="s">
        <v>2959</v>
      </c>
      <c r="O19" s="1" t="s">
        <v>2960</v>
      </c>
      <c r="P19" s="1">
        <v>7.04</v>
      </c>
      <c r="Q19" s="1" t="s">
        <v>1003</v>
      </c>
      <c r="R19" s="1">
        <v>32.7545</v>
      </c>
      <c r="S19" s="1">
        <v>130.76300000000001</v>
      </c>
      <c r="T19" s="1">
        <v>12.45</v>
      </c>
      <c r="U19" s="1" t="s">
        <v>730</v>
      </c>
      <c r="V19" s="1" t="s">
        <v>2961</v>
      </c>
      <c r="W19" s="1">
        <v>205</v>
      </c>
      <c r="X19" s="1">
        <v>72</v>
      </c>
      <c r="Y19" s="1">
        <v>-142</v>
      </c>
      <c r="Z19" s="1">
        <v>235</v>
      </c>
      <c r="AA19" s="1">
        <v>65</v>
      </c>
      <c r="AB19" s="1">
        <v>-142</v>
      </c>
      <c r="AC19" s="1" t="s">
        <v>2973</v>
      </c>
      <c r="AD19" s="1" t="s">
        <v>862</v>
      </c>
      <c r="AE19" s="1">
        <v>1</v>
      </c>
      <c r="AF19" s="1">
        <v>7.04</v>
      </c>
      <c r="AG19" s="1">
        <v>3.4371</v>
      </c>
      <c r="AH19" s="1">
        <v>2349</v>
      </c>
      <c r="AI19" s="1" t="s">
        <v>1196</v>
      </c>
      <c r="AJ19" s="1" t="s">
        <v>1357</v>
      </c>
      <c r="AK19" t="s">
        <v>2977</v>
      </c>
    </row>
    <row r="20" spans="1:37" ht="22" customHeight="1">
      <c r="A20" s="1" t="s">
        <v>1433</v>
      </c>
      <c r="B20" s="1">
        <v>2016</v>
      </c>
      <c r="C20" s="1" t="s">
        <v>1247</v>
      </c>
      <c r="D20" s="1">
        <v>7.04</v>
      </c>
      <c r="E20" s="1">
        <v>5.5</v>
      </c>
      <c r="F20" s="1">
        <v>34.6</v>
      </c>
      <c r="G20" s="1">
        <v>5.82</v>
      </c>
      <c r="H20" s="1">
        <v>65.760000000000005</v>
      </c>
      <c r="I20" s="1">
        <v>86.27</v>
      </c>
      <c r="J20" s="1">
        <v>61.27</v>
      </c>
      <c r="K20" s="1" t="s">
        <v>1245</v>
      </c>
      <c r="L20" s="1">
        <v>20</v>
      </c>
      <c r="M20" s="1" t="s">
        <v>226</v>
      </c>
      <c r="N20" s="1" t="s">
        <v>2959</v>
      </c>
      <c r="O20" s="1" t="s">
        <v>2960</v>
      </c>
      <c r="P20" s="1">
        <v>7.04</v>
      </c>
      <c r="Q20" s="1" t="s">
        <v>1003</v>
      </c>
      <c r="R20" s="1">
        <v>32.7545</v>
      </c>
      <c r="S20" s="1">
        <v>130.76300000000001</v>
      </c>
      <c r="T20" s="1">
        <v>12.45</v>
      </c>
      <c r="U20" s="1" t="s">
        <v>730</v>
      </c>
      <c r="V20" s="1" t="s">
        <v>2961</v>
      </c>
      <c r="W20" s="1">
        <v>205</v>
      </c>
      <c r="X20" s="1">
        <v>72</v>
      </c>
      <c r="Y20" s="1">
        <v>-142</v>
      </c>
      <c r="Z20" s="1">
        <v>235</v>
      </c>
      <c r="AA20" s="1">
        <v>65</v>
      </c>
      <c r="AB20" s="1">
        <v>-142</v>
      </c>
      <c r="AC20" s="1" t="s">
        <v>2973</v>
      </c>
      <c r="AD20" s="1" t="s">
        <v>862</v>
      </c>
      <c r="AE20" s="1">
        <v>1</v>
      </c>
      <c r="AF20" s="1">
        <v>7.04</v>
      </c>
      <c r="AG20" s="1">
        <v>3.4371</v>
      </c>
      <c r="AH20" s="1">
        <v>2349</v>
      </c>
      <c r="AI20" s="1" t="s">
        <v>1196</v>
      </c>
      <c r="AJ20" s="1" t="s">
        <v>1357</v>
      </c>
      <c r="AK20" t="s">
        <v>2977</v>
      </c>
    </row>
    <row r="21" spans="1:37" ht="22" customHeight="1">
      <c r="A21" s="1" t="s">
        <v>1433</v>
      </c>
      <c r="B21" s="1">
        <v>2016</v>
      </c>
      <c r="C21" s="1" t="s">
        <v>1195</v>
      </c>
      <c r="D21" s="1">
        <v>7.04</v>
      </c>
      <c r="E21" s="1">
        <v>10.1</v>
      </c>
      <c r="F21" s="1">
        <v>40.9</v>
      </c>
      <c r="G21" s="1">
        <v>3.98</v>
      </c>
      <c r="H21" s="1">
        <v>81.150000000000006</v>
      </c>
      <c r="I21" s="1">
        <v>317.58999999999997</v>
      </c>
      <c r="J21" s="1">
        <v>67.409999999999968</v>
      </c>
      <c r="K21" s="1" t="s">
        <v>1245</v>
      </c>
      <c r="L21" s="1">
        <v>21</v>
      </c>
      <c r="M21" s="1" t="s">
        <v>226</v>
      </c>
      <c r="N21" s="1" t="s">
        <v>2959</v>
      </c>
      <c r="O21" s="1" t="s">
        <v>2960</v>
      </c>
      <c r="P21" s="1">
        <v>7.04</v>
      </c>
      <c r="Q21" s="1" t="s">
        <v>1003</v>
      </c>
      <c r="R21" s="1">
        <v>32.7545</v>
      </c>
      <c r="S21" s="1">
        <v>130.76300000000001</v>
      </c>
      <c r="T21" s="1">
        <v>12.45</v>
      </c>
      <c r="U21" s="1" t="s">
        <v>730</v>
      </c>
      <c r="V21" s="1" t="s">
        <v>2961</v>
      </c>
      <c r="W21" s="1">
        <v>205</v>
      </c>
      <c r="X21" s="1">
        <v>72</v>
      </c>
      <c r="Y21" s="1">
        <v>-142</v>
      </c>
      <c r="Z21" s="1">
        <v>235</v>
      </c>
      <c r="AA21" s="1">
        <v>65</v>
      </c>
      <c r="AB21" s="1">
        <v>-142</v>
      </c>
      <c r="AC21" s="1" t="s">
        <v>2973</v>
      </c>
      <c r="AD21" s="1" t="s">
        <v>862</v>
      </c>
      <c r="AE21" s="1">
        <v>1</v>
      </c>
      <c r="AF21" s="1">
        <v>7.04</v>
      </c>
      <c r="AG21" s="1">
        <v>3.4371</v>
      </c>
      <c r="AH21" s="1">
        <v>2349</v>
      </c>
      <c r="AI21" s="1" t="s">
        <v>1196</v>
      </c>
      <c r="AJ21" s="1" t="s">
        <v>1357</v>
      </c>
      <c r="AK21" t="s">
        <v>2977</v>
      </c>
    </row>
    <row r="22" spans="1:37" ht="22" customHeight="1">
      <c r="A22" s="1" t="s">
        <v>1433</v>
      </c>
      <c r="B22" s="1">
        <v>2016</v>
      </c>
      <c r="C22" s="1" t="s">
        <v>1197</v>
      </c>
      <c r="D22" s="1">
        <v>7.04</v>
      </c>
      <c r="E22" s="1">
        <v>6</v>
      </c>
      <c r="F22" s="1">
        <v>21.2</v>
      </c>
      <c r="G22" s="1">
        <v>2.9</v>
      </c>
      <c r="H22" s="1">
        <v>60.55</v>
      </c>
      <c r="I22" s="1">
        <v>314.27</v>
      </c>
      <c r="J22" s="1">
        <v>70.730000000000018</v>
      </c>
      <c r="K22" s="1" t="s">
        <v>1245</v>
      </c>
      <c r="L22" s="1">
        <v>22</v>
      </c>
      <c r="M22" s="1" t="s">
        <v>226</v>
      </c>
      <c r="N22" s="1" t="s">
        <v>2959</v>
      </c>
      <c r="O22" s="1" t="s">
        <v>2960</v>
      </c>
      <c r="P22" s="1">
        <v>7.04</v>
      </c>
      <c r="Q22" s="1" t="s">
        <v>1003</v>
      </c>
      <c r="R22" s="1">
        <v>32.7545</v>
      </c>
      <c r="S22" s="1">
        <v>130.76300000000001</v>
      </c>
      <c r="T22" s="1">
        <v>12.45</v>
      </c>
      <c r="U22" s="1" t="s">
        <v>730</v>
      </c>
      <c r="V22" s="1" t="s">
        <v>2961</v>
      </c>
      <c r="W22" s="1">
        <v>205</v>
      </c>
      <c r="X22" s="1">
        <v>72</v>
      </c>
      <c r="Y22" s="1">
        <v>-142</v>
      </c>
      <c r="Z22" s="1">
        <v>235</v>
      </c>
      <c r="AA22" s="1">
        <v>65</v>
      </c>
      <c r="AB22" s="1">
        <v>-142</v>
      </c>
      <c r="AC22" s="1" t="s">
        <v>2973</v>
      </c>
      <c r="AD22" s="1" t="s">
        <v>862</v>
      </c>
      <c r="AE22" s="1">
        <v>1</v>
      </c>
      <c r="AF22" s="1">
        <v>7.04</v>
      </c>
      <c r="AG22" s="1">
        <v>3.4371</v>
      </c>
      <c r="AH22" s="1">
        <v>2349</v>
      </c>
      <c r="AI22" s="1" t="s">
        <v>1196</v>
      </c>
      <c r="AJ22" s="1" t="s">
        <v>1357</v>
      </c>
      <c r="AK22" t="s">
        <v>2977</v>
      </c>
    </row>
    <row r="23" spans="1:37" ht="22" customHeight="1">
      <c r="A23" s="1" t="s">
        <v>1433</v>
      </c>
      <c r="B23" s="1">
        <v>2016</v>
      </c>
      <c r="C23" s="1" t="s">
        <v>1198</v>
      </c>
      <c r="D23" s="1">
        <v>7.04</v>
      </c>
      <c r="E23" s="1">
        <v>4.2</v>
      </c>
      <c r="F23" s="1">
        <v>13.2</v>
      </c>
      <c r="G23" s="1">
        <v>2.0299999999999998</v>
      </c>
      <c r="H23" s="1">
        <v>80</v>
      </c>
      <c r="I23" s="1">
        <v>56.96</v>
      </c>
      <c r="J23" s="1">
        <v>31.96</v>
      </c>
      <c r="K23" s="1" t="s">
        <v>1245</v>
      </c>
      <c r="L23" s="1">
        <v>23</v>
      </c>
      <c r="M23" s="1" t="s">
        <v>226</v>
      </c>
      <c r="N23" s="1" t="s">
        <v>2959</v>
      </c>
      <c r="O23" s="1" t="s">
        <v>2960</v>
      </c>
      <c r="P23" s="1">
        <v>7.04</v>
      </c>
      <c r="Q23" s="1" t="s">
        <v>1003</v>
      </c>
      <c r="R23" s="1">
        <v>32.7545</v>
      </c>
      <c r="S23" s="1">
        <v>130.76300000000001</v>
      </c>
      <c r="T23" s="1">
        <v>12.45</v>
      </c>
      <c r="U23" s="1" t="s">
        <v>730</v>
      </c>
      <c r="V23" s="1" t="s">
        <v>2961</v>
      </c>
      <c r="W23" s="1">
        <v>205</v>
      </c>
      <c r="X23" s="1">
        <v>72</v>
      </c>
      <c r="Y23" s="1">
        <v>-142</v>
      </c>
      <c r="Z23" s="1">
        <v>235</v>
      </c>
      <c r="AA23" s="1">
        <v>65</v>
      </c>
      <c r="AB23" s="1">
        <v>-142</v>
      </c>
      <c r="AC23" s="1" t="s">
        <v>2973</v>
      </c>
      <c r="AD23" s="1" t="s">
        <v>862</v>
      </c>
      <c r="AE23" s="1">
        <v>1</v>
      </c>
      <c r="AF23" s="1">
        <v>7.04</v>
      </c>
      <c r="AG23" s="1">
        <v>3.4371</v>
      </c>
      <c r="AH23" s="1">
        <v>2349</v>
      </c>
      <c r="AI23" s="1" t="s">
        <v>1196</v>
      </c>
      <c r="AJ23" s="1" t="s">
        <v>1357</v>
      </c>
      <c r="AK23" t="s">
        <v>2977</v>
      </c>
    </row>
    <row r="24" spans="1:37" ht="22" customHeight="1">
      <c r="A24" s="1" t="s">
        <v>1433</v>
      </c>
      <c r="B24" s="1">
        <v>2016</v>
      </c>
      <c r="C24" s="1" t="s">
        <v>1199</v>
      </c>
      <c r="D24" s="1">
        <v>7.04</v>
      </c>
      <c r="E24" s="1">
        <v>12.4</v>
      </c>
      <c r="F24" s="1">
        <v>36.9</v>
      </c>
      <c r="G24" s="1">
        <v>5.45</v>
      </c>
      <c r="H24" s="1">
        <v>34.46</v>
      </c>
      <c r="I24" s="1">
        <v>18.71</v>
      </c>
      <c r="J24" s="1">
        <v>6.2899999999999991</v>
      </c>
      <c r="K24" s="1" t="s">
        <v>1245</v>
      </c>
      <c r="L24" s="1">
        <v>24</v>
      </c>
      <c r="M24" s="1" t="s">
        <v>226</v>
      </c>
      <c r="N24" s="1" t="s">
        <v>2959</v>
      </c>
      <c r="O24" s="1" t="s">
        <v>2960</v>
      </c>
      <c r="P24" s="1">
        <v>7.04</v>
      </c>
      <c r="Q24" s="1" t="s">
        <v>1003</v>
      </c>
      <c r="R24" s="1">
        <v>32.7545</v>
      </c>
      <c r="S24" s="1">
        <v>130.76300000000001</v>
      </c>
      <c r="T24" s="1">
        <v>12.45</v>
      </c>
      <c r="U24" s="1" t="s">
        <v>730</v>
      </c>
      <c r="V24" s="1" t="s">
        <v>2961</v>
      </c>
      <c r="W24" s="1">
        <v>205</v>
      </c>
      <c r="X24" s="1">
        <v>72</v>
      </c>
      <c r="Y24" s="1">
        <v>-142</v>
      </c>
      <c r="Z24" s="1">
        <v>235</v>
      </c>
      <c r="AA24" s="1">
        <v>65</v>
      </c>
      <c r="AB24" s="1">
        <v>-142</v>
      </c>
      <c r="AC24" s="1" t="s">
        <v>2973</v>
      </c>
      <c r="AD24" s="1" t="s">
        <v>862</v>
      </c>
      <c r="AE24" s="1">
        <v>1</v>
      </c>
      <c r="AF24" s="1">
        <v>7.04</v>
      </c>
      <c r="AG24" s="1">
        <v>3.4371</v>
      </c>
      <c r="AH24" s="1">
        <v>2349</v>
      </c>
      <c r="AI24" s="1" t="s">
        <v>1196</v>
      </c>
      <c r="AJ24" s="1" t="s">
        <v>1357</v>
      </c>
      <c r="AK24" t="s">
        <v>2977</v>
      </c>
    </row>
    <row r="25" spans="1:37" ht="22" customHeight="1">
      <c r="A25" s="1" t="s">
        <v>1433</v>
      </c>
      <c r="B25" s="1">
        <v>2016</v>
      </c>
      <c r="C25" s="1" t="s">
        <v>1248</v>
      </c>
      <c r="D25" s="1">
        <v>7.04</v>
      </c>
      <c r="E25" s="1">
        <v>18.399999999999999</v>
      </c>
      <c r="F25" s="1">
        <v>30.4</v>
      </c>
      <c r="G25" s="1">
        <v>1.29</v>
      </c>
      <c r="H25" s="1">
        <v>76.84</v>
      </c>
      <c r="I25" s="1">
        <v>6.67</v>
      </c>
      <c r="J25" s="1">
        <v>18.329999999999998</v>
      </c>
      <c r="K25" s="1" t="s">
        <v>1245</v>
      </c>
      <c r="L25" s="1">
        <v>25</v>
      </c>
      <c r="M25" s="1" t="s">
        <v>226</v>
      </c>
      <c r="N25" s="1" t="s">
        <v>2959</v>
      </c>
      <c r="O25" s="1" t="s">
        <v>2960</v>
      </c>
      <c r="P25" s="1">
        <v>7.04</v>
      </c>
      <c r="Q25" s="1" t="s">
        <v>1003</v>
      </c>
      <c r="R25" s="1">
        <v>32.7545</v>
      </c>
      <c r="S25" s="1">
        <v>130.76300000000001</v>
      </c>
      <c r="T25" s="1">
        <v>12.45</v>
      </c>
      <c r="U25" s="1" t="s">
        <v>730</v>
      </c>
      <c r="V25" s="1" t="s">
        <v>2961</v>
      </c>
      <c r="W25" s="1">
        <v>205</v>
      </c>
      <c r="X25" s="1">
        <v>72</v>
      </c>
      <c r="Y25" s="1">
        <v>-142</v>
      </c>
      <c r="Z25" s="1">
        <v>235</v>
      </c>
      <c r="AA25" s="1">
        <v>65</v>
      </c>
      <c r="AB25" s="1">
        <v>-142</v>
      </c>
      <c r="AC25" s="1" t="s">
        <v>2973</v>
      </c>
      <c r="AD25" s="1" t="s">
        <v>862</v>
      </c>
      <c r="AE25" s="1">
        <v>1</v>
      </c>
      <c r="AF25" s="1">
        <v>7.04</v>
      </c>
      <c r="AG25" s="1">
        <v>3.4371</v>
      </c>
      <c r="AH25" s="1">
        <v>2349</v>
      </c>
      <c r="AI25" s="1" t="s">
        <v>1196</v>
      </c>
      <c r="AJ25" s="1" t="s">
        <v>1357</v>
      </c>
      <c r="AK25" t="s">
        <v>2977</v>
      </c>
    </row>
    <row r="26" spans="1:37" ht="22" customHeight="1">
      <c r="A26" s="1" t="s">
        <v>1433</v>
      </c>
      <c r="B26" s="1">
        <v>2016</v>
      </c>
      <c r="C26" s="1" t="s">
        <v>1249</v>
      </c>
      <c r="D26" s="1">
        <v>7.04</v>
      </c>
      <c r="E26" s="1">
        <v>6.2</v>
      </c>
      <c r="F26" s="1">
        <v>34.799999999999997</v>
      </c>
      <c r="G26" s="1">
        <v>10.07</v>
      </c>
      <c r="H26" s="1">
        <v>127.93</v>
      </c>
      <c r="I26" s="1">
        <v>317.58999999999997</v>
      </c>
      <c r="J26" s="1">
        <v>67.409999999999968</v>
      </c>
      <c r="K26" s="1" t="s">
        <v>1245</v>
      </c>
      <c r="L26" s="1">
        <v>26</v>
      </c>
      <c r="M26" s="1" t="s">
        <v>226</v>
      </c>
      <c r="N26" s="1" t="s">
        <v>2959</v>
      </c>
      <c r="O26" s="1" t="s">
        <v>2960</v>
      </c>
      <c r="P26" s="1">
        <v>7.04</v>
      </c>
      <c r="Q26" s="1" t="s">
        <v>1003</v>
      </c>
      <c r="R26" s="1">
        <v>32.7545</v>
      </c>
      <c r="S26" s="1">
        <v>130.76300000000001</v>
      </c>
      <c r="T26" s="1">
        <v>12.45</v>
      </c>
      <c r="U26" s="1" t="s">
        <v>730</v>
      </c>
      <c r="V26" s="1" t="s">
        <v>2961</v>
      </c>
      <c r="W26" s="1">
        <v>205</v>
      </c>
      <c r="X26" s="1">
        <v>72</v>
      </c>
      <c r="Y26" s="1">
        <v>-142</v>
      </c>
      <c r="Z26" s="1">
        <v>235</v>
      </c>
      <c r="AA26" s="1">
        <v>65</v>
      </c>
      <c r="AB26" s="1">
        <v>-142</v>
      </c>
      <c r="AC26" s="1" t="s">
        <v>2973</v>
      </c>
      <c r="AD26" s="1" t="s">
        <v>862</v>
      </c>
      <c r="AE26" s="1">
        <v>1</v>
      </c>
      <c r="AF26" s="1">
        <v>7.04</v>
      </c>
      <c r="AG26" s="1">
        <v>3.4371</v>
      </c>
      <c r="AH26" s="1">
        <v>2349</v>
      </c>
      <c r="AI26" s="1" t="s">
        <v>1196</v>
      </c>
      <c r="AJ26" s="1" t="s">
        <v>1357</v>
      </c>
      <c r="AK26" t="s">
        <v>2977</v>
      </c>
    </row>
    <row r="27" spans="1:37" ht="22" customHeight="1">
      <c r="A27" s="1" t="s">
        <v>1797</v>
      </c>
      <c r="B27" s="1">
        <v>2016</v>
      </c>
      <c r="C27" s="1" t="s">
        <v>1206</v>
      </c>
      <c r="D27" s="1">
        <v>6.4</v>
      </c>
      <c r="E27" s="1">
        <v>28.4</v>
      </c>
      <c r="F27" s="1">
        <v>46.6</v>
      </c>
      <c r="G27" s="1">
        <v>2.39</v>
      </c>
      <c r="H27" s="1">
        <v>50.95</v>
      </c>
      <c r="I27" s="1">
        <v>274.2</v>
      </c>
      <c r="J27" s="1">
        <v>20.800000000000011</v>
      </c>
      <c r="K27" s="1" t="s">
        <v>1245</v>
      </c>
      <c r="L27" s="1">
        <v>27</v>
      </c>
      <c r="M27" s="1" t="s">
        <v>672</v>
      </c>
      <c r="N27" s="1" t="s">
        <v>2966</v>
      </c>
      <c r="O27" s="1" t="s">
        <v>2967</v>
      </c>
      <c r="P27" s="1">
        <v>6.4</v>
      </c>
      <c r="Q27" s="1" t="s">
        <v>1003</v>
      </c>
      <c r="R27" s="1">
        <v>22.92</v>
      </c>
      <c r="S27" s="1">
        <v>120.54</v>
      </c>
      <c r="T27" s="1">
        <v>14.6</v>
      </c>
      <c r="U27" s="1" t="s">
        <v>2978</v>
      </c>
      <c r="V27" s="1" t="s">
        <v>2922</v>
      </c>
      <c r="W27" s="1">
        <v>295</v>
      </c>
      <c r="X27" s="1">
        <v>22</v>
      </c>
      <c r="Y27" s="1">
        <v>20</v>
      </c>
      <c r="Z27" s="1"/>
      <c r="AA27" s="1"/>
      <c r="AB27" s="1"/>
      <c r="AC27" s="1" t="s">
        <v>2973</v>
      </c>
      <c r="AD27" s="1" t="s">
        <v>731</v>
      </c>
      <c r="AE27" s="1"/>
      <c r="AF27" s="1"/>
      <c r="AG27" s="1"/>
      <c r="AH27" s="1"/>
      <c r="AI27" s="1"/>
      <c r="AJ27" s="1" t="s">
        <v>1357</v>
      </c>
      <c r="AK27" t="s">
        <v>2980</v>
      </c>
    </row>
    <row r="28" spans="1:37" ht="22" customHeight="1">
      <c r="A28" s="1" t="s">
        <v>1797</v>
      </c>
      <c r="B28" s="1">
        <v>2016</v>
      </c>
      <c r="C28" s="1" t="s">
        <v>1162</v>
      </c>
      <c r="D28" s="1">
        <v>6.4</v>
      </c>
      <c r="E28" s="1">
        <v>23.6</v>
      </c>
      <c r="F28" s="1">
        <v>38.299999999999997</v>
      </c>
      <c r="G28" s="1">
        <v>2.13</v>
      </c>
      <c r="H28" s="1">
        <v>53.18</v>
      </c>
      <c r="I28" s="1">
        <v>345.14</v>
      </c>
      <c r="J28" s="1">
        <v>50.139999999999993</v>
      </c>
      <c r="K28" s="1" t="s">
        <v>1245</v>
      </c>
      <c r="L28" s="1">
        <v>28</v>
      </c>
      <c r="M28" s="1" t="s">
        <v>672</v>
      </c>
      <c r="N28" s="1" t="s">
        <v>2966</v>
      </c>
      <c r="O28" s="1" t="s">
        <v>2967</v>
      </c>
      <c r="P28" s="1">
        <v>6.4</v>
      </c>
      <c r="Q28" s="1" t="s">
        <v>1003</v>
      </c>
      <c r="R28" s="1">
        <v>22.92</v>
      </c>
      <c r="S28" s="1">
        <v>120.54</v>
      </c>
      <c r="T28" s="1">
        <v>14.6</v>
      </c>
      <c r="U28" s="1" t="s">
        <v>2978</v>
      </c>
      <c r="V28" s="1" t="s">
        <v>2922</v>
      </c>
      <c r="W28" s="1">
        <v>295</v>
      </c>
      <c r="X28" s="1">
        <v>22</v>
      </c>
      <c r="Y28" s="1">
        <v>20</v>
      </c>
      <c r="Z28" s="1"/>
      <c r="AA28" s="1"/>
      <c r="AB28" s="1"/>
      <c r="AC28" s="1" t="s">
        <v>2973</v>
      </c>
      <c r="AD28" s="1" t="s">
        <v>731</v>
      </c>
      <c r="AE28" s="1"/>
      <c r="AF28" s="1"/>
      <c r="AG28" s="1"/>
      <c r="AH28" s="1"/>
      <c r="AI28" s="1"/>
      <c r="AJ28" s="1" t="s">
        <v>1357</v>
      </c>
      <c r="AK28" t="s">
        <v>2980</v>
      </c>
    </row>
    <row r="29" spans="1:37" ht="22" customHeight="1">
      <c r="A29" s="1" t="s">
        <v>1797</v>
      </c>
      <c r="B29" s="1">
        <v>2016</v>
      </c>
      <c r="C29" s="1" t="s">
        <v>1208</v>
      </c>
      <c r="D29" s="1">
        <v>6.4</v>
      </c>
      <c r="E29" s="1">
        <v>24</v>
      </c>
      <c r="F29" s="1">
        <v>40.6</v>
      </c>
      <c r="G29" s="1">
        <v>1.78</v>
      </c>
      <c r="H29" s="1">
        <v>57.55</v>
      </c>
      <c r="I29" s="1">
        <v>288.05</v>
      </c>
      <c r="J29" s="1">
        <v>6.9499999999999886</v>
      </c>
      <c r="K29" s="1" t="s">
        <v>1245</v>
      </c>
      <c r="L29" s="1">
        <v>29</v>
      </c>
      <c r="M29" s="1" t="s">
        <v>672</v>
      </c>
      <c r="N29" s="1" t="s">
        <v>2966</v>
      </c>
      <c r="O29" s="1" t="s">
        <v>2967</v>
      </c>
      <c r="P29" s="1">
        <v>6.4</v>
      </c>
      <c r="Q29" s="1" t="s">
        <v>1003</v>
      </c>
      <c r="R29" s="1">
        <v>22.92</v>
      </c>
      <c r="S29" s="1">
        <v>120.54</v>
      </c>
      <c r="T29" s="1">
        <v>14.6</v>
      </c>
      <c r="U29" s="1" t="s">
        <v>2978</v>
      </c>
      <c r="V29" s="1" t="s">
        <v>2922</v>
      </c>
      <c r="W29" s="1">
        <v>295</v>
      </c>
      <c r="X29" s="1">
        <v>22</v>
      </c>
      <c r="Y29" s="1">
        <v>20</v>
      </c>
      <c r="Z29" s="1"/>
      <c r="AA29" s="1"/>
      <c r="AB29" s="1"/>
      <c r="AC29" s="1" t="s">
        <v>2973</v>
      </c>
      <c r="AD29" s="1" t="s">
        <v>731</v>
      </c>
      <c r="AE29" s="1"/>
      <c r="AF29" s="1"/>
      <c r="AG29" s="1"/>
      <c r="AH29" s="1"/>
      <c r="AI29" s="1"/>
      <c r="AJ29" s="1" t="s">
        <v>1357</v>
      </c>
      <c r="AK29" t="s">
        <v>2980</v>
      </c>
    </row>
    <row r="30" spans="1:37" ht="22" customHeight="1">
      <c r="A30" s="1" t="s">
        <v>1797</v>
      </c>
      <c r="B30" s="1">
        <v>2016</v>
      </c>
      <c r="C30" s="1" t="s">
        <v>1209</v>
      </c>
      <c r="D30" s="1">
        <v>6.4</v>
      </c>
      <c r="E30" s="1">
        <v>21.6</v>
      </c>
      <c r="F30" s="1">
        <v>28.2</v>
      </c>
      <c r="G30" s="1">
        <v>0.9</v>
      </c>
      <c r="H30" s="1">
        <v>40.06</v>
      </c>
      <c r="I30" s="1">
        <v>319.66000000000003</v>
      </c>
      <c r="J30" s="1">
        <v>24.659999999999972</v>
      </c>
      <c r="K30" s="1" t="s">
        <v>1245</v>
      </c>
      <c r="L30" s="1">
        <v>30</v>
      </c>
      <c r="M30" s="1" t="s">
        <v>672</v>
      </c>
      <c r="N30" s="1" t="s">
        <v>2966</v>
      </c>
      <c r="O30" s="1" t="s">
        <v>2967</v>
      </c>
      <c r="P30" s="1">
        <v>6.4</v>
      </c>
      <c r="Q30" s="1" t="s">
        <v>1003</v>
      </c>
      <c r="R30" s="1">
        <v>22.92</v>
      </c>
      <c r="S30" s="1">
        <v>120.54</v>
      </c>
      <c r="T30" s="1">
        <v>14.6</v>
      </c>
      <c r="U30" s="1" t="s">
        <v>2978</v>
      </c>
      <c r="V30" s="1" t="s">
        <v>2922</v>
      </c>
      <c r="W30" s="1">
        <v>295</v>
      </c>
      <c r="X30" s="1">
        <v>22</v>
      </c>
      <c r="Y30" s="1">
        <v>20</v>
      </c>
      <c r="Z30" s="1"/>
      <c r="AA30" s="1"/>
      <c r="AB30" s="1"/>
      <c r="AC30" s="1" t="s">
        <v>2973</v>
      </c>
      <c r="AD30" s="1" t="s">
        <v>731</v>
      </c>
      <c r="AE30" s="1"/>
      <c r="AF30" s="1"/>
      <c r="AG30" s="1"/>
      <c r="AH30" s="1"/>
      <c r="AI30" s="1"/>
      <c r="AJ30" s="1" t="s">
        <v>1357</v>
      </c>
      <c r="AK30" t="s">
        <v>2980</v>
      </c>
    </row>
    <row r="31" spans="1:37" ht="22" customHeight="1">
      <c r="A31" s="1" t="s">
        <v>1797</v>
      </c>
      <c r="B31" s="1">
        <v>2016</v>
      </c>
      <c r="C31" s="1" t="s">
        <v>1164</v>
      </c>
      <c r="D31" s="1">
        <v>6.4</v>
      </c>
      <c r="E31" s="1">
        <v>16.600000000000001</v>
      </c>
      <c r="F31" s="1">
        <v>27.8</v>
      </c>
      <c r="G31" s="1">
        <v>1.43</v>
      </c>
      <c r="H31" s="1">
        <v>71.180000000000007</v>
      </c>
      <c r="I31" s="1">
        <v>290.60000000000002</v>
      </c>
      <c r="J31" s="1">
        <v>4.3999999999999773</v>
      </c>
      <c r="K31" s="1" t="s">
        <v>1245</v>
      </c>
      <c r="L31" s="1">
        <v>31</v>
      </c>
      <c r="M31" s="1" t="s">
        <v>672</v>
      </c>
      <c r="N31" s="1" t="s">
        <v>2966</v>
      </c>
      <c r="O31" s="1" t="s">
        <v>2967</v>
      </c>
      <c r="P31" s="1">
        <v>6.4</v>
      </c>
      <c r="Q31" s="1" t="s">
        <v>1003</v>
      </c>
      <c r="R31" s="1">
        <v>22.92</v>
      </c>
      <c r="S31" s="1">
        <v>120.54</v>
      </c>
      <c r="T31" s="1">
        <v>14.6</v>
      </c>
      <c r="U31" s="1" t="s">
        <v>2978</v>
      </c>
      <c r="V31" s="1" t="s">
        <v>2922</v>
      </c>
      <c r="W31" s="1">
        <v>295</v>
      </c>
      <c r="X31" s="1">
        <v>22</v>
      </c>
      <c r="Y31" s="1">
        <v>20</v>
      </c>
      <c r="Z31" s="1"/>
      <c r="AA31" s="1"/>
      <c r="AB31" s="1"/>
      <c r="AC31" s="1" t="s">
        <v>2973</v>
      </c>
      <c r="AD31" s="1" t="s">
        <v>731</v>
      </c>
      <c r="AE31" s="1"/>
      <c r="AF31" s="1"/>
      <c r="AG31" s="1"/>
      <c r="AH31" s="1"/>
      <c r="AI31" s="1"/>
      <c r="AJ31" s="1" t="s">
        <v>1357</v>
      </c>
      <c r="AK31" t="s">
        <v>2980</v>
      </c>
    </row>
    <row r="32" spans="1:37" ht="22" customHeight="1">
      <c r="A32" s="1" t="s">
        <v>1797</v>
      </c>
      <c r="B32" s="1">
        <v>2016</v>
      </c>
      <c r="C32" s="1" t="s">
        <v>1211</v>
      </c>
      <c r="D32" s="1">
        <v>6.4</v>
      </c>
      <c r="E32" s="1">
        <v>21.4</v>
      </c>
      <c r="F32" s="1">
        <v>40.1</v>
      </c>
      <c r="G32" s="1">
        <v>2.61</v>
      </c>
      <c r="H32" s="1">
        <v>42.77</v>
      </c>
      <c r="I32" s="1">
        <v>83</v>
      </c>
      <c r="J32" s="1">
        <v>32</v>
      </c>
      <c r="K32" s="1" t="s">
        <v>1245</v>
      </c>
      <c r="L32" s="1">
        <v>32</v>
      </c>
      <c r="M32" s="1" t="s">
        <v>672</v>
      </c>
      <c r="N32" s="1" t="s">
        <v>2966</v>
      </c>
      <c r="O32" s="1" t="s">
        <v>2967</v>
      </c>
      <c r="P32" s="1">
        <v>6.4</v>
      </c>
      <c r="Q32" s="1" t="s">
        <v>1003</v>
      </c>
      <c r="R32" s="1">
        <v>22.92</v>
      </c>
      <c r="S32" s="1">
        <v>120.54</v>
      </c>
      <c r="T32" s="1">
        <v>14.6</v>
      </c>
      <c r="U32" s="1" t="s">
        <v>2978</v>
      </c>
      <c r="V32" s="1" t="s">
        <v>2922</v>
      </c>
      <c r="W32" s="1">
        <v>295</v>
      </c>
      <c r="X32" s="1">
        <v>22</v>
      </c>
      <c r="Y32" s="1">
        <v>20</v>
      </c>
      <c r="Z32" s="1"/>
      <c r="AA32" s="1"/>
      <c r="AB32" s="1"/>
      <c r="AC32" s="1" t="s">
        <v>2973</v>
      </c>
      <c r="AD32" s="1" t="s">
        <v>731</v>
      </c>
      <c r="AE32" s="1"/>
      <c r="AF32" s="1"/>
      <c r="AG32" s="1"/>
      <c r="AH32" s="1"/>
      <c r="AI32" s="1"/>
      <c r="AJ32" s="1" t="s">
        <v>1357</v>
      </c>
      <c r="AK32" t="s">
        <v>2980</v>
      </c>
    </row>
    <row r="33" spans="1:37" ht="22" customHeight="1">
      <c r="A33" s="1" t="s">
        <v>1797</v>
      </c>
      <c r="B33" s="1">
        <v>2016</v>
      </c>
      <c r="C33" s="1" t="s">
        <v>1213</v>
      </c>
      <c r="D33" s="1">
        <v>6.4</v>
      </c>
      <c r="E33" s="1">
        <v>20.5</v>
      </c>
      <c r="F33" s="1">
        <v>39.9</v>
      </c>
      <c r="G33" s="1">
        <v>2.0099999999999998</v>
      </c>
      <c r="H33" s="1">
        <v>51.2</v>
      </c>
      <c r="I33" s="1">
        <v>287.04000000000002</v>
      </c>
      <c r="J33" s="1">
        <v>7.9599999999999804</v>
      </c>
      <c r="K33" s="1" t="s">
        <v>1245</v>
      </c>
      <c r="L33" s="1">
        <v>33</v>
      </c>
      <c r="M33" s="1" t="s">
        <v>672</v>
      </c>
      <c r="N33" s="1" t="s">
        <v>2966</v>
      </c>
      <c r="O33" s="1" t="s">
        <v>2967</v>
      </c>
      <c r="P33" s="1">
        <v>6.4</v>
      </c>
      <c r="Q33" s="1" t="s">
        <v>1003</v>
      </c>
      <c r="R33" s="1">
        <v>22.92</v>
      </c>
      <c r="S33" s="1">
        <v>120.54</v>
      </c>
      <c r="T33" s="1">
        <v>14.6</v>
      </c>
      <c r="U33" s="1" t="s">
        <v>2978</v>
      </c>
      <c r="V33" s="1" t="s">
        <v>2922</v>
      </c>
      <c r="W33" s="1">
        <v>295</v>
      </c>
      <c r="X33" s="1">
        <v>22</v>
      </c>
      <c r="Y33" s="1">
        <v>20</v>
      </c>
      <c r="Z33" s="1"/>
      <c r="AA33" s="1"/>
      <c r="AB33" s="1"/>
      <c r="AC33" s="1" t="s">
        <v>2973</v>
      </c>
      <c r="AD33" s="1" t="s">
        <v>731</v>
      </c>
      <c r="AE33" s="1"/>
      <c r="AF33" s="1"/>
      <c r="AG33" s="1"/>
      <c r="AH33" s="1"/>
      <c r="AI33" s="1"/>
      <c r="AJ33" s="1" t="s">
        <v>1357</v>
      </c>
      <c r="AK33" t="s">
        <v>2980</v>
      </c>
    </row>
    <row r="34" spans="1:37" ht="22" customHeight="1">
      <c r="A34" s="1" t="s">
        <v>1797</v>
      </c>
      <c r="B34" s="1">
        <v>2016</v>
      </c>
      <c r="C34" s="1" t="s">
        <v>1214</v>
      </c>
      <c r="D34" s="1">
        <v>6.4</v>
      </c>
      <c r="E34" s="1">
        <v>17</v>
      </c>
      <c r="F34" s="1">
        <v>35.6</v>
      </c>
      <c r="G34" s="1">
        <v>1.65</v>
      </c>
      <c r="H34" s="1">
        <v>58.63</v>
      </c>
      <c r="I34" s="1">
        <v>270.24</v>
      </c>
      <c r="J34" s="1">
        <v>24.759999999999991</v>
      </c>
      <c r="K34" s="1" t="s">
        <v>1245</v>
      </c>
      <c r="L34" s="1">
        <v>34</v>
      </c>
      <c r="M34" s="1" t="s">
        <v>672</v>
      </c>
      <c r="N34" s="1" t="s">
        <v>2966</v>
      </c>
      <c r="O34" s="1" t="s">
        <v>2967</v>
      </c>
      <c r="P34" s="1">
        <v>6.4</v>
      </c>
      <c r="Q34" s="1" t="s">
        <v>1003</v>
      </c>
      <c r="R34" s="1">
        <v>22.92</v>
      </c>
      <c r="S34" s="1">
        <v>120.54</v>
      </c>
      <c r="T34" s="1">
        <v>14.6</v>
      </c>
      <c r="U34" s="1" t="s">
        <v>2978</v>
      </c>
      <c r="V34" s="1" t="s">
        <v>2922</v>
      </c>
      <c r="W34" s="1">
        <v>295</v>
      </c>
      <c r="X34" s="1">
        <v>22</v>
      </c>
      <c r="Y34" s="1">
        <v>20</v>
      </c>
      <c r="Z34" s="1"/>
      <c r="AA34" s="1"/>
      <c r="AB34" s="1"/>
      <c r="AC34" s="1" t="s">
        <v>2973</v>
      </c>
      <c r="AD34" s="1" t="s">
        <v>731</v>
      </c>
      <c r="AE34" s="1"/>
      <c r="AF34" s="1"/>
      <c r="AG34" s="1"/>
      <c r="AH34" s="1"/>
      <c r="AI34" s="1"/>
      <c r="AJ34" s="1" t="s">
        <v>1357</v>
      </c>
      <c r="AK34" t="s">
        <v>2980</v>
      </c>
    </row>
    <row r="35" spans="1:37" ht="22" customHeight="1">
      <c r="A35" s="1" t="s">
        <v>1797</v>
      </c>
      <c r="B35" s="1">
        <v>2016</v>
      </c>
      <c r="C35" s="1" t="s">
        <v>1215</v>
      </c>
      <c r="D35" s="1">
        <v>6.4</v>
      </c>
      <c r="E35" s="1">
        <v>25.6</v>
      </c>
      <c r="F35" s="1">
        <v>43.8</v>
      </c>
      <c r="G35" s="1">
        <v>2.34</v>
      </c>
      <c r="H35" s="1">
        <v>50.54</v>
      </c>
      <c r="I35" s="1">
        <v>287.74</v>
      </c>
      <c r="J35" s="1">
        <v>7.2599999999999909</v>
      </c>
      <c r="K35" s="1" t="s">
        <v>1245</v>
      </c>
      <c r="L35" s="1">
        <v>35</v>
      </c>
      <c r="M35" s="1" t="s">
        <v>672</v>
      </c>
      <c r="N35" s="1" t="s">
        <v>2966</v>
      </c>
      <c r="O35" s="1" t="s">
        <v>2967</v>
      </c>
      <c r="P35" s="1">
        <v>6.4</v>
      </c>
      <c r="Q35" s="1" t="s">
        <v>1003</v>
      </c>
      <c r="R35" s="1">
        <v>22.92</v>
      </c>
      <c r="S35" s="1">
        <v>120.54</v>
      </c>
      <c r="T35" s="1">
        <v>14.6</v>
      </c>
      <c r="U35" s="1" t="s">
        <v>2978</v>
      </c>
      <c r="V35" s="1" t="s">
        <v>2922</v>
      </c>
      <c r="W35" s="1">
        <v>295</v>
      </c>
      <c r="X35" s="1">
        <v>22</v>
      </c>
      <c r="Y35" s="1">
        <v>20</v>
      </c>
      <c r="Z35" s="1"/>
      <c r="AA35" s="1"/>
      <c r="AB35" s="1"/>
      <c r="AC35" s="1" t="s">
        <v>2973</v>
      </c>
      <c r="AD35" s="1" t="s">
        <v>731</v>
      </c>
      <c r="AE35" s="1"/>
      <c r="AF35" s="1"/>
      <c r="AG35" s="1"/>
      <c r="AH35" s="1"/>
      <c r="AI35" s="1"/>
      <c r="AJ35" s="1" t="s">
        <v>1357</v>
      </c>
      <c r="AK35" t="s">
        <v>2980</v>
      </c>
    </row>
    <row r="36" spans="1:37" ht="22" customHeight="1">
      <c r="A36" s="1" t="s">
        <v>1797</v>
      </c>
      <c r="B36" s="1">
        <v>2016</v>
      </c>
      <c r="C36" s="1" t="s">
        <v>1216</v>
      </c>
      <c r="D36" s="1">
        <v>6.4</v>
      </c>
      <c r="E36" s="1">
        <v>20.399999999999999</v>
      </c>
      <c r="F36" s="1">
        <v>38.9</v>
      </c>
      <c r="G36" s="1">
        <v>1.1299999999999999</v>
      </c>
      <c r="H36" s="1">
        <v>39.840000000000003</v>
      </c>
      <c r="I36" s="1">
        <v>70.7</v>
      </c>
      <c r="J36" s="1">
        <v>44.3</v>
      </c>
      <c r="K36" s="1" t="s">
        <v>1245</v>
      </c>
      <c r="L36" s="1">
        <v>36</v>
      </c>
      <c r="M36" s="1" t="s">
        <v>672</v>
      </c>
      <c r="N36" s="1" t="s">
        <v>2966</v>
      </c>
      <c r="O36" s="1" t="s">
        <v>2967</v>
      </c>
      <c r="P36" s="1">
        <v>6.4</v>
      </c>
      <c r="Q36" s="1" t="s">
        <v>1003</v>
      </c>
      <c r="R36" s="1">
        <v>22.92</v>
      </c>
      <c r="S36" s="1">
        <v>120.54</v>
      </c>
      <c r="T36" s="1">
        <v>14.6</v>
      </c>
      <c r="U36" s="1" t="s">
        <v>2978</v>
      </c>
      <c r="V36" s="1" t="s">
        <v>2922</v>
      </c>
      <c r="W36" s="1">
        <v>295</v>
      </c>
      <c r="X36" s="1">
        <v>22</v>
      </c>
      <c r="Y36" s="1">
        <v>20</v>
      </c>
      <c r="Z36" s="1"/>
      <c r="AA36" s="1"/>
      <c r="AB36" s="1"/>
      <c r="AC36" s="1" t="s">
        <v>2973</v>
      </c>
      <c r="AD36" s="1" t="s">
        <v>731</v>
      </c>
      <c r="AE36" s="1"/>
      <c r="AF36" s="1"/>
      <c r="AG36" s="1"/>
      <c r="AH36" s="1"/>
      <c r="AI36" s="1"/>
      <c r="AJ36" s="1" t="s">
        <v>1357</v>
      </c>
      <c r="AK36" t="s">
        <v>2980</v>
      </c>
    </row>
    <row r="37" spans="1:37" ht="22" customHeight="1">
      <c r="A37" s="1" t="s">
        <v>1797</v>
      </c>
      <c r="B37" s="1">
        <v>2016</v>
      </c>
      <c r="C37" s="1" t="s">
        <v>1165</v>
      </c>
      <c r="D37" s="1">
        <v>6.4</v>
      </c>
      <c r="E37" s="1">
        <v>18.899999999999999</v>
      </c>
      <c r="F37" s="1">
        <v>29.4</v>
      </c>
      <c r="G37" s="1">
        <v>2.59</v>
      </c>
      <c r="H37" s="1">
        <v>61.76</v>
      </c>
      <c r="I37" s="1">
        <v>13.47</v>
      </c>
      <c r="J37" s="1">
        <v>78</v>
      </c>
      <c r="K37" s="1" t="s">
        <v>1245</v>
      </c>
      <c r="L37" s="1">
        <v>37</v>
      </c>
      <c r="M37" s="1" t="s">
        <v>672</v>
      </c>
      <c r="N37" s="1" t="s">
        <v>2966</v>
      </c>
      <c r="O37" s="1" t="s">
        <v>2967</v>
      </c>
      <c r="P37" s="1">
        <v>6.4</v>
      </c>
      <c r="Q37" s="1" t="s">
        <v>1003</v>
      </c>
      <c r="R37" s="1">
        <v>22.92</v>
      </c>
      <c r="S37" s="1">
        <v>120.54</v>
      </c>
      <c r="T37" s="1">
        <v>14.6</v>
      </c>
      <c r="U37" s="1" t="s">
        <v>2978</v>
      </c>
      <c r="V37" s="1" t="s">
        <v>2922</v>
      </c>
      <c r="W37" s="1">
        <v>295</v>
      </c>
      <c r="X37" s="1">
        <v>22</v>
      </c>
      <c r="Y37" s="1">
        <v>20</v>
      </c>
      <c r="Z37" s="1"/>
      <c r="AA37" s="1"/>
      <c r="AB37" s="1"/>
      <c r="AC37" s="1" t="s">
        <v>2973</v>
      </c>
      <c r="AD37" s="1" t="s">
        <v>731</v>
      </c>
      <c r="AE37" s="1"/>
      <c r="AF37" s="1"/>
      <c r="AG37" s="1"/>
      <c r="AH37" s="1"/>
      <c r="AI37" s="1"/>
      <c r="AJ37" s="1" t="s">
        <v>1357</v>
      </c>
      <c r="AK37" t="s">
        <v>2980</v>
      </c>
    </row>
    <row r="38" spans="1:37" ht="22" customHeight="1">
      <c r="A38" s="1" t="s">
        <v>1797</v>
      </c>
      <c r="B38" s="1">
        <v>2016</v>
      </c>
      <c r="C38" s="1" t="s">
        <v>1217</v>
      </c>
      <c r="D38" s="1">
        <v>6.4</v>
      </c>
      <c r="E38" s="1">
        <v>20.6</v>
      </c>
      <c r="F38" s="1">
        <v>38.6</v>
      </c>
      <c r="G38" s="1">
        <v>1.51</v>
      </c>
      <c r="H38" s="1">
        <v>37.69</v>
      </c>
      <c r="I38" s="1">
        <v>72.760000000000005</v>
      </c>
      <c r="J38" s="1">
        <v>42.239999999999988</v>
      </c>
      <c r="K38" s="1" t="s">
        <v>1245</v>
      </c>
      <c r="L38" s="1">
        <v>38</v>
      </c>
      <c r="M38" s="1" t="s">
        <v>672</v>
      </c>
      <c r="N38" s="1" t="s">
        <v>2966</v>
      </c>
      <c r="O38" s="1" t="s">
        <v>2967</v>
      </c>
      <c r="P38" s="1">
        <v>6.4</v>
      </c>
      <c r="Q38" s="1" t="s">
        <v>1003</v>
      </c>
      <c r="R38" s="1">
        <v>22.92</v>
      </c>
      <c r="S38" s="1">
        <v>120.54</v>
      </c>
      <c r="T38" s="1">
        <v>14.6</v>
      </c>
      <c r="U38" s="1" t="s">
        <v>2978</v>
      </c>
      <c r="V38" s="1" t="s">
        <v>2922</v>
      </c>
      <c r="W38" s="1">
        <v>295</v>
      </c>
      <c r="X38" s="1">
        <v>22</v>
      </c>
      <c r="Y38" s="1">
        <v>20</v>
      </c>
      <c r="Z38" s="1"/>
      <c r="AA38" s="1"/>
      <c r="AB38" s="1"/>
      <c r="AC38" s="1" t="s">
        <v>2973</v>
      </c>
      <c r="AD38" s="1" t="s">
        <v>731</v>
      </c>
      <c r="AE38" s="1"/>
      <c r="AF38" s="1"/>
      <c r="AG38" s="1"/>
      <c r="AH38" s="1"/>
      <c r="AI38" s="1"/>
      <c r="AJ38" s="1" t="s">
        <v>1357</v>
      </c>
      <c r="AK38" t="s">
        <v>2980</v>
      </c>
    </row>
    <row r="39" spans="1:37" ht="22" customHeight="1">
      <c r="A39" s="1" t="s">
        <v>1797</v>
      </c>
      <c r="B39" s="1">
        <v>2016</v>
      </c>
      <c r="C39" s="1" t="s">
        <v>1218</v>
      </c>
      <c r="D39" s="1">
        <v>6.4</v>
      </c>
      <c r="E39" s="1">
        <v>23.5</v>
      </c>
      <c r="F39" s="1">
        <v>42.6</v>
      </c>
      <c r="G39" s="1">
        <v>3.2</v>
      </c>
      <c r="H39" s="1">
        <v>51.05</v>
      </c>
      <c r="I39" s="1">
        <v>280.66000000000003</v>
      </c>
      <c r="J39" s="1">
        <v>14.34000000000003</v>
      </c>
      <c r="K39" s="1" t="s">
        <v>1245</v>
      </c>
      <c r="L39" s="1">
        <v>39</v>
      </c>
      <c r="M39" s="1" t="s">
        <v>672</v>
      </c>
      <c r="N39" s="1" t="s">
        <v>2966</v>
      </c>
      <c r="O39" s="1" t="s">
        <v>2967</v>
      </c>
      <c r="P39" s="1">
        <v>6.4</v>
      </c>
      <c r="Q39" s="1" t="s">
        <v>1003</v>
      </c>
      <c r="R39" s="1">
        <v>22.92</v>
      </c>
      <c r="S39" s="1">
        <v>120.54</v>
      </c>
      <c r="T39" s="1">
        <v>14.6</v>
      </c>
      <c r="U39" s="1" t="s">
        <v>2978</v>
      </c>
      <c r="V39" s="1" t="s">
        <v>2922</v>
      </c>
      <c r="W39" s="1">
        <v>295</v>
      </c>
      <c r="X39" s="1">
        <v>22</v>
      </c>
      <c r="Y39" s="1">
        <v>20</v>
      </c>
      <c r="Z39" s="1"/>
      <c r="AA39" s="1"/>
      <c r="AB39" s="1"/>
      <c r="AC39" s="1" t="s">
        <v>2973</v>
      </c>
      <c r="AD39" s="1" t="s">
        <v>731</v>
      </c>
      <c r="AE39" s="1"/>
      <c r="AF39" s="1"/>
      <c r="AG39" s="1"/>
      <c r="AH39" s="1"/>
      <c r="AI39" s="1"/>
      <c r="AJ39" s="1" t="s">
        <v>1357</v>
      </c>
      <c r="AK39" t="s">
        <v>2980</v>
      </c>
    </row>
    <row r="40" spans="1:37" ht="22" customHeight="1">
      <c r="A40" s="1" t="s">
        <v>1797</v>
      </c>
      <c r="B40" s="1">
        <v>2016</v>
      </c>
      <c r="C40" s="1" t="s">
        <v>1168</v>
      </c>
      <c r="D40" s="1">
        <v>6.4</v>
      </c>
      <c r="E40" s="1">
        <v>35.700000000000003</v>
      </c>
      <c r="F40" s="1">
        <v>55</v>
      </c>
      <c r="G40" s="1">
        <v>2.34</v>
      </c>
      <c r="H40" s="1">
        <v>34.47</v>
      </c>
      <c r="I40" s="1">
        <v>274.55</v>
      </c>
      <c r="J40" s="1">
        <v>20.449999999999989</v>
      </c>
      <c r="K40" s="1" t="s">
        <v>1245</v>
      </c>
      <c r="L40" s="1">
        <v>40</v>
      </c>
      <c r="M40" s="1" t="s">
        <v>672</v>
      </c>
      <c r="N40" s="1" t="s">
        <v>2966</v>
      </c>
      <c r="O40" s="1" t="s">
        <v>2967</v>
      </c>
      <c r="P40" s="1">
        <v>6.4</v>
      </c>
      <c r="Q40" s="1" t="s">
        <v>1003</v>
      </c>
      <c r="R40" s="1">
        <v>22.92</v>
      </c>
      <c r="S40" s="1">
        <v>120.54</v>
      </c>
      <c r="T40" s="1">
        <v>14.6</v>
      </c>
      <c r="U40" s="1" t="s">
        <v>2978</v>
      </c>
      <c r="V40" s="1" t="s">
        <v>2922</v>
      </c>
      <c r="W40" s="1">
        <v>295</v>
      </c>
      <c r="X40" s="1">
        <v>22</v>
      </c>
      <c r="Y40" s="1">
        <v>20</v>
      </c>
      <c r="Z40" s="1"/>
      <c r="AA40" s="1"/>
      <c r="AB40" s="1"/>
      <c r="AC40" s="1" t="s">
        <v>2973</v>
      </c>
      <c r="AD40" s="1" t="s">
        <v>731</v>
      </c>
      <c r="AE40" s="1"/>
      <c r="AF40" s="1"/>
      <c r="AG40" s="1"/>
      <c r="AH40" s="1"/>
      <c r="AI40" s="1"/>
      <c r="AJ40" s="1" t="s">
        <v>1357</v>
      </c>
      <c r="AK40" t="s">
        <v>2980</v>
      </c>
    </row>
    <row r="41" spans="1:37" ht="22" customHeight="1">
      <c r="A41" s="1" t="s">
        <v>1797</v>
      </c>
      <c r="B41" s="1">
        <v>2016</v>
      </c>
      <c r="C41" s="1" t="s">
        <v>1220</v>
      </c>
      <c r="D41" s="1">
        <v>6.4</v>
      </c>
      <c r="E41" s="1">
        <v>30.4</v>
      </c>
      <c r="F41" s="1">
        <v>49.3</v>
      </c>
      <c r="G41" s="1">
        <v>2.35</v>
      </c>
      <c r="H41" s="1">
        <v>45.48</v>
      </c>
      <c r="I41" s="1">
        <v>320</v>
      </c>
      <c r="J41" s="1">
        <v>25</v>
      </c>
      <c r="K41" s="1" t="s">
        <v>1245</v>
      </c>
      <c r="L41" s="1">
        <v>41</v>
      </c>
      <c r="M41" s="1" t="s">
        <v>672</v>
      </c>
      <c r="N41" s="1" t="s">
        <v>2966</v>
      </c>
      <c r="O41" s="1" t="s">
        <v>2967</v>
      </c>
      <c r="P41" s="1">
        <v>6.4</v>
      </c>
      <c r="Q41" s="1" t="s">
        <v>1003</v>
      </c>
      <c r="R41" s="1">
        <v>22.92</v>
      </c>
      <c r="S41" s="1">
        <v>120.54</v>
      </c>
      <c r="T41" s="1">
        <v>14.6</v>
      </c>
      <c r="U41" s="1" t="s">
        <v>2978</v>
      </c>
      <c r="V41" s="1" t="s">
        <v>2922</v>
      </c>
      <c r="W41" s="1">
        <v>295</v>
      </c>
      <c r="X41" s="1">
        <v>22</v>
      </c>
      <c r="Y41" s="1">
        <v>20</v>
      </c>
      <c r="Z41" s="1"/>
      <c r="AA41" s="1"/>
      <c r="AB41" s="1"/>
      <c r="AC41" s="1" t="s">
        <v>2973</v>
      </c>
      <c r="AD41" s="1" t="s">
        <v>731</v>
      </c>
      <c r="AE41" s="1"/>
      <c r="AF41" s="1"/>
      <c r="AG41" s="1"/>
      <c r="AH41" s="1"/>
      <c r="AI41" s="1"/>
      <c r="AJ41" s="1" t="s">
        <v>1357</v>
      </c>
      <c r="AK41" t="s">
        <v>2980</v>
      </c>
    </row>
    <row r="42" spans="1:37" ht="22" customHeight="1">
      <c r="A42" s="1" t="s">
        <v>1797</v>
      </c>
      <c r="B42" s="1">
        <v>2016</v>
      </c>
      <c r="C42" s="1" t="s">
        <v>1221</v>
      </c>
      <c r="D42" s="1">
        <v>6.4</v>
      </c>
      <c r="E42" s="1">
        <v>23</v>
      </c>
      <c r="F42" s="1">
        <v>42.3</v>
      </c>
      <c r="G42" s="1">
        <v>2.93</v>
      </c>
      <c r="H42" s="1">
        <v>51.42</v>
      </c>
      <c r="I42" s="1">
        <v>277.38</v>
      </c>
      <c r="J42" s="1">
        <v>17.62</v>
      </c>
      <c r="K42" s="1" t="s">
        <v>1245</v>
      </c>
      <c r="L42" s="1">
        <v>42</v>
      </c>
      <c r="M42" s="1" t="s">
        <v>672</v>
      </c>
      <c r="N42" s="1" t="s">
        <v>2966</v>
      </c>
      <c r="O42" s="1" t="s">
        <v>2967</v>
      </c>
      <c r="P42" s="1">
        <v>6.4</v>
      </c>
      <c r="Q42" s="1" t="s">
        <v>1003</v>
      </c>
      <c r="R42" s="1">
        <v>22.92</v>
      </c>
      <c r="S42" s="1">
        <v>120.54</v>
      </c>
      <c r="T42" s="1">
        <v>14.6</v>
      </c>
      <c r="U42" s="1" t="s">
        <v>2978</v>
      </c>
      <c r="V42" s="1" t="s">
        <v>2922</v>
      </c>
      <c r="W42" s="1">
        <v>295</v>
      </c>
      <c r="X42" s="1">
        <v>22</v>
      </c>
      <c r="Y42" s="1">
        <v>20</v>
      </c>
      <c r="Z42" s="1"/>
      <c r="AA42" s="1"/>
      <c r="AB42" s="1"/>
      <c r="AC42" s="1" t="s">
        <v>2973</v>
      </c>
      <c r="AD42" s="1" t="s">
        <v>731</v>
      </c>
      <c r="AE42" s="1"/>
      <c r="AF42" s="1"/>
      <c r="AG42" s="1"/>
      <c r="AH42" s="1"/>
      <c r="AI42" s="1"/>
      <c r="AJ42" s="1" t="s">
        <v>1357</v>
      </c>
      <c r="AK42" t="s">
        <v>2980</v>
      </c>
    </row>
    <row r="43" spans="1:37" ht="22" customHeight="1">
      <c r="A43" s="1" t="s">
        <v>1797</v>
      </c>
      <c r="B43" s="1">
        <v>2016</v>
      </c>
      <c r="C43" s="1" t="s">
        <v>1173</v>
      </c>
      <c r="D43" s="1">
        <v>6.4</v>
      </c>
      <c r="E43" s="1">
        <v>20.9</v>
      </c>
      <c r="F43" s="1">
        <v>32.5</v>
      </c>
      <c r="G43" s="1">
        <v>1.85</v>
      </c>
      <c r="H43" s="1">
        <v>57.83</v>
      </c>
      <c r="I43" s="1">
        <v>5.55</v>
      </c>
      <c r="J43" s="1">
        <v>70.55</v>
      </c>
      <c r="K43" s="1" t="s">
        <v>1245</v>
      </c>
      <c r="L43" s="1">
        <v>43</v>
      </c>
      <c r="M43" s="1" t="s">
        <v>672</v>
      </c>
      <c r="N43" s="1" t="s">
        <v>2966</v>
      </c>
      <c r="O43" s="1" t="s">
        <v>2967</v>
      </c>
      <c r="P43" s="1">
        <v>6.4</v>
      </c>
      <c r="Q43" s="1" t="s">
        <v>1003</v>
      </c>
      <c r="R43" s="1">
        <v>22.92</v>
      </c>
      <c r="S43" s="1">
        <v>120.54</v>
      </c>
      <c r="T43" s="1">
        <v>14.6</v>
      </c>
      <c r="U43" s="1" t="s">
        <v>2978</v>
      </c>
      <c r="V43" s="1" t="s">
        <v>2922</v>
      </c>
      <c r="W43" s="1">
        <v>295</v>
      </c>
      <c r="X43" s="1">
        <v>22</v>
      </c>
      <c r="Y43" s="1">
        <v>20</v>
      </c>
      <c r="Z43" s="1"/>
      <c r="AA43" s="1"/>
      <c r="AB43" s="1"/>
      <c r="AC43" s="1" t="s">
        <v>2973</v>
      </c>
      <c r="AD43" s="1" t="s">
        <v>731</v>
      </c>
      <c r="AE43" s="1"/>
      <c r="AF43" s="1"/>
      <c r="AG43" s="1"/>
      <c r="AH43" s="1"/>
      <c r="AI43" s="1"/>
      <c r="AJ43" s="1" t="s">
        <v>1357</v>
      </c>
      <c r="AK43" t="s">
        <v>2980</v>
      </c>
    </row>
    <row r="44" spans="1:37" ht="22" customHeight="1">
      <c r="A44" s="1" t="s">
        <v>1797</v>
      </c>
      <c r="B44" s="1">
        <v>2016</v>
      </c>
      <c r="C44" s="1" t="s">
        <v>1224</v>
      </c>
      <c r="D44" s="1">
        <v>6.4</v>
      </c>
      <c r="E44" s="1">
        <v>22.4</v>
      </c>
      <c r="F44" s="1">
        <v>37.1</v>
      </c>
      <c r="G44" s="1">
        <v>2.29</v>
      </c>
      <c r="H44" s="1">
        <v>66.48</v>
      </c>
      <c r="I44" s="1">
        <v>347.52</v>
      </c>
      <c r="J44" s="1">
        <v>52.519999999999982</v>
      </c>
      <c r="K44" s="1" t="s">
        <v>1245</v>
      </c>
      <c r="L44" s="1">
        <v>44</v>
      </c>
      <c r="M44" s="1" t="s">
        <v>672</v>
      </c>
      <c r="N44" s="1" t="s">
        <v>2966</v>
      </c>
      <c r="O44" s="1" t="s">
        <v>2967</v>
      </c>
      <c r="P44" s="1">
        <v>6.4</v>
      </c>
      <c r="Q44" s="1" t="s">
        <v>1003</v>
      </c>
      <c r="R44" s="1">
        <v>22.92</v>
      </c>
      <c r="S44" s="1">
        <v>120.54</v>
      </c>
      <c r="T44" s="1">
        <v>14.6</v>
      </c>
      <c r="U44" s="1" t="s">
        <v>2978</v>
      </c>
      <c r="V44" s="1" t="s">
        <v>2922</v>
      </c>
      <c r="W44" s="1">
        <v>295</v>
      </c>
      <c r="X44" s="1">
        <v>22</v>
      </c>
      <c r="Y44" s="1">
        <v>20</v>
      </c>
      <c r="Z44" s="1"/>
      <c r="AA44" s="1"/>
      <c r="AB44" s="1"/>
      <c r="AC44" s="1" t="s">
        <v>2973</v>
      </c>
      <c r="AD44" s="1" t="s">
        <v>731</v>
      </c>
      <c r="AE44" s="1"/>
      <c r="AF44" s="1"/>
      <c r="AG44" s="1"/>
      <c r="AH44" s="1"/>
      <c r="AI44" s="1"/>
      <c r="AJ44" s="1" t="s">
        <v>1357</v>
      </c>
      <c r="AK44" t="s">
        <v>2980</v>
      </c>
    </row>
    <row r="45" spans="1:37" ht="22" customHeight="1">
      <c r="A45" s="1" t="s">
        <v>1924</v>
      </c>
      <c r="B45" s="1">
        <v>2018</v>
      </c>
      <c r="C45" s="1" t="s">
        <v>1226</v>
      </c>
      <c r="D45" s="1">
        <v>6.4</v>
      </c>
      <c r="E45" s="1">
        <v>2.2999999999999998</v>
      </c>
      <c r="F45" s="1">
        <v>19.600000000000001</v>
      </c>
      <c r="G45" s="1">
        <v>3.95</v>
      </c>
      <c r="H45" s="1">
        <v>80.92</v>
      </c>
      <c r="I45" s="1">
        <v>82.8</v>
      </c>
      <c r="J45" s="1">
        <v>46.8</v>
      </c>
      <c r="K45" s="1" t="s">
        <v>1245</v>
      </c>
      <c r="L45" s="1">
        <v>45</v>
      </c>
      <c r="M45" s="1" t="s">
        <v>676</v>
      </c>
      <c r="N45" s="1" t="s">
        <v>2970</v>
      </c>
      <c r="O45" s="1" t="s">
        <v>2971</v>
      </c>
      <c r="P45" s="1">
        <v>6.4</v>
      </c>
      <c r="Q45" s="1" t="s">
        <v>1003</v>
      </c>
      <c r="R45" s="1">
        <v>24.132000000000001</v>
      </c>
      <c r="S45" s="1">
        <v>121.65900000000001</v>
      </c>
      <c r="T45" s="1">
        <v>10.6</v>
      </c>
      <c r="U45" s="1" t="s">
        <v>2981</v>
      </c>
      <c r="V45" s="1" t="s">
        <v>2922</v>
      </c>
      <c r="W45" s="1">
        <v>216</v>
      </c>
      <c r="X45" s="1">
        <v>56</v>
      </c>
      <c r="Y45" s="1">
        <v>26</v>
      </c>
      <c r="Z45" s="1"/>
      <c r="AA45" s="1"/>
      <c r="AB45" s="1"/>
      <c r="AC45" s="1" t="s">
        <v>2973</v>
      </c>
      <c r="AD45" s="1" t="s">
        <v>731</v>
      </c>
      <c r="AE45" s="1"/>
      <c r="AF45" s="1"/>
      <c r="AG45" s="1"/>
      <c r="AH45" s="1"/>
      <c r="AI45" s="1"/>
      <c r="AJ45" s="1" t="s">
        <v>1357</v>
      </c>
      <c r="AK45" t="s">
        <v>2983</v>
      </c>
    </row>
    <row r="46" spans="1:37" ht="22" customHeight="1">
      <c r="A46" s="1" t="s">
        <v>1924</v>
      </c>
      <c r="B46" s="1">
        <v>2018</v>
      </c>
      <c r="C46" s="1" t="s">
        <v>1227</v>
      </c>
      <c r="D46" s="1">
        <v>6.4</v>
      </c>
      <c r="E46" s="1">
        <v>2.1</v>
      </c>
      <c r="F46" s="1">
        <v>20</v>
      </c>
      <c r="G46" s="1">
        <v>3.28</v>
      </c>
      <c r="H46" s="1">
        <v>93.73</v>
      </c>
      <c r="I46" s="1">
        <v>271.52999999999997</v>
      </c>
      <c r="J46" s="1">
        <v>55.529999999999973</v>
      </c>
      <c r="K46" s="1" t="s">
        <v>1245</v>
      </c>
      <c r="L46" s="1">
        <v>46</v>
      </c>
      <c r="M46" s="1" t="s">
        <v>676</v>
      </c>
      <c r="N46" s="1" t="s">
        <v>2970</v>
      </c>
      <c r="O46" s="1" t="s">
        <v>2971</v>
      </c>
      <c r="P46" s="1">
        <v>6.4</v>
      </c>
      <c r="Q46" s="1" t="s">
        <v>1003</v>
      </c>
      <c r="R46" s="1">
        <v>24.132000000000001</v>
      </c>
      <c r="S46" s="1">
        <v>121.65900000000001</v>
      </c>
      <c r="T46" s="1">
        <v>10.6</v>
      </c>
      <c r="U46" s="1" t="s">
        <v>2981</v>
      </c>
      <c r="V46" s="1" t="s">
        <v>2922</v>
      </c>
      <c r="W46" s="1">
        <v>216</v>
      </c>
      <c r="X46" s="1">
        <v>56</v>
      </c>
      <c r="Y46" s="1">
        <v>26</v>
      </c>
      <c r="Z46" s="1"/>
      <c r="AA46" s="1"/>
      <c r="AB46" s="1"/>
      <c r="AC46" s="1" t="s">
        <v>2973</v>
      </c>
      <c r="AD46" s="1" t="s">
        <v>731</v>
      </c>
      <c r="AE46" s="1"/>
      <c r="AF46" s="1"/>
      <c r="AG46" s="1"/>
      <c r="AH46" s="1"/>
      <c r="AI46" s="1"/>
      <c r="AJ46" s="1" t="s">
        <v>1357</v>
      </c>
      <c r="AK46" t="s">
        <v>2983</v>
      </c>
    </row>
    <row r="47" spans="1:37" ht="22" customHeight="1">
      <c r="A47" s="1" t="s">
        <v>1924</v>
      </c>
      <c r="B47" s="1">
        <v>2018</v>
      </c>
      <c r="C47" s="1" t="s">
        <v>1228</v>
      </c>
      <c r="D47" s="1">
        <v>6.4</v>
      </c>
      <c r="E47" s="1">
        <v>2.2000000000000002</v>
      </c>
      <c r="F47" s="1">
        <v>19.3</v>
      </c>
      <c r="G47" s="1">
        <v>4.1399999999999997</v>
      </c>
      <c r="H47" s="1">
        <v>96.34</v>
      </c>
      <c r="I47" s="1">
        <v>282.45999999999998</v>
      </c>
      <c r="J47" s="1">
        <v>66.45999999999998</v>
      </c>
      <c r="K47" s="1" t="s">
        <v>1245</v>
      </c>
      <c r="L47" s="1">
        <v>47</v>
      </c>
      <c r="M47" s="1" t="s">
        <v>676</v>
      </c>
      <c r="N47" s="1" t="s">
        <v>2970</v>
      </c>
      <c r="O47" s="1" t="s">
        <v>2971</v>
      </c>
      <c r="P47" s="1">
        <v>6.4</v>
      </c>
      <c r="Q47" s="1" t="s">
        <v>1003</v>
      </c>
      <c r="R47" s="1">
        <v>24.132000000000001</v>
      </c>
      <c r="S47" s="1">
        <v>121.65900000000001</v>
      </c>
      <c r="T47" s="1">
        <v>10.6</v>
      </c>
      <c r="U47" s="1" t="s">
        <v>2981</v>
      </c>
      <c r="V47" s="1" t="s">
        <v>2922</v>
      </c>
      <c r="W47" s="1">
        <v>216</v>
      </c>
      <c r="X47" s="1">
        <v>56</v>
      </c>
      <c r="Y47" s="1">
        <v>26</v>
      </c>
      <c r="Z47" s="1"/>
      <c r="AA47" s="1"/>
      <c r="AB47" s="1"/>
      <c r="AC47" s="1" t="s">
        <v>2973</v>
      </c>
      <c r="AD47" s="1" t="s">
        <v>731</v>
      </c>
      <c r="AE47" s="1"/>
      <c r="AF47" s="1"/>
      <c r="AG47" s="1"/>
      <c r="AH47" s="1"/>
      <c r="AI47" s="1"/>
      <c r="AJ47" s="1" t="s">
        <v>1357</v>
      </c>
      <c r="AK47" t="s">
        <v>2983</v>
      </c>
    </row>
    <row r="48" spans="1:37" ht="22" customHeight="1">
      <c r="A48" s="1" t="s">
        <v>1924</v>
      </c>
      <c r="B48" s="1">
        <v>2018</v>
      </c>
      <c r="C48" s="1" t="s">
        <v>1229</v>
      </c>
      <c r="D48" s="1">
        <v>6.4</v>
      </c>
      <c r="E48" s="1">
        <v>2.1</v>
      </c>
      <c r="F48" s="1">
        <v>20.9</v>
      </c>
      <c r="G48" s="1">
        <v>3.27</v>
      </c>
      <c r="H48" s="1">
        <v>125.14</v>
      </c>
      <c r="I48" s="1">
        <v>82.07</v>
      </c>
      <c r="J48" s="1">
        <v>46.069999999999993</v>
      </c>
      <c r="K48" s="1" t="s">
        <v>1245</v>
      </c>
      <c r="L48" s="1">
        <v>48</v>
      </c>
      <c r="M48" s="1" t="s">
        <v>676</v>
      </c>
      <c r="N48" s="1" t="s">
        <v>2970</v>
      </c>
      <c r="O48" s="1" t="s">
        <v>2971</v>
      </c>
      <c r="P48" s="1">
        <v>6.4</v>
      </c>
      <c r="Q48" s="1" t="s">
        <v>1003</v>
      </c>
      <c r="R48" s="1">
        <v>24.132000000000001</v>
      </c>
      <c r="S48" s="1">
        <v>121.65900000000001</v>
      </c>
      <c r="T48" s="1">
        <v>10.6</v>
      </c>
      <c r="U48" s="1" t="s">
        <v>2981</v>
      </c>
      <c r="V48" s="1" t="s">
        <v>2922</v>
      </c>
      <c r="W48" s="1">
        <v>216</v>
      </c>
      <c r="X48" s="1">
        <v>56</v>
      </c>
      <c r="Y48" s="1">
        <v>26</v>
      </c>
      <c r="Z48" s="1"/>
      <c r="AA48" s="1"/>
      <c r="AB48" s="1"/>
      <c r="AC48" s="1" t="s">
        <v>2973</v>
      </c>
      <c r="AD48" s="1" t="s">
        <v>731</v>
      </c>
      <c r="AE48" s="1"/>
      <c r="AF48" s="1"/>
      <c r="AG48" s="1"/>
      <c r="AH48" s="1"/>
      <c r="AI48" s="1"/>
      <c r="AJ48" s="1" t="s">
        <v>1357</v>
      </c>
      <c r="AK48" t="s">
        <v>2983</v>
      </c>
    </row>
    <row r="49" spans="1:37" ht="22" customHeight="1">
      <c r="A49" s="1" t="s">
        <v>1924</v>
      </c>
      <c r="B49" s="1">
        <v>2018</v>
      </c>
      <c r="C49" s="1" t="s">
        <v>1099</v>
      </c>
      <c r="D49" s="1">
        <v>6.4</v>
      </c>
      <c r="E49" s="1">
        <v>3</v>
      </c>
      <c r="F49" s="1">
        <v>19.600000000000001</v>
      </c>
      <c r="G49" s="1">
        <v>3.83</v>
      </c>
      <c r="H49" s="1">
        <v>87.95</v>
      </c>
      <c r="I49" s="1">
        <v>4.1100000000000003</v>
      </c>
      <c r="J49" s="1">
        <v>31.89</v>
      </c>
      <c r="K49" s="1" t="s">
        <v>1245</v>
      </c>
      <c r="L49" s="1">
        <v>49</v>
      </c>
      <c r="M49" s="1" t="s">
        <v>676</v>
      </c>
      <c r="N49" s="1" t="s">
        <v>2970</v>
      </c>
      <c r="O49" s="1" t="s">
        <v>2971</v>
      </c>
      <c r="P49" s="1">
        <v>6.4</v>
      </c>
      <c r="Q49" s="1" t="s">
        <v>1003</v>
      </c>
      <c r="R49" s="1">
        <v>24.132000000000001</v>
      </c>
      <c r="S49" s="1">
        <v>121.65900000000001</v>
      </c>
      <c r="T49" s="1">
        <v>10.6</v>
      </c>
      <c r="U49" s="1" t="s">
        <v>2981</v>
      </c>
      <c r="V49" s="1" t="s">
        <v>2922</v>
      </c>
      <c r="W49" s="1">
        <v>216</v>
      </c>
      <c r="X49" s="1">
        <v>56</v>
      </c>
      <c r="Y49" s="1">
        <v>26</v>
      </c>
      <c r="Z49" s="1"/>
      <c r="AA49" s="1"/>
      <c r="AB49" s="1"/>
      <c r="AC49" s="1" t="s">
        <v>2973</v>
      </c>
      <c r="AD49" s="1" t="s">
        <v>731</v>
      </c>
      <c r="AE49" s="1"/>
      <c r="AF49" s="1"/>
      <c r="AG49" s="1"/>
      <c r="AH49" s="1"/>
      <c r="AI49" s="1"/>
      <c r="AJ49" s="1" t="s">
        <v>1357</v>
      </c>
      <c r="AK49" t="s">
        <v>2983</v>
      </c>
    </row>
    <row r="50" spans="1:37" ht="22" customHeight="1">
      <c r="A50" s="1" t="s">
        <v>1924</v>
      </c>
      <c r="B50" s="1">
        <v>2018</v>
      </c>
      <c r="C50" s="1" t="s">
        <v>1230</v>
      </c>
      <c r="D50" s="1">
        <v>6.4</v>
      </c>
      <c r="E50" s="1">
        <v>2.7</v>
      </c>
      <c r="F50" s="1">
        <v>19</v>
      </c>
      <c r="G50" s="1">
        <v>4.54</v>
      </c>
      <c r="H50" s="1">
        <v>68.81</v>
      </c>
      <c r="I50" s="1">
        <v>81.19</v>
      </c>
      <c r="J50" s="1">
        <v>45.19</v>
      </c>
      <c r="K50" s="1" t="s">
        <v>1245</v>
      </c>
      <c r="L50" s="1">
        <v>50</v>
      </c>
      <c r="M50" s="1" t="s">
        <v>676</v>
      </c>
      <c r="N50" s="1" t="s">
        <v>2970</v>
      </c>
      <c r="O50" s="1" t="s">
        <v>2971</v>
      </c>
      <c r="P50" s="1">
        <v>6.4</v>
      </c>
      <c r="Q50" s="1" t="s">
        <v>1003</v>
      </c>
      <c r="R50" s="1">
        <v>24.132000000000001</v>
      </c>
      <c r="S50" s="1">
        <v>121.65900000000001</v>
      </c>
      <c r="T50" s="1">
        <v>10.6</v>
      </c>
      <c r="U50" s="1" t="s">
        <v>2981</v>
      </c>
      <c r="V50" s="1" t="s">
        <v>2922</v>
      </c>
      <c r="W50" s="1">
        <v>216</v>
      </c>
      <c r="X50" s="1">
        <v>56</v>
      </c>
      <c r="Y50" s="1">
        <v>26</v>
      </c>
      <c r="Z50" s="1"/>
      <c r="AA50" s="1"/>
      <c r="AB50" s="1"/>
      <c r="AC50" s="1" t="s">
        <v>2973</v>
      </c>
      <c r="AD50" s="1" t="s">
        <v>731</v>
      </c>
      <c r="AE50" s="1"/>
      <c r="AF50" s="1"/>
      <c r="AG50" s="1"/>
      <c r="AH50" s="1"/>
      <c r="AI50" s="1"/>
      <c r="AJ50" s="1" t="s">
        <v>1357</v>
      </c>
      <c r="AK50" t="s">
        <v>2983</v>
      </c>
    </row>
    <row r="51" spans="1:37" ht="22" customHeight="1">
      <c r="A51" s="1" t="s">
        <v>1924</v>
      </c>
      <c r="B51" s="1">
        <v>2018</v>
      </c>
      <c r="C51" s="1" t="s">
        <v>1231</v>
      </c>
      <c r="D51" s="1">
        <v>6.4</v>
      </c>
      <c r="E51" s="1">
        <v>2.2999999999999998</v>
      </c>
      <c r="F51" s="1">
        <v>21.2</v>
      </c>
      <c r="G51" s="1">
        <v>2.72</v>
      </c>
      <c r="H51" s="1">
        <v>110.63</v>
      </c>
      <c r="I51" s="1">
        <v>65.87</v>
      </c>
      <c r="J51" s="1">
        <v>29.87</v>
      </c>
      <c r="K51" s="1" t="s">
        <v>1245</v>
      </c>
      <c r="L51" s="1">
        <v>51</v>
      </c>
      <c r="M51" s="1" t="s">
        <v>676</v>
      </c>
      <c r="N51" s="1" t="s">
        <v>2970</v>
      </c>
      <c r="O51" s="1" t="s">
        <v>2971</v>
      </c>
      <c r="P51" s="1">
        <v>6.4</v>
      </c>
      <c r="Q51" s="1" t="s">
        <v>1003</v>
      </c>
      <c r="R51" s="1">
        <v>24.132000000000001</v>
      </c>
      <c r="S51" s="1">
        <v>121.65900000000001</v>
      </c>
      <c r="T51" s="1">
        <v>10.6</v>
      </c>
      <c r="U51" s="1" t="s">
        <v>2981</v>
      </c>
      <c r="V51" s="1" t="s">
        <v>2922</v>
      </c>
      <c r="W51" s="1">
        <v>216</v>
      </c>
      <c r="X51" s="1">
        <v>56</v>
      </c>
      <c r="Y51" s="1">
        <v>26</v>
      </c>
      <c r="Z51" s="1"/>
      <c r="AA51" s="1"/>
      <c r="AB51" s="1"/>
      <c r="AC51" s="1" t="s">
        <v>2973</v>
      </c>
      <c r="AD51" s="1" t="s">
        <v>731</v>
      </c>
      <c r="AE51" s="1"/>
      <c r="AF51" s="1"/>
      <c r="AG51" s="1"/>
      <c r="AH51" s="1"/>
      <c r="AI51" s="1"/>
      <c r="AJ51" s="1" t="s">
        <v>1357</v>
      </c>
      <c r="AK51" t="s">
        <v>2983</v>
      </c>
    </row>
    <row r="52" spans="1:37" ht="22" customHeight="1">
      <c r="A52" s="1" t="s">
        <v>1924</v>
      </c>
      <c r="B52" s="1">
        <v>2018</v>
      </c>
      <c r="C52" s="1" t="s">
        <v>1232</v>
      </c>
      <c r="D52" s="1">
        <v>6.4</v>
      </c>
      <c r="E52" s="1">
        <v>2.2000000000000002</v>
      </c>
      <c r="F52" s="1">
        <v>21.4</v>
      </c>
      <c r="G52" s="1">
        <v>3.64</v>
      </c>
      <c r="H52" s="1">
        <v>142.75</v>
      </c>
      <c r="I52" s="1">
        <v>275.54000000000002</v>
      </c>
      <c r="J52" s="1">
        <v>59.54000000000002</v>
      </c>
      <c r="K52" s="1" t="s">
        <v>1245</v>
      </c>
      <c r="L52" s="1">
        <v>52</v>
      </c>
      <c r="M52" s="1" t="s">
        <v>676</v>
      </c>
      <c r="N52" s="1" t="s">
        <v>2970</v>
      </c>
      <c r="O52" s="1" t="s">
        <v>2971</v>
      </c>
      <c r="P52" s="1">
        <v>6.4</v>
      </c>
      <c r="Q52" s="1" t="s">
        <v>1003</v>
      </c>
      <c r="R52" s="1">
        <v>24.132000000000001</v>
      </c>
      <c r="S52" s="1">
        <v>121.65900000000001</v>
      </c>
      <c r="T52" s="1">
        <v>10.6</v>
      </c>
      <c r="U52" s="1" t="s">
        <v>2981</v>
      </c>
      <c r="V52" s="1" t="s">
        <v>2922</v>
      </c>
      <c r="W52" s="1">
        <v>216</v>
      </c>
      <c r="X52" s="1">
        <v>56</v>
      </c>
      <c r="Y52" s="1">
        <v>26</v>
      </c>
      <c r="Z52" s="1"/>
      <c r="AA52" s="1"/>
      <c r="AB52" s="1"/>
      <c r="AC52" s="1" t="s">
        <v>2973</v>
      </c>
      <c r="AD52" s="1" t="s">
        <v>731</v>
      </c>
      <c r="AE52" s="1"/>
      <c r="AF52" s="1"/>
      <c r="AG52" s="1"/>
      <c r="AH52" s="1"/>
      <c r="AI52" s="1"/>
      <c r="AJ52" s="1" t="s">
        <v>1357</v>
      </c>
      <c r="AK52" t="s">
        <v>2983</v>
      </c>
    </row>
    <row r="53" spans="1:37" ht="22" customHeight="1">
      <c r="A53" s="1" t="s">
        <v>1924</v>
      </c>
      <c r="B53" s="1">
        <v>2018</v>
      </c>
      <c r="C53" s="1" t="s">
        <v>1234</v>
      </c>
      <c r="D53" s="1">
        <v>6.4</v>
      </c>
      <c r="E53" s="1">
        <v>1.9</v>
      </c>
      <c r="F53" s="1">
        <v>20.9</v>
      </c>
      <c r="G53" s="1">
        <v>3.32</v>
      </c>
      <c r="H53" s="1">
        <v>144.08000000000001</v>
      </c>
      <c r="I53" s="1">
        <v>286.64</v>
      </c>
      <c r="J53" s="1">
        <v>70.639999999999986</v>
      </c>
      <c r="K53" s="1" t="s">
        <v>1245</v>
      </c>
      <c r="L53" s="1">
        <v>53</v>
      </c>
      <c r="M53" s="1" t="s">
        <v>676</v>
      </c>
      <c r="N53" s="1" t="s">
        <v>2970</v>
      </c>
      <c r="O53" s="1" t="s">
        <v>2971</v>
      </c>
      <c r="P53" s="1">
        <v>6.4</v>
      </c>
      <c r="Q53" s="1" t="s">
        <v>1003</v>
      </c>
      <c r="R53" s="1">
        <v>24.132000000000001</v>
      </c>
      <c r="S53" s="1">
        <v>121.65900000000001</v>
      </c>
      <c r="T53" s="1">
        <v>10.6</v>
      </c>
      <c r="U53" s="1" t="s">
        <v>2981</v>
      </c>
      <c r="V53" s="1" t="s">
        <v>2922</v>
      </c>
      <c r="W53" s="1">
        <v>216</v>
      </c>
      <c r="X53" s="1">
        <v>56</v>
      </c>
      <c r="Y53" s="1">
        <v>26</v>
      </c>
      <c r="Z53" s="1"/>
      <c r="AA53" s="1"/>
      <c r="AB53" s="1"/>
      <c r="AC53" s="1" t="s">
        <v>2973</v>
      </c>
      <c r="AD53" s="1" t="s">
        <v>731</v>
      </c>
      <c r="AE53" s="1"/>
      <c r="AF53" s="1"/>
      <c r="AG53" s="1"/>
      <c r="AH53" s="1"/>
      <c r="AI53" s="1"/>
      <c r="AJ53" s="1" t="s">
        <v>1357</v>
      </c>
      <c r="AK53" t="s">
        <v>2983</v>
      </c>
    </row>
    <row r="54" spans="1:37" ht="22" customHeight="1">
      <c r="A54" s="1" t="s">
        <v>1924</v>
      </c>
      <c r="B54" s="1">
        <v>2018</v>
      </c>
      <c r="C54" s="1" t="s">
        <v>1141</v>
      </c>
      <c r="D54" s="1">
        <v>6.4</v>
      </c>
      <c r="E54" s="1">
        <v>2.6</v>
      </c>
      <c r="F54" s="1">
        <v>28</v>
      </c>
      <c r="G54" s="1">
        <v>3.95</v>
      </c>
      <c r="H54" s="1">
        <v>56.39</v>
      </c>
      <c r="I54" s="1">
        <v>22.61</v>
      </c>
      <c r="J54" s="1">
        <v>13.39</v>
      </c>
      <c r="K54" s="1" t="s">
        <v>1245</v>
      </c>
      <c r="L54" s="1">
        <v>54</v>
      </c>
      <c r="M54" s="1" t="s">
        <v>676</v>
      </c>
      <c r="N54" s="1" t="s">
        <v>2970</v>
      </c>
      <c r="O54" s="1" t="s">
        <v>2971</v>
      </c>
      <c r="P54" s="1">
        <v>6.4</v>
      </c>
      <c r="Q54" s="1" t="s">
        <v>1003</v>
      </c>
      <c r="R54" s="1">
        <v>24.132000000000001</v>
      </c>
      <c r="S54" s="1">
        <v>121.65900000000001</v>
      </c>
      <c r="T54" s="1">
        <v>10.6</v>
      </c>
      <c r="U54" s="1" t="s">
        <v>2981</v>
      </c>
      <c r="V54" s="1" t="s">
        <v>2922</v>
      </c>
      <c r="W54" s="1">
        <v>216</v>
      </c>
      <c r="X54" s="1">
        <v>56</v>
      </c>
      <c r="Y54" s="1">
        <v>26</v>
      </c>
      <c r="Z54" s="1"/>
      <c r="AA54" s="1"/>
      <c r="AB54" s="1"/>
      <c r="AC54" s="1" t="s">
        <v>2973</v>
      </c>
      <c r="AD54" s="1" t="s">
        <v>731</v>
      </c>
      <c r="AE54" s="1"/>
      <c r="AF54" s="1"/>
      <c r="AG54" s="1"/>
      <c r="AH54" s="1"/>
      <c r="AI54" s="1"/>
      <c r="AJ54" s="1" t="s">
        <v>1357</v>
      </c>
      <c r="AK54" t="s">
        <v>2983</v>
      </c>
    </row>
    <row r="55" spans="1:37" ht="22" customHeight="1">
      <c r="A55" s="1" t="s">
        <v>1924</v>
      </c>
      <c r="B55" s="1">
        <v>2018</v>
      </c>
      <c r="C55" s="1" t="s">
        <v>1143</v>
      </c>
      <c r="D55" s="1">
        <v>6.4</v>
      </c>
      <c r="E55" s="1">
        <v>2.9</v>
      </c>
      <c r="F55" s="1">
        <v>20.3</v>
      </c>
      <c r="G55" s="1">
        <v>2.29</v>
      </c>
      <c r="H55" s="1">
        <v>85.76</v>
      </c>
      <c r="I55" s="1">
        <v>35.119999999999997</v>
      </c>
      <c r="J55" s="1">
        <v>0.88000000000000256</v>
      </c>
      <c r="K55" s="1" t="s">
        <v>1245</v>
      </c>
      <c r="L55" s="1">
        <v>55</v>
      </c>
      <c r="M55" s="1" t="s">
        <v>676</v>
      </c>
      <c r="N55" s="1" t="s">
        <v>2970</v>
      </c>
      <c r="O55" s="1" t="s">
        <v>2971</v>
      </c>
      <c r="P55" s="1">
        <v>6.4</v>
      </c>
      <c r="Q55" s="1" t="s">
        <v>1003</v>
      </c>
      <c r="R55" s="1">
        <v>24.132000000000001</v>
      </c>
      <c r="S55" s="1">
        <v>121.65900000000001</v>
      </c>
      <c r="T55" s="1">
        <v>10.6</v>
      </c>
      <c r="U55" s="1" t="s">
        <v>2981</v>
      </c>
      <c r="V55" s="1" t="s">
        <v>2922</v>
      </c>
      <c r="W55" s="1">
        <v>216</v>
      </c>
      <c r="X55" s="1">
        <v>56</v>
      </c>
      <c r="Y55" s="1">
        <v>26</v>
      </c>
      <c r="Z55" s="1"/>
      <c r="AA55" s="1"/>
      <c r="AB55" s="1"/>
      <c r="AC55" s="1" t="s">
        <v>2973</v>
      </c>
      <c r="AD55" s="1" t="s">
        <v>731</v>
      </c>
      <c r="AE55" s="1"/>
      <c r="AF55" s="1"/>
      <c r="AG55" s="1"/>
      <c r="AH55" s="1"/>
      <c r="AI55" s="1"/>
      <c r="AJ55" s="1" t="s">
        <v>1357</v>
      </c>
      <c r="AK55" t="s">
        <v>2983</v>
      </c>
    </row>
    <row r="56" spans="1:37" ht="22" customHeight="1">
      <c r="A56" s="1" t="s">
        <v>1924</v>
      </c>
      <c r="B56" s="1">
        <v>2018</v>
      </c>
      <c r="C56" s="1" t="s">
        <v>1236</v>
      </c>
      <c r="D56" s="1">
        <v>6.4</v>
      </c>
      <c r="E56" s="1">
        <v>1.9</v>
      </c>
      <c r="F56" s="1">
        <v>20.6</v>
      </c>
      <c r="G56" s="1">
        <v>3.58</v>
      </c>
      <c r="H56" s="1">
        <v>93.29</v>
      </c>
      <c r="I56" s="1">
        <v>73.91</v>
      </c>
      <c r="J56" s="1">
        <v>37.909999999999997</v>
      </c>
      <c r="K56" s="1" t="s">
        <v>1245</v>
      </c>
      <c r="L56" s="1">
        <v>56</v>
      </c>
      <c r="M56" s="1" t="s">
        <v>676</v>
      </c>
      <c r="N56" s="1" t="s">
        <v>2970</v>
      </c>
      <c r="O56" s="1" t="s">
        <v>2971</v>
      </c>
      <c r="P56" s="1">
        <v>6.4</v>
      </c>
      <c r="Q56" s="1" t="s">
        <v>1003</v>
      </c>
      <c r="R56" s="1">
        <v>24.132000000000001</v>
      </c>
      <c r="S56" s="1">
        <v>121.65900000000001</v>
      </c>
      <c r="T56" s="1">
        <v>10.6</v>
      </c>
      <c r="U56" s="1" t="s">
        <v>2981</v>
      </c>
      <c r="V56" s="1" t="s">
        <v>2922</v>
      </c>
      <c r="W56" s="1">
        <v>216</v>
      </c>
      <c r="X56" s="1">
        <v>56</v>
      </c>
      <c r="Y56" s="1">
        <v>26</v>
      </c>
      <c r="Z56" s="1"/>
      <c r="AA56" s="1"/>
      <c r="AB56" s="1"/>
      <c r="AC56" s="1" t="s">
        <v>2973</v>
      </c>
      <c r="AD56" s="1" t="s">
        <v>731</v>
      </c>
      <c r="AE56" s="1"/>
      <c r="AF56" s="1"/>
      <c r="AG56" s="1"/>
      <c r="AH56" s="1"/>
      <c r="AI56" s="1"/>
      <c r="AJ56" s="1" t="s">
        <v>1357</v>
      </c>
      <c r="AK56" t="s">
        <v>2983</v>
      </c>
    </row>
    <row r="57" spans="1:37" ht="22" customHeight="1">
      <c r="A57" s="1" t="s">
        <v>1924</v>
      </c>
      <c r="B57" s="1">
        <v>2018</v>
      </c>
      <c r="C57" s="1" t="s">
        <v>1237</v>
      </c>
      <c r="D57" s="1">
        <v>6.4</v>
      </c>
      <c r="E57" s="1">
        <v>3</v>
      </c>
      <c r="F57" s="1">
        <v>18.899999999999999</v>
      </c>
      <c r="G57" s="1">
        <v>2.33</v>
      </c>
      <c r="H57" s="1">
        <v>85.55</v>
      </c>
      <c r="I57" s="1">
        <v>8.35</v>
      </c>
      <c r="J57" s="1">
        <v>27.65</v>
      </c>
      <c r="K57" s="1" t="s">
        <v>1245</v>
      </c>
      <c r="L57" s="1">
        <v>57</v>
      </c>
      <c r="M57" s="1" t="s">
        <v>676</v>
      </c>
      <c r="N57" s="1" t="s">
        <v>2970</v>
      </c>
      <c r="O57" s="1" t="s">
        <v>2971</v>
      </c>
      <c r="P57" s="1">
        <v>6.4</v>
      </c>
      <c r="Q57" s="1" t="s">
        <v>1003</v>
      </c>
      <c r="R57" s="1">
        <v>24.132000000000001</v>
      </c>
      <c r="S57" s="1">
        <v>121.65900000000001</v>
      </c>
      <c r="T57" s="1">
        <v>10.6</v>
      </c>
      <c r="U57" s="1" t="s">
        <v>2981</v>
      </c>
      <c r="V57" s="1" t="s">
        <v>2922</v>
      </c>
      <c r="W57" s="1">
        <v>216</v>
      </c>
      <c r="X57" s="1">
        <v>56</v>
      </c>
      <c r="Y57" s="1">
        <v>26</v>
      </c>
      <c r="Z57" s="1"/>
      <c r="AA57" s="1"/>
      <c r="AB57" s="1"/>
      <c r="AC57" s="1" t="s">
        <v>2973</v>
      </c>
      <c r="AD57" s="1" t="s">
        <v>731</v>
      </c>
      <c r="AE57" s="1"/>
      <c r="AF57" s="1"/>
      <c r="AG57" s="1"/>
      <c r="AH57" s="1"/>
      <c r="AI57" s="1"/>
      <c r="AJ57" s="1" t="s">
        <v>1357</v>
      </c>
      <c r="AK57" t="s">
        <v>2983</v>
      </c>
    </row>
    <row r="58" spans="1:37" ht="22" customHeight="1">
      <c r="A58" s="1" t="s">
        <v>1924</v>
      </c>
      <c r="B58" s="1">
        <v>2018</v>
      </c>
      <c r="C58" s="1" t="s">
        <v>1240</v>
      </c>
      <c r="D58" s="1">
        <v>6.4</v>
      </c>
      <c r="E58" s="1">
        <v>2.8</v>
      </c>
      <c r="F58" s="1">
        <v>16.93</v>
      </c>
      <c r="G58" s="1">
        <v>3.19</v>
      </c>
      <c r="H58" s="1">
        <v>72.47</v>
      </c>
      <c r="I58" s="1">
        <v>329.53</v>
      </c>
      <c r="J58" s="1">
        <v>66.470000000000027</v>
      </c>
      <c r="K58" s="1" t="s">
        <v>1245</v>
      </c>
      <c r="L58" s="1">
        <v>58</v>
      </c>
      <c r="M58" s="1" t="s">
        <v>676</v>
      </c>
      <c r="N58" s="1" t="s">
        <v>2970</v>
      </c>
      <c r="O58" s="1" t="s">
        <v>2971</v>
      </c>
      <c r="P58" s="1">
        <v>6.4</v>
      </c>
      <c r="Q58" s="1" t="s">
        <v>1003</v>
      </c>
      <c r="R58" s="1">
        <v>24.132000000000001</v>
      </c>
      <c r="S58" s="1">
        <v>121.65900000000001</v>
      </c>
      <c r="T58" s="1">
        <v>10.6</v>
      </c>
      <c r="U58" s="1" t="s">
        <v>2981</v>
      </c>
      <c r="V58" s="1" t="s">
        <v>2922</v>
      </c>
      <c r="W58" s="1">
        <v>216</v>
      </c>
      <c r="X58" s="1">
        <v>56</v>
      </c>
      <c r="Y58" s="1">
        <v>26</v>
      </c>
      <c r="Z58" s="1"/>
      <c r="AA58" s="1"/>
      <c r="AB58" s="1"/>
      <c r="AC58" s="1" t="s">
        <v>2973</v>
      </c>
      <c r="AD58" s="1" t="s">
        <v>731</v>
      </c>
      <c r="AE58" s="1"/>
      <c r="AF58" s="1"/>
      <c r="AG58" s="1"/>
      <c r="AH58" s="1"/>
      <c r="AI58" s="1"/>
      <c r="AJ58" s="1" t="s">
        <v>1357</v>
      </c>
      <c r="AK58" t="s">
        <v>2983</v>
      </c>
    </row>
    <row r="59" spans="1:37" ht="22" customHeight="1">
      <c r="A59" s="1" t="s">
        <v>4419</v>
      </c>
      <c r="B59" s="1">
        <v>2010</v>
      </c>
      <c r="C59" s="1" t="s">
        <v>977</v>
      </c>
      <c r="D59" s="1">
        <v>7.02</v>
      </c>
      <c r="E59" s="1">
        <v>8.5</v>
      </c>
      <c r="F59" s="1">
        <v>17.899999999999999</v>
      </c>
      <c r="G59" s="1">
        <v>7.77</v>
      </c>
      <c r="H59" s="1">
        <v>65.569999999999993</v>
      </c>
      <c r="I59" s="1">
        <v>44.05</v>
      </c>
      <c r="J59" s="1">
        <v>40.950000000000003</v>
      </c>
      <c r="K59" s="1" t="s">
        <v>1245</v>
      </c>
      <c r="L59" s="1">
        <v>59</v>
      </c>
      <c r="M59" s="1" t="s">
        <v>620</v>
      </c>
      <c r="N59" s="1" t="s">
        <v>2792</v>
      </c>
      <c r="O59" s="1" t="s">
        <v>2793</v>
      </c>
      <c r="P59" s="1">
        <v>7.02</v>
      </c>
      <c r="Q59" s="1" t="s">
        <v>1003</v>
      </c>
      <c r="R59" s="1">
        <v>-43.614800000000002</v>
      </c>
      <c r="S59" s="1">
        <v>172.0386</v>
      </c>
      <c r="T59" s="1">
        <v>10.84</v>
      </c>
      <c r="U59" s="1" t="s">
        <v>730</v>
      </c>
      <c r="V59" s="1" t="s">
        <v>2922</v>
      </c>
      <c r="W59" s="1">
        <v>85</v>
      </c>
      <c r="X59" s="1">
        <v>82</v>
      </c>
      <c r="Y59" s="1">
        <v>154</v>
      </c>
      <c r="Z59" s="1"/>
      <c r="AA59" s="1"/>
      <c r="AB59" s="1"/>
      <c r="AC59" s="1" t="s">
        <v>2973</v>
      </c>
      <c r="AD59" s="1" t="s">
        <v>731</v>
      </c>
      <c r="AE59" s="1"/>
      <c r="AF59" s="1"/>
      <c r="AG59" s="1"/>
      <c r="AH59" s="1"/>
      <c r="AI59" s="1"/>
      <c r="AJ59" s="1" t="s">
        <v>1357</v>
      </c>
      <c r="AK59" t="s">
        <v>2985</v>
      </c>
    </row>
    <row r="60" spans="1:37" ht="22" customHeight="1">
      <c r="A60" s="1" t="s">
        <v>4419</v>
      </c>
      <c r="B60" s="1">
        <v>2010</v>
      </c>
      <c r="C60" s="1" t="s">
        <v>978</v>
      </c>
      <c r="D60" s="1">
        <v>7.02</v>
      </c>
      <c r="E60" s="1">
        <v>2.5</v>
      </c>
      <c r="F60" s="1">
        <v>12</v>
      </c>
      <c r="G60" s="1">
        <v>2.25</v>
      </c>
      <c r="H60" s="1">
        <v>141.03</v>
      </c>
      <c r="I60" s="1">
        <v>74.12</v>
      </c>
      <c r="J60" s="1">
        <v>10.88</v>
      </c>
      <c r="K60" s="1" t="s">
        <v>1245</v>
      </c>
      <c r="L60" s="1">
        <v>60</v>
      </c>
      <c r="M60" s="1" t="s">
        <v>620</v>
      </c>
      <c r="N60" s="1" t="s">
        <v>2792</v>
      </c>
      <c r="O60" s="1" t="s">
        <v>2793</v>
      </c>
      <c r="P60" s="1">
        <v>7.02</v>
      </c>
      <c r="Q60" s="1" t="s">
        <v>1003</v>
      </c>
      <c r="R60" s="1">
        <v>-43.614800000000002</v>
      </c>
      <c r="S60" s="1">
        <v>172.0386</v>
      </c>
      <c r="T60" s="1">
        <v>10.84</v>
      </c>
      <c r="U60" s="1" t="s">
        <v>730</v>
      </c>
      <c r="V60" s="1" t="s">
        <v>2922</v>
      </c>
      <c r="W60" s="1">
        <v>85</v>
      </c>
      <c r="X60" s="1">
        <v>82</v>
      </c>
      <c r="Y60" s="1">
        <v>154</v>
      </c>
      <c r="Z60" s="1"/>
      <c r="AA60" s="1"/>
      <c r="AB60" s="1"/>
      <c r="AC60" s="1" t="s">
        <v>2973</v>
      </c>
      <c r="AD60" s="1" t="s">
        <v>731</v>
      </c>
      <c r="AE60" s="1"/>
      <c r="AF60" s="1"/>
      <c r="AG60" s="1"/>
      <c r="AH60" s="1"/>
      <c r="AI60" s="1"/>
      <c r="AJ60" s="1" t="s">
        <v>1357</v>
      </c>
      <c r="AK60" t="s">
        <v>2985</v>
      </c>
    </row>
    <row r="61" spans="1:37" ht="22" customHeight="1">
      <c r="A61" s="1" t="s">
        <v>4419</v>
      </c>
      <c r="B61" s="1">
        <v>2010</v>
      </c>
      <c r="C61" s="1" t="s">
        <v>979</v>
      </c>
      <c r="D61" s="1">
        <v>7.02</v>
      </c>
      <c r="E61" s="1">
        <v>7.8</v>
      </c>
      <c r="F61" s="1">
        <v>15</v>
      </c>
      <c r="G61" s="1">
        <v>2.69</v>
      </c>
      <c r="H61" s="1">
        <v>99.49</v>
      </c>
      <c r="I61" s="1">
        <v>19.34</v>
      </c>
      <c r="J61" s="1">
        <v>65.66</v>
      </c>
      <c r="K61" s="1" t="s">
        <v>1245</v>
      </c>
      <c r="L61" s="1">
        <v>61</v>
      </c>
      <c r="M61" s="1" t="s">
        <v>620</v>
      </c>
      <c r="N61" s="1" t="s">
        <v>2792</v>
      </c>
      <c r="O61" s="1" t="s">
        <v>2793</v>
      </c>
      <c r="P61" s="1">
        <v>7.02</v>
      </c>
      <c r="Q61" s="1" t="s">
        <v>1003</v>
      </c>
      <c r="R61" s="1">
        <v>-43.614800000000002</v>
      </c>
      <c r="S61" s="1">
        <v>172.0386</v>
      </c>
      <c r="T61" s="1">
        <v>10.84</v>
      </c>
      <c r="U61" s="1" t="s">
        <v>730</v>
      </c>
      <c r="V61" s="1" t="s">
        <v>2922</v>
      </c>
      <c r="W61" s="1">
        <v>85</v>
      </c>
      <c r="X61" s="1">
        <v>82</v>
      </c>
      <c r="Y61" s="1">
        <v>154</v>
      </c>
      <c r="Z61" s="1"/>
      <c r="AA61" s="1"/>
      <c r="AB61" s="1"/>
      <c r="AC61" s="1" t="s">
        <v>2973</v>
      </c>
      <c r="AD61" s="1" t="s">
        <v>731</v>
      </c>
      <c r="AE61" s="1"/>
      <c r="AF61" s="1"/>
      <c r="AG61" s="1"/>
      <c r="AH61" s="1"/>
      <c r="AI61" s="1"/>
      <c r="AJ61" s="1" t="s">
        <v>1357</v>
      </c>
      <c r="AK61" t="s">
        <v>2985</v>
      </c>
    </row>
    <row r="62" spans="1:37" ht="22" customHeight="1">
      <c r="A62" s="1" t="s">
        <v>4419</v>
      </c>
      <c r="B62" s="1">
        <v>2010</v>
      </c>
      <c r="C62" s="1" t="s">
        <v>980</v>
      </c>
      <c r="D62" s="1">
        <v>7.02</v>
      </c>
      <c r="E62" s="1">
        <v>5.7</v>
      </c>
      <c r="F62" s="1">
        <v>36.299999999999997</v>
      </c>
      <c r="G62" s="1">
        <v>7.15</v>
      </c>
      <c r="H62" s="1">
        <v>114.49</v>
      </c>
      <c r="I62" s="1">
        <v>5.9</v>
      </c>
      <c r="J62" s="1">
        <v>79.099999999999994</v>
      </c>
      <c r="K62" s="1" t="s">
        <v>1245</v>
      </c>
      <c r="L62" s="1">
        <v>62</v>
      </c>
      <c r="M62" s="1" t="s">
        <v>620</v>
      </c>
      <c r="N62" s="1" t="s">
        <v>2792</v>
      </c>
      <c r="O62" s="1" t="s">
        <v>2793</v>
      </c>
      <c r="P62" s="1">
        <v>7.02</v>
      </c>
      <c r="Q62" s="1" t="s">
        <v>1003</v>
      </c>
      <c r="R62" s="1">
        <v>-43.614800000000002</v>
      </c>
      <c r="S62" s="1">
        <v>172.0386</v>
      </c>
      <c r="T62" s="1">
        <v>10.84</v>
      </c>
      <c r="U62" s="1" t="s">
        <v>730</v>
      </c>
      <c r="V62" s="1" t="s">
        <v>2922</v>
      </c>
      <c r="W62" s="1">
        <v>85</v>
      </c>
      <c r="X62" s="1">
        <v>82</v>
      </c>
      <c r="Y62" s="1">
        <v>154</v>
      </c>
      <c r="Z62" s="1"/>
      <c r="AA62" s="1"/>
      <c r="AB62" s="1"/>
      <c r="AC62" s="1" t="s">
        <v>2973</v>
      </c>
      <c r="AD62" s="1" t="s">
        <v>731</v>
      </c>
      <c r="AE62" s="1"/>
      <c r="AF62" s="1"/>
      <c r="AG62" s="1"/>
      <c r="AH62" s="1"/>
      <c r="AI62" s="1"/>
      <c r="AJ62" s="1" t="s">
        <v>1357</v>
      </c>
      <c r="AK62" t="s">
        <v>2985</v>
      </c>
    </row>
    <row r="63" spans="1:37" ht="22" customHeight="1">
      <c r="A63" s="1" t="s">
        <v>4419</v>
      </c>
      <c r="B63" s="1">
        <v>2010</v>
      </c>
      <c r="C63" s="1" t="s">
        <v>982</v>
      </c>
      <c r="D63" s="1">
        <v>7.02</v>
      </c>
      <c r="E63" s="1">
        <v>15.1</v>
      </c>
      <c r="F63" s="1">
        <v>57.5</v>
      </c>
      <c r="G63" s="1">
        <v>10.67</v>
      </c>
      <c r="H63" s="1">
        <v>54.61</v>
      </c>
      <c r="I63" s="1">
        <v>333.28</v>
      </c>
      <c r="J63" s="1">
        <v>68.279999999999973</v>
      </c>
      <c r="K63" s="1" t="s">
        <v>1245</v>
      </c>
      <c r="L63" s="1">
        <v>63</v>
      </c>
      <c r="M63" s="1" t="s">
        <v>620</v>
      </c>
      <c r="N63" s="1" t="s">
        <v>2792</v>
      </c>
      <c r="O63" s="1" t="s">
        <v>2793</v>
      </c>
      <c r="P63" s="1">
        <v>7.02</v>
      </c>
      <c r="Q63" s="1" t="s">
        <v>1003</v>
      </c>
      <c r="R63" s="1">
        <v>-43.614800000000002</v>
      </c>
      <c r="S63" s="1">
        <v>172.0386</v>
      </c>
      <c r="T63" s="1">
        <v>10.84</v>
      </c>
      <c r="U63" s="1" t="s">
        <v>730</v>
      </c>
      <c r="V63" s="1" t="s">
        <v>2922</v>
      </c>
      <c r="W63" s="1">
        <v>85</v>
      </c>
      <c r="X63" s="1">
        <v>82</v>
      </c>
      <c r="Y63" s="1">
        <v>154</v>
      </c>
      <c r="Z63" s="1"/>
      <c r="AA63" s="1"/>
      <c r="AB63" s="1"/>
      <c r="AC63" s="1" t="s">
        <v>2973</v>
      </c>
      <c r="AD63" s="1" t="s">
        <v>731</v>
      </c>
      <c r="AE63" s="1"/>
      <c r="AF63" s="1"/>
      <c r="AG63" s="1"/>
      <c r="AH63" s="1"/>
      <c r="AI63" s="1"/>
      <c r="AJ63" s="1" t="s">
        <v>1357</v>
      </c>
      <c r="AK63" t="s">
        <v>2985</v>
      </c>
    </row>
    <row r="64" spans="1:37" ht="22" customHeight="1">
      <c r="A64" s="1" t="s">
        <v>4419</v>
      </c>
      <c r="B64" s="1">
        <v>2010</v>
      </c>
      <c r="C64" s="1" t="s">
        <v>983</v>
      </c>
      <c r="D64" s="1">
        <v>7.02</v>
      </c>
      <c r="E64" s="1">
        <v>8</v>
      </c>
      <c r="F64" s="1">
        <v>50.4</v>
      </c>
      <c r="G64" s="1">
        <v>12.02</v>
      </c>
      <c r="H64" s="1">
        <v>256.2</v>
      </c>
      <c r="I64" s="1">
        <v>346.84</v>
      </c>
      <c r="J64" s="1">
        <v>81.839999999999975</v>
      </c>
      <c r="K64" s="1" t="s">
        <v>1245</v>
      </c>
      <c r="L64" s="1">
        <v>64</v>
      </c>
      <c r="M64" s="1" t="s">
        <v>620</v>
      </c>
      <c r="N64" s="1" t="s">
        <v>2792</v>
      </c>
      <c r="O64" s="1" t="s">
        <v>2793</v>
      </c>
      <c r="P64" s="1">
        <v>7.02</v>
      </c>
      <c r="Q64" s="1" t="s">
        <v>1003</v>
      </c>
      <c r="R64" s="1">
        <v>-43.614800000000002</v>
      </c>
      <c r="S64" s="1">
        <v>172.0386</v>
      </c>
      <c r="T64" s="1">
        <v>10.84</v>
      </c>
      <c r="U64" s="1" t="s">
        <v>730</v>
      </c>
      <c r="V64" s="1" t="s">
        <v>2922</v>
      </c>
      <c r="W64" s="1">
        <v>85</v>
      </c>
      <c r="X64" s="1">
        <v>82</v>
      </c>
      <c r="Y64" s="1">
        <v>154</v>
      </c>
      <c r="Z64" s="1"/>
      <c r="AA64" s="1"/>
      <c r="AB64" s="1"/>
      <c r="AC64" s="1" t="s">
        <v>2973</v>
      </c>
      <c r="AD64" s="1" t="s">
        <v>731</v>
      </c>
      <c r="AE64" s="1"/>
      <c r="AF64" s="1"/>
      <c r="AG64" s="1"/>
      <c r="AH64" s="1"/>
      <c r="AI64" s="1"/>
      <c r="AJ64" s="1" t="s">
        <v>1357</v>
      </c>
      <c r="AK64" t="s">
        <v>2985</v>
      </c>
    </row>
    <row r="65" spans="1:37" ht="22" customHeight="1">
      <c r="A65" s="1" t="s">
        <v>4419</v>
      </c>
      <c r="B65" s="1">
        <v>2010</v>
      </c>
      <c r="C65" s="1" t="s">
        <v>984</v>
      </c>
      <c r="D65" s="1">
        <v>7.02</v>
      </c>
      <c r="E65" s="1">
        <v>4.2</v>
      </c>
      <c r="F65" s="1">
        <v>44.6</v>
      </c>
      <c r="G65" s="1">
        <v>9.35</v>
      </c>
      <c r="H65" s="1">
        <v>63.96</v>
      </c>
      <c r="I65" s="1">
        <v>354.18</v>
      </c>
      <c r="J65" s="1">
        <v>89.18</v>
      </c>
      <c r="K65" s="1" t="s">
        <v>1245</v>
      </c>
      <c r="L65" s="1">
        <v>65</v>
      </c>
      <c r="M65" s="1" t="s">
        <v>620</v>
      </c>
      <c r="N65" s="1" t="s">
        <v>2792</v>
      </c>
      <c r="O65" s="1" t="s">
        <v>2793</v>
      </c>
      <c r="P65" s="1">
        <v>7.02</v>
      </c>
      <c r="Q65" s="1" t="s">
        <v>1003</v>
      </c>
      <c r="R65" s="1">
        <v>-43.614800000000002</v>
      </c>
      <c r="S65" s="1">
        <v>172.0386</v>
      </c>
      <c r="T65" s="1">
        <v>10.84</v>
      </c>
      <c r="U65" s="1" t="s">
        <v>730</v>
      </c>
      <c r="V65" s="1" t="s">
        <v>2922</v>
      </c>
      <c r="W65" s="1">
        <v>85</v>
      </c>
      <c r="X65" s="1">
        <v>82</v>
      </c>
      <c r="Y65" s="1">
        <v>154</v>
      </c>
      <c r="Z65" s="1"/>
      <c r="AA65" s="1"/>
      <c r="AB65" s="1"/>
      <c r="AC65" s="1" t="s">
        <v>2973</v>
      </c>
      <c r="AD65" s="1" t="s">
        <v>731</v>
      </c>
      <c r="AE65" s="1"/>
      <c r="AF65" s="1"/>
      <c r="AG65" s="1"/>
      <c r="AH65" s="1"/>
      <c r="AI65" s="1"/>
      <c r="AJ65" s="1" t="s">
        <v>1357</v>
      </c>
      <c r="AK65" t="s">
        <v>2985</v>
      </c>
    </row>
    <row r="66" spans="1:37" ht="22" customHeight="1">
      <c r="A66" s="1" t="s">
        <v>4419</v>
      </c>
      <c r="B66" s="1">
        <v>2010</v>
      </c>
      <c r="C66" s="1" t="s">
        <v>985</v>
      </c>
      <c r="D66" s="1">
        <v>7.02</v>
      </c>
      <c r="E66" s="1">
        <v>2.4</v>
      </c>
      <c r="F66" s="1">
        <v>29.8</v>
      </c>
      <c r="G66" s="1">
        <v>6.9</v>
      </c>
      <c r="H66" s="1">
        <v>82.22</v>
      </c>
      <c r="I66" s="1">
        <v>343.22</v>
      </c>
      <c r="J66" s="1">
        <v>78.220000000000027</v>
      </c>
      <c r="K66" s="1" t="s">
        <v>1245</v>
      </c>
      <c r="L66" s="1">
        <v>66</v>
      </c>
      <c r="M66" s="1" t="s">
        <v>620</v>
      </c>
      <c r="N66" s="1" t="s">
        <v>2792</v>
      </c>
      <c r="O66" s="1" t="s">
        <v>2793</v>
      </c>
      <c r="P66" s="1">
        <v>7.02</v>
      </c>
      <c r="Q66" s="1" t="s">
        <v>1003</v>
      </c>
      <c r="R66" s="1">
        <v>-43.614800000000002</v>
      </c>
      <c r="S66" s="1">
        <v>172.0386</v>
      </c>
      <c r="T66" s="1">
        <v>10.84</v>
      </c>
      <c r="U66" s="1" t="s">
        <v>730</v>
      </c>
      <c r="V66" s="1" t="s">
        <v>2922</v>
      </c>
      <c r="W66" s="1">
        <v>85</v>
      </c>
      <c r="X66" s="1">
        <v>82</v>
      </c>
      <c r="Y66" s="1">
        <v>154</v>
      </c>
      <c r="Z66" s="1"/>
      <c r="AA66" s="1"/>
      <c r="AB66" s="1"/>
      <c r="AC66" s="1" t="s">
        <v>2973</v>
      </c>
      <c r="AD66" s="1" t="s">
        <v>731</v>
      </c>
      <c r="AE66" s="1"/>
      <c r="AF66" s="1"/>
      <c r="AG66" s="1"/>
      <c r="AH66" s="1"/>
      <c r="AI66" s="1"/>
      <c r="AJ66" s="1" t="s">
        <v>1357</v>
      </c>
      <c r="AK66" t="s">
        <v>2985</v>
      </c>
    </row>
    <row r="67" spans="1:37" ht="22" customHeight="1">
      <c r="A67" s="1" t="s">
        <v>4419</v>
      </c>
      <c r="B67" s="1">
        <v>2010</v>
      </c>
      <c r="C67" s="1" t="s">
        <v>986</v>
      </c>
      <c r="D67" s="1">
        <v>7.02</v>
      </c>
      <c r="E67" s="1">
        <v>10.9</v>
      </c>
      <c r="F67" s="1">
        <v>53</v>
      </c>
      <c r="G67" s="1">
        <v>8.3699999999999992</v>
      </c>
      <c r="H67" s="1">
        <v>62.3</v>
      </c>
      <c r="I67" s="1">
        <v>334.21</v>
      </c>
      <c r="J67" s="1">
        <v>69.20999999999998</v>
      </c>
      <c r="K67" s="1" t="s">
        <v>1245</v>
      </c>
      <c r="L67" s="1">
        <v>67</v>
      </c>
      <c r="M67" s="1" t="s">
        <v>620</v>
      </c>
      <c r="N67" s="1" t="s">
        <v>2792</v>
      </c>
      <c r="O67" s="1" t="s">
        <v>2793</v>
      </c>
      <c r="P67" s="1">
        <v>7.02</v>
      </c>
      <c r="Q67" s="1" t="s">
        <v>1003</v>
      </c>
      <c r="R67" s="1">
        <v>-43.614800000000002</v>
      </c>
      <c r="S67" s="1">
        <v>172.0386</v>
      </c>
      <c r="T67" s="1">
        <v>10.84</v>
      </c>
      <c r="U67" s="1" t="s">
        <v>730</v>
      </c>
      <c r="V67" s="1" t="s">
        <v>2922</v>
      </c>
      <c r="W67" s="1">
        <v>85</v>
      </c>
      <c r="X67" s="1">
        <v>82</v>
      </c>
      <c r="Y67" s="1">
        <v>154</v>
      </c>
      <c r="Z67" s="1"/>
      <c r="AA67" s="1"/>
      <c r="AB67" s="1"/>
      <c r="AC67" s="1" t="s">
        <v>2973</v>
      </c>
      <c r="AD67" s="1" t="s">
        <v>731</v>
      </c>
      <c r="AE67" s="1"/>
      <c r="AF67" s="1"/>
      <c r="AG67" s="1"/>
      <c r="AH67" s="1"/>
      <c r="AI67" s="1"/>
      <c r="AJ67" s="1" t="s">
        <v>1357</v>
      </c>
      <c r="AK67" t="s">
        <v>2985</v>
      </c>
    </row>
    <row r="68" spans="1:37" ht="22" customHeight="1">
      <c r="A68" s="1" t="s">
        <v>4419</v>
      </c>
      <c r="B68" s="1">
        <v>2010</v>
      </c>
      <c r="C68" s="1" t="s">
        <v>987</v>
      </c>
      <c r="D68" s="1">
        <v>7.02</v>
      </c>
      <c r="E68" s="1">
        <v>12.2</v>
      </c>
      <c r="F68" s="1">
        <v>50.4</v>
      </c>
      <c r="G68" s="1">
        <v>9.23</v>
      </c>
      <c r="H68" s="1">
        <v>61.8</v>
      </c>
      <c r="I68" s="1">
        <v>331.53</v>
      </c>
      <c r="J68" s="1">
        <v>66.529999999999973</v>
      </c>
      <c r="K68" s="1" t="s">
        <v>1245</v>
      </c>
      <c r="L68" s="1">
        <v>68</v>
      </c>
      <c r="M68" s="1" t="s">
        <v>620</v>
      </c>
      <c r="N68" s="1" t="s">
        <v>2792</v>
      </c>
      <c r="O68" s="1" t="s">
        <v>2793</v>
      </c>
      <c r="P68" s="1">
        <v>7.02</v>
      </c>
      <c r="Q68" s="1" t="s">
        <v>1003</v>
      </c>
      <c r="R68" s="1">
        <v>-43.614800000000002</v>
      </c>
      <c r="S68" s="1">
        <v>172.0386</v>
      </c>
      <c r="T68" s="1">
        <v>10.84</v>
      </c>
      <c r="U68" s="1" t="s">
        <v>730</v>
      </c>
      <c r="V68" s="1" t="s">
        <v>2922</v>
      </c>
      <c r="W68" s="1">
        <v>85</v>
      </c>
      <c r="X68" s="1">
        <v>82</v>
      </c>
      <c r="Y68" s="1">
        <v>154</v>
      </c>
      <c r="Z68" s="1"/>
      <c r="AA68" s="1"/>
      <c r="AB68" s="1"/>
      <c r="AC68" s="1" t="s">
        <v>2973</v>
      </c>
      <c r="AD68" s="1" t="s">
        <v>731</v>
      </c>
      <c r="AE68" s="1"/>
      <c r="AF68" s="1"/>
      <c r="AG68" s="1"/>
      <c r="AH68" s="1"/>
      <c r="AI68" s="1"/>
      <c r="AJ68" s="1" t="s">
        <v>1357</v>
      </c>
      <c r="AK68" t="s">
        <v>2985</v>
      </c>
    </row>
    <row r="69" spans="1:37" ht="22" customHeight="1">
      <c r="A69" s="1" t="s">
        <v>4419</v>
      </c>
      <c r="B69" s="1">
        <v>2010</v>
      </c>
      <c r="C69" s="1" t="s">
        <v>988</v>
      </c>
      <c r="D69" s="1">
        <v>7.02</v>
      </c>
      <c r="E69" s="1">
        <v>3.4</v>
      </c>
      <c r="F69" s="1">
        <v>37.299999999999997</v>
      </c>
      <c r="G69" s="1">
        <v>7.88</v>
      </c>
      <c r="H69" s="1">
        <v>74.81</v>
      </c>
      <c r="I69" s="1">
        <v>0.49</v>
      </c>
      <c r="J69" s="1">
        <v>85</v>
      </c>
      <c r="K69" s="1" t="s">
        <v>1245</v>
      </c>
      <c r="L69" s="1">
        <v>69</v>
      </c>
      <c r="M69" s="1" t="s">
        <v>620</v>
      </c>
      <c r="N69" s="1" t="s">
        <v>2792</v>
      </c>
      <c r="O69" s="1" t="s">
        <v>2793</v>
      </c>
      <c r="P69" s="1">
        <v>7.02</v>
      </c>
      <c r="Q69" s="1" t="s">
        <v>1003</v>
      </c>
      <c r="R69" s="1">
        <v>-43.614800000000002</v>
      </c>
      <c r="S69" s="1">
        <v>172.0386</v>
      </c>
      <c r="T69" s="1">
        <v>10.84</v>
      </c>
      <c r="U69" s="1" t="s">
        <v>730</v>
      </c>
      <c r="V69" s="1" t="s">
        <v>2922</v>
      </c>
      <c r="W69" s="1">
        <v>85</v>
      </c>
      <c r="X69" s="1">
        <v>82</v>
      </c>
      <c r="Y69" s="1">
        <v>154</v>
      </c>
      <c r="Z69" s="1"/>
      <c r="AA69" s="1"/>
      <c r="AB69" s="1"/>
      <c r="AC69" s="1" t="s">
        <v>2973</v>
      </c>
      <c r="AD69" s="1" t="s">
        <v>731</v>
      </c>
      <c r="AE69" s="1"/>
      <c r="AF69" s="1"/>
      <c r="AG69" s="1"/>
      <c r="AH69" s="1"/>
      <c r="AI69" s="1"/>
      <c r="AJ69" s="1" t="s">
        <v>1357</v>
      </c>
      <c r="AK69" t="s">
        <v>2985</v>
      </c>
    </row>
    <row r="70" spans="1:37" ht="22" customHeight="1">
      <c r="A70" s="1" t="s">
        <v>1450</v>
      </c>
      <c r="B70" s="1">
        <v>2016</v>
      </c>
      <c r="C70" s="1" t="s">
        <v>1250</v>
      </c>
      <c r="D70" s="1">
        <v>6.1</v>
      </c>
      <c r="E70" s="1">
        <v>1.9</v>
      </c>
      <c r="F70" s="1">
        <v>9.6999999999999993</v>
      </c>
      <c r="G70" s="1">
        <v>1.82</v>
      </c>
      <c r="H70" s="1">
        <v>52.27</v>
      </c>
      <c r="I70" s="1">
        <v>347.65</v>
      </c>
      <c r="J70" s="1">
        <v>37.350000000000023</v>
      </c>
      <c r="K70" s="1" t="s">
        <v>1245</v>
      </c>
      <c r="L70" s="1">
        <v>70</v>
      </c>
      <c r="M70" s="1" t="s">
        <v>669</v>
      </c>
      <c r="N70" s="1" t="s">
        <v>2986</v>
      </c>
      <c r="O70" s="1" t="s">
        <v>2987</v>
      </c>
      <c r="P70" s="1">
        <v>6.1</v>
      </c>
      <c r="Q70" s="1" t="s">
        <v>1003</v>
      </c>
      <c r="R70" s="1">
        <v>32.741700000000002</v>
      </c>
      <c r="S70" s="1">
        <v>130.80869999999999</v>
      </c>
      <c r="T70" s="1">
        <v>11.39</v>
      </c>
      <c r="U70" s="1" t="s">
        <v>730</v>
      </c>
      <c r="V70" s="1" t="s">
        <v>2922</v>
      </c>
      <c r="W70" s="1">
        <v>205</v>
      </c>
      <c r="X70" s="1">
        <v>74</v>
      </c>
      <c r="Y70" s="1">
        <v>180</v>
      </c>
      <c r="Z70" s="1"/>
      <c r="AA70" s="1"/>
      <c r="AB70" s="1"/>
      <c r="AC70" s="1" t="s">
        <v>2973</v>
      </c>
      <c r="AD70" s="1" t="s">
        <v>731</v>
      </c>
      <c r="AE70" s="1"/>
      <c r="AF70" s="1"/>
      <c r="AG70" s="1"/>
      <c r="AH70" s="1"/>
      <c r="AI70" s="1"/>
      <c r="AJ70" s="1" t="s">
        <v>1357</v>
      </c>
      <c r="AK70" t="s">
        <v>2990</v>
      </c>
    </row>
    <row r="71" spans="1:37" ht="22" customHeight="1">
      <c r="A71" s="1" t="s">
        <v>1450</v>
      </c>
      <c r="B71" s="1">
        <v>2016</v>
      </c>
      <c r="C71" s="1">
        <v>93020</v>
      </c>
      <c r="D71" s="1">
        <v>6.1</v>
      </c>
      <c r="E71" s="1">
        <v>7.7</v>
      </c>
      <c r="F71" s="1">
        <v>13.2</v>
      </c>
      <c r="G71" s="1">
        <v>1.26</v>
      </c>
      <c r="H71" s="1">
        <v>39.01</v>
      </c>
      <c r="I71" s="1">
        <v>344.85</v>
      </c>
      <c r="J71" s="1">
        <v>40.149999999999977</v>
      </c>
      <c r="K71" s="1" t="s">
        <v>1245</v>
      </c>
      <c r="L71" s="1">
        <v>71</v>
      </c>
      <c r="M71" s="1" t="s">
        <v>669</v>
      </c>
      <c r="N71" s="1" t="s">
        <v>2986</v>
      </c>
      <c r="O71" s="1" t="s">
        <v>2987</v>
      </c>
      <c r="P71" s="1">
        <v>6.1</v>
      </c>
      <c r="Q71" s="1" t="s">
        <v>1003</v>
      </c>
      <c r="R71" s="1">
        <v>32.741700000000002</v>
      </c>
      <c r="S71" s="1">
        <v>130.80869999999999</v>
      </c>
      <c r="T71" s="1">
        <v>11.39</v>
      </c>
      <c r="U71" s="1" t="s">
        <v>730</v>
      </c>
      <c r="V71" s="1" t="s">
        <v>2922</v>
      </c>
      <c r="W71" s="1">
        <v>205</v>
      </c>
      <c r="X71" s="1">
        <v>74</v>
      </c>
      <c r="Y71" s="1">
        <v>180</v>
      </c>
      <c r="Z71" s="1"/>
      <c r="AA71" s="1"/>
      <c r="AB71" s="1"/>
      <c r="AC71" s="1" t="s">
        <v>2973</v>
      </c>
      <c r="AD71" s="1" t="s">
        <v>731</v>
      </c>
      <c r="AE71" s="1"/>
      <c r="AF71" s="1"/>
      <c r="AG71" s="1"/>
      <c r="AH71" s="1"/>
      <c r="AI71" s="1"/>
      <c r="AJ71" s="1" t="s">
        <v>1357</v>
      </c>
      <c r="AK71" t="s">
        <v>2990</v>
      </c>
    </row>
    <row r="72" spans="1:37" ht="22" customHeight="1">
      <c r="A72" s="1" t="s">
        <v>1450</v>
      </c>
      <c r="B72" s="1">
        <v>2016</v>
      </c>
      <c r="C72" s="1">
        <v>93021</v>
      </c>
      <c r="D72" s="1">
        <v>6.1</v>
      </c>
      <c r="E72" s="1">
        <v>4.4000000000000004</v>
      </c>
      <c r="F72" s="1">
        <v>7.3</v>
      </c>
      <c r="G72" s="1">
        <v>1.81</v>
      </c>
      <c r="H72" s="1">
        <v>57.82</v>
      </c>
      <c r="I72" s="1">
        <v>24.99</v>
      </c>
      <c r="J72" s="1">
        <v>-1.000000000000156E-2</v>
      </c>
      <c r="K72" s="1" t="s">
        <v>1245</v>
      </c>
      <c r="L72" s="1">
        <v>72</v>
      </c>
      <c r="M72" s="1" t="s">
        <v>669</v>
      </c>
      <c r="N72" s="1" t="s">
        <v>2986</v>
      </c>
      <c r="O72" s="1" t="s">
        <v>2987</v>
      </c>
      <c r="P72" s="1">
        <v>6.1</v>
      </c>
      <c r="Q72" s="1" t="s">
        <v>1003</v>
      </c>
      <c r="R72" s="1">
        <v>32.741700000000002</v>
      </c>
      <c r="S72" s="1">
        <v>130.80869999999999</v>
      </c>
      <c r="T72" s="1">
        <v>11.39</v>
      </c>
      <c r="U72" s="1" t="s">
        <v>730</v>
      </c>
      <c r="V72" s="1" t="s">
        <v>2922</v>
      </c>
      <c r="W72" s="1">
        <v>205</v>
      </c>
      <c r="X72" s="1">
        <v>74</v>
      </c>
      <c r="Y72" s="1">
        <v>180</v>
      </c>
      <c r="Z72" s="1"/>
      <c r="AA72" s="1"/>
      <c r="AB72" s="1"/>
      <c r="AC72" s="1" t="s">
        <v>2973</v>
      </c>
      <c r="AD72" s="1" t="s">
        <v>731</v>
      </c>
      <c r="AE72" s="1"/>
      <c r="AF72" s="1"/>
      <c r="AG72" s="1"/>
      <c r="AH72" s="1"/>
      <c r="AI72" s="1"/>
      <c r="AJ72" s="1" t="s">
        <v>1357</v>
      </c>
      <c r="AK72" t="s">
        <v>2990</v>
      </c>
    </row>
    <row r="73" spans="1:37" ht="22" customHeight="1">
      <c r="A73" s="1" t="s">
        <v>1450</v>
      </c>
      <c r="B73" s="1">
        <v>2016</v>
      </c>
      <c r="C73" s="1">
        <v>93024</v>
      </c>
      <c r="D73" s="1">
        <v>6.1</v>
      </c>
      <c r="E73" s="1">
        <v>8.1</v>
      </c>
      <c r="F73" s="1">
        <v>15.2</v>
      </c>
      <c r="G73" s="1">
        <v>1.69</v>
      </c>
      <c r="H73" s="1">
        <v>59.01</v>
      </c>
      <c r="I73" s="1">
        <v>311.08</v>
      </c>
      <c r="J73" s="1">
        <v>73.920000000000016</v>
      </c>
      <c r="K73" s="1" t="s">
        <v>1245</v>
      </c>
      <c r="L73" s="1">
        <v>73</v>
      </c>
      <c r="M73" s="1" t="s">
        <v>669</v>
      </c>
      <c r="N73" s="1" t="s">
        <v>2986</v>
      </c>
      <c r="O73" s="1" t="s">
        <v>2987</v>
      </c>
      <c r="P73" s="1">
        <v>6.1</v>
      </c>
      <c r="Q73" s="1" t="s">
        <v>1003</v>
      </c>
      <c r="R73" s="1">
        <v>32.741700000000002</v>
      </c>
      <c r="S73" s="1">
        <v>130.80869999999999</v>
      </c>
      <c r="T73" s="1">
        <v>11.39</v>
      </c>
      <c r="U73" s="1" t="s">
        <v>730</v>
      </c>
      <c r="V73" s="1" t="s">
        <v>2922</v>
      </c>
      <c r="W73" s="1">
        <v>205</v>
      </c>
      <c r="X73" s="1">
        <v>74</v>
      </c>
      <c r="Y73" s="1">
        <v>180</v>
      </c>
      <c r="Z73" s="1"/>
      <c r="AA73" s="1"/>
      <c r="AB73" s="1"/>
      <c r="AC73" s="1" t="s">
        <v>2973</v>
      </c>
      <c r="AD73" s="1" t="s">
        <v>731</v>
      </c>
      <c r="AE73" s="1"/>
      <c r="AF73" s="1"/>
      <c r="AG73" s="1"/>
      <c r="AH73" s="1"/>
      <c r="AI73" s="1"/>
      <c r="AJ73" s="1" t="s">
        <v>1357</v>
      </c>
      <c r="AK73" t="s">
        <v>2990</v>
      </c>
    </row>
    <row r="74" spans="1:37" ht="22" customHeight="1">
      <c r="A74" s="1" t="s">
        <v>1450</v>
      </c>
      <c r="B74" s="1">
        <v>2016</v>
      </c>
      <c r="C74" s="1">
        <v>93025</v>
      </c>
      <c r="D74" s="1">
        <v>6.1</v>
      </c>
      <c r="E74" s="1">
        <v>1.8</v>
      </c>
      <c r="F74" s="1">
        <v>9.6</v>
      </c>
      <c r="G74" s="1">
        <v>1.69</v>
      </c>
      <c r="H74" s="1">
        <v>64.489999999999995</v>
      </c>
      <c r="I74" s="1">
        <v>345.94</v>
      </c>
      <c r="J74" s="1">
        <v>39.06</v>
      </c>
      <c r="K74" s="1" t="s">
        <v>1245</v>
      </c>
      <c r="L74" s="1">
        <v>74</v>
      </c>
      <c r="M74" s="1" t="s">
        <v>669</v>
      </c>
      <c r="N74" s="1" t="s">
        <v>2986</v>
      </c>
      <c r="O74" s="1" t="s">
        <v>2987</v>
      </c>
      <c r="P74" s="1">
        <v>6.1</v>
      </c>
      <c r="Q74" s="1" t="s">
        <v>1003</v>
      </c>
      <c r="R74" s="1">
        <v>32.741700000000002</v>
      </c>
      <c r="S74" s="1">
        <v>130.80869999999999</v>
      </c>
      <c r="T74" s="1">
        <v>11.39</v>
      </c>
      <c r="U74" s="1" t="s">
        <v>730</v>
      </c>
      <c r="V74" s="1" t="s">
        <v>2922</v>
      </c>
      <c r="W74" s="1">
        <v>205</v>
      </c>
      <c r="X74" s="1">
        <v>74</v>
      </c>
      <c r="Y74" s="1">
        <v>180</v>
      </c>
      <c r="Z74" s="1"/>
      <c r="AA74" s="1"/>
      <c r="AB74" s="1"/>
      <c r="AC74" s="1" t="s">
        <v>2973</v>
      </c>
      <c r="AD74" s="1" t="s">
        <v>731</v>
      </c>
      <c r="AE74" s="1"/>
      <c r="AF74" s="1"/>
      <c r="AG74" s="1"/>
      <c r="AH74" s="1"/>
      <c r="AI74" s="1"/>
      <c r="AJ74" s="1" t="s">
        <v>1357</v>
      </c>
      <c r="AK74" t="s">
        <v>2990</v>
      </c>
    </row>
    <row r="75" spans="1:37" ht="22" customHeight="1">
      <c r="A75" s="1" t="s">
        <v>1450</v>
      </c>
      <c r="B75" s="1">
        <v>2016</v>
      </c>
      <c r="C75" s="1">
        <v>93050</v>
      </c>
      <c r="D75" s="1">
        <v>6.1</v>
      </c>
      <c r="E75" s="1">
        <v>3.5</v>
      </c>
      <c r="F75" s="1">
        <v>7.3</v>
      </c>
      <c r="G75" s="1">
        <v>2.4500000000000002</v>
      </c>
      <c r="H75" s="1">
        <v>43.2</v>
      </c>
      <c r="I75" s="1">
        <v>334.29</v>
      </c>
      <c r="J75" s="1">
        <v>50.70999999999998</v>
      </c>
      <c r="K75" s="1" t="s">
        <v>1245</v>
      </c>
      <c r="L75" s="1">
        <v>75</v>
      </c>
      <c r="M75" s="1" t="s">
        <v>669</v>
      </c>
      <c r="N75" s="1" t="s">
        <v>2986</v>
      </c>
      <c r="O75" s="1" t="s">
        <v>2987</v>
      </c>
      <c r="P75" s="1">
        <v>6.1</v>
      </c>
      <c r="Q75" s="1" t="s">
        <v>1003</v>
      </c>
      <c r="R75" s="1">
        <v>32.741700000000002</v>
      </c>
      <c r="S75" s="1">
        <v>130.80869999999999</v>
      </c>
      <c r="T75" s="1">
        <v>11.39</v>
      </c>
      <c r="U75" s="1" t="s">
        <v>730</v>
      </c>
      <c r="V75" s="1" t="s">
        <v>2922</v>
      </c>
      <c r="W75" s="1">
        <v>205</v>
      </c>
      <c r="X75" s="1">
        <v>74</v>
      </c>
      <c r="Y75" s="1">
        <v>180</v>
      </c>
      <c r="Z75" s="1"/>
      <c r="AA75" s="1"/>
      <c r="AB75" s="1"/>
      <c r="AC75" s="1" t="s">
        <v>2973</v>
      </c>
      <c r="AD75" s="1" t="s">
        <v>731</v>
      </c>
      <c r="AE75" s="1"/>
      <c r="AF75" s="1"/>
      <c r="AG75" s="1"/>
      <c r="AH75" s="1"/>
      <c r="AI75" s="1"/>
      <c r="AJ75" s="1" t="s">
        <v>1357</v>
      </c>
      <c r="AK75" t="s">
        <v>2990</v>
      </c>
    </row>
    <row r="76" spans="1:37" ht="22" customHeight="1">
      <c r="A76" s="1" t="s">
        <v>1450</v>
      </c>
      <c r="B76" s="1">
        <v>2016</v>
      </c>
      <c r="C76" s="1">
        <v>93051</v>
      </c>
      <c r="D76" s="1">
        <v>6.1</v>
      </c>
      <c r="E76" s="1">
        <v>4.5999999999999996</v>
      </c>
      <c r="F76" s="1">
        <v>12.1</v>
      </c>
      <c r="G76" s="1">
        <v>1.1599999999999999</v>
      </c>
      <c r="H76" s="1">
        <v>74.62</v>
      </c>
      <c r="I76" s="1">
        <v>72.069999999999993</v>
      </c>
      <c r="J76" s="1">
        <v>47.069999999999993</v>
      </c>
      <c r="K76" s="1" t="s">
        <v>1245</v>
      </c>
      <c r="L76" s="1">
        <v>76</v>
      </c>
      <c r="M76" s="1" t="s">
        <v>669</v>
      </c>
      <c r="N76" s="1" t="s">
        <v>2986</v>
      </c>
      <c r="O76" s="1" t="s">
        <v>2987</v>
      </c>
      <c r="P76" s="1">
        <v>6.1</v>
      </c>
      <c r="Q76" s="1" t="s">
        <v>1003</v>
      </c>
      <c r="R76" s="1">
        <v>32.741700000000002</v>
      </c>
      <c r="S76" s="1">
        <v>130.80869999999999</v>
      </c>
      <c r="T76" s="1">
        <v>11.39</v>
      </c>
      <c r="U76" s="1" t="s">
        <v>730</v>
      </c>
      <c r="V76" s="1" t="s">
        <v>2922</v>
      </c>
      <c r="W76" s="1">
        <v>205</v>
      </c>
      <c r="X76" s="1">
        <v>74</v>
      </c>
      <c r="Y76" s="1">
        <v>180</v>
      </c>
      <c r="Z76" s="1"/>
      <c r="AA76" s="1"/>
      <c r="AB76" s="1"/>
      <c r="AC76" s="1" t="s">
        <v>2973</v>
      </c>
      <c r="AD76" s="1" t="s">
        <v>731</v>
      </c>
      <c r="AE76" s="1"/>
      <c r="AF76" s="1"/>
      <c r="AG76" s="1"/>
      <c r="AH76" s="1"/>
      <c r="AI76" s="1"/>
      <c r="AJ76" s="1" t="s">
        <v>1357</v>
      </c>
      <c r="AK76" t="s">
        <v>2990</v>
      </c>
    </row>
    <row r="77" spans="1:37" ht="22" customHeight="1">
      <c r="A77" s="1" t="s">
        <v>1450</v>
      </c>
      <c r="B77" s="1">
        <v>2016</v>
      </c>
      <c r="C77" s="1">
        <v>93055</v>
      </c>
      <c r="D77" s="1">
        <v>6.1</v>
      </c>
      <c r="E77" s="1">
        <v>17.2</v>
      </c>
      <c r="F77" s="1">
        <v>23.8</v>
      </c>
      <c r="G77" s="1">
        <v>1.75</v>
      </c>
      <c r="H77" s="1">
        <v>26.27</v>
      </c>
      <c r="I77" s="1">
        <v>319.81</v>
      </c>
      <c r="J77" s="1">
        <v>65.19</v>
      </c>
      <c r="K77" s="1" t="s">
        <v>1245</v>
      </c>
      <c r="L77" s="1">
        <v>77</v>
      </c>
      <c r="M77" s="1" t="s">
        <v>669</v>
      </c>
      <c r="N77" s="1" t="s">
        <v>2986</v>
      </c>
      <c r="O77" s="1" t="s">
        <v>2987</v>
      </c>
      <c r="P77" s="1">
        <v>6.1</v>
      </c>
      <c r="Q77" s="1" t="s">
        <v>1003</v>
      </c>
      <c r="R77" s="1">
        <v>32.741700000000002</v>
      </c>
      <c r="S77" s="1">
        <v>130.80869999999999</v>
      </c>
      <c r="T77" s="1">
        <v>11.39</v>
      </c>
      <c r="U77" s="1" t="s">
        <v>730</v>
      </c>
      <c r="V77" s="1" t="s">
        <v>2922</v>
      </c>
      <c r="W77" s="1">
        <v>205</v>
      </c>
      <c r="X77" s="1">
        <v>74</v>
      </c>
      <c r="Y77" s="1">
        <v>180</v>
      </c>
      <c r="Z77" s="1"/>
      <c r="AA77" s="1"/>
      <c r="AB77" s="1"/>
      <c r="AC77" s="1" t="s">
        <v>2973</v>
      </c>
      <c r="AD77" s="1" t="s">
        <v>731</v>
      </c>
      <c r="AE77" s="1"/>
      <c r="AF77" s="1"/>
      <c r="AG77" s="1"/>
      <c r="AH77" s="1"/>
      <c r="AI77" s="1"/>
      <c r="AJ77" s="1" t="s">
        <v>1357</v>
      </c>
      <c r="AK77" t="s">
        <v>2990</v>
      </c>
    </row>
    <row r="78" spans="1:37" ht="22" customHeight="1">
      <c r="A78" s="1" t="s">
        <v>1450</v>
      </c>
      <c r="B78" s="1">
        <v>2016</v>
      </c>
      <c r="C78" s="1">
        <v>93056</v>
      </c>
      <c r="D78" s="1">
        <v>6.1</v>
      </c>
      <c r="E78" s="1">
        <v>13.9</v>
      </c>
      <c r="F78" s="1">
        <v>20.5</v>
      </c>
      <c r="G78" s="1">
        <v>1.81</v>
      </c>
      <c r="H78" s="1">
        <v>37.590000000000003</v>
      </c>
      <c r="I78" s="1">
        <v>324.11</v>
      </c>
      <c r="J78" s="1">
        <v>60.889999999999993</v>
      </c>
      <c r="K78" s="1" t="s">
        <v>1245</v>
      </c>
      <c r="L78" s="1">
        <v>78</v>
      </c>
      <c r="M78" s="1" t="s">
        <v>669</v>
      </c>
      <c r="N78" s="1" t="s">
        <v>2986</v>
      </c>
      <c r="O78" s="1" t="s">
        <v>2987</v>
      </c>
      <c r="P78" s="1">
        <v>6.1</v>
      </c>
      <c r="Q78" s="1" t="s">
        <v>1003</v>
      </c>
      <c r="R78" s="1">
        <v>32.741700000000002</v>
      </c>
      <c r="S78" s="1">
        <v>130.80869999999999</v>
      </c>
      <c r="T78" s="1">
        <v>11.39</v>
      </c>
      <c r="U78" s="1" t="s">
        <v>730</v>
      </c>
      <c r="V78" s="1" t="s">
        <v>2922</v>
      </c>
      <c r="W78" s="1">
        <v>205</v>
      </c>
      <c r="X78" s="1">
        <v>74</v>
      </c>
      <c r="Y78" s="1">
        <v>180</v>
      </c>
      <c r="Z78" s="1"/>
      <c r="AA78" s="1"/>
      <c r="AB78" s="1"/>
      <c r="AC78" s="1" t="s">
        <v>2973</v>
      </c>
      <c r="AD78" s="1" t="s">
        <v>731</v>
      </c>
      <c r="AE78" s="1"/>
      <c r="AF78" s="1"/>
      <c r="AG78" s="1"/>
      <c r="AH78" s="1"/>
      <c r="AI78" s="1"/>
      <c r="AJ78" s="1" t="s">
        <v>1357</v>
      </c>
      <c r="AK78" t="s">
        <v>2990</v>
      </c>
    </row>
    <row r="79" spans="1:37" ht="22" customHeight="1">
      <c r="A79" s="1" t="s">
        <v>1450</v>
      </c>
      <c r="B79" s="1">
        <v>2016</v>
      </c>
      <c r="C79" s="1">
        <v>93057</v>
      </c>
      <c r="D79" s="1">
        <v>6.1</v>
      </c>
      <c r="E79" s="1">
        <v>10.7</v>
      </c>
      <c r="F79" s="1">
        <v>17.5</v>
      </c>
      <c r="G79" s="1">
        <v>1.5</v>
      </c>
      <c r="H79" s="1">
        <v>54.32</v>
      </c>
      <c r="I79" s="1">
        <v>325.95999999999998</v>
      </c>
      <c r="J79" s="1">
        <v>59.04000000000002</v>
      </c>
      <c r="K79" s="1" t="s">
        <v>1245</v>
      </c>
      <c r="L79" s="1">
        <v>79</v>
      </c>
      <c r="M79" s="1" t="s">
        <v>669</v>
      </c>
      <c r="N79" s="1" t="s">
        <v>2986</v>
      </c>
      <c r="O79" s="1" t="s">
        <v>2987</v>
      </c>
      <c r="P79" s="1">
        <v>6.1</v>
      </c>
      <c r="Q79" s="1" t="s">
        <v>1003</v>
      </c>
      <c r="R79" s="1">
        <v>32.741700000000002</v>
      </c>
      <c r="S79" s="1">
        <v>130.80869999999999</v>
      </c>
      <c r="T79" s="1">
        <v>11.39</v>
      </c>
      <c r="U79" s="1" t="s">
        <v>730</v>
      </c>
      <c r="V79" s="1" t="s">
        <v>2922</v>
      </c>
      <c r="W79" s="1">
        <v>205</v>
      </c>
      <c r="X79" s="1">
        <v>74</v>
      </c>
      <c r="Y79" s="1">
        <v>180</v>
      </c>
      <c r="Z79" s="1"/>
      <c r="AA79" s="1"/>
      <c r="AB79" s="1"/>
      <c r="AC79" s="1" t="s">
        <v>2973</v>
      </c>
      <c r="AD79" s="1" t="s">
        <v>731</v>
      </c>
      <c r="AE79" s="1"/>
      <c r="AF79" s="1"/>
      <c r="AG79" s="1"/>
      <c r="AH79" s="1"/>
      <c r="AI79" s="1"/>
      <c r="AJ79" s="1" t="s">
        <v>1357</v>
      </c>
      <c r="AK79" t="s">
        <v>2990</v>
      </c>
    </row>
    <row r="80" spans="1:37" ht="22" customHeight="1">
      <c r="A80" s="1" t="s">
        <v>1450</v>
      </c>
      <c r="B80" s="1">
        <v>2016</v>
      </c>
      <c r="C80" s="1">
        <v>93058</v>
      </c>
      <c r="D80" s="1">
        <v>6.1</v>
      </c>
      <c r="E80" s="1">
        <v>12.6</v>
      </c>
      <c r="F80" s="1">
        <v>19.5</v>
      </c>
      <c r="G80" s="1">
        <v>1.39</v>
      </c>
      <c r="H80" s="1">
        <v>25.47</v>
      </c>
      <c r="I80" s="1">
        <v>321.60000000000002</v>
      </c>
      <c r="J80" s="1">
        <v>63.399999999999977</v>
      </c>
      <c r="K80" s="1" t="s">
        <v>1245</v>
      </c>
      <c r="L80" s="1">
        <v>80</v>
      </c>
      <c r="M80" s="1" t="s">
        <v>669</v>
      </c>
      <c r="N80" s="1" t="s">
        <v>2986</v>
      </c>
      <c r="O80" s="1" t="s">
        <v>2987</v>
      </c>
      <c r="P80" s="1">
        <v>6.1</v>
      </c>
      <c r="Q80" s="1" t="s">
        <v>1003</v>
      </c>
      <c r="R80" s="1">
        <v>32.741700000000002</v>
      </c>
      <c r="S80" s="1">
        <v>130.80869999999999</v>
      </c>
      <c r="T80" s="1">
        <v>11.39</v>
      </c>
      <c r="U80" s="1" t="s">
        <v>730</v>
      </c>
      <c r="V80" s="1" t="s">
        <v>2922</v>
      </c>
      <c r="W80" s="1">
        <v>205</v>
      </c>
      <c r="X80" s="1">
        <v>74</v>
      </c>
      <c r="Y80" s="1">
        <v>180</v>
      </c>
      <c r="Z80" s="1"/>
      <c r="AA80" s="1"/>
      <c r="AB80" s="1"/>
      <c r="AC80" s="1" t="s">
        <v>2973</v>
      </c>
      <c r="AD80" s="1" t="s">
        <v>731</v>
      </c>
      <c r="AE80" s="1"/>
      <c r="AF80" s="1"/>
      <c r="AG80" s="1"/>
      <c r="AH80" s="1"/>
      <c r="AI80" s="1"/>
      <c r="AJ80" s="1" t="s">
        <v>1357</v>
      </c>
      <c r="AK80" t="s">
        <v>2990</v>
      </c>
    </row>
    <row r="81" spans="1:37" ht="22" customHeight="1">
      <c r="A81" s="1" t="s">
        <v>1450</v>
      </c>
      <c r="B81" s="1">
        <v>2016</v>
      </c>
      <c r="C81" s="1" t="s">
        <v>1246</v>
      </c>
      <c r="D81" s="1">
        <v>6.1</v>
      </c>
      <c r="E81" s="1">
        <v>6.4</v>
      </c>
      <c r="F81" s="1">
        <v>12</v>
      </c>
      <c r="G81" s="1">
        <v>1.39</v>
      </c>
      <c r="H81" s="1">
        <v>51.28</v>
      </c>
      <c r="I81" s="1">
        <v>346.44</v>
      </c>
      <c r="J81" s="1">
        <v>38.56</v>
      </c>
      <c r="K81" s="1" t="s">
        <v>1245</v>
      </c>
      <c r="L81" s="1">
        <v>81</v>
      </c>
      <c r="M81" s="1" t="s">
        <v>669</v>
      </c>
      <c r="N81" s="1" t="s">
        <v>2986</v>
      </c>
      <c r="O81" s="1" t="s">
        <v>2987</v>
      </c>
      <c r="P81" s="1">
        <v>6.1</v>
      </c>
      <c r="Q81" s="1" t="s">
        <v>1003</v>
      </c>
      <c r="R81" s="1">
        <v>32.741700000000002</v>
      </c>
      <c r="S81" s="1">
        <v>130.80869999999999</v>
      </c>
      <c r="T81" s="1">
        <v>11.39</v>
      </c>
      <c r="U81" s="1" t="s">
        <v>730</v>
      </c>
      <c r="V81" s="1" t="s">
        <v>2922</v>
      </c>
      <c r="W81" s="1">
        <v>205</v>
      </c>
      <c r="X81" s="1">
        <v>74</v>
      </c>
      <c r="Y81" s="1">
        <v>180</v>
      </c>
      <c r="Z81" s="1"/>
      <c r="AA81" s="1"/>
      <c r="AB81" s="1"/>
      <c r="AC81" s="1" t="s">
        <v>2973</v>
      </c>
      <c r="AD81" s="1" t="s">
        <v>731</v>
      </c>
      <c r="AE81" s="1"/>
      <c r="AF81" s="1"/>
      <c r="AG81" s="1"/>
      <c r="AH81" s="1"/>
      <c r="AI81" s="1"/>
      <c r="AJ81" s="1" t="s">
        <v>1357</v>
      </c>
      <c r="AK81" t="s">
        <v>2990</v>
      </c>
    </row>
    <row r="82" spans="1:37" ht="22" customHeight="1">
      <c r="A82" s="1" t="s">
        <v>681</v>
      </c>
      <c r="B82" s="1">
        <v>2018</v>
      </c>
      <c r="C82" s="1" t="s">
        <v>1251</v>
      </c>
      <c r="D82" s="1">
        <v>6.7</v>
      </c>
      <c r="E82" s="1">
        <v>18.8</v>
      </c>
      <c r="F82" s="22">
        <f>SQRT((2*6371*ASIN(SQRT(SIN(RADIANS(Pulse_records!H665-R82)/2)^2+COS(RADIANS(R82))*COS(RADIANS(Pulse_records!H665))*SIN(RADIANS(Pulse_records!I665-S82)/2)^2)))^2+T82^2)</f>
        <v>39.740640542991102</v>
      </c>
      <c r="G82" s="1">
        <v>1.85</v>
      </c>
      <c r="H82" s="1">
        <v>151.47999999999999</v>
      </c>
      <c r="I82" s="1">
        <v>82.62</v>
      </c>
      <c r="J82" s="1"/>
      <c r="K82" s="1" t="s">
        <v>1245</v>
      </c>
      <c r="L82" s="1">
        <v>82</v>
      </c>
      <c r="M82" s="1" t="s">
        <v>680</v>
      </c>
      <c r="N82" s="1" t="s">
        <v>2992</v>
      </c>
      <c r="O82" s="1" t="s">
        <v>2993</v>
      </c>
      <c r="P82" s="1">
        <v>6.8</v>
      </c>
      <c r="Q82" s="1" t="s">
        <v>2994</v>
      </c>
      <c r="R82" s="1">
        <v>42.690800000000003</v>
      </c>
      <c r="S82" s="1">
        <v>142.0067</v>
      </c>
      <c r="T82" s="1">
        <v>37.04</v>
      </c>
      <c r="U82" s="1" t="s">
        <v>2995</v>
      </c>
      <c r="V82" s="1" t="s">
        <v>2996</v>
      </c>
      <c r="W82" s="1">
        <v>355</v>
      </c>
      <c r="X82" s="1">
        <v>70</v>
      </c>
      <c r="Y82" s="1">
        <v>102.76675200839219</v>
      </c>
      <c r="Z82" s="1"/>
      <c r="AA82" s="1"/>
      <c r="AB82" s="1"/>
      <c r="AC82" s="1" t="s">
        <v>2991</v>
      </c>
      <c r="AD82" s="1" t="s">
        <v>2999</v>
      </c>
      <c r="AE82" s="1">
        <v>3</v>
      </c>
      <c r="AF82" s="1">
        <v>6.8</v>
      </c>
      <c r="AG82" s="1">
        <v>1.7014</v>
      </c>
      <c r="AH82" s="1">
        <v>720</v>
      </c>
      <c r="AI82" s="1" t="s">
        <v>1374</v>
      </c>
      <c r="AJ82" s="1" t="s">
        <v>1374</v>
      </c>
      <c r="AK82" t="s">
        <v>3005</v>
      </c>
    </row>
    <row r="83" spans="1:37" ht="22" customHeight="1">
      <c r="A83" s="1" t="s">
        <v>681</v>
      </c>
      <c r="B83" s="1">
        <v>2018</v>
      </c>
      <c r="C83" s="1" t="s">
        <v>1252</v>
      </c>
      <c r="D83" s="1">
        <v>6.7</v>
      </c>
      <c r="E83" s="1">
        <v>20.5</v>
      </c>
      <c r="F83" s="22">
        <f>SQRT((2*6371*ASIN(SQRT(SIN(RADIANS(Pulse_records!H666-R83)/2)^2+COS(RADIANS(R83))*COS(RADIANS(Pulse_records!H666))*SIN(RADIANS(Pulse_records!I666-S83)/2)^2)))^2+T83^2)</f>
        <v>40.845010264661475</v>
      </c>
      <c r="G83" s="1">
        <v>1.23</v>
      </c>
      <c r="H83" s="1">
        <v>102.46</v>
      </c>
      <c r="I83" s="1">
        <v>54.36</v>
      </c>
      <c r="J83" s="1"/>
      <c r="K83" s="1" t="s">
        <v>1245</v>
      </c>
      <c r="L83" s="1">
        <v>83</v>
      </c>
      <c r="M83" s="1" t="s">
        <v>680</v>
      </c>
      <c r="N83" s="1" t="s">
        <v>2992</v>
      </c>
      <c r="O83" s="1" t="s">
        <v>2993</v>
      </c>
      <c r="P83" s="1">
        <v>6.8</v>
      </c>
      <c r="Q83" s="1" t="s">
        <v>2994</v>
      </c>
      <c r="R83" s="1">
        <v>42.690800000000003</v>
      </c>
      <c r="S83" s="1">
        <v>142.0067</v>
      </c>
      <c r="T83" s="1">
        <v>37.04</v>
      </c>
      <c r="U83" s="1" t="s">
        <v>2995</v>
      </c>
      <c r="V83" s="1" t="s">
        <v>2996</v>
      </c>
      <c r="W83" s="1">
        <v>355</v>
      </c>
      <c r="X83" s="1">
        <v>70</v>
      </c>
      <c r="Y83" s="1">
        <v>102.76675200839219</v>
      </c>
      <c r="Z83" s="1"/>
      <c r="AA83" s="1"/>
      <c r="AB83" s="1"/>
      <c r="AC83" s="1" t="s">
        <v>2991</v>
      </c>
      <c r="AD83" s="1" t="s">
        <v>2999</v>
      </c>
      <c r="AE83" s="1">
        <v>3</v>
      </c>
      <c r="AF83" s="1">
        <v>6.8</v>
      </c>
      <c r="AG83" s="1">
        <v>1.7014</v>
      </c>
      <c r="AH83" s="1">
        <v>720</v>
      </c>
      <c r="AI83" s="1" t="s">
        <v>1374</v>
      </c>
      <c r="AJ83" s="1" t="s">
        <v>1374</v>
      </c>
      <c r="AK83" t="s">
        <v>3005</v>
      </c>
    </row>
    <row r="84" spans="1:37" ht="22" customHeight="1">
      <c r="A84" s="1" t="s">
        <v>681</v>
      </c>
      <c r="B84" s="1">
        <v>2018</v>
      </c>
      <c r="C84" s="1" t="s">
        <v>1253</v>
      </c>
      <c r="D84" s="1">
        <v>6.7</v>
      </c>
      <c r="E84" s="1">
        <v>22.2</v>
      </c>
      <c r="F84" s="22">
        <f>SQRT((2*6371*ASIN(SQRT(SIN(RADIANS(Pulse_records!H667-R84)/2)^2+COS(RADIANS(R84))*COS(RADIANS(Pulse_records!H667))*SIN(RADIANS(Pulse_records!I667-S84)/2)^2)))^2+T84^2)</f>
        <v>44.954208423555926</v>
      </c>
      <c r="G84" s="1">
        <v>0.56999999999999995</v>
      </c>
      <c r="H84" s="1">
        <v>127.86</v>
      </c>
      <c r="I84" s="1">
        <v>41.73</v>
      </c>
      <c r="J84" s="1"/>
      <c r="K84" s="1" t="s">
        <v>1245</v>
      </c>
      <c r="L84" s="1">
        <v>84</v>
      </c>
      <c r="M84" s="1" t="s">
        <v>680</v>
      </c>
      <c r="N84" s="1" t="s">
        <v>2992</v>
      </c>
      <c r="O84" s="1" t="s">
        <v>2993</v>
      </c>
      <c r="P84" s="1">
        <v>6.8</v>
      </c>
      <c r="Q84" s="1" t="s">
        <v>2994</v>
      </c>
      <c r="R84" s="1">
        <v>42.690800000000003</v>
      </c>
      <c r="S84" s="1">
        <v>142.0067</v>
      </c>
      <c r="T84" s="1">
        <v>37.04</v>
      </c>
      <c r="U84" s="1" t="s">
        <v>2995</v>
      </c>
      <c r="V84" s="1" t="s">
        <v>2996</v>
      </c>
      <c r="W84" s="1">
        <v>355</v>
      </c>
      <c r="X84" s="1">
        <v>70</v>
      </c>
      <c r="Y84" s="1">
        <v>102.76675200839219</v>
      </c>
      <c r="Z84" s="1"/>
      <c r="AA84" s="1"/>
      <c r="AB84" s="1"/>
      <c r="AC84" s="1" t="s">
        <v>2991</v>
      </c>
      <c r="AD84" s="1" t="s">
        <v>2999</v>
      </c>
      <c r="AE84" s="1">
        <v>3</v>
      </c>
      <c r="AF84" s="1">
        <v>6.8</v>
      </c>
      <c r="AG84" s="1">
        <v>1.7014</v>
      </c>
      <c r="AH84" s="1">
        <v>720</v>
      </c>
      <c r="AI84" s="1" t="s">
        <v>1374</v>
      </c>
      <c r="AJ84" s="1" t="s">
        <v>1374</v>
      </c>
      <c r="AK84" t="s">
        <v>3005</v>
      </c>
    </row>
    <row r="85" spans="1:37" ht="22" customHeight="1">
      <c r="A85" s="1" t="s">
        <v>681</v>
      </c>
      <c r="B85" s="1">
        <v>2018</v>
      </c>
      <c r="C85" s="1">
        <v>47004</v>
      </c>
      <c r="D85" s="1">
        <v>6.7</v>
      </c>
      <c r="E85" s="1">
        <v>18.7</v>
      </c>
      <c r="F85" s="22">
        <f>SQRT((2*6371*ASIN(SQRT(SIN(RADIANS(Pulse_records!H668-R85)/2)^2+COS(RADIANS(R85))*COS(RADIANS(Pulse_records!H668))*SIN(RADIANS(Pulse_records!I668-S85)/2)^2)))^2+T85^2)</f>
        <v>38.461353083533496</v>
      </c>
      <c r="G85" s="1">
        <v>1.75</v>
      </c>
      <c r="H85" s="1">
        <v>130.72999999999999</v>
      </c>
      <c r="I85" s="1">
        <v>273.36</v>
      </c>
      <c r="J85" s="1"/>
      <c r="K85" s="1" t="s">
        <v>1245</v>
      </c>
      <c r="L85" s="1">
        <v>85</v>
      </c>
      <c r="M85" s="1" t="s">
        <v>680</v>
      </c>
      <c r="N85" s="1" t="s">
        <v>2992</v>
      </c>
      <c r="O85" s="1" t="s">
        <v>2993</v>
      </c>
      <c r="P85" s="1">
        <v>6.8</v>
      </c>
      <c r="Q85" s="1" t="s">
        <v>2994</v>
      </c>
      <c r="R85" s="1">
        <v>42.690800000000003</v>
      </c>
      <c r="S85" s="1">
        <v>142.0067</v>
      </c>
      <c r="T85" s="1">
        <v>37.04</v>
      </c>
      <c r="U85" s="1" t="s">
        <v>2995</v>
      </c>
      <c r="V85" s="1" t="s">
        <v>2996</v>
      </c>
      <c r="W85" s="1">
        <v>355</v>
      </c>
      <c r="X85" s="1">
        <v>70</v>
      </c>
      <c r="Y85" s="1">
        <v>102.76675200839219</v>
      </c>
      <c r="Z85" s="1"/>
      <c r="AA85" s="1"/>
      <c r="AB85" s="1"/>
      <c r="AC85" s="1" t="s">
        <v>2991</v>
      </c>
      <c r="AD85" s="1" t="s">
        <v>2999</v>
      </c>
      <c r="AE85" s="1">
        <v>3</v>
      </c>
      <c r="AF85" s="1">
        <v>6.8</v>
      </c>
      <c r="AG85" s="1">
        <v>1.7014</v>
      </c>
      <c r="AH85" s="1">
        <v>720</v>
      </c>
      <c r="AI85" s="1" t="s">
        <v>1374</v>
      </c>
      <c r="AJ85" s="1" t="s">
        <v>1374</v>
      </c>
      <c r="AK85" t="s">
        <v>3005</v>
      </c>
    </row>
    <row r="86" spans="1:37" ht="22" customHeight="1">
      <c r="A86" s="1" t="s">
        <v>685</v>
      </c>
      <c r="B86" s="1">
        <v>2022</v>
      </c>
      <c r="C86" s="1">
        <v>8101</v>
      </c>
      <c r="D86" s="1">
        <v>6.1</v>
      </c>
      <c r="E86" s="1"/>
      <c r="F86" s="1">
        <v>10.67</v>
      </c>
      <c r="G86" s="1">
        <v>1.9</v>
      </c>
      <c r="H86" s="1">
        <v>40.89</v>
      </c>
      <c r="I86" s="1">
        <v>68.63</v>
      </c>
      <c r="J86" s="1">
        <v>7.3700000000000054</v>
      </c>
      <c r="K86" s="1" t="s">
        <v>1254</v>
      </c>
      <c r="L86" s="1">
        <v>2</v>
      </c>
      <c r="M86" s="1" t="s">
        <v>684</v>
      </c>
      <c r="N86" s="1" t="s">
        <v>3007</v>
      </c>
      <c r="O86" s="1" t="s">
        <v>3008</v>
      </c>
      <c r="P86" s="1">
        <v>6.1</v>
      </c>
      <c r="Q86" s="1" t="s">
        <v>1003</v>
      </c>
      <c r="R86" s="1">
        <v>40.835599999999999</v>
      </c>
      <c r="S86" s="1">
        <v>30.9831</v>
      </c>
      <c r="T86" s="1">
        <v>10</v>
      </c>
      <c r="U86" s="1" t="s">
        <v>3009</v>
      </c>
      <c r="V86" s="1" t="s">
        <v>2834</v>
      </c>
      <c r="W86" s="1">
        <v>160.21</v>
      </c>
      <c r="X86" s="1">
        <v>63.36</v>
      </c>
      <c r="Y86" s="1">
        <v>-18.91</v>
      </c>
      <c r="Z86" s="1">
        <v>258.94</v>
      </c>
      <c r="AA86" s="1">
        <v>73.16</v>
      </c>
      <c r="AB86" s="1">
        <v>-152.06</v>
      </c>
      <c r="AC86" s="1" t="s">
        <v>3006</v>
      </c>
      <c r="AD86" s="1" t="s">
        <v>731</v>
      </c>
      <c r="AE86" s="1"/>
      <c r="AF86" s="1"/>
      <c r="AG86" s="1"/>
      <c r="AH86" s="1"/>
      <c r="AI86" s="1"/>
      <c r="AJ86" s="1" t="s">
        <v>687</v>
      </c>
      <c r="AK86" t="s">
        <v>3013</v>
      </c>
    </row>
    <row r="87" spans="1:37" ht="22" customHeight="1">
      <c r="A87" s="1" t="s">
        <v>685</v>
      </c>
      <c r="B87" s="1">
        <v>2022</v>
      </c>
      <c r="C87" s="1">
        <v>8102</v>
      </c>
      <c r="D87" s="1">
        <v>6.1</v>
      </c>
      <c r="E87" s="1"/>
      <c r="F87" s="1">
        <v>11.79</v>
      </c>
      <c r="G87" s="1">
        <v>1.61</v>
      </c>
      <c r="H87" s="1">
        <v>79.25</v>
      </c>
      <c r="I87" s="1">
        <v>76.12</v>
      </c>
      <c r="J87" s="1">
        <v>-0.12000000000000451</v>
      </c>
      <c r="K87" s="1" t="s">
        <v>1254</v>
      </c>
      <c r="L87" s="1">
        <v>3</v>
      </c>
      <c r="M87" s="1" t="s">
        <v>684</v>
      </c>
      <c r="N87" s="1" t="s">
        <v>3007</v>
      </c>
      <c r="O87" s="1" t="s">
        <v>3008</v>
      </c>
      <c r="P87" s="1">
        <v>6.1</v>
      </c>
      <c r="Q87" s="1" t="s">
        <v>1003</v>
      </c>
      <c r="R87" s="1">
        <v>40.835599999999999</v>
      </c>
      <c r="S87" s="1">
        <v>30.9831</v>
      </c>
      <c r="T87" s="1">
        <v>10</v>
      </c>
      <c r="U87" s="1" t="s">
        <v>3009</v>
      </c>
      <c r="V87" s="1" t="s">
        <v>2834</v>
      </c>
      <c r="W87" s="1">
        <v>160.21</v>
      </c>
      <c r="X87" s="1">
        <v>63.36</v>
      </c>
      <c r="Y87" s="1">
        <v>-18.91</v>
      </c>
      <c r="Z87" s="1">
        <v>258.94</v>
      </c>
      <c r="AA87" s="1">
        <v>73.16</v>
      </c>
      <c r="AB87" s="1">
        <v>-152.06</v>
      </c>
      <c r="AC87" s="1" t="s">
        <v>3006</v>
      </c>
      <c r="AD87" s="1" t="s">
        <v>731</v>
      </c>
      <c r="AE87" s="1"/>
      <c r="AF87" s="1"/>
      <c r="AG87" s="1"/>
      <c r="AH87" s="1"/>
      <c r="AI87" s="1"/>
      <c r="AJ87" s="1" t="s">
        <v>687</v>
      </c>
      <c r="AK87" t="s">
        <v>3013</v>
      </c>
    </row>
    <row r="88" spans="1:37" ht="22" customHeight="1">
      <c r="A88" s="1" t="s">
        <v>685</v>
      </c>
      <c r="B88" s="1">
        <v>2022</v>
      </c>
      <c r="C88" s="1">
        <v>8104</v>
      </c>
      <c r="D88" s="1">
        <v>6.1</v>
      </c>
      <c r="E88" s="1"/>
      <c r="F88" s="1">
        <v>13.74</v>
      </c>
      <c r="G88" s="1">
        <v>1.92</v>
      </c>
      <c r="H88" s="1">
        <v>40.78</v>
      </c>
      <c r="I88" s="1">
        <v>41.07</v>
      </c>
      <c r="J88" s="1">
        <v>34.93</v>
      </c>
      <c r="K88" s="1" t="s">
        <v>1254</v>
      </c>
      <c r="L88" s="1">
        <v>4</v>
      </c>
      <c r="M88" s="1" t="s">
        <v>684</v>
      </c>
      <c r="N88" s="1" t="s">
        <v>3007</v>
      </c>
      <c r="O88" s="1" t="s">
        <v>3008</v>
      </c>
      <c r="P88" s="1">
        <v>6.1</v>
      </c>
      <c r="Q88" s="1" t="s">
        <v>1003</v>
      </c>
      <c r="R88" s="1">
        <v>40.835599999999999</v>
      </c>
      <c r="S88" s="1">
        <v>30.9831</v>
      </c>
      <c r="T88" s="1">
        <v>10</v>
      </c>
      <c r="U88" s="1" t="s">
        <v>3009</v>
      </c>
      <c r="V88" s="1" t="s">
        <v>2834</v>
      </c>
      <c r="W88" s="1">
        <v>160.21</v>
      </c>
      <c r="X88" s="1">
        <v>63.36</v>
      </c>
      <c r="Y88" s="1">
        <v>-18.91</v>
      </c>
      <c r="Z88" s="1">
        <v>258.94</v>
      </c>
      <c r="AA88" s="1">
        <v>73.16</v>
      </c>
      <c r="AB88" s="1">
        <v>-152.06</v>
      </c>
      <c r="AC88" s="1" t="s">
        <v>3006</v>
      </c>
      <c r="AD88" s="1" t="s">
        <v>731</v>
      </c>
      <c r="AE88" s="1"/>
      <c r="AF88" s="1"/>
      <c r="AG88" s="1"/>
      <c r="AH88" s="1"/>
      <c r="AI88" s="1"/>
      <c r="AJ88" s="1" t="s">
        <v>687</v>
      </c>
      <c r="AK88" t="s">
        <v>3013</v>
      </c>
    </row>
    <row r="89" spans="1:37" ht="22" customHeight="1">
      <c r="A89" s="1" t="s">
        <v>685</v>
      </c>
      <c r="B89" s="1">
        <v>2022</v>
      </c>
      <c r="C89" s="1">
        <v>8109</v>
      </c>
      <c r="D89" s="1">
        <v>6.1</v>
      </c>
      <c r="E89" s="1"/>
      <c r="F89" s="1">
        <v>4.75</v>
      </c>
      <c r="G89" s="1">
        <v>1.75</v>
      </c>
      <c r="H89" s="1">
        <v>44</v>
      </c>
      <c r="I89" s="1">
        <v>0</v>
      </c>
      <c r="J89" s="1">
        <v>76</v>
      </c>
      <c r="K89" s="1" t="s">
        <v>1254</v>
      </c>
      <c r="L89" s="1">
        <v>5</v>
      </c>
      <c r="M89" s="1" t="s">
        <v>684</v>
      </c>
      <c r="N89" s="1" t="s">
        <v>3007</v>
      </c>
      <c r="O89" s="1" t="s">
        <v>3008</v>
      </c>
      <c r="P89" s="1">
        <v>6.1</v>
      </c>
      <c r="Q89" s="1" t="s">
        <v>1003</v>
      </c>
      <c r="R89" s="1">
        <v>40.835599999999999</v>
      </c>
      <c r="S89" s="1">
        <v>30.9831</v>
      </c>
      <c r="T89" s="1">
        <v>10</v>
      </c>
      <c r="U89" s="1" t="s">
        <v>3009</v>
      </c>
      <c r="V89" s="1" t="s">
        <v>2834</v>
      </c>
      <c r="W89" s="1">
        <v>160.21</v>
      </c>
      <c r="X89" s="1">
        <v>63.36</v>
      </c>
      <c r="Y89" s="1">
        <v>-18.91</v>
      </c>
      <c r="Z89" s="1">
        <v>258.94</v>
      </c>
      <c r="AA89" s="1">
        <v>73.16</v>
      </c>
      <c r="AB89" s="1">
        <v>-152.06</v>
      </c>
      <c r="AC89" s="1" t="s">
        <v>3006</v>
      </c>
      <c r="AD89" s="1" t="s">
        <v>731</v>
      </c>
      <c r="AE89" s="1"/>
      <c r="AF89" s="1"/>
      <c r="AG89" s="1"/>
      <c r="AH89" s="1"/>
      <c r="AI89" s="1"/>
      <c r="AJ89" s="1" t="s">
        <v>687</v>
      </c>
      <c r="AK89" t="s">
        <v>3013</v>
      </c>
    </row>
    <row r="90" spans="1:37" ht="22" customHeight="1">
      <c r="A90" s="1" t="s">
        <v>1255</v>
      </c>
      <c r="B90" s="1">
        <v>2023</v>
      </c>
      <c r="C90" s="1">
        <v>3123</v>
      </c>
      <c r="D90" s="1">
        <v>7.8</v>
      </c>
      <c r="E90" s="1">
        <v>1.5</v>
      </c>
      <c r="F90" s="22">
        <f>SQRT((2*6371*ASIN(SQRT(MIN(1,SIN((RADIANS(R90)-RADIANS(Pulse_records!H673))/2)^2+COS(RADIANS(R90))*COS(RADIANS(Pulse_records!H673))*SIN(RADIANS(S90-Pulse_records!I673)/2)^2))))^2+T90^2)</f>
        <v>136.19180595904618</v>
      </c>
      <c r="G90" s="1">
        <v>2.6</v>
      </c>
      <c r="H90" s="1">
        <v>179.2</v>
      </c>
      <c r="I90" s="1">
        <v>18</v>
      </c>
      <c r="J90" s="1">
        <v>7</v>
      </c>
      <c r="K90" s="1" t="s">
        <v>1254</v>
      </c>
      <c r="L90" s="1">
        <v>6</v>
      </c>
      <c r="M90" s="1" t="s">
        <v>232</v>
      </c>
      <c r="N90" s="1" t="s">
        <v>3014</v>
      </c>
      <c r="O90" s="1" t="s">
        <v>3015</v>
      </c>
      <c r="P90" s="1">
        <v>7.8</v>
      </c>
      <c r="Q90" s="1" t="s">
        <v>1003</v>
      </c>
      <c r="R90" s="1">
        <v>37.2256</v>
      </c>
      <c r="S90" s="1">
        <v>37.014299999999999</v>
      </c>
      <c r="T90" s="1">
        <v>10</v>
      </c>
      <c r="U90" s="1" t="s">
        <v>3009</v>
      </c>
      <c r="V90" s="1" t="s">
        <v>2834</v>
      </c>
      <c r="W90" s="1">
        <v>317.63</v>
      </c>
      <c r="X90" s="1">
        <v>88.71</v>
      </c>
      <c r="Y90" s="1">
        <v>-179.18</v>
      </c>
      <c r="Z90" s="1">
        <v>227.61</v>
      </c>
      <c r="AA90" s="1">
        <v>89.18</v>
      </c>
      <c r="AB90" s="1">
        <v>-1.29</v>
      </c>
      <c r="AC90" s="1" t="s">
        <v>3006</v>
      </c>
      <c r="AD90" s="1" t="s">
        <v>862</v>
      </c>
      <c r="AE90" s="1">
        <v>3</v>
      </c>
      <c r="AF90" s="1">
        <v>7.8990001775435843</v>
      </c>
      <c r="AG90" s="1">
        <v>11.212199999999999</v>
      </c>
      <c r="AH90" s="1">
        <v>16200</v>
      </c>
      <c r="AI90" s="1" t="s">
        <v>1256</v>
      </c>
      <c r="AJ90" s="1" t="s">
        <v>691</v>
      </c>
      <c r="AK90" t="s">
        <v>3021</v>
      </c>
    </row>
    <row r="91" spans="1:37" ht="22" customHeight="1">
      <c r="A91" s="1" t="s">
        <v>1255</v>
      </c>
      <c r="B91" s="1">
        <v>2023</v>
      </c>
      <c r="C91" s="1">
        <v>2712</v>
      </c>
      <c r="D91" s="1">
        <v>7.8</v>
      </c>
      <c r="E91" s="1">
        <v>1.7</v>
      </c>
      <c r="F91" s="22">
        <f>SQRT((2*6371*ASIN(SQRT(MIN(1,SIN((RADIANS(R91)-RADIANS(Pulse_records!H674))/2)^2+COS(RADIANS(R91))*COS(RADIANS(Pulse_records!H674))*SIN(RADIANS(S91-Pulse_records!I674)/2)^2))))^2+T91^2)</f>
        <v>27.254607620080087</v>
      </c>
      <c r="G91" s="1">
        <v>7.1</v>
      </c>
      <c r="H91" s="1">
        <v>126.7</v>
      </c>
      <c r="I91" s="1">
        <v>-31</v>
      </c>
      <c r="J91" s="1">
        <v>56</v>
      </c>
      <c r="K91" s="1" t="s">
        <v>1254</v>
      </c>
      <c r="L91" s="1">
        <v>7</v>
      </c>
      <c r="M91" s="1" t="s">
        <v>232</v>
      </c>
      <c r="N91" s="1" t="s">
        <v>3014</v>
      </c>
      <c r="O91" s="1" t="s">
        <v>3015</v>
      </c>
      <c r="P91" s="1">
        <v>7.8</v>
      </c>
      <c r="Q91" s="1" t="s">
        <v>1003</v>
      </c>
      <c r="R91" s="1">
        <v>37.2256</v>
      </c>
      <c r="S91" s="1">
        <v>37.014299999999999</v>
      </c>
      <c r="T91" s="1">
        <v>10</v>
      </c>
      <c r="U91" s="1" t="s">
        <v>3009</v>
      </c>
      <c r="V91" s="1" t="s">
        <v>2834</v>
      </c>
      <c r="W91" s="1">
        <v>317.63</v>
      </c>
      <c r="X91" s="1">
        <v>88.71</v>
      </c>
      <c r="Y91" s="1">
        <v>-179.18</v>
      </c>
      <c r="Z91" s="1">
        <v>227.61</v>
      </c>
      <c r="AA91" s="1">
        <v>89.18</v>
      </c>
      <c r="AB91" s="1">
        <v>-1.29</v>
      </c>
      <c r="AC91" s="1" t="s">
        <v>3006</v>
      </c>
      <c r="AD91" s="1" t="s">
        <v>862</v>
      </c>
      <c r="AE91" s="1">
        <v>3</v>
      </c>
      <c r="AF91" s="1">
        <v>7.8990001775435843</v>
      </c>
      <c r="AG91" s="1">
        <v>11.212199999999999</v>
      </c>
      <c r="AH91" s="1">
        <v>16200</v>
      </c>
      <c r="AI91" s="1" t="s">
        <v>1256</v>
      </c>
      <c r="AJ91" s="1" t="s">
        <v>691</v>
      </c>
      <c r="AK91" t="s">
        <v>3021</v>
      </c>
    </row>
    <row r="92" spans="1:37" ht="22" customHeight="1">
      <c r="A92" s="1" t="s">
        <v>1255</v>
      </c>
      <c r="B92" s="1">
        <v>2023</v>
      </c>
      <c r="C92" s="1">
        <v>2718</v>
      </c>
      <c r="D92" s="1">
        <v>7.8</v>
      </c>
      <c r="E92" s="1">
        <v>1.8</v>
      </c>
      <c r="F92" s="22">
        <f>SQRT((2*6371*ASIN(SQRT(MIN(1,SIN((RADIANS(R92)-RADIANS(Pulse_records!H675))/2)^2+COS(RADIANS(R92))*COS(RADIANS(Pulse_records!H675))*SIN(RADIANS(S92-Pulse_records!I675)/2)^2))))^2+T92^2)</f>
        <v>43.225256477462416</v>
      </c>
      <c r="G92" s="1">
        <v>6</v>
      </c>
      <c r="H92" s="1">
        <v>114.4</v>
      </c>
      <c r="I92" s="1">
        <v>-79</v>
      </c>
      <c r="J92" s="1">
        <v>76</v>
      </c>
      <c r="K92" s="1" t="s">
        <v>1254</v>
      </c>
      <c r="L92" s="1">
        <v>8</v>
      </c>
      <c r="M92" s="1" t="s">
        <v>232</v>
      </c>
      <c r="N92" s="1" t="s">
        <v>3014</v>
      </c>
      <c r="O92" s="1" t="s">
        <v>3015</v>
      </c>
      <c r="P92" s="1">
        <v>7.8</v>
      </c>
      <c r="Q92" s="1" t="s">
        <v>1003</v>
      </c>
      <c r="R92" s="1">
        <v>37.2256</v>
      </c>
      <c r="S92" s="1">
        <v>37.014299999999999</v>
      </c>
      <c r="T92" s="1">
        <v>10</v>
      </c>
      <c r="U92" s="1" t="s">
        <v>3009</v>
      </c>
      <c r="V92" s="1" t="s">
        <v>2834</v>
      </c>
      <c r="W92" s="1">
        <v>317.63</v>
      </c>
      <c r="X92" s="1">
        <v>88.71</v>
      </c>
      <c r="Y92" s="1">
        <v>-179.18</v>
      </c>
      <c r="Z92" s="1">
        <v>227.61</v>
      </c>
      <c r="AA92" s="1">
        <v>89.18</v>
      </c>
      <c r="AB92" s="1">
        <v>-1.29</v>
      </c>
      <c r="AC92" s="1" t="s">
        <v>3006</v>
      </c>
      <c r="AD92" s="1" t="s">
        <v>862</v>
      </c>
      <c r="AE92" s="1">
        <v>3</v>
      </c>
      <c r="AF92" s="1">
        <v>7.8990001775435843</v>
      </c>
      <c r="AG92" s="1">
        <v>11.212199999999999</v>
      </c>
      <c r="AH92" s="1">
        <v>16200</v>
      </c>
      <c r="AI92" s="1" t="s">
        <v>1256</v>
      </c>
      <c r="AJ92" s="1" t="s">
        <v>691</v>
      </c>
      <c r="AK92" t="s">
        <v>3021</v>
      </c>
    </row>
    <row r="93" spans="1:37" ht="22" customHeight="1">
      <c r="A93" s="1" t="s">
        <v>1255</v>
      </c>
      <c r="B93" s="1">
        <v>2023</v>
      </c>
      <c r="C93" s="1">
        <v>3145</v>
      </c>
      <c r="D93" s="1">
        <v>7.8</v>
      </c>
      <c r="E93" s="1">
        <v>1.8</v>
      </c>
      <c r="F93" s="22">
        <f>SQRT((2*6371*ASIN(SQRT(MIN(1,SIN((RADIANS(R93)-RADIANS(Pulse_records!H676))/2)^2+COS(RADIANS(R93))*COS(RADIANS(Pulse_records!H676))*SIN(RADIANS(S93-Pulse_records!I676)/2)^2))))^2+T93^2)</f>
        <v>84.746361866557024</v>
      </c>
      <c r="G93" s="1">
        <v>4.2</v>
      </c>
      <c r="H93" s="1">
        <v>147.9</v>
      </c>
      <c r="I93" s="1">
        <v>75</v>
      </c>
      <c r="J93" s="1">
        <v>50</v>
      </c>
      <c r="K93" s="1" t="s">
        <v>1254</v>
      </c>
      <c r="L93" s="1">
        <v>9</v>
      </c>
      <c r="M93" s="1" t="s">
        <v>232</v>
      </c>
      <c r="N93" s="1" t="s">
        <v>3014</v>
      </c>
      <c r="O93" s="1" t="s">
        <v>3015</v>
      </c>
      <c r="P93" s="1">
        <v>7.8</v>
      </c>
      <c r="Q93" s="1" t="s">
        <v>1003</v>
      </c>
      <c r="R93" s="1">
        <v>37.2256</v>
      </c>
      <c r="S93" s="1">
        <v>37.014299999999999</v>
      </c>
      <c r="T93" s="1">
        <v>10</v>
      </c>
      <c r="U93" s="1" t="s">
        <v>3009</v>
      </c>
      <c r="V93" s="1" t="s">
        <v>2834</v>
      </c>
      <c r="W93" s="1">
        <v>317.63</v>
      </c>
      <c r="X93" s="1">
        <v>88.71</v>
      </c>
      <c r="Y93" s="1">
        <v>-179.18</v>
      </c>
      <c r="Z93" s="1">
        <v>227.61</v>
      </c>
      <c r="AA93" s="1">
        <v>89.18</v>
      </c>
      <c r="AB93" s="1">
        <v>-1.29</v>
      </c>
      <c r="AC93" s="1" t="s">
        <v>3006</v>
      </c>
      <c r="AD93" s="1" t="s">
        <v>862</v>
      </c>
      <c r="AE93" s="1">
        <v>3</v>
      </c>
      <c r="AF93" s="1">
        <v>7.8990001775435843</v>
      </c>
      <c r="AG93" s="1">
        <v>11.212199999999999</v>
      </c>
      <c r="AH93" s="1">
        <v>16200</v>
      </c>
      <c r="AI93" s="1" t="s">
        <v>1256</v>
      </c>
      <c r="AJ93" s="1" t="s">
        <v>691</v>
      </c>
      <c r="AK93" t="s">
        <v>3021</v>
      </c>
    </row>
    <row r="94" spans="1:37" ht="22" customHeight="1">
      <c r="A94" s="1" t="s">
        <v>1255</v>
      </c>
      <c r="B94" s="1">
        <v>2023</v>
      </c>
      <c r="C94" s="1">
        <v>4616</v>
      </c>
      <c r="D94" s="1">
        <v>7.8</v>
      </c>
      <c r="E94" s="1">
        <v>1.9</v>
      </c>
      <c r="F94" s="22">
        <f>SQRT((2*6371*ASIN(SQRT(MIN(1,SIN((RADIANS(R94)-RADIANS(Pulse_records!H677))/2)^2+COS(RADIANS(R94))*COS(RADIANS(Pulse_records!H677))*SIN(RADIANS(S94-Pulse_records!I677)/2)^2))))^2+T94^2)</f>
        <v>24.897750015535877</v>
      </c>
      <c r="G94" s="1">
        <v>8.4</v>
      </c>
      <c r="H94" s="1">
        <v>102.2</v>
      </c>
      <c r="I94" s="1">
        <v>-50</v>
      </c>
      <c r="J94" s="1">
        <v>70</v>
      </c>
      <c r="K94" s="1" t="s">
        <v>1254</v>
      </c>
      <c r="L94" s="1">
        <v>10</v>
      </c>
      <c r="M94" s="1" t="s">
        <v>232</v>
      </c>
      <c r="N94" s="1" t="s">
        <v>3014</v>
      </c>
      <c r="O94" s="1" t="s">
        <v>3015</v>
      </c>
      <c r="P94" s="1">
        <v>7.8</v>
      </c>
      <c r="Q94" s="1" t="s">
        <v>1003</v>
      </c>
      <c r="R94" s="1">
        <v>37.2256</v>
      </c>
      <c r="S94" s="1">
        <v>37.014299999999999</v>
      </c>
      <c r="T94" s="1">
        <v>10</v>
      </c>
      <c r="U94" s="1" t="s">
        <v>3009</v>
      </c>
      <c r="V94" s="1" t="s">
        <v>2834</v>
      </c>
      <c r="W94" s="1">
        <v>317.63</v>
      </c>
      <c r="X94" s="1">
        <v>88.71</v>
      </c>
      <c r="Y94" s="1">
        <v>-179.18</v>
      </c>
      <c r="Z94" s="1">
        <v>227.61</v>
      </c>
      <c r="AA94" s="1">
        <v>89.18</v>
      </c>
      <c r="AB94" s="1">
        <v>-1.29</v>
      </c>
      <c r="AC94" s="1" t="s">
        <v>3006</v>
      </c>
      <c r="AD94" s="1" t="s">
        <v>862</v>
      </c>
      <c r="AE94" s="1">
        <v>3</v>
      </c>
      <c r="AF94" s="1">
        <v>7.8990001775435843</v>
      </c>
      <c r="AG94" s="1">
        <v>11.212199999999999</v>
      </c>
      <c r="AH94" s="1">
        <v>16200</v>
      </c>
      <c r="AI94" s="1" t="s">
        <v>1256</v>
      </c>
      <c r="AJ94" s="1" t="s">
        <v>691</v>
      </c>
      <c r="AK94" t="s">
        <v>3021</v>
      </c>
    </row>
    <row r="95" spans="1:37" ht="22" customHeight="1">
      <c r="A95" s="1" t="s">
        <v>1255</v>
      </c>
      <c r="B95" s="1">
        <v>2023</v>
      </c>
      <c r="C95" s="1">
        <v>3138</v>
      </c>
      <c r="D95" s="1">
        <v>7.8</v>
      </c>
      <c r="E95" s="1">
        <v>2.1</v>
      </c>
      <c r="F95" s="22">
        <f>SQRT((2*6371*ASIN(SQRT(MIN(1,SIN((RADIANS(R95)-RADIANS(Pulse_records!H678))/2)^2+COS(RADIANS(R95))*COS(RADIANS(Pulse_records!H678))*SIN(RADIANS(S95-Pulse_records!I678)/2)^2))))^2+T95^2)</f>
        <v>65.631579340330177</v>
      </c>
      <c r="G95" s="1">
        <v>7.5</v>
      </c>
      <c r="H95" s="1">
        <v>173.2</v>
      </c>
      <c r="I95" s="1">
        <v>74</v>
      </c>
      <c r="J95" s="1">
        <v>49</v>
      </c>
      <c r="K95" s="1" t="s">
        <v>1254</v>
      </c>
      <c r="L95" s="1">
        <v>11</v>
      </c>
      <c r="M95" s="1" t="s">
        <v>232</v>
      </c>
      <c r="N95" s="1" t="s">
        <v>3014</v>
      </c>
      <c r="O95" s="1" t="s">
        <v>3015</v>
      </c>
      <c r="P95" s="1">
        <v>7.8</v>
      </c>
      <c r="Q95" s="1" t="s">
        <v>1003</v>
      </c>
      <c r="R95" s="1">
        <v>37.2256</v>
      </c>
      <c r="S95" s="1">
        <v>37.014299999999999</v>
      </c>
      <c r="T95" s="1">
        <v>10</v>
      </c>
      <c r="U95" s="1" t="s">
        <v>3009</v>
      </c>
      <c r="V95" s="1" t="s">
        <v>2834</v>
      </c>
      <c r="W95" s="1">
        <v>317.63</v>
      </c>
      <c r="X95" s="1">
        <v>88.71</v>
      </c>
      <c r="Y95" s="1">
        <v>-179.18</v>
      </c>
      <c r="Z95" s="1">
        <v>227.61</v>
      </c>
      <c r="AA95" s="1">
        <v>89.18</v>
      </c>
      <c r="AB95" s="1">
        <v>-1.29</v>
      </c>
      <c r="AC95" s="1" t="s">
        <v>3006</v>
      </c>
      <c r="AD95" s="1" t="s">
        <v>862</v>
      </c>
      <c r="AE95" s="1">
        <v>3</v>
      </c>
      <c r="AF95" s="1">
        <v>7.8990001775435843</v>
      </c>
      <c r="AG95" s="1">
        <v>11.212199999999999</v>
      </c>
      <c r="AH95" s="1">
        <v>16200</v>
      </c>
      <c r="AI95" s="1" t="s">
        <v>1256</v>
      </c>
      <c r="AJ95" s="1" t="s">
        <v>691</v>
      </c>
      <c r="AK95" t="s">
        <v>3021</v>
      </c>
    </row>
    <row r="96" spans="1:37" ht="22" customHeight="1">
      <c r="A96" s="1" t="s">
        <v>1255</v>
      </c>
      <c r="B96" s="1">
        <v>2023</v>
      </c>
      <c r="C96" s="1">
        <v>3144</v>
      </c>
      <c r="D96" s="1">
        <v>7.8</v>
      </c>
      <c r="E96" s="1">
        <v>2.1</v>
      </c>
      <c r="F96" s="22">
        <f>SQRT((2*6371*ASIN(SQRT(MIN(1,SIN((RADIANS(R96)-RADIANS(Pulse_records!H679))/2)^2+COS(RADIANS(R96))*COS(RADIANS(Pulse_records!H679))*SIN(RADIANS(S96-Pulse_records!I679)/2)^2))))^2+T96^2)</f>
        <v>70.850073015547721</v>
      </c>
      <c r="G96" s="1">
        <v>8.3000000000000007</v>
      </c>
      <c r="H96" s="1">
        <v>145.4</v>
      </c>
      <c r="I96" s="1">
        <v>57</v>
      </c>
      <c r="J96" s="1">
        <v>32</v>
      </c>
      <c r="K96" s="1" t="s">
        <v>1254</v>
      </c>
      <c r="L96" s="1">
        <v>12</v>
      </c>
      <c r="M96" s="1" t="s">
        <v>232</v>
      </c>
      <c r="N96" s="1" t="s">
        <v>3014</v>
      </c>
      <c r="O96" s="1" t="s">
        <v>3015</v>
      </c>
      <c r="P96" s="1">
        <v>7.8</v>
      </c>
      <c r="Q96" s="1" t="s">
        <v>1003</v>
      </c>
      <c r="R96" s="1">
        <v>37.2256</v>
      </c>
      <c r="S96" s="1">
        <v>37.014299999999999</v>
      </c>
      <c r="T96" s="1">
        <v>10</v>
      </c>
      <c r="U96" s="1" t="s">
        <v>3009</v>
      </c>
      <c r="V96" s="1" t="s">
        <v>2834</v>
      </c>
      <c r="W96" s="1">
        <v>317.63</v>
      </c>
      <c r="X96" s="1">
        <v>88.71</v>
      </c>
      <c r="Y96" s="1">
        <v>-179.18</v>
      </c>
      <c r="Z96" s="1">
        <v>227.61</v>
      </c>
      <c r="AA96" s="1">
        <v>89.18</v>
      </c>
      <c r="AB96" s="1">
        <v>-1.29</v>
      </c>
      <c r="AC96" s="1" t="s">
        <v>3006</v>
      </c>
      <c r="AD96" s="1" t="s">
        <v>862</v>
      </c>
      <c r="AE96" s="1">
        <v>3</v>
      </c>
      <c r="AF96" s="1">
        <v>7.8990001775435843</v>
      </c>
      <c r="AG96" s="1">
        <v>11.212199999999999</v>
      </c>
      <c r="AH96" s="1">
        <v>16200</v>
      </c>
      <c r="AI96" s="1" t="s">
        <v>1256</v>
      </c>
      <c r="AJ96" s="1" t="s">
        <v>691</v>
      </c>
      <c r="AK96" t="s">
        <v>3021</v>
      </c>
    </row>
    <row r="97" spans="1:37" ht="22" customHeight="1">
      <c r="A97" s="1" t="s">
        <v>1255</v>
      </c>
      <c r="B97" s="1">
        <v>2023</v>
      </c>
      <c r="C97" s="1">
        <v>3131</v>
      </c>
      <c r="D97" s="1">
        <v>7.8</v>
      </c>
      <c r="E97" s="1">
        <v>2.2999999999999998</v>
      </c>
      <c r="F97" s="22">
        <f>SQRT((2*6371*ASIN(SQRT(MIN(1,SIN((RADIANS(R97)-RADIANS(Pulse_records!H680))/2)^2+COS(RADIANS(R97))*COS(RADIANS(Pulse_records!H680))*SIN(RADIANS(S97-Pulse_records!I680)/2)^2))))^2+T97^2)</f>
        <v>138.14519305243493</v>
      </c>
      <c r="G97" s="1">
        <v>7.9</v>
      </c>
      <c r="H97" s="1">
        <v>59.8</v>
      </c>
      <c r="I97" s="1">
        <v>-29</v>
      </c>
      <c r="J97" s="1">
        <v>54</v>
      </c>
      <c r="K97" s="1" t="s">
        <v>1254</v>
      </c>
      <c r="L97" s="1">
        <v>13</v>
      </c>
      <c r="M97" s="1" t="s">
        <v>232</v>
      </c>
      <c r="N97" s="1" t="s">
        <v>3014</v>
      </c>
      <c r="O97" s="1" t="s">
        <v>3015</v>
      </c>
      <c r="P97" s="1">
        <v>7.8</v>
      </c>
      <c r="Q97" s="1" t="s">
        <v>1003</v>
      </c>
      <c r="R97" s="1">
        <v>37.2256</v>
      </c>
      <c r="S97" s="1">
        <v>37.014299999999999</v>
      </c>
      <c r="T97" s="1">
        <v>10</v>
      </c>
      <c r="U97" s="1" t="s">
        <v>3009</v>
      </c>
      <c r="V97" s="1" t="s">
        <v>2834</v>
      </c>
      <c r="W97" s="1">
        <v>317.63</v>
      </c>
      <c r="X97" s="1">
        <v>88.71</v>
      </c>
      <c r="Y97" s="1">
        <v>-179.18</v>
      </c>
      <c r="Z97" s="1">
        <v>227.61</v>
      </c>
      <c r="AA97" s="1">
        <v>89.18</v>
      </c>
      <c r="AB97" s="1">
        <v>-1.29</v>
      </c>
      <c r="AC97" s="1" t="s">
        <v>3006</v>
      </c>
      <c r="AD97" s="1" t="s">
        <v>862</v>
      </c>
      <c r="AE97" s="1">
        <v>3</v>
      </c>
      <c r="AF97" s="1">
        <v>7.8990001775435843</v>
      </c>
      <c r="AG97" s="1">
        <v>11.212199999999999</v>
      </c>
      <c r="AH97" s="1">
        <v>16200</v>
      </c>
      <c r="AI97" s="1" t="s">
        <v>1256</v>
      </c>
      <c r="AJ97" s="1" t="s">
        <v>691</v>
      </c>
      <c r="AK97" t="s">
        <v>3021</v>
      </c>
    </row>
    <row r="98" spans="1:37" ht="22" customHeight="1">
      <c r="A98" s="1" t="s">
        <v>1255</v>
      </c>
      <c r="B98" s="1">
        <v>2023</v>
      </c>
      <c r="C98" s="1">
        <v>2708</v>
      </c>
      <c r="D98" s="1">
        <v>7.8</v>
      </c>
      <c r="E98" s="1">
        <v>2.6</v>
      </c>
      <c r="F98" s="22">
        <f>SQRT((2*6371*ASIN(SQRT(MIN(1,SIN((RADIANS(R98)-RADIANS(Pulse_records!H681))/2)^2+COS(RADIANS(R98))*COS(RADIANS(Pulse_records!H681))*SIN(RADIANS(S98-Pulse_records!I681)/2)^2))))^2+T98^2)</f>
        <v>36.723291293504737</v>
      </c>
      <c r="G98" s="1">
        <v>3.1</v>
      </c>
      <c r="H98" s="1">
        <v>155.4</v>
      </c>
      <c r="I98" s="1">
        <v>-66</v>
      </c>
      <c r="J98" s="1">
        <v>89</v>
      </c>
      <c r="K98" s="1" t="s">
        <v>1254</v>
      </c>
      <c r="L98" s="1">
        <v>14</v>
      </c>
      <c r="M98" s="1" t="s">
        <v>232</v>
      </c>
      <c r="N98" s="1" t="s">
        <v>3014</v>
      </c>
      <c r="O98" s="1" t="s">
        <v>3015</v>
      </c>
      <c r="P98" s="1">
        <v>7.8</v>
      </c>
      <c r="Q98" s="1" t="s">
        <v>1003</v>
      </c>
      <c r="R98" s="1">
        <v>37.2256</v>
      </c>
      <c r="S98" s="1">
        <v>37.014299999999999</v>
      </c>
      <c r="T98" s="1">
        <v>10</v>
      </c>
      <c r="U98" s="1" t="s">
        <v>3009</v>
      </c>
      <c r="V98" s="1" t="s">
        <v>2834</v>
      </c>
      <c r="W98" s="1">
        <v>317.63</v>
      </c>
      <c r="X98" s="1">
        <v>88.71</v>
      </c>
      <c r="Y98" s="1">
        <v>-179.18</v>
      </c>
      <c r="Z98" s="1">
        <v>227.61</v>
      </c>
      <c r="AA98" s="1">
        <v>89.18</v>
      </c>
      <c r="AB98" s="1">
        <v>-1.29</v>
      </c>
      <c r="AC98" s="1" t="s">
        <v>3006</v>
      </c>
      <c r="AD98" s="1" t="s">
        <v>862</v>
      </c>
      <c r="AE98" s="1">
        <v>3</v>
      </c>
      <c r="AF98" s="1">
        <v>7.8990001775435843</v>
      </c>
      <c r="AG98" s="1">
        <v>11.212199999999999</v>
      </c>
      <c r="AH98" s="1">
        <v>16200</v>
      </c>
      <c r="AI98" s="1" t="s">
        <v>1256</v>
      </c>
      <c r="AJ98" s="1" t="s">
        <v>691</v>
      </c>
      <c r="AK98" t="s">
        <v>3021</v>
      </c>
    </row>
    <row r="99" spans="1:37" ht="22" customHeight="1">
      <c r="A99" s="1" t="s">
        <v>1255</v>
      </c>
      <c r="B99" s="1">
        <v>2023</v>
      </c>
      <c r="C99" s="1">
        <v>3143</v>
      </c>
      <c r="D99" s="1">
        <v>7.8</v>
      </c>
      <c r="E99" s="1">
        <v>3.1</v>
      </c>
      <c r="F99" s="22">
        <f>SQRT((2*6371*ASIN(SQRT(MIN(1,SIN((RADIANS(R99)-RADIANS(Pulse_records!H682))/2)^2+COS(RADIANS(R99))*COS(RADIANS(Pulse_records!H682))*SIN(RADIANS(S99-Pulse_records!I682)/2)^2))))^2+T99^2)</f>
        <v>59.169437321455796</v>
      </c>
      <c r="G99" s="1">
        <v>7.3</v>
      </c>
      <c r="H99" s="1">
        <v>157.6</v>
      </c>
      <c r="I99" s="1">
        <v>-47</v>
      </c>
      <c r="J99" s="1">
        <v>72</v>
      </c>
      <c r="K99" s="1" t="s">
        <v>1254</v>
      </c>
      <c r="L99" s="1">
        <v>15</v>
      </c>
      <c r="M99" s="1" t="s">
        <v>232</v>
      </c>
      <c r="N99" s="1" t="s">
        <v>3014</v>
      </c>
      <c r="O99" s="1" t="s">
        <v>3015</v>
      </c>
      <c r="P99" s="1">
        <v>7.8</v>
      </c>
      <c r="Q99" s="1" t="s">
        <v>1003</v>
      </c>
      <c r="R99" s="1">
        <v>37.2256</v>
      </c>
      <c r="S99" s="1">
        <v>37.014299999999999</v>
      </c>
      <c r="T99" s="1">
        <v>10</v>
      </c>
      <c r="U99" s="1" t="s">
        <v>3009</v>
      </c>
      <c r="V99" s="1" t="s">
        <v>2834</v>
      </c>
      <c r="W99" s="1">
        <v>317.63</v>
      </c>
      <c r="X99" s="1">
        <v>88.71</v>
      </c>
      <c r="Y99" s="1">
        <v>-179.18</v>
      </c>
      <c r="Z99" s="1">
        <v>227.61</v>
      </c>
      <c r="AA99" s="1">
        <v>89.18</v>
      </c>
      <c r="AB99" s="1">
        <v>-1.29</v>
      </c>
      <c r="AC99" s="1" t="s">
        <v>3006</v>
      </c>
      <c r="AD99" s="1" t="s">
        <v>862</v>
      </c>
      <c r="AE99" s="1">
        <v>3</v>
      </c>
      <c r="AF99" s="1">
        <v>7.8990001775435843</v>
      </c>
      <c r="AG99" s="1">
        <v>11.212199999999999</v>
      </c>
      <c r="AH99" s="1">
        <v>16200</v>
      </c>
      <c r="AI99" s="1" t="s">
        <v>1256</v>
      </c>
      <c r="AJ99" s="1" t="s">
        <v>691</v>
      </c>
      <c r="AK99" t="s">
        <v>3021</v>
      </c>
    </row>
    <row r="100" spans="1:37" ht="22" customHeight="1">
      <c r="A100" s="1" t="s">
        <v>1255</v>
      </c>
      <c r="B100" s="1">
        <v>2023</v>
      </c>
      <c r="C100" s="1">
        <v>4615</v>
      </c>
      <c r="D100" s="1">
        <v>7.8</v>
      </c>
      <c r="E100" s="1">
        <v>3.6</v>
      </c>
      <c r="F100" s="22">
        <f>SQRT((2*6371*ASIN(SQRT(MIN(1,SIN((RADIANS(R100)-RADIANS(Pulse_records!H683))/2)^2+COS(RADIANS(R100))*COS(RADIANS(Pulse_records!H683))*SIN(RADIANS(S100-Pulse_records!I683)/2)^2))))^2+T100^2)</f>
        <v>23.257024035897185</v>
      </c>
      <c r="G100" s="1">
        <v>5.6</v>
      </c>
      <c r="H100" s="1">
        <v>156.6</v>
      </c>
      <c r="I100" s="1">
        <v>-20</v>
      </c>
      <c r="J100" s="1">
        <v>48</v>
      </c>
      <c r="K100" s="1" t="s">
        <v>1254</v>
      </c>
      <c r="L100" s="1">
        <v>16</v>
      </c>
      <c r="M100" s="1" t="s">
        <v>232</v>
      </c>
      <c r="N100" s="1" t="s">
        <v>3014</v>
      </c>
      <c r="O100" s="1" t="s">
        <v>3015</v>
      </c>
      <c r="P100" s="1">
        <v>7.8</v>
      </c>
      <c r="Q100" s="1" t="s">
        <v>1003</v>
      </c>
      <c r="R100" s="1">
        <v>37.2256</v>
      </c>
      <c r="S100" s="1">
        <v>37.014299999999999</v>
      </c>
      <c r="T100" s="1">
        <v>10</v>
      </c>
      <c r="U100" s="1" t="s">
        <v>3009</v>
      </c>
      <c r="V100" s="1" t="s">
        <v>2834</v>
      </c>
      <c r="W100" s="1">
        <v>317.63</v>
      </c>
      <c r="X100" s="1">
        <v>88.71</v>
      </c>
      <c r="Y100" s="1">
        <v>-179.18</v>
      </c>
      <c r="Z100" s="1">
        <v>227.61</v>
      </c>
      <c r="AA100" s="1">
        <v>89.18</v>
      </c>
      <c r="AB100" s="1">
        <v>-1.29</v>
      </c>
      <c r="AC100" s="1" t="s">
        <v>3006</v>
      </c>
      <c r="AD100" s="1" t="s">
        <v>862</v>
      </c>
      <c r="AE100" s="1">
        <v>3</v>
      </c>
      <c r="AF100" s="1">
        <v>7.8990001775435843</v>
      </c>
      <c r="AG100" s="1">
        <v>11.212199999999999</v>
      </c>
      <c r="AH100" s="1">
        <v>16200</v>
      </c>
      <c r="AI100" s="1" t="s">
        <v>1256</v>
      </c>
      <c r="AJ100" s="1" t="s">
        <v>691</v>
      </c>
      <c r="AK100" t="s">
        <v>3021</v>
      </c>
    </row>
    <row r="101" spans="1:37" ht="22" customHeight="1">
      <c r="A101" s="1" t="s">
        <v>1255</v>
      </c>
      <c r="B101" s="1">
        <v>2023</v>
      </c>
      <c r="C101" s="1">
        <v>3139</v>
      </c>
      <c r="D101" s="1">
        <v>7.8</v>
      </c>
      <c r="E101" s="1">
        <v>4</v>
      </c>
      <c r="F101" s="22">
        <f>SQRT((2*6371*ASIN(SQRT(MIN(1,SIN((RADIANS(R101)-RADIANS(Pulse_records!H684))/2)^2+COS(RADIANS(R101))*COS(RADIANS(Pulse_records!H684))*SIN(RADIANS(S101-Pulse_records!I684)/2)^2))))^2+T101^2)</f>
        <v>89.653056051610989</v>
      </c>
      <c r="G101" s="1">
        <v>3</v>
      </c>
      <c r="H101" s="1">
        <v>149.6</v>
      </c>
      <c r="I101" s="1">
        <v>-18</v>
      </c>
      <c r="J101" s="1">
        <v>43</v>
      </c>
      <c r="K101" s="1" t="s">
        <v>1254</v>
      </c>
      <c r="L101" s="1">
        <v>17</v>
      </c>
      <c r="M101" s="1" t="s">
        <v>232</v>
      </c>
      <c r="N101" s="1" t="s">
        <v>3014</v>
      </c>
      <c r="O101" s="1" t="s">
        <v>3015</v>
      </c>
      <c r="P101" s="1">
        <v>7.8</v>
      </c>
      <c r="Q101" s="1" t="s">
        <v>1003</v>
      </c>
      <c r="R101" s="1">
        <v>37.2256</v>
      </c>
      <c r="S101" s="1">
        <v>37.014299999999999</v>
      </c>
      <c r="T101" s="1">
        <v>10</v>
      </c>
      <c r="U101" s="1" t="s">
        <v>3009</v>
      </c>
      <c r="V101" s="1" t="s">
        <v>2834</v>
      </c>
      <c r="W101" s="1">
        <v>317.63</v>
      </c>
      <c r="X101" s="1">
        <v>88.71</v>
      </c>
      <c r="Y101" s="1">
        <v>-179.18</v>
      </c>
      <c r="Z101" s="1">
        <v>227.61</v>
      </c>
      <c r="AA101" s="1">
        <v>89.18</v>
      </c>
      <c r="AB101" s="1">
        <v>-1.29</v>
      </c>
      <c r="AC101" s="1" t="s">
        <v>3006</v>
      </c>
      <c r="AD101" s="1" t="s">
        <v>862</v>
      </c>
      <c r="AE101" s="1">
        <v>3</v>
      </c>
      <c r="AF101" s="1">
        <v>7.8990001775435843</v>
      </c>
      <c r="AG101" s="1">
        <v>11.212199999999999</v>
      </c>
      <c r="AH101" s="1">
        <v>16200</v>
      </c>
      <c r="AI101" s="1" t="s">
        <v>1256</v>
      </c>
      <c r="AJ101" s="1" t="s">
        <v>691</v>
      </c>
      <c r="AK101" t="s">
        <v>3021</v>
      </c>
    </row>
    <row r="102" spans="1:37" ht="22" customHeight="1">
      <c r="A102" s="1" t="s">
        <v>1255</v>
      </c>
      <c r="B102" s="1">
        <v>2023</v>
      </c>
      <c r="C102" s="1">
        <v>3142</v>
      </c>
      <c r="D102" s="1">
        <v>7.8</v>
      </c>
      <c r="E102" s="1">
        <v>4.0999999999999996</v>
      </c>
      <c r="F102" s="22">
        <f>SQRT((2*6371*ASIN(SQRT(MIN(1,SIN((RADIANS(R102)-RADIANS(Pulse_records!H685))/2)^2+COS(RADIANS(R102))*COS(RADIANS(Pulse_records!H685))*SIN(RADIANS(S102-Pulse_records!I685)/2)^2))))^2+T102^2)</f>
        <v>99.856972635078577</v>
      </c>
      <c r="G102" s="1">
        <v>13.5</v>
      </c>
      <c r="H102" s="1">
        <v>77.099999999999994</v>
      </c>
      <c r="I102" s="1">
        <v>-67</v>
      </c>
      <c r="J102" s="1">
        <v>88</v>
      </c>
      <c r="K102" s="1" t="s">
        <v>1254</v>
      </c>
      <c r="L102" s="1">
        <v>18</v>
      </c>
      <c r="M102" s="1" t="s">
        <v>232</v>
      </c>
      <c r="N102" s="1" t="s">
        <v>3014</v>
      </c>
      <c r="O102" s="1" t="s">
        <v>3015</v>
      </c>
      <c r="P102" s="1">
        <v>7.8</v>
      </c>
      <c r="Q102" s="1" t="s">
        <v>1003</v>
      </c>
      <c r="R102" s="1">
        <v>37.2256</v>
      </c>
      <c r="S102" s="1">
        <v>37.014299999999999</v>
      </c>
      <c r="T102" s="1">
        <v>10</v>
      </c>
      <c r="U102" s="1" t="s">
        <v>3009</v>
      </c>
      <c r="V102" s="1" t="s">
        <v>2834</v>
      </c>
      <c r="W102" s="1">
        <v>317.63</v>
      </c>
      <c r="X102" s="1">
        <v>88.71</v>
      </c>
      <c r="Y102" s="1">
        <v>-179.18</v>
      </c>
      <c r="Z102" s="1">
        <v>227.61</v>
      </c>
      <c r="AA102" s="1">
        <v>89.18</v>
      </c>
      <c r="AB102" s="1">
        <v>-1.29</v>
      </c>
      <c r="AC102" s="1" t="s">
        <v>3006</v>
      </c>
      <c r="AD102" s="1" t="s">
        <v>862</v>
      </c>
      <c r="AE102" s="1">
        <v>3</v>
      </c>
      <c r="AF102" s="1">
        <v>7.8990001775435843</v>
      </c>
      <c r="AG102" s="1">
        <v>11.212199999999999</v>
      </c>
      <c r="AH102" s="1">
        <v>16200</v>
      </c>
      <c r="AI102" s="1" t="s">
        <v>1256</v>
      </c>
      <c r="AJ102" s="1" t="s">
        <v>691</v>
      </c>
      <c r="AK102" t="s">
        <v>3021</v>
      </c>
    </row>
    <row r="103" spans="1:37" ht="22" customHeight="1">
      <c r="A103" s="1" t="s">
        <v>1255</v>
      </c>
      <c r="B103" s="1">
        <v>2023</v>
      </c>
      <c r="C103" s="1" t="s">
        <v>1257</v>
      </c>
      <c r="D103" s="1">
        <v>7.8</v>
      </c>
      <c r="E103" s="1">
        <v>4.2</v>
      </c>
      <c r="F103" s="22">
        <f>SQRT((2*6371*ASIN(SQRT(MIN(1,SIN((RADIANS(R103)-RADIANS(Pulse_records!H686))/2)^2+COS(RADIANS(R103))*COS(RADIANS(Pulse_records!H686))*SIN(RADIANS(S103-Pulse_records!I686)/2)^2))))^2+T103^2)</f>
        <v>24.538133844430071</v>
      </c>
      <c r="G103" s="1">
        <v>4.8</v>
      </c>
      <c r="H103" s="1">
        <v>121.8</v>
      </c>
      <c r="I103" s="1">
        <v>53</v>
      </c>
      <c r="J103" s="1">
        <v>25</v>
      </c>
      <c r="K103" s="1" t="s">
        <v>1254</v>
      </c>
      <c r="L103" s="1">
        <v>19</v>
      </c>
      <c r="M103" s="1" t="s">
        <v>232</v>
      </c>
      <c r="N103" s="1" t="s">
        <v>3014</v>
      </c>
      <c r="O103" s="1" t="s">
        <v>3015</v>
      </c>
      <c r="P103" s="1">
        <v>7.8</v>
      </c>
      <c r="Q103" s="1" t="s">
        <v>1003</v>
      </c>
      <c r="R103" s="1">
        <v>37.2256</v>
      </c>
      <c r="S103" s="1">
        <v>37.014299999999999</v>
      </c>
      <c r="T103" s="1">
        <v>10</v>
      </c>
      <c r="U103" s="1" t="s">
        <v>3009</v>
      </c>
      <c r="V103" s="1" t="s">
        <v>2834</v>
      </c>
      <c r="W103" s="1">
        <v>317.63</v>
      </c>
      <c r="X103" s="1">
        <v>88.71</v>
      </c>
      <c r="Y103" s="1">
        <v>-179.18</v>
      </c>
      <c r="Z103" s="1">
        <v>227.61</v>
      </c>
      <c r="AA103" s="1">
        <v>89.18</v>
      </c>
      <c r="AB103" s="1">
        <v>-1.29</v>
      </c>
      <c r="AC103" s="1" t="s">
        <v>3006</v>
      </c>
      <c r="AD103" s="1" t="s">
        <v>862</v>
      </c>
      <c r="AE103" s="1">
        <v>3</v>
      </c>
      <c r="AF103" s="1">
        <v>7.8990001775435843</v>
      </c>
      <c r="AG103" s="1">
        <v>11.212199999999999</v>
      </c>
      <c r="AH103" s="1">
        <v>16200</v>
      </c>
      <c r="AI103" s="1" t="s">
        <v>1256</v>
      </c>
      <c r="AJ103" s="1" t="s">
        <v>691</v>
      </c>
      <c r="AK103" t="s">
        <v>3021</v>
      </c>
    </row>
    <row r="104" spans="1:37" ht="22" customHeight="1">
      <c r="A104" s="1" t="s">
        <v>1255</v>
      </c>
      <c r="B104" s="1">
        <v>2023</v>
      </c>
      <c r="C104" s="1" t="s">
        <v>1258</v>
      </c>
      <c r="D104" s="1">
        <v>7.8</v>
      </c>
      <c r="E104" s="1">
        <v>4.2</v>
      </c>
      <c r="F104" s="22">
        <f>SQRT((2*6371*ASIN(SQRT(MIN(1,SIN((RADIANS(R104)-RADIANS(Pulse_records!H687))/2)^2+COS(RADIANS(R104))*COS(RADIANS(Pulse_records!H687))*SIN(RADIANS(S104-Pulse_records!I687)/2)^2))))^2+T104^2)</f>
        <v>24.528288707518669</v>
      </c>
      <c r="G104" s="1">
        <v>4.8</v>
      </c>
      <c r="H104" s="1">
        <v>120.9</v>
      </c>
      <c r="I104" s="1">
        <v>56</v>
      </c>
      <c r="J104" s="1">
        <v>31</v>
      </c>
      <c r="K104" s="1" t="s">
        <v>1254</v>
      </c>
      <c r="L104" s="1">
        <v>20</v>
      </c>
      <c r="M104" s="1" t="s">
        <v>232</v>
      </c>
      <c r="N104" s="1" t="s">
        <v>3014</v>
      </c>
      <c r="O104" s="1" t="s">
        <v>3015</v>
      </c>
      <c r="P104" s="1">
        <v>7.8</v>
      </c>
      <c r="Q104" s="1" t="s">
        <v>1003</v>
      </c>
      <c r="R104" s="1">
        <v>37.2256</v>
      </c>
      <c r="S104" s="1">
        <v>37.014299999999999</v>
      </c>
      <c r="T104" s="1">
        <v>10</v>
      </c>
      <c r="U104" s="1" t="s">
        <v>3009</v>
      </c>
      <c r="V104" s="1" t="s">
        <v>2834</v>
      </c>
      <c r="W104" s="1">
        <v>317.63</v>
      </c>
      <c r="X104" s="1">
        <v>88.71</v>
      </c>
      <c r="Y104" s="1">
        <v>-179.18</v>
      </c>
      <c r="Z104" s="1">
        <v>227.61</v>
      </c>
      <c r="AA104" s="1">
        <v>89.18</v>
      </c>
      <c r="AB104" s="1">
        <v>-1.29</v>
      </c>
      <c r="AC104" s="1" t="s">
        <v>3006</v>
      </c>
      <c r="AD104" s="1" t="s">
        <v>862</v>
      </c>
      <c r="AE104" s="1">
        <v>3</v>
      </c>
      <c r="AF104" s="1">
        <v>7.8990001775435843</v>
      </c>
      <c r="AG104" s="1">
        <v>11.212199999999999</v>
      </c>
      <c r="AH104" s="1">
        <v>16200</v>
      </c>
      <c r="AI104" s="1" t="s">
        <v>1256</v>
      </c>
      <c r="AJ104" s="1" t="s">
        <v>691</v>
      </c>
      <c r="AK104" t="s">
        <v>3021</v>
      </c>
    </row>
    <row r="105" spans="1:37" ht="22" customHeight="1">
      <c r="A105" s="1" t="s">
        <v>1255</v>
      </c>
      <c r="B105" s="1">
        <v>2023</v>
      </c>
      <c r="C105" s="1">
        <v>3137</v>
      </c>
      <c r="D105" s="1">
        <v>7.8</v>
      </c>
      <c r="E105" s="1">
        <v>4.8</v>
      </c>
      <c r="F105" s="22">
        <f>SQRT((2*6371*ASIN(SQRT(MIN(1,SIN((RADIANS(R105)-RADIANS(Pulse_records!H688))/2)^2+COS(RADIANS(R105))*COS(RADIANS(Pulse_records!H688))*SIN(RADIANS(S105-Pulse_records!I688)/2)^2))))^2+T105^2)</f>
        <v>76.095983595383743</v>
      </c>
      <c r="G105" s="1">
        <v>9.1999999999999993</v>
      </c>
      <c r="H105" s="1">
        <v>98.5</v>
      </c>
      <c r="I105" s="1">
        <v>-33</v>
      </c>
      <c r="J105" s="1">
        <v>58</v>
      </c>
      <c r="K105" s="1" t="s">
        <v>1254</v>
      </c>
      <c r="L105" s="1">
        <v>21</v>
      </c>
      <c r="M105" s="1" t="s">
        <v>232</v>
      </c>
      <c r="N105" s="1" t="s">
        <v>3014</v>
      </c>
      <c r="O105" s="1" t="s">
        <v>3015</v>
      </c>
      <c r="P105" s="1">
        <v>7.8</v>
      </c>
      <c r="Q105" s="1" t="s">
        <v>1003</v>
      </c>
      <c r="R105" s="1">
        <v>37.2256</v>
      </c>
      <c r="S105" s="1">
        <v>37.014299999999999</v>
      </c>
      <c r="T105" s="1">
        <v>10</v>
      </c>
      <c r="U105" s="1" t="s">
        <v>3009</v>
      </c>
      <c r="V105" s="1" t="s">
        <v>2834</v>
      </c>
      <c r="W105" s="1">
        <v>317.63</v>
      </c>
      <c r="X105" s="1">
        <v>88.71</v>
      </c>
      <c r="Y105" s="1">
        <v>-179.18</v>
      </c>
      <c r="Z105" s="1">
        <v>227.61</v>
      </c>
      <c r="AA105" s="1">
        <v>89.18</v>
      </c>
      <c r="AB105" s="1">
        <v>-1.29</v>
      </c>
      <c r="AC105" s="1" t="s">
        <v>3006</v>
      </c>
      <c r="AD105" s="1" t="s">
        <v>862</v>
      </c>
      <c r="AE105" s="1">
        <v>3</v>
      </c>
      <c r="AF105" s="1">
        <v>7.8990001775435843</v>
      </c>
      <c r="AG105" s="1">
        <v>11.212199999999999</v>
      </c>
      <c r="AH105" s="1">
        <v>16200</v>
      </c>
      <c r="AI105" s="1" t="s">
        <v>1256</v>
      </c>
      <c r="AJ105" s="1" t="s">
        <v>691</v>
      </c>
      <c r="AK105" t="s">
        <v>3021</v>
      </c>
    </row>
    <row r="106" spans="1:37" ht="22" customHeight="1">
      <c r="A106" s="1" t="s">
        <v>1255</v>
      </c>
      <c r="B106" s="1">
        <v>2023</v>
      </c>
      <c r="C106" s="1">
        <v>3136</v>
      </c>
      <c r="D106" s="1">
        <v>7.8</v>
      </c>
      <c r="E106" s="1">
        <v>12.1</v>
      </c>
      <c r="F106" s="22">
        <f>SQRT((2*6371*ASIN(SQRT(MIN(1,SIN((RADIANS(R106)-RADIANS(Pulse_records!H689))/2)^2+COS(RADIANS(R106))*COS(RADIANS(Pulse_records!H689))*SIN(RADIANS(S106-Pulse_records!I689)/2)^2))))^2+T106^2)</f>
        <v>141.43918208387677</v>
      </c>
      <c r="G106" s="1">
        <v>13.5</v>
      </c>
      <c r="H106" s="1">
        <v>56.9</v>
      </c>
      <c r="I106" s="1">
        <v>-62</v>
      </c>
      <c r="J106" s="1">
        <v>87</v>
      </c>
      <c r="K106" s="1" t="s">
        <v>1254</v>
      </c>
      <c r="L106" s="1">
        <v>22</v>
      </c>
      <c r="M106" s="1" t="s">
        <v>232</v>
      </c>
      <c r="N106" s="1" t="s">
        <v>3014</v>
      </c>
      <c r="O106" s="1" t="s">
        <v>3015</v>
      </c>
      <c r="P106" s="1">
        <v>7.8</v>
      </c>
      <c r="Q106" s="1" t="s">
        <v>1003</v>
      </c>
      <c r="R106" s="1">
        <v>37.2256</v>
      </c>
      <c r="S106" s="1">
        <v>37.014299999999999</v>
      </c>
      <c r="T106" s="1">
        <v>10</v>
      </c>
      <c r="U106" s="1" t="s">
        <v>3009</v>
      </c>
      <c r="V106" s="1" t="s">
        <v>2834</v>
      </c>
      <c r="W106" s="1">
        <v>317.63</v>
      </c>
      <c r="X106" s="1">
        <v>88.71</v>
      </c>
      <c r="Y106" s="1">
        <v>-179.18</v>
      </c>
      <c r="Z106" s="1">
        <v>227.61</v>
      </c>
      <c r="AA106" s="1">
        <v>89.18</v>
      </c>
      <c r="AB106" s="1">
        <v>-1.29</v>
      </c>
      <c r="AC106" s="1" t="s">
        <v>3006</v>
      </c>
      <c r="AD106" s="1" t="s">
        <v>862</v>
      </c>
      <c r="AE106" s="1">
        <v>3</v>
      </c>
      <c r="AF106" s="1">
        <v>7.8990001775435843</v>
      </c>
      <c r="AG106" s="1">
        <v>11.212199999999999</v>
      </c>
      <c r="AH106" s="1">
        <v>16200</v>
      </c>
      <c r="AI106" s="1" t="s">
        <v>1256</v>
      </c>
      <c r="AJ106" s="1" t="s">
        <v>691</v>
      </c>
      <c r="AK106" t="s">
        <v>3021</v>
      </c>
    </row>
    <row r="107" spans="1:37" ht="22" customHeight="1">
      <c r="A107" s="1" t="s">
        <v>1255</v>
      </c>
      <c r="B107" s="1">
        <v>2023</v>
      </c>
      <c r="C107" s="1">
        <v>2715</v>
      </c>
      <c r="D107" s="1">
        <v>7.8</v>
      </c>
      <c r="E107" s="1">
        <v>12.6</v>
      </c>
      <c r="F107" s="22">
        <f>SQRT((2*6371*ASIN(SQRT(MIN(1,SIN((RADIANS(R107)-RADIANS(Pulse_records!H690))/2)^2+COS(RADIANS(R107))*COS(RADIANS(Pulse_records!H690))*SIN(RADIANS(S107-Pulse_records!I690)/2)^2))))^2+T107^2)</f>
        <v>51.438095342327074</v>
      </c>
      <c r="G107" s="1">
        <v>6.6</v>
      </c>
      <c r="H107" s="1">
        <v>56.8</v>
      </c>
      <c r="I107" s="1">
        <v>-68</v>
      </c>
      <c r="J107" s="1">
        <v>87</v>
      </c>
      <c r="K107" s="1" t="s">
        <v>1254</v>
      </c>
      <c r="L107" s="1">
        <v>23</v>
      </c>
      <c r="M107" s="1" t="s">
        <v>232</v>
      </c>
      <c r="N107" s="1" t="s">
        <v>3014</v>
      </c>
      <c r="O107" s="1" t="s">
        <v>3015</v>
      </c>
      <c r="P107" s="1">
        <v>7.8</v>
      </c>
      <c r="Q107" s="1" t="s">
        <v>1003</v>
      </c>
      <c r="R107" s="1">
        <v>37.2256</v>
      </c>
      <c r="S107" s="1">
        <v>37.014299999999999</v>
      </c>
      <c r="T107" s="1">
        <v>10</v>
      </c>
      <c r="U107" s="1" t="s">
        <v>3009</v>
      </c>
      <c r="V107" s="1" t="s">
        <v>2834</v>
      </c>
      <c r="W107" s="1">
        <v>317.63</v>
      </c>
      <c r="X107" s="1">
        <v>88.71</v>
      </c>
      <c r="Y107" s="1">
        <v>-179.18</v>
      </c>
      <c r="Z107" s="1">
        <v>227.61</v>
      </c>
      <c r="AA107" s="1">
        <v>89.18</v>
      </c>
      <c r="AB107" s="1">
        <v>-1.29</v>
      </c>
      <c r="AC107" s="1" t="s">
        <v>3006</v>
      </c>
      <c r="AD107" s="1" t="s">
        <v>862</v>
      </c>
      <c r="AE107" s="1">
        <v>3</v>
      </c>
      <c r="AF107" s="1">
        <v>7.8990001775435843</v>
      </c>
      <c r="AG107" s="1">
        <v>11.212199999999999</v>
      </c>
      <c r="AH107" s="1">
        <v>16200</v>
      </c>
      <c r="AI107" s="1" t="s">
        <v>1256</v>
      </c>
      <c r="AJ107" s="1" t="s">
        <v>691</v>
      </c>
      <c r="AK107" t="s">
        <v>3021</v>
      </c>
    </row>
    <row r="108" spans="1:37" ht="22" customHeight="1">
      <c r="A108" s="1" t="s">
        <v>1255</v>
      </c>
      <c r="B108" s="1">
        <v>2023</v>
      </c>
      <c r="C108" s="1">
        <v>2716</v>
      </c>
      <c r="D108" s="1">
        <v>7.8</v>
      </c>
      <c r="E108" s="1">
        <v>12.8</v>
      </c>
      <c r="F108" s="22">
        <f>SQRT((2*6371*ASIN(SQRT(MIN(1,SIN((RADIANS(R108)-RADIANS(Pulse_records!H691))/2)^2+COS(RADIANS(R108))*COS(RADIANS(Pulse_records!H691))*SIN(RADIANS(S108-Pulse_records!I691)/2)^2))))^2+T108^2)</f>
        <v>51.206778007817746</v>
      </c>
      <c r="G108" s="1">
        <v>6.8</v>
      </c>
      <c r="H108" s="1">
        <v>71</v>
      </c>
      <c r="I108" s="1">
        <v>-59</v>
      </c>
      <c r="J108" s="1">
        <v>84</v>
      </c>
      <c r="K108" s="1" t="s">
        <v>1254</v>
      </c>
      <c r="L108" s="1">
        <v>24</v>
      </c>
      <c r="M108" s="1" t="s">
        <v>232</v>
      </c>
      <c r="N108" s="1" t="s">
        <v>3014</v>
      </c>
      <c r="O108" s="1" t="s">
        <v>3015</v>
      </c>
      <c r="P108" s="1">
        <v>7.8</v>
      </c>
      <c r="Q108" s="1" t="s">
        <v>1003</v>
      </c>
      <c r="R108" s="1">
        <v>37.2256</v>
      </c>
      <c r="S108" s="1">
        <v>37.014299999999999</v>
      </c>
      <c r="T108" s="1">
        <v>10</v>
      </c>
      <c r="U108" s="1" t="s">
        <v>3009</v>
      </c>
      <c r="V108" s="1" t="s">
        <v>2834</v>
      </c>
      <c r="W108" s="1">
        <v>317.63</v>
      </c>
      <c r="X108" s="1">
        <v>88.71</v>
      </c>
      <c r="Y108" s="1">
        <v>-179.18</v>
      </c>
      <c r="Z108" s="1">
        <v>227.61</v>
      </c>
      <c r="AA108" s="1">
        <v>89.18</v>
      </c>
      <c r="AB108" s="1">
        <v>-1.29</v>
      </c>
      <c r="AC108" s="1" t="s">
        <v>3006</v>
      </c>
      <c r="AD108" s="1" t="s">
        <v>862</v>
      </c>
      <c r="AE108" s="1">
        <v>3</v>
      </c>
      <c r="AF108" s="1">
        <v>7.8990001775435843</v>
      </c>
      <c r="AG108" s="1">
        <v>11.212199999999999</v>
      </c>
      <c r="AH108" s="1">
        <v>16200</v>
      </c>
      <c r="AI108" s="1" t="s">
        <v>1256</v>
      </c>
      <c r="AJ108" s="1" t="s">
        <v>691</v>
      </c>
      <c r="AK108" t="s">
        <v>3021</v>
      </c>
    </row>
    <row r="109" spans="1:37" ht="22" customHeight="1">
      <c r="A109" s="1" t="s">
        <v>1255</v>
      </c>
      <c r="B109" s="1">
        <v>2023</v>
      </c>
      <c r="C109" s="1">
        <v>2717</v>
      </c>
      <c r="D109" s="1">
        <v>7.8</v>
      </c>
      <c r="E109" s="1">
        <v>13</v>
      </c>
      <c r="F109" s="22">
        <f>SQRT((2*6371*ASIN(SQRT(MIN(1,SIN((RADIANS(R109)-RADIANS(Pulse_records!H692))/2)^2+COS(RADIANS(R109))*COS(RADIANS(Pulse_records!H692))*SIN(RADIANS(S109-Pulse_records!I692)/2)^2))))^2+T109^2)</f>
        <v>51.158501938199592</v>
      </c>
      <c r="G109" s="1">
        <v>6.9</v>
      </c>
      <c r="H109" s="1">
        <v>60.6</v>
      </c>
      <c r="I109" s="1">
        <v>-69</v>
      </c>
      <c r="J109" s="1">
        <v>86</v>
      </c>
      <c r="K109" s="1" t="s">
        <v>1254</v>
      </c>
      <c r="L109" s="1">
        <v>25</v>
      </c>
      <c r="M109" s="1" t="s">
        <v>232</v>
      </c>
      <c r="N109" s="1" t="s">
        <v>3014</v>
      </c>
      <c r="O109" s="1" t="s">
        <v>3015</v>
      </c>
      <c r="P109" s="1">
        <v>7.8</v>
      </c>
      <c r="Q109" s="1" t="s">
        <v>1003</v>
      </c>
      <c r="R109" s="1">
        <v>37.2256</v>
      </c>
      <c r="S109" s="1">
        <v>37.014299999999999</v>
      </c>
      <c r="T109" s="1">
        <v>10</v>
      </c>
      <c r="U109" s="1" t="s">
        <v>3009</v>
      </c>
      <c r="V109" s="1" t="s">
        <v>2834</v>
      </c>
      <c r="W109" s="1">
        <v>317.63</v>
      </c>
      <c r="X109" s="1">
        <v>88.71</v>
      </c>
      <c r="Y109" s="1">
        <v>-179.18</v>
      </c>
      <c r="Z109" s="1">
        <v>227.61</v>
      </c>
      <c r="AA109" s="1">
        <v>89.18</v>
      </c>
      <c r="AB109" s="1">
        <v>-1.29</v>
      </c>
      <c r="AC109" s="1" t="s">
        <v>3006</v>
      </c>
      <c r="AD109" s="1" t="s">
        <v>862</v>
      </c>
      <c r="AE109" s="1">
        <v>3</v>
      </c>
      <c r="AF109" s="1">
        <v>7.8990001775435843</v>
      </c>
      <c r="AG109" s="1">
        <v>11.212199999999999</v>
      </c>
      <c r="AH109" s="1">
        <v>16200</v>
      </c>
      <c r="AI109" s="1" t="s">
        <v>1256</v>
      </c>
      <c r="AJ109" s="1" t="s">
        <v>691</v>
      </c>
      <c r="AK109" t="s">
        <v>3021</v>
      </c>
    </row>
    <row r="110" spans="1:37" ht="22" customHeight="1">
      <c r="A110" s="1" t="s">
        <v>1255</v>
      </c>
      <c r="B110" s="1">
        <v>2023</v>
      </c>
      <c r="C110" s="1">
        <v>8002</v>
      </c>
      <c r="D110" s="1">
        <v>7.8</v>
      </c>
      <c r="E110" s="1">
        <v>13.4</v>
      </c>
      <c r="F110" s="22">
        <f>SQRT((2*6371*ASIN(SQRT(MIN(1,SIN((RADIANS(R110)-RADIANS(Pulse_records!H693))/2)^2+COS(RADIANS(R110))*COS(RADIANS(Pulse_records!H693))*SIN(RADIANS(S110-Pulse_records!I693)/2)^2))))^2+T110^2)</f>
        <v>41.462478737584043</v>
      </c>
      <c r="G110" s="1">
        <v>9</v>
      </c>
      <c r="H110" s="1">
        <v>41.4</v>
      </c>
      <c r="I110" s="1">
        <v>-61</v>
      </c>
      <c r="J110" s="1">
        <v>86</v>
      </c>
      <c r="K110" s="1" t="s">
        <v>1254</v>
      </c>
      <c r="L110" s="1">
        <v>26</v>
      </c>
      <c r="M110" s="1" t="s">
        <v>232</v>
      </c>
      <c r="N110" s="1" t="s">
        <v>3014</v>
      </c>
      <c r="O110" s="1" t="s">
        <v>3015</v>
      </c>
      <c r="P110" s="1">
        <v>7.8</v>
      </c>
      <c r="Q110" s="1" t="s">
        <v>1003</v>
      </c>
      <c r="R110" s="1">
        <v>37.2256</v>
      </c>
      <c r="S110" s="1">
        <v>37.014299999999999</v>
      </c>
      <c r="T110" s="1">
        <v>10</v>
      </c>
      <c r="U110" s="1" t="s">
        <v>3009</v>
      </c>
      <c r="V110" s="1" t="s">
        <v>2834</v>
      </c>
      <c r="W110" s="1">
        <v>317.63</v>
      </c>
      <c r="X110" s="1">
        <v>88.71</v>
      </c>
      <c r="Y110" s="1">
        <v>-179.18</v>
      </c>
      <c r="Z110" s="1">
        <v>227.61</v>
      </c>
      <c r="AA110" s="1">
        <v>89.18</v>
      </c>
      <c r="AB110" s="1">
        <v>-1.29</v>
      </c>
      <c r="AC110" s="1" t="s">
        <v>3006</v>
      </c>
      <c r="AD110" s="1" t="s">
        <v>862</v>
      </c>
      <c r="AE110" s="1">
        <v>3</v>
      </c>
      <c r="AF110" s="1">
        <v>7.8990001775435843</v>
      </c>
      <c r="AG110" s="1">
        <v>11.212199999999999</v>
      </c>
      <c r="AH110" s="1">
        <v>16200</v>
      </c>
      <c r="AI110" s="1" t="s">
        <v>1256</v>
      </c>
      <c r="AJ110" s="1" t="s">
        <v>691</v>
      </c>
      <c r="AK110" t="s">
        <v>3021</v>
      </c>
    </row>
    <row r="111" spans="1:37" ht="22" customHeight="1">
      <c r="A111" s="1" t="s">
        <v>1255</v>
      </c>
      <c r="B111" s="1">
        <v>2023</v>
      </c>
      <c r="C111" s="1">
        <v>3116</v>
      </c>
      <c r="D111" s="1">
        <v>7.8</v>
      </c>
      <c r="E111" s="1">
        <v>14.8</v>
      </c>
      <c r="F111" s="22">
        <f>SQRT((2*6371*ASIN(SQRT(MIN(1,SIN((RADIANS(R111)-RADIANS(Pulse_records!H694))/2)^2+COS(RADIANS(R111))*COS(RADIANS(Pulse_records!H694))*SIN(RADIANS(S111-Pulse_records!I694)/2)^2))))^2+T111^2)</f>
        <v>99.233130036391799</v>
      </c>
      <c r="G111" s="1">
        <v>14.4</v>
      </c>
      <c r="H111" s="1">
        <v>47.5</v>
      </c>
      <c r="I111" s="1">
        <v>26</v>
      </c>
      <c r="J111" s="1">
        <v>1</v>
      </c>
      <c r="K111" s="1" t="s">
        <v>1254</v>
      </c>
      <c r="L111" s="1">
        <v>27</v>
      </c>
      <c r="M111" s="1" t="s">
        <v>232</v>
      </c>
      <c r="N111" s="1" t="s">
        <v>3014</v>
      </c>
      <c r="O111" s="1" t="s">
        <v>3015</v>
      </c>
      <c r="P111" s="1">
        <v>7.8</v>
      </c>
      <c r="Q111" s="1" t="s">
        <v>1003</v>
      </c>
      <c r="R111" s="1">
        <v>37.2256</v>
      </c>
      <c r="S111" s="1">
        <v>37.014299999999999</v>
      </c>
      <c r="T111" s="1">
        <v>10</v>
      </c>
      <c r="U111" s="1" t="s">
        <v>3009</v>
      </c>
      <c r="V111" s="1" t="s">
        <v>2834</v>
      </c>
      <c r="W111" s="1">
        <v>317.63</v>
      </c>
      <c r="X111" s="1">
        <v>88.71</v>
      </c>
      <c r="Y111" s="1">
        <v>-179.18</v>
      </c>
      <c r="Z111" s="1">
        <v>227.61</v>
      </c>
      <c r="AA111" s="1">
        <v>89.18</v>
      </c>
      <c r="AB111" s="1">
        <v>-1.29</v>
      </c>
      <c r="AC111" s="1" t="s">
        <v>3006</v>
      </c>
      <c r="AD111" s="1" t="s">
        <v>862</v>
      </c>
      <c r="AE111" s="1">
        <v>3</v>
      </c>
      <c r="AF111" s="1">
        <v>7.8990001775435843</v>
      </c>
      <c r="AG111" s="1">
        <v>11.212199999999999</v>
      </c>
      <c r="AH111" s="1">
        <v>16200</v>
      </c>
      <c r="AI111" s="1" t="s">
        <v>1256</v>
      </c>
      <c r="AJ111" s="1" t="s">
        <v>691</v>
      </c>
      <c r="AK111" t="s">
        <v>3021</v>
      </c>
    </row>
    <row r="112" spans="1:37" ht="22" customHeight="1">
      <c r="A112" s="1" t="s">
        <v>1255</v>
      </c>
      <c r="B112" s="1">
        <v>2023</v>
      </c>
      <c r="C112" s="1">
        <v>3134</v>
      </c>
      <c r="D112" s="1">
        <v>7.8</v>
      </c>
      <c r="E112" s="1">
        <v>24.9</v>
      </c>
      <c r="F112" s="22">
        <f>SQRT((2*6371*ASIN(SQRT(MIN(1,SIN((RADIANS(R112)-RADIANS(Pulse_records!H695))/2)^2+COS(RADIANS(R112))*COS(RADIANS(Pulse_records!H695))*SIN(RADIANS(S112-Pulse_records!I695)/2)^2))))^2+T112^2)</f>
        <v>84.980352647781984</v>
      </c>
      <c r="G112" s="1">
        <v>11.7</v>
      </c>
      <c r="H112" s="1">
        <v>48.7</v>
      </c>
      <c r="I112" s="1">
        <v>-50</v>
      </c>
      <c r="J112" s="1">
        <v>75</v>
      </c>
      <c r="K112" s="1" t="s">
        <v>1254</v>
      </c>
      <c r="L112" s="1">
        <v>28</v>
      </c>
      <c r="M112" s="1" t="s">
        <v>232</v>
      </c>
      <c r="N112" s="1" t="s">
        <v>3014</v>
      </c>
      <c r="O112" s="1" t="s">
        <v>3015</v>
      </c>
      <c r="P112" s="1">
        <v>7.8</v>
      </c>
      <c r="Q112" s="1" t="s">
        <v>1003</v>
      </c>
      <c r="R112" s="1">
        <v>37.2256</v>
      </c>
      <c r="S112" s="1">
        <v>37.014299999999999</v>
      </c>
      <c r="T112" s="1">
        <v>10</v>
      </c>
      <c r="U112" s="1" t="s">
        <v>3009</v>
      </c>
      <c r="V112" s="1" t="s">
        <v>2834</v>
      </c>
      <c r="W112" s="1">
        <v>317.63</v>
      </c>
      <c r="X112" s="1">
        <v>88.71</v>
      </c>
      <c r="Y112" s="1">
        <v>-179.18</v>
      </c>
      <c r="Z112" s="1">
        <v>227.61</v>
      </c>
      <c r="AA112" s="1">
        <v>89.18</v>
      </c>
      <c r="AB112" s="1">
        <v>-1.29</v>
      </c>
      <c r="AC112" s="1" t="s">
        <v>3006</v>
      </c>
      <c r="AD112" s="1" t="s">
        <v>862</v>
      </c>
      <c r="AE112" s="1">
        <v>3</v>
      </c>
      <c r="AF112" s="1">
        <v>7.8990001775435843</v>
      </c>
      <c r="AG112" s="1">
        <v>11.212199999999999</v>
      </c>
      <c r="AH112" s="1">
        <v>16200</v>
      </c>
      <c r="AI112" s="1" t="s">
        <v>1256</v>
      </c>
      <c r="AJ112" s="1" t="s">
        <v>691</v>
      </c>
      <c r="AK112" t="s">
        <v>3021</v>
      </c>
    </row>
    <row r="113" spans="1:37" ht="22" customHeight="1">
      <c r="A113" s="1" t="s">
        <v>1259</v>
      </c>
      <c r="B113" s="1">
        <v>2023</v>
      </c>
      <c r="C113" s="1">
        <v>4612</v>
      </c>
      <c r="D113" s="1">
        <v>7.5</v>
      </c>
      <c r="E113" s="1">
        <v>3</v>
      </c>
      <c r="F113" s="22">
        <f>SQRT((2*6371*ASIN(SQRT(MIN(1,SIN((RADIANS(R113)-RADIANS(Pulse_records!H696))/2)^2+COS(RADIANS(R113))*COS(RADIANS(Pulse_records!H696))*SIN(RADIANS(S113-Pulse_records!I696)/2)^2))))^2+T113^2)</f>
        <v>63.033963963447356</v>
      </c>
      <c r="G113" s="1">
        <v>6.2</v>
      </c>
      <c r="H113" s="1">
        <v>180.9</v>
      </c>
      <c r="I113" s="1">
        <v>-18</v>
      </c>
      <c r="J113" s="1">
        <v>88</v>
      </c>
      <c r="K113" s="1" t="s">
        <v>1254</v>
      </c>
      <c r="L113" s="1">
        <v>29</v>
      </c>
      <c r="M113" s="1" t="s">
        <v>229</v>
      </c>
      <c r="N113" s="1" t="s">
        <v>3014</v>
      </c>
      <c r="O113" s="1" t="s">
        <v>3022</v>
      </c>
      <c r="P113" s="1">
        <v>7.5</v>
      </c>
      <c r="Q113" s="1" t="s">
        <v>1003</v>
      </c>
      <c r="R113" s="1">
        <v>38.010599999999997</v>
      </c>
      <c r="S113" s="1">
        <v>37.196199999999997</v>
      </c>
      <c r="T113" s="1">
        <v>7.4320000000000004</v>
      </c>
      <c r="U113" s="1" t="s">
        <v>3009</v>
      </c>
      <c r="V113" s="1" t="s">
        <v>2834</v>
      </c>
      <c r="W113" s="1">
        <v>277.2</v>
      </c>
      <c r="X113" s="1">
        <v>77.87</v>
      </c>
      <c r="Y113" s="1">
        <v>3.5</v>
      </c>
      <c r="Z113" s="1">
        <v>186.46</v>
      </c>
      <c r="AA113" s="1">
        <v>86.57</v>
      </c>
      <c r="AB113" s="1">
        <v>167.85</v>
      </c>
      <c r="AC113" s="1" t="s">
        <v>3006</v>
      </c>
      <c r="AD113" s="1" t="s">
        <v>862</v>
      </c>
      <c r="AE113" s="1">
        <v>3</v>
      </c>
      <c r="AF113" s="1">
        <v>7.7687711563559034</v>
      </c>
      <c r="AG113" s="1">
        <v>11.510400000000001</v>
      </c>
      <c r="AH113" s="1">
        <v>5850</v>
      </c>
      <c r="AI113" s="1" t="s">
        <v>1260</v>
      </c>
      <c r="AJ113" s="1" t="s">
        <v>689</v>
      </c>
      <c r="AK113" t="s">
        <v>3028</v>
      </c>
    </row>
    <row r="114" spans="1:37" ht="22" customHeight="1">
      <c r="A114" s="1" t="s">
        <v>1259</v>
      </c>
      <c r="B114" s="1">
        <v>2023</v>
      </c>
      <c r="C114" s="1">
        <v>131</v>
      </c>
      <c r="D114" s="1">
        <v>7.5</v>
      </c>
      <c r="E114" s="1">
        <v>15.4</v>
      </c>
      <c r="F114" s="22">
        <f>SQRT((2*6371*ASIN(SQRT(MIN(1,SIN((RADIANS(R114)-RADIANS(Pulse_records!H697))/2)^2+COS(RADIANS(R114))*COS(RADIANS(Pulse_records!H697))*SIN(RADIANS(S114-Pulse_records!I697)/2)^2))))^2+T114^2)</f>
        <v>96.612967002279319</v>
      </c>
      <c r="G114" s="1">
        <v>11.7</v>
      </c>
      <c r="H114" s="1">
        <v>37.4</v>
      </c>
      <c r="I114" s="1">
        <v>-34</v>
      </c>
      <c r="J114" s="1">
        <v>76</v>
      </c>
      <c r="K114" s="1" t="s">
        <v>1254</v>
      </c>
      <c r="L114" s="1">
        <v>30</v>
      </c>
      <c r="M114" s="1" t="s">
        <v>229</v>
      </c>
      <c r="N114" s="1" t="s">
        <v>3014</v>
      </c>
      <c r="O114" s="1" t="s">
        <v>3022</v>
      </c>
      <c r="P114" s="1">
        <v>7.5</v>
      </c>
      <c r="Q114" s="1" t="s">
        <v>1003</v>
      </c>
      <c r="R114" s="1">
        <v>38.010599999999997</v>
      </c>
      <c r="S114" s="1">
        <v>37.196199999999997</v>
      </c>
      <c r="T114" s="1">
        <v>7.4320000000000004</v>
      </c>
      <c r="U114" s="1" t="s">
        <v>3009</v>
      </c>
      <c r="V114" s="1" t="s">
        <v>2834</v>
      </c>
      <c r="W114" s="1">
        <v>277.2</v>
      </c>
      <c r="X114" s="1">
        <v>77.87</v>
      </c>
      <c r="Y114" s="1">
        <v>3.5</v>
      </c>
      <c r="Z114" s="1">
        <v>186.46</v>
      </c>
      <c r="AA114" s="1">
        <v>86.57</v>
      </c>
      <c r="AB114" s="1">
        <v>167.85</v>
      </c>
      <c r="AC114" s="1" t="s">
        <v>3006</v>
      </c>
      <c r="AD114" s="1" t="s">
        <v>862</v>
      </c>
      <c r="AE114" s="1">
        <v>3</v>
      </c>
      <c r="AF114" s="1">
        <v>7.7687711563559034</v>
      </c>
      <c r="AG114" s="1">
        <v>11.510400000000001</v>
      </c>
      <c r="AH114" s="1">
        <v>5850</v>
      </c>
      <c r="AI114" s="1" t="s">
        <v>1260</v>
      </c>
      <c r="AJ114" s="1" t="s">
        <v>689</v>
      </c>
      <c r="AK114" t="s">
        <v>3028</v>
      </c>
    </row>
    <row r="115" spans="1:37" ht="22" customHeight="1">
      <c r="A115" s="1" t="s">
        <v>1259</v>
      </c>
      <c r="B115" s="1">
        <v>2023</v>
      </c>
      <c r="C115" s="1">
        <v>132</v>
      </c>
      <c r="D115" s="1">
        <v>7.5</v>
      </c>
      <c r="E115" s="1">
        <v>15.5</v>
      </c>
      <c r="F115" s="22">
        <f>SQRT((2*6371*ASIN(SQRT(MIN(1,SIN((RADIANS(R115)-RADIANS(Pulse_records!H698))/2)^2+COS(RADIANS(R115))*COS(RADIANS(Pulse_records!H698))*SIN(RADIANS(S115-Pulse_records!I698)/2)^2))))^2+T115^2)</f>
        <v>96.668651038904457</v>
      </c>
      <c r="G115" s="1">
        <v>11.8</v>
      </c>
      <c r="H115" s="1">
        <v>24.2</v>
      </c>
      <c r="I115" s="1">
        <v>-23</v>
      </c>
      <c r="J115" s="1">
        <v>87</v>
      </c>
      <c r="K115" s="1" t="s">
        <v>1254</v>
      </c>
      <c r="L115" s="1">
        <v>31</v>
      </c>
      <c r="M115" s="1" t="s">
        <v>229</v>
      </c>
      <c r="N115" s="1" t="s">
        <v>3014</v>
      </c>
      <c r="O115" s="1" t="s">
        <v>3022</v>
      </c>
      <c r="P115" s="1">
        <v>7.5</v>
      </c>
      <c r="Q115" s="1" t="s">
        <v>1003</v>
      </c>
      <c r="R115" s="1">
        <v>38.010599999999997</v>
      </c>
      <c r="S115" s="1">
        <v>37.196199999999997</v>
      </c>
      <c r="T115" s="1">
        <v>7.4320000000000004</v>
      </c>
      <c r="U115" s="1" t="s">
        <v>3009</v>
      </c>
      <c r="V115" s="1" t="s">
        <v>2834</v>
      </c>
      <c r="W115" s="1">
        <v>277.2</v>
      </c>
      <c r="X115" s="1">
        <v>77.87</v>
      </c>
      <c r="Y115" s="1">
        <v>3.5</v>
      </c>
      <c r="Z115" s="1">
        <v>186.46</v>
      </c>
      <c r="AA115" s="1">
        <v>86.57</v>
      </c>
      <c r="AB115" s="1">
        <v>167.85</v>
      </c>
      <c r="AC115" s="1" t="s">
        <v>3006</v>
      </c>
      <c r="AD115" s="1" t="s">
        <v>862</v>
      </c>
      <c r="AE115" s="1">
        <v>3</v>
      </c>
      <c r="AF115" s="1">
        <v>7.7687711563559034</v>
      </c>
      <c r="AG115" s="1">
        <v>11.510400000000001</v>
      </c>
      <c r="AH115" s="1">
        <v>5850</v>
      </c>
      <c r="AI115" s="1" t="s">
        <v>1260</v>
      </c>
      <c r="AJ115" s="1" t="s">
        <v>689</v>
      </c>
      <c r="AK115" t="s">
        <v>3028</v>
      </c>
    </row>
    <row r="116" spans="1:37" ht="22" customHeight="1">
      <c r="A116" s="1" t="s">
        <v>1259</v>
      </c>
      <c r="B116" s="1">
        <v>2023</v>
      </c>
      <c r="C116" s="1">
        <v>4611</v>
      </c>
      <c r="D116" s="1">
        <v>7.5</v>
      </c>
      <c r="E116" s="1">
        <v>27.4</v>
      </c>
      <c r="F116" s="22">
        <f>SQRT((2*6371*ASIN(SQRT(MIN(1,SIN((RADIANS(R116)-RADIANS(Pulse_records!H699))/2)^2+COS(RADIANS(R116))*COS(RADIANS(Pulse_records!H699))*SIN(RADIANS(S116-Pulse_records!I699)/2)^2))))^2+T116^2)</f>
        <v>31.189725778395005</v>
      </c>
      <c r="G116" s="1">
        <v>10.8</v>
      </c>
      <c r="H116" s="1">
        <v>40.299999999999997</v>
      </c>
      <c r="I116" s="1">
        <v>74</v>
      </c>
      <c r="J116" s="1">
        <v>22</v>
      </c>
      <c r="K116" s="1" t="s">
        <v>1254</v>
      </c>
      <c r="L116" s="1">
        <v>32</v>
      </c>
      <c r="M116" s="1" t="s">
        <v>229</v>
      </c>
      <c r="N116" s="1" t="s">
        <v>3014</v>
      </c>
      <c r="O116" s="1" t="s">
        <v>3022</v>
      </c>
      <c r="P116" s="1">
        <v>7.5</v>
      </c>
      <c r="Q116" s="1" t="s">
        <v>1003</v>
      </c>
      <c r="R116" s="1">
        <v>38.010599999999997</v>
      </c>
      <c r="S116" s="1">
        <v>37.196199999999997</v>
      </c>
      <c r="T116" s="1">
        <v>7.4320000000000004</v>
      </c>
      <c r="U116" s="1" t="s">
        <v>3009</v>
      </c>
      <c r="V116" s="1" t="s">
        <v>2834</v>
      </c>
      <c r="W116" s="1">
        <v>277.2</v>
      </c>
      <c r="X116" s="1">
        <v>77.87</v>
      </c>
      <c r="Y116" s="1">
        <v>3.5</v>
      </c>
      <c r="Z116" s="1">
        <v>186.46</v>
      </c>
      <c r="AA116" s="1">
        <v>86.57</v>
      </c>
      <c r="AB116" s="1">
        <v>167.85</v>
      </c>
      <c r="AC116" s="1" t="s">
        <v>3006</v>
      </c>
      <c r="AD116" s="1" t="s">
        <v>862</v>
      </c>
      <c r="AE116" s="1">
        <v>3</v>
      </c>
      <c r="AF116" s="1">
        <v>7.7687711563559034</v>
      </c>
      <c r="AG116" s="1">
        <v>11.510400000000001</v>
      </c>
      <c r="AH116" s="1">
        <v>5850</v>
      </c>
      <c r="AI116" s="1" t="s">
        <v>1260</v>
      </c>
      <c r="AJ116" s="1" t="s">
        <v>689</v>
      </c>
      <c r="AK116" t="s">
        <v>3028</v>
      </c>
    </row>
    <row r="117" spans="1:37" ht="22" customHeight="1">
      <c r="A117" s="1" t="s">
        <v>1259</v>
      </c>
      <c r="B117" s="1">
        <v>2023</v>
      </c>
      <c r="C117" s="1">
        <v>4614</v>
      </c>
      <c r="D117" s="1">
        <v>7.5</v>
      </c>
      <c r="E117" s="1">
        <v>55.9</v>
      </c>
      <c r="F117" s="22">
        <f>SQRT((2*6371*ASIN(SQRT(MIN(1,SIN((RADIANS(R117)-RADIANS(Pulse_records!H700))/2)^2+COS(RADIANS(R117))*COS(RADIANS(Pulse_records!H700))*SIN(RADIANS(S117-Pulse_records!I700)/2)^2))))^2+T117^2)</f>
        <v>59.573239904558974</v>
      </c>
      <c r="G117" s="1">
        <v>9.3000000000000007</v>
      </c>
      <c r="H117" s="1">
        <v>34.5</v>
      </c>
      <c r="I117" s="1">
        <v>86</v>
      </c>
      <c r="J117" s="1">
        <v>11</v>
      </c>
      <c r="K117" s="1" t="s">
        <v>1254</v>
      </c>
      <c r="L117" s="1">
        <v>33</v>
      </c>
      <c r="M117" s="1" t="s">
        <v>229</v>
      </c>
      <c r="N117" s="1" t="s">
        <v>3014</v>
      </c>
      <c r="O117" s="1" t="s">
        <v>3022</v>
      </c>
      <c r="P117" s="1">
        <v>7.5</v>
      </c>
      <c r="Q117" s="1" t="s">
        <v>1003</v>
      </c>
      <c r="R117" s="1">
        <v>38.010599999999997</v>
      </c>
      <c r="S117" s="1">
        <v>37.196199999999997</v>
      </c>
      <c r="T117" s="1">
        <v>7.4320000000000004</v>
      </c>
      <c r="U117" s="1" t="s">
        <v>3009</v>
      </c>
      <c r="V117" s="1" t="s">
        <v>2834</v>
      </c>
      <c r="W117" s="1">
        <v>277.2</v>
      </c>
      <c r="X117" s="1">
        <v>77.87</v>
      </c>
      <c r="Y117" s="1">
        <v>3.5</v>
      </c>
      <c r="Z117" s="1">
        <v>186.46</v>
      </c>
      <c r="AA117" s="1">
        <v>86.57</v>
      </c>
      <c r="AB117" s="1">
        <v>167.85</v>
      </c>
      <c r="AC117" s="1" t="s">
        <v>3006</v>
      </c>
      <c r="AD117" s="1" t="s">
        <v>862</v>
      </c>
      <c r="AE117" s="1">
        <v>3</v>
      </c>
      <c r="AF117" s="1">
        <v>7.7687711563559034</v>
      </c>
      <c r="AG117" s="1">
        <v>11.510400000000001</v>
      </c>
      <c r="AH117" s="1">
        <v>5850</v>
      </c>
      <c r="AI117" s="1" t="s">
        <v>1260</v>
      </c>
      <c r="AJ117" s="1" t="s">
        <v>689</v>
      </c>
      <c r="AK117" t="s">
        <v>3028</v>
      </c>
    </row>
    <row r="118" spans="1:37" ht="22" customHeight="1">
      <c r="A118" s="1" t="s">
        <v>1259</v>
      </c>
      <c r="B118" s="1">
        <v>2023</v>
      </c>
      <c r="C118" s="1" t="s">
        <v>1257</v>
      </c>
      <c r="D118" s="1">
        <v>7.5</v>
      </c>
      <c r="E118" s="1">
        <v>68.2</v>
      </c>
      <c r="F118" s="22">
        <f>SQRT((2*6371*ASIN(SQRT(MIN(1,SIN((RADIANS(R118)-RADIANS(Pulse_records!H701))/2)^2+COS(RADIANS(R118))*COS(RADIANS(Pulse_records!H701))*SIN(RADIANS(S118-Pulse_records!I701)/2)^2))))^2+T118^2)</f>
        <v>69.28071738895116</v>
      </c>
      <c r="G118" s="1">
        <v>9.6</v>
      </c>
      <c r="H118" s="1">
        <v>26.5</v>
      </c>
      <c r="I118" s="1">
        <v>89</v>
      </c>
      <c r="J118" s="1">
        <v>7</v>
      </c>
      <c r="K118" s="1" t="s">
        <v>1254</v>
      </c>
      <c r="L118" s="1">
        <v>34</v>
      </c>
      <c r="M118" s="1" t="s">
        <v>229</v>
      </c>
      <c r="N118" s="1" t="s">
        <v>3014</v>
      </c>
      <c r="O118" s="1" t="s">
        <v>3022</v>
      </c>
      <c r="P118" s="1">
        <v>7.5</v>
      </c>
      <c r="Q118" s="1" t="s">
        <v>1003</v>
      </c>
      <c r="R118" s="1">
        <v>38.010599999999997</v>
      </c>
      <c r="S118" s="1">
        <v>37.196199999999997</v>
      </c>
      <c r="T118" s="1">
        <v>7.4320000000000004</v>
      </c>
      <c r="U118" s="1" t="s">
        <v>3009</v>
      </c>
      <c r="V118" s="1" t="s">
        <v>2834</v>
      </c>
      <c r="W118" s="1">
        <v>277.2</v>
      </c>
      <c r="X118" s="1">
        <v>77.87</v>
      </c>
      <c r="Y118" s="1">
        <v>3.5</v>
      </c>
      <c r="Z118" s="1">
        <v>186.46</v>
      </c>
      <c r="AA118" s="1">
        <v>86.57</v>
      </c>
      <c r="AB118" s="1">
        <v>167.85</v>
      </c>
      <c r="AC118" s="1" t="s">
        <v>3006</v>
      </c>
      <c r="AD118" s="1" t="s">
        <v>862</v>
      </c>
      <c r="AE118" s="1">
        <v>3</v>
      </c>
      <c r="AF118" s="1">
        <v>7.7687711563559034</v>
      </c>
      <c r="AG118" s="1">
        <v>11.510400000000001</v>
      </c>
      <c r="AH118" s="1">
        <v>5850</v>
      </c>
      <c r="AI118" s="1" t="s">
        <v>1260</v>
      </c>
      <c r="AJ118" s="1" t="s">
        <v>689</v>
      </c>
      <c r="AK118" t="s">
        <v>3028</v>
      </c>
    </row>
    <row r="119" spans="1:37" ht="22" customHeight="1">
      <c r="A119" s="1" t="s">
        <v>1259</v>
      </c>
      <c r="B119" s="1">
        <v>2023</v>
      </c>
      <c r="C119" s="1">
        <v>4615</v>
      </c>
      <c r="D119" s="1">
        <v>7.5</v>
      </c>
      <c r="E119" s="1">
        <v>69.099999999999994</v>
      </c>
      <c r="F119" s="22">
        <f>SQRT((2*6371*ASIN(SQRT(MIN(1,SIN((RADIANS(R119)-RADIANS(Pulse_records!H702))/2)^2+COS(RADIANS(R119))*COS(RADIANS(Pulse_records!H702))*SIN(RADIANS(S119-Pulse_records!I702)/2)^2))))^2+T119^2)</f>
        <v>69.952300524433369</v>
      </c>
      <c r="G119" s="1">
        <v>9.4</v>
      </c>
      <c r="H119" s="1">
        <v>30.4</v>
      </c>
      <c r="I119" s="1">
        <v>83</v>
      </c>
      <c r="J119" s="1">
        <v>13</v>
      </c>
      <c r="K119" s="1" t="s">
        <v>1254</v>
      </c>
      <c r="L119" s="1">
        <v>35</v>
      </c>
      <c r="M119" s="1" t="s">
        <v>229</v>
      </c>
      <c r="N119" s="1" t="s">
        <v>3014</v>
      </c>
      <c r="O119" s="1" t="s">
        <v>3022</v>
      </c>
      <c r="P119" s="1">
        <v>7.5</v>
      </c>
      <c r="Q119" s="1" t="s">
        <v>1003</v>
      </c>
      <c r="R119" s="1">
        <v>38.010599999999997</v>
      </c>
      <c r="S119" s="1">
        <v>37.196199999999997</v>
      </c>
      <c r="T119" s="1">
        <v>7.4320000000000004</v>
      </c>
      <c r="U119" s="1" t="s">
        <v>3009</v>
      </c>
      <c r="V119" s="1" t="s">
        <v>2834</v>
      </c>
      <c r="W119" s="1">
        <v>277.2</v>
      </c>
      <c r="X119" s="1">
        <v>77.87</v>
      </c>
      <c r="Y119" s="1">
        <v>3.5</v>
      </c>
      <c r="Z119" s="1">
        <v>186.46</v>
      </c>
      <c r="AA119" s="1">
        <v>86.57</v>
      </c>
      <c r="AB119" s="1">
        <v>167.85</v>
      </c>
      <c r="AC119" s="1" t="s">
        <v>3006</v>
      </c>
      <c r="AD119" s="1" t="s">
        <v>862</v>
      </c>
      <c r="AE119" s="1">
        <v>3</v>
      </c>
      <c r="AF119" s="1">
        <v>7.7687711563559034</v>
      </c>
      <c r="AG119" s="1">
        <v>11.510400000000001</v>
      </c>
      <c r="AH119" s="1">
        <v>5850</v>
      </c>
      <c r="AI119" s="1" t="s">
        <v>1260</v>
      </c>
      <c r="AJ119" s="1" t="s">
        <v>689</v>
      </c>
      <c r="AK119" t="s">
        <v>3028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70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3" width="20" customWidth="1"/>
    <col min="4" max="5" width="36" customWidth="1"/>
    <col min="6" max="17" width="20" customWidth="1"/>
    <col min="18" max="19" width="36" customWidth="1"/>
    <col min="20" max="20" width="20" customWidth="1"/>
    <col min="21" max="22" width="36" customWidth="1"/>
    <col min="23" max="26" width="20" customWidth="1"/>
    <col min="27" max="28" width="100" customWidth="1"/>
    <col min="29" max="31" width="24" customWidth="1"/>
    <col min="32" max="32" width="48" customWidth="1"/>
    <col min="33" max="33" width="25" customWidth="1"/>
  </cols>
  <sheetData>
    <row r="1" spans="1:33" ht="58" customHeight="1">
      <c r="A1" s="28" t="s">
        <v>3090</v>
      </c>
      <c r="B1" s="28" t="s">
        <v>3091</v>
      </c>
      <c r="C1" s="28" t="s">
        <v>3038</v>
      </c>
      <c r="D1" s="28" t="s">
        <v>194</v>
      </c>
      <c r="E1" s="28" t="s">
        <v>4545</v>
      </c>
      <c r="F1" s="28" t="s">
        <v>4546</v>
      </c>
      <c r="G1" s="28" t="s">
        <v>4547</v>
      </c>
      <c r="H1" s="28" t="s">
        <v>4548</v>
      </c>
      <c r="I1" s="28" t="s">
        <v>4549</v>
      </c>
      <c r="J1" s="28" t="s">
        <v>4550</v>
      </c>
      <c r="K1" s="28" t="s">
        <v>4551</v>
      </c>
      <c r="L1" s="28" t="s">
        <v>4552</v>
      </c>
      <c r="M1" s="28" t="s">
        <v>4553</v>
      </c>
      <c r="N1" s="28" t="s">
        <v>4554</v>
      </c>
      <c r="O1" s="28" t="s">
        <v>4555</v>
      </c>
      <c r="P1" s="28" t="s">
        <v>4556</v>
      </c>
      <c r="Q1" s="28" t="s">
        <v>4557</v>
      </c>
      <c r="R1" s="28" t="s">
        <v>4558</v>
      </c>
      <c r="S1" s="28" t="s">
        <v>4559</v>
      </c>
      <c r="T1" s="28" t="s">
        <v>4560</v>
      </c>
      <c r="U1" s="28" t="s">
        <v>4561</v>
      </c>
      <c r="V1" s="28" t="s">
        <v>4562</v>
      </c>
      <c r="W1" s="28" t="s">
        <v>4563</v>
      </c>
      <c r="X1" s="28" t="s">
        <v>4564</v>
      </c>
      <c r="Y1" s="28" t="s">
        <v>4565</v>
      </c>
      <c r="Z1" s="28" t="s">
        <v>4566</v>
      </c>
      <c r="AA1" s="28" t="s">
        <v>4567</v>
      </c>
      <c r="AB1" s="28" t="s">
        <v>2547</v>
      </c>
      <c r="AC1" s="38" t="s">
        <v>4568</v>
      </c>
      <c r="AD1" s="38" t="s">
        <v>4569</v>
      </c>
      <c r="AE1" s="38" t="s">
        <v>4570</v>
      </c>
      <c r="AF1" s="38" t="s">
        <v>4571</v>
      </c>
      <c r="AG1" s="37" t="s">
        <v>4572</v>
      </c>
    </row>
    <row r="2" spans="1:33" ht="58" customHeight="1">
      <c r="A2" s="1" t="s">
        <v>1262</v>
      </c>
      <c r="B2" s="1">
        <v>2</v>
      </c>
      <c r="C2" s="1" t="s">
        <v>3092</v>
      </c>
      <c r="D2" s="29" t="s">
        <v>252</v>
      </c>
      <c r="E2" s="29" t="s">
        <v>253</v>
      </c>
      <c r="F2" s="1" t="s">
        <v>729</v>
      </c>
      <c r="G2" s="30">
        <v>40.576000000000001</v>
      </c>
      <c r="H2" s="30">
        <v>-124.26300000000001</v>
      </c>
      <c r="I2" s="30">
        <v>40.816699999999997</v>
      </c>
      <c r="J2" s="30">
        <v>-124.083</v>
      </c>
      <c r="K2" s="30">
        <v>10</v>
      </c>
      <c r="L2" s="22">
        <v>32.4</v>
      </c>
      <c r="M2" s="22">
        <f t="shared" ref="M2:M65" si="0">IF(OR(G2="",H2="",I2="",J2="",K2=""),"",12742*ASIN(SQRT(MIN(1,SIN(RADIANS(I2-G2)/2)^2+COS(RADIANS(I2))*COS(RADIANS(G2))*SIN(RADIANS(J2-H2)/2)^2))))</f>
        <v>30.767238092456132</v>
      </c>
      <c r="N2" s="22">
        <f t="shared" ref="N2:N65" si="1">IF(M2="","",SQRT(M2^2+K2^2))</f>
        <v>32.351552355920788</v>
      </c>
      <c r="O2" s="22">
        <f t="shared" ref="O2:O65" si="2">IF(OR(L2="",N2=""),"",L2-N2)</f>
        <v>4.8447644079210761E-2</v>
      </c>
      <c r="P2" s="22">
        <f t="shared" ref="P2:P65" si="3">IF(OR(L2="",N2="",N2=0),"",100*O2/N2)</f>
        <v>0.14975369202134797</v>
      </c>
      <c r="Q2" s="22">
        <f t="shared" ref="Q2:Q65" si="4">IF(N2="","",MAX(1,0.05*N2))</f>
        <v>1.6175776177960395</v>
      </c>
      <c r="R2" s="29" t="str">
        <f t="shared" ref="R2:R65" si="5">IF(N2="","Missing station coordinates",IF(L2="","No original Rhyp to compare",IF(ABS(O2)&gt;Q2,"Review: Rhyp mismatch","Within screening tolerance")))</f>
        <v>Within screening tolerance</v>
      </c>
      <c r="S2" s="29" t="str">
        <f t="shared" ref="S2:S65" si="6">IF(L2="","",IF(L2&lt;K2-1,"Rhyp below depth by &gt;1 km",IF(L2&lt;K2,"Rhyp below depth by &lt;=1 km","")))</f>
        <v/>
      </c>
      <c r="T2" s="22">
        <v>27</v>
      </c>
      <c r="U2" s="29" t="s">
        <v>4573</v>
      </c>
      <c r="V2" s="29" t="str">
        <f t="shared" ref="V2:V65" si="7">IF(T2="","Missing Rrup/closest distance",IF(N2="","Cannot check without coordinates",IF(T2&gt;N2+1,"Review: distance &gt; recalculated Rhyp +1 km","No geometric exceedance")))</f>
        <v>No geometric exceedance</v>
      </c>
      <c r="W2" s="30">
        <v>40.816699999999997</v>
      </c>
      <c r="X2" s="30">
        <v>-124.083</v>
      </c>
      <c r="Y2" s="30">
        <v>10</v>
      </c>
      <c r="Z2" s="30">
        <v>32.351552355920937</v>
      </c>
      <c r="AA2" s="29" t="s">
        <v>167</v>
      </c>
      <c r="AB2" s="29" t="s">
        <v>4574</v>
      </c>
      <c r="AC2" s="39"/>
      <c r="AD2" s="39"/>
    </row>
    <row r="3" spans="1:33" ht="58" customHeight="1">
      <c r="A3" s="1" t="s">
        <v>1262</v>
      </c>
      <c r="B3" s="1">
        <v>3</v>
      </c>
      <c r="C3" s="1" t="s">
        <v>3097</v>
      </c>
      <c r="D3" s="29" t="s">
        <v>262</v>
      </c>
      <c r="E3" s="29" t="s">
        <v>732</v>
      </c>
      <c r="F3" s="1" t="s">
        <v>733</v>
      </c>
      <c r="G3" s="30">
        <v>34.334000000000003</v>
      </c>
      <c r="H3" s="30">
        <v>-118.396</v>
      </c>
      <c r="I3" s="30">
        <v>34.44</v>
      </c>
      <c r="J3" s="30">
        <v>-118.41</v>
      </c>
      <c r="K3" s="30">
        <v>13</v>
      </c>
      <c r="L3" s="22">
        <v>17.600000000000001</v>
      </c>
      <c r="M3" s="22">
        <f t="shared" si="0"/>
        <v>11.85646666642994</v>
      </c>
      <c r="N3" s="22">
        <f t="shared" si="1"/>
        <v>17.594766318771168</v>
      </c>
      <c r="O3" s="22">
        <f t="shared" si="2"/>
        <v>5.2336812288338308E-3</v>
      </c>
      <c r="P3" s="22">
        <f t="shared" si="3"/>
        <v>2.9745670581883325E-2</v>
      </c>
      <c r="Q3" s="22">
        <f t="shared" si="4"/>
        <v>1</v>
      </c>
      <c r="R3" s="29" t="str">
        <f t="shared" si="5"/>
        <v>Within screening tolerance</v>
      </c>
      <c r="S3" s="29" t="str">
        <f t="shared" si="6"/>
        <v/>
      </c>
      <c r="T3" s="22">
        <v>1.8</v>
      </c>
      <c r="U3" s="29" t="s">
        <v>4573</v>
      </c>
      <c r="V3" s="29" t="str">
        <f t="shared" si="7"/>
        <v>No geometric exceedance</v>
      </c>
      <c r="W3" s="30">
        <v>34.44</v>
      </c>
      <c r="X3" s="30">
        <v>-118.41</v>
      </c>
      <c r="Y3" s="30">
        <v>13</v>
      </c>
      <c r="Z3" s="30">
        <v>17.594766318771367</v>
      </c>
      <c r="AA3" s="29" t="s">
        <v>167</v>
      </c>
      <c r="AB3" s="29" t="s">
        <v>4574</v>
      </c>
      <c r="AC3" s="39"/>
      <c r="AD3" s="39"/>
    </row>
    <row r="4" spans="1:33" ht="58" customHeight="1">
      <c r="A4" s="1" t="s">
        <v>1262</v>
      </c>
      <c r="B4" s="1">
        <v>4</v>
      </c>
      <c r="C4" s="1" t="s">
        <v>3099</v>
      </c>
      <c r="D4" s="29" t="s">
        <v>269</v>
      </c>
      <c r="E4" s="29" t="s">
        <v>735</v>
      </c>
      <c r="F4" s="1" t="s">
        <v>736</v>
      </c>
      <c r="G4" s="30">
        <v>33.58</v>
      </c>
      <c r="H4" s="30">
        <v>56.92</v>
      </c>
      <c r="I4" s="30">
        <v>33.215000000000003</v>
      </c>
      <c r="J4" s="30">
        <v>57.323</v>
      </c>
      <c r="K4" s="30">
        <v>5.75</v>
      </c>
      <c r="L4" s="22">
        <v>55.5</v>
      </c>
      <c r="M4" s="22">
        <f t="shared" si="0"/>
        <v>55.198492770598534</v>
      </c>
      <c r="N4" s="22">
        <f t="shared" si="1"/>
        <v>55.497172037373389</v>
      </c>
      <c r="O4" s="22">
        <f t="shared" si="2"/>
        <v>2.8279626266112246E-3</v>
      </c>
      <c r="P4" s="22">
        <f t="shared" si="3"/>
        <v>5.0956878031673276E-3</v>
      </c>
      <c r="Q4" s="22">
        <f t="shared" si="4"/>
        <v>2.7748586018686696</v>
      </c>
      <c r="R4" s="29" t="str">
        <f t="shared" si="5"/>
        <v>Within screening tolerance</v>
      </c>
      <c r="S4" s="29" t="str">
        <f t="shared" si="6"/>
        <v/>
      </c>
      <c r="T4" s="22">
        <v>2</v>
      </c>
      <c r="U4" s="29" t="s">
        <v>4573</v>
      </c>
      <c r="V4" s="29" t="str">
        <f t="shared" si="7"/>
        <v>No geometric exceedance</v>
      </c>
      <c r="W4" s="30">
        <v>33.215000000000003</v>
      </c>
      <c r="X4" s="30">
        <v>57.323</v>
      </c>
      <c r="Y4" s="30">
        <v>5.75</v>
      </c>
      <c r="Z4" s="30">
        <v>55.49717203737351</v>
      </c>
      <c r="AA4" s="29" t="s">
        <v>167</v>
      </c>
      <c r="AB4" s="29" t="s">
        <v>4574</v>
      </c>
      <c r="AC4" s="39"/>
      <c r="AD4" s="39"/>
    </row>
    <row r="5" spans="1:33" ht="58" customHeight="1">
      <c r="A5" s="1" t="s">
        <v>1262</v>
      </c>
      <c r="B5" s="1">
        <v>5</v>
      </c>
      <c r="C5" s="1" t="s">
        <v>3101</v>
      </c>
      <c r="D5" s="29" t="s">
        <v>298</v>
      </c>
      <c r="E5" s="29" t="s">
        <v>737</v>
      </c>
      <c r="F5" s="1" t="s">
        <v>738</v>
      </c>
      <c r="G5" s="30">
        <v>42.094999999999999</v>
      </c>
      <c r="H5" s="30">
        <v>19.100999999999999</v>
      </c>
      <c r="I5" s="30">
        <v>42.04</v>
      </c>
      <c r="J5" s="30">
        <v>19.21</v>
      </c>
      <c r="K5" s="30">
        <v>7</v>
      </c>
      <c r="L5" s="22">
        <v>12.9</v>
      </c>
      <c r="M5" s="22">
        <f t="shared" si="0"/>
        <v>10.879232699045213</v>
      </c>
      <c r="N5" s="22">
        <f t="shared" si="1"/>
        <v>12.936680568058199</v>
      </c>
      <c r="O5" s="22">
        <f t="shared" si="2"/>
        <v>-3.6680568058198304E-2</v>
      </c>
      <c r="P5" s="22">
        <f t="shared" si="3"/>
        <v>-0.28353925773483074</v>
      </c>
      <c r="Q5" s="22">
        <f t="shared" si="4"/>
        <v>1</v>
      </c>
      <c r="R5" s="29" t="str">
        <f t="shared" si="5"/>
        <v>Within screening tolerance</v>
      </c>
      <c r="S5" s="29" t="str">
        <f t="shared" si="6"/>
        <v/>
      </c>
      <c r="T5" s="22">
        <v>7</v>
      </c>
      <c r="U5" s="29" t="s">
        <v>4573</v>
      </c>
      <c r="V5" s="29" t="str">
        <f t="shared" si="7"/>
        <v>No geometric exceedance</v>
      </c>
      <c r="W5" s="30">
        <v>42.04</v>
      </c>
      <c r="X5" s="30">
        <v>19.21</v>
      </c>
      <c r="Y5" s="30">
        <v>7</v>
      </c>
      <c r="Z5" s="30">
        <v>12.936680568058367</v>
      </c>
      <c r="AA5" s="29" t="s">
        <v>167</v>
      </c>
      <c r="AB5" s="29" t="s">
        <v>4574</v>
      </c>
      <c r="AC5" s="39"/>
      <c r="AD5" s="39"/>
    </row>
    <row r="6" spans="1:33" ht="58" customHeight="1">
      <c r="A6" s="1" t="s">
        <v>1262</v>
      </c>
      <c r="B6" s="1">
        <v>6</v>
      </c>
      <c r="C6" s="1" t="s">
        <v>3103</v>
      </c>
      <c r="D6" s="29" t="s">
        <v>298</v>
      </c>
      <c r="E6" s="29" t="s">
        <v>737</v>
      </c>
      <c r="F6" s="1" t="s">
        <v>739</v>
      </c>
      <c r="G6" s="30">
        <v>41.911000000000001</v>
      </c>
      <c r="H6" s="30">
        <v>19.248999999999999</v>
      </c>
      <c r="I6" s="30">
        <v>42.04</v>
      </c>
      <c r="J6" s="30">
        <v>19.21</v>
      </c>
      <c r="K6" s="30">
        <v>7</v>
      </c>
      <c r="L6" s="22">
        <v>16.3</v>
      </c>
      <c r="M6" s="22">
        <f t="shared" si="0"/>
        <v>14.701987604380474</v>
      </c>
      <c r="N6" s="22">
        <f t="shared" si="1"/>
        <v>16.28337924140309</v>
      </c>
      <c r="O6" s="22">
        <f t="shared" si="2"/>
        <v>1.6620758596911145E-2</v>
      </c>
      <c r="P6" s="22">
        <f t="shared" si="3"/>
        <v>0.1020719246939248</v>
      </c>
      <c r="Q6" s="22">
        <f t="shared" si="4"/>
        <v>1</v>
      </c>
      <c r="R6" s="29" t="str">
        <f t="shared" si="5"/>
        <v>Within screening tolerance</v>
      </c>
      <c r="S6" s="29" t="str">
        <f t="shared" si="6"/>
        <v/>
      </c>
      <c r="T6" s="22">
        <v>5.8</v>
      </c>
      <c r="U6" s="29" t="s">
        <v>4573</v>
      </c>
      <c r="V6" s="29" t="str">
        <f t="shared" si="7"/>
        <v>No geometric exceedance</v>
      </c>
      <c r="W6" s="30">
        <v>42.04</v>
      </c>
      <c r="X6" s="30">
        <v>19.21</v>
      </c>
      <c r="Y6" s="30">
        <v>7</v>
      </c>
      <c r="Z6" s="30">
        <v>16.283379241402773</v>
      </c>
      <c r="AA6" s="29" t="s">
        <v>167</v>
      </c>
      <c r="AB6" s="29" t="s">
        <v>4574</v>
      </c>
      <c r="AC6" s="39"/>
      <c r="AD6" s="39"/>
    </row>
    <row r="7" spans="1:33" ht="58" customHeight="1">
      <c r="A7" s="1" t="s">
        <v>1262</v>
      </c>
      <c r="B7" s="1">
        <v>7</v>
      </c>
      <c r="C7" s="1" t="s">
        <v>3105</v>
      </c>
      <c r="D7" s="29" t="s">
        <v>277</v>
      </c>
      <c r="E7" s="29" t="s">
        <v>740</v>
      </c>
      <c r="F7" s="1" t="s">
        <v>741</v>
      </c>
      <c r="G7" s="30">
        <v>36.981999999999999</v>
      </c>
      <c r="H7" s="30">
        <v>-121.556</v>
      </c>
      <c r="I7" s="30">
        <v>37.064999999999998</v>
      </c>
      <c r="J7" s="30">
        <v>-121.49</v>
      </c>
      <c r="K7" s="30">
        <v>8</v>
      </c>
      <c r="L7" s="22">
        <v>13.6</v>
      </c>
      <c r="M7" s="22">
        <f t="shared" si="0"/>
        <v>10.932004742651273</v>
      </c>
      <c r="N7" s="22">
        <f t="shared" si="1"/>
        <v>13.546539325353539</v>
      </c>
      <c r="O7" s="22">
        <f t="shared" si="2"/>
        <v>5.346067464646076E-2</v>
      </c>
      <c r="P7" s="22">
        <f t="shared" si="3"/>
        <v>0.39464451667301043</v>
      </c>
      <c r="Q7" s="22">
        <f t="shared" si="4"/>
        <v>1</v>
      </c>
      <c r="R7" s="29" t="str">
        <f t="shared" si="5"/>
        <v>Within screening tolerance</v>
      </c>
      <c r="S7" s="29" t="str">
        <f t="shared" si="6"/>
        <v/>
      </c>
      <c r="T7" s="22">
        <v>9</v>
      </c>
      <c r="U7" s="29" t="s">
        <v>4573</v>
      </c>
      <c r="V7" s="29" t="str">
        <f t="shared" si="7"/>
        <v>No geometric exceedance</v>
      </c>
      <c r="W7" s="30">
        <v>37.064999999999998</v>
      </c>
      <c r="X7" s="30">
        <v>-121.49</v>
      </c>
      <c r="Y7" s="30">
        <v>8</v>
      </c>
      <c r="Z7" s="30">
        <v>13.546539325353656</v>
      </c>
      <c r="AA7" s="29" t="s">
        <v>167</v>
      </c>
      <c r="AB7" s="29" t="s">
        <v>4574</v>
      </c>
      <c r="AC7" s="39"/>
      <c r="AD7" s="39"/>
    </row>
    <row r="8" spans="1:33" ht="58" customHeight="1">
      <c r="A8" s="1" t="s">
        <v>1262</v>
      </c>
      <c r="B8" s="1">
        <v>8</v>
      </c>
      <c r="C8" s="1" t="s">
        <v>3107</v>
      </c>
      <c r="D8" s="29" t="s">
        <v>277</v>
      </c>
      <c r="E8" s="29" t="s">
        <v>740</v>
      </c>
      <c r="F8" s="1" t="s">
        <v>742</v>
      </c>
      <c r="G8" s="30">
        <v>36.987000000000002</v>
      </c>
      <c r="H8" s="30">
        <v>-121.536</v>
      </c>
      <c r="I8" s="30">
        <v>37.064999999999998</v>
      </c>
      <c r="J8" s="30">
        <v>-121.49</v>
      </c>
      <c r="K8" s="30">
        <v>8</v>
      </c>
      <c r="L8" s="22">
        <v>12.5</v>
      </c>
      <c r="M8" s="22">
        <f t="shared" si="0"/>
        <v>9.5864606119263467</v>
      </c>
      <c r="N8" s="22">
        <f t="shared" si="1"/>
        <v>12.486001243953776</v>
      </c>
      <c r="O8" s="22">
        <f t="shared" si="2"/>
        <v>1.3998756046223804E-2</v>
      </c>
      <c r="P8" s="22">
        <f t="shared" si="3"/>
        <v>0.11211560669195483</v>
      </c>
      <c r="Q8" s="22">
        <f t="shared" si="4"/>
        <v>1</v>
      </c>
      <c r="R8" s="29" t="str">
        <f t="shared" si="5"/>
        <v>Within screening tolerance</v>
      </c>
      <c r="S8" s="29" t="str">
        <f t="shared" si="6"/>
        <v/>
      </c>
      <c r="T8" s="22">
        <v>7.4</v>
      </c>
      <c r="U8" s="29" t="s">
        <v>4573</v>
      </c>
      <c r="V8" s="29" t="str">
        <f t="shared" si="7"/>
        <v>No geometric exceedance</v>
      </c>
      <c r="W8" s="30">
        <v>37.064999999999998</v>
      </c>
      <c r="X8" s="30">
        <v>-121.49</v>
      </c>
      <c r="Y8" s="30">
        <v>8</v>
      </c>
      <c r="Z8" s="30">
        <v>12.486001243953625</v>
      </c>
      <c r="AA8" s="29" t="s">
        <v>167</v>
      </c>
      <c r="AB8" s="29" t="s">
        <v>4574</v>
      </c>
      <c r="AC8" s="39"/>
      <c r="AD8" s="39"/>
    </row>
    <row r="9" spans="1:33" ht="58" customHeight="1">
      <c r="A9" s="1" t="s">
        <v>1262</v>
      </c>
      <c r="B9" s="1">
        <v>9</v>
      </c>
      <c r="C9" s="1" t="s">
        <v>3109</v>
      </c>
      <c r="D9" s="29" t="s">
        <v>277</v>
      </c>
      <c r="E9" s="29" t="s">
        <v>740</v>
      </c>
      <c r="F9" s="1" t="s">
        <v>743</v>
      </c>
      <c r="G9" s="30">
        <v>37.000999999999998</v>
      </c>
      <c r="H9" s="30">
        <v>-121.52200000000001</v>
      </c>
      <c r="I9" s="30">
        <v>37.064999999999998</v>
      </c>
      <c r="J9" s="30">
        <v>-121.49</v>
      </c>
      <c r="K9" s="30">
        <v>8</v>
      </c>
      <c r="L9" s="22">
        <v>11.1</v>
      </c>
      <c r="M9" s="22">
        <f t="shared" si="0"/>
        <v>7.6624190041585578</v>
      </c>
      <c r="N9" s="22">
        <f t="shared" si="1"/>
        <v>11.077574869766858</v>
      </c>
      <c r="O9" s="22">
        <f t="shared" si="2"/>
        <v>2.2425130233141743E-2</v>
      </c>
      <c r="P9" s="22">
        <f t="shared" si="3"/>
        <v>0.20243718049105552</v>
      </c>
      <c r="Q9" s="22">
        <f t="shared" si="4"/>
        <v>1</v>
      </c>
      <c r="R9" s="29" t="str">
        <f t="shared" si="5"/>
        <v>Within screening tolerance</v>
      </c>
      <c r="S9" s="29" t="str">
        <f t="shared" si="6"/>
        <v/>
      </c>
      <c r="T9" s="22">
        <v>5.7</v>
      </c>
      <c r="U9" s="29" t="s">
        <v>4573</v>
      </c>
      <c r="V9" s="29" t="str">
        <f t="shared" si="7"/>
        <v>No geometric exceedance</v>
      </c>
      <c r="W9" s="30">
        <v>37.064999999999998</v>
      </c>
      <c r="X9" s="30">
        <v>-121.49</v>
      </c>
      <c r="Y9" s="30">
        <v>8</v>
      </c>
      <c r="Z9" s="30">
        <v>11.077574869766751</v>
      </c>
      <c r="AA9" s="29" t="s">
        <v>167</v>
      </c>
      <c r="AB9" s="29" t="s">
        <v>4574</v>
      </c>
      <c r="AC9" s="39"/>
      <c r="AD9" s="39"/>
    </row>
    <row r="10" spans="1:33" ht="58" customHeight="1">
      <c r="A10" s="1" t="s">
        <v>1262</v>
      </c>
      <c r="B10" s="1">
        <v>10</v>
      </c>
      <c r="C10" s="1" t="s">
        <v>3111</v>
      </c>
      <c r="D10" s="29" t="s">
        <v>277</v>
      </c>
      <c r="E10" s="29" t="s">
        <v>740</v>
      </c>
      <c r="F10" s="1" t="s">
        <v>744</v>
      </c>
      <c r="G10" s="30">
        <v>37.026000000000003</v>
      </c>
      <c r="H10" s="30">
        <v>-121.48399999999999</v>
      </c>
      <c r="I10" s="30">
        <v>37.064999999999998</v>
      </c>
      <c r="J10" s="30">
        <v>-121.49</v>
      </c>
      <c r="K10" s="30">
        <v>8</v>
      </c>
      <c r="L10" s="22">
        <v>9.1</v>
      </c>
      <c r="M10" s="22">
        <f t="shared" si="0"/>
        <v>4.3691739521803106</v>
      </c>
      <c r="N10" s="22">
        <f t="shared" si="1"/>
        <v>9.115354135984564</v>
      </c>
      <c r="O10" s="22">
        <f t="shared" si="2"/>
        <v>-1.5354135984564365E-2</v>
      </c>
      <c r="P10" s="22">
        <f t="shared" si="3"/>
        <v>-0.16844256136962407</v>
      </c>
      <c r="Q10" s="22">
        <f t="shared" si="4"/>
        <v>1</v>
      </c>
      <c r="R10" s="29" t="str">
        <f t="shared" si="5"/>
        <v>Within screening tolerance</v>
      </c>
      <c r="S10" s="29" t="str">
        <f t="shared" si="6"/>
        <v/>
      </c>
      <c r="T10" s="22">
        <v>3.1</v>
      </c>
      <c r="U10" s="29" t="s">
        <v>4573</v>
      </c>
      <c r="V10" s="29" t="str">
        <f t="shared" si="7"/>
        <v>No geometric exceedance</v>
      </c>
      <c r="W10" s="30">
        <v>37.064999999999998</v>
      </c>
      <c r="X10" s="30">
        <v>-121.49</v>
      </c>
      <c r="Y10" s="30">
        <v>8</v>
      </c>
      <c r="Z10" s="30">
        <v>9.1153541359845338</v>
      </c>
      <c r="AA10" s="29" t="s">
        <v>167</v>
      </c>
      <c r="AB10" s="29" t="s">
        <v>4574</v>
      </c>
      <c r="AC10" s="39"/>
      <c r="AD10" s="39"/>
    </row>
    <row r="11" spans="1:33" ht="58" customHeight="1">
      <c r="A11" s="1" t="s">
        <v>1262</v>
      </c>
      <c r="B11" s="1">
        <v>11</v>
      </c>
      <c r="C11" s="1" t="s">
        <v>3113</v>
      </c>
      <c r="D11" s="29" t="s">
        <v>285</v>
      </c>
      <c r="E11" s="29" t="s">
        <v>745</v>
      </c>
      <c r="F11" s="1" t="s">
        <v>746</v>
      </c>
      <c r="G11" s="30">
        <v>32.621000000000002</v>
      </c>
      <c r="H11" s="30">
        <v>-115.301</v>
      </c>
      <c r="I11" s="30">
        <v>32.643999999999998</v>
      </c>
      <c r="J11" s="30">
        <v>-115.307</v>
      </c>
      <c r="K11" s="30">
        <v>9.9600000000000009</v>
      </c>
      <c r="L11" s="22">
        <v>10.3</v>
      </c>
      <c r="M11" s="22">
        <f t="shared" si="0"/>
        <v>2.6184731220717881</v>
      </c>
      <c r="N11" s="22">
        <f t="shared" si="1"/>
        <v>10.298446557176106</v>
      </c>
      <c r="O11" s="22">
        <f t="shared" si="2"/>
        <v>1.5534428238943576E-3</v>
      </c>
      <c r="P11" s="22">
        <f t="shared" si="3"/>
        <v>1.5084244165076491E-2</v>
      </c>
      <c r="Q11" s="22">
        <f t="shared" si="4"/>
        <v>1</v>
      </c>
      <c r="R11" s="29" t="str">
        <f t="shared" si="5"/>
        <v>Within screening tolerance</v>
      </c>
      <c r="S11" s="29" t="str">
        <f t="shared" si="6"/>
        <v/>
      </c>
      <c r="T11" s="22">
        <v>0.7</v>
      </c>
      <c r="U11" s="29" t="s">
        <v>4573</v>
      </c>
      <c r="V11" s="29" t="str">
        <f t="shared" si="7"/>
        <v>No geometric exceedance</v>
      </c>
      <c r="W11" s="30">
        <v>32.643999999999998</v>
      </c>
      <c r="X11" s="30">
        <v>-115.307</v>
      </c>
      <c r="Y11" s="30">
        <v>9.9600000000000009</v>
      </c>
      <c r="Z11" s="30">
        <v>10.298446557176138</v>
      </c>
      <c r="AA11" s="29" t="s">
        <v>167</v>
      </c>
      <c r="AB11" s="29" t="s">
        <v>4574</v>
      </c>
      <c r="AC11" s="39"/>
      <c r="AD11" s="39"/>
    </row>
    <row r="12" spans="1:33" ht="58" customHeight="1">
      <c r="A12" s="1" t="s">
        <v>1262</v>
      </c>
      <c r="B12" s="1">
        <v>12</v>
      </c>
      <c r="C12" s="1" t="s">
        <v>3115</v>
      </c>
      <c r="D12" s="29" t="s">
        <v>285</v>
      </c>
      <c r="E12" s="29" t="s">
        <v>745</v>
      </c>
      <c r="F12" s="1" t="s">
        <v>747</v>
      </c>
      <c r="G12" s="30">
        <v>32.991</v>
      </c>
      <c r="H12" s="30">
        <v>-115.51300000000001</v>
      </c>
      <c r="I12" s="30">
        <v>32.643999999999998</v>
      </c>
      <c r="J12" s="30">
        <v>-115.307</v>
      </c>
      <c r="K12" s="30">
        <v>9.9600000000000009</v>
      </c>
      <c r="L12" s="22">
        <v>44.3</v>
      </c>
      <c r="M12" s="22">
        <f t="shared" si="0"/>
        <v>43.120158020375484</v>
      </c>
      <c r="N12" s="22">
        <f t="shared" si="1"/>
        <v>44.255503925524927</v>
      </c>
      <c r="O12" s="22">
        <f t="shared" si="2"/>
        <v>4.4496074475070202E-2</v>
      </c>
      <c r="P12" s="22">
        <f t="shared" si="3"/>
        <v>0.10054359464519966</v>
      </c>
      <c r="Q12" s="22">
        <f t="shared" si="4"/>
        <v>2.2127751962762465</v>
      </c>
      <c r="R12" s="29" t="str">
        <f t="shared" si="5"/>
        <v>Within screening tolerance</v>
      </c>
      <c r="S12" s="29" t="str">
        <f t="shared" si="6"/>
        <v/>
      </c>
      <c r="T12" s="22">
        <v>10.4</v>
      </c>
      <c r="U12" s="29" t="s">
        <v>4573</v>
      </c>
      <c r="V12" s="29" t="str">
        <f t="shared" si="7"/>
        <v>No geometric exceedance</v>
      </c>
      <c r="W12" s="30">
        <v>32.643999999999998</v>
      </c>
      <c r="X12" s="30">
        <v>-115.307</v>
      </c>
      <c r="Y12" s="30">
        <v>9.9600000000000009</v>
      </c>
      <c r="Z12" s="30">
        <v>44.255503925524685</v>
      </c>
      <c r="AA12" s="29" t="s">
        <v>167</v>
      </c>
      <c r="AB12" s="29" t="s">
        <v>4574</v>
      </c>
      <c r="AC12" s="39"/>
      <c r="AD12" s="39"/>
    </row>
    <row r="13" spans="1:33" ht="58" customHeight="1">
      <c r="A13" s="1" t="s">
        <v>1262</v>
      </c>
      <c r="B13" s="1">
        <v>13</v>
      </c>
      <c r="C13" s="1" t="s">
        <v>3117</v>
      </c>
      <c r="D13" s="29" t="s">
        <v>285</v>
      </c>
      <c r="E13" s="29" t="s">
        <v>745</v>
      </c>
      <c r="F13" s="1" t="s">
        <v>748</v>
      </c>
      <c r="G13" s="30">
        <v>32.792999999999999</v>
      </c>
      <c r="H13" s="30">
        <v>-115.562</v>
      </c>
      <c r="I13" s="30">
        <v>32.643999999999998</v>
      </c>
      <c r="J13" s="30">
        <v>-115.307</v>
      </c>
      <c r="K13" s="30">
        <v>9.9600000000000009</v>
      </c>
      <c r="L13" s="22">
        <v>30.7</v>
      </c>
      <c r="M13" s="22">
        <f t="shared" si="0"/>
        <v>29.044799406907764</v>
      </c>
      <c r="N13" s="22">
        <f t="shared" si="1"/>
        <v>30.705080566373859</v>
      </c>
      <c r="O13" s="22">
        <f t="shared" si="2"/>
        <v>-5.080566373859341E-3</v>
      </c>
      <c r="P13" s="22">
        <f t="shared" si="3"/>
        <v>-1.6546337870297714E-2</v>
      </c>
      <c r="Q13" s="22">
        <f t="shared" si="4"/>
        <v>1.5352540283186931</v>
      </c>
      <c r="R13" s="29" t="str">
        <f t="shared" si="5"/>
        <v>Within screening tolerance</v>
      </c>
      <c r="S13" s="29" t="str">
        <f t="shared" si="6"/>
        <v/>
      </c>
      <c r="T13" s="22">
        <v>7.3</v>
      </c>
      <c r="U13" s="29" t="s">
        <v>4573</v>
      </c>
      <c r="V13" s="29" t="str">
        <f t="shared" si="7"/>
        <v>No geometric exceedance</v>
      </c>
      <c r="W13" s="30">
        <v>32.643999999999998</v>
      </c>
      <c r="X13" s="30">
        <v>-115.307</v>
      </c>
      <c r="Y13" s="30">
        <v>9.9600000000000009</v>
      </c>
      <c r="Z13" s="30">
        <v>30.70508056637378</v>
      </c>
      <c r="AA13" s="29" t="s">
        <v>167</v>
      </c>
      <c r="AB13" s="29" t="s">
        <v>4574</v>
      </c>
      <c r="AC13" s="39"/>
      <c r="AD13" s="39"/>
    </row>
    <row r="14" spans="1:33" ht="58" customHeight="1">
      <c r="A14" s="1" t="s">
        <v>1262</v>
      </c>
      <c r="B14" s="1">
        <v>14</v>
      </c>
      <c r="C14" s="1" t="s">
        <v>3119</v>
      </c>
      <c r="D14" s="29" t="s">
        <v>285</v>
      </c>
      <c r="E14" s="29" t="s">
        <v>745</v>
      </c>
      <c r="F14" s="1" t="s">
        <v>749</v>
      </c>
      <c r="G14" s="30">
        <v>32.773000000000003</v>
      </c>
      <c r="H14" s="30">
        <v>-115.447</v>
      </c>
      <c r="I14" s="30">
        <v>32.643999999999998</v>
      </c>
      <c r="J14" s="30">
        <v>-115.307</v>
      </c>
      <c r="K14" s="30">
        <v>9.9600000000000009</v>
      </c>
      <c r="L14" s="22">
        <v>21.8</v>
      </c>
      <c r="M14" s="22">
        <f t="shared" si="0"/>
        <v>19.425054376144185</v>
      </c>
      <c r="N14" s="22">
        <f t="shared" si="1"/>
        <v>21.829666454532887</v>
      </c>
      <c r="O14" s="22">
        <f t="shared" si="2"/>
        <v>-2.9666454532886632E-2</v>
      </c>
      <c r="P14" s="22">
        <f t="shared" si="3"/>
        <v>-0.13589971516365726</v>
      </c>
      <c r="Q14" s="22">
        <f t="shared" si="4"/>
        <v>1.0914833227266445</v>
      </c>
      <c r="R14" s="29" t="str">
        <f t="shared" si="5"/>
        <v>Within screening tolerance</v>
      </c>
      <c r="S14" s="29" t="str">
        <f t="shared" si="6"/>
        <v/>
      </c>
      <c r="T14" s="22">
        <v>0.1</v>
      </c>
      <c r="U14" s="29" t="s">
        <v>4573</v>
      </c>
      <c r="V14" s="29" t="str">
        <f t="shared" si="7"/>
        <v>No geometric exceedance</v>
      </c>
      <c r="W14" s="30">
        <v>32.643999999999998</v>
      </c>
      <c r="X14" s="30">
        <v>-115.307</v>
      </c>
      <c r="Y14" s="30">
        <v>9.9600000000000009</v>
      </c>
      <c r="Z14" s="30">
        <v>21.829666454532596</v>
      </c>
      <c r="AA14" s="29" t="s">
        <v>167</v>
      </c>
      <c r="AB14" s="29" t="s">
        <v>4574</v>
      </c>
      <c r="AC14" s="39"/>
      <c r="AD14" s="39"/>
    </row>
    <row r="15" spans="1:33" ht="58" customHeight="1">
      <c r="A15" s="1" t="s">
        <v>1262</v>
      </c>
      <c r="B15" s="1">
        <v>15</v>
      </c>
      <c r="C15" s="1" t="s">
        <v>3121</v>
      </c>
      <c r="D15" s="29" t="s">
        <v>285</v>
      </c>
      <c r="E15" s="29" t="s">
        <v>745</v>
      </c>
      <c r="F15" s="1" t="s">
        <v>750</v>
      </c>
      <c r="G15" s="30">
        <v>32.7806</v>
      </c>
      <c r="H15" s="30">
        <v>-115.5681</v>
      </c>
      <c r="I15" s="30">
        <v>32.643999999999998</v>
      </c>
      <c r="J15" s="30">
        <v>-115.307</v>
      </c>
      <c r="K15" s="30">
        <v>9.9600000000000009</v>
      </c>
      <c r="L15" s="22">
        <v>30.5</v>
      </c>
      <c r="M15" s="22">
        <f t="shared" si="0"/>
        <v>28.765416224119015</v>
      </c>
      <c r="N15" s="22">
        <f t="shared" si="1"/>
        <v>30.440939054943911</v>
      </c>
      <c r="O15" s="22">
        <f t="shared" si="2"/>
        <v>5.9060945056089054E-2</v>
      </c>
      <c r="P15" s="22">
        <f t="shared" si="3"/>
        <v>0.19401814428092345</v>
      </c>
      <c r="Q15" s="22">
        <f t="shared" si="4"/>
        <v>1.5220469527471956</v>
      </c>
      <c r="R15" s="29" t="str">
        <f t="shared" si="5"/>
        <v>Within screening tolerance</v>
      </c>
      <c r="S15" s="29" t="str">
        <f t="shared" si="6"/>
        <v/>
      </c>
      <c r="T15" s="22">
        <v>8.6</v>
      </c>
      <c r="U15" s="29" t="s">
        <v>4573</v>
      </c>
      <c r="V15" s="29" t="str">
        <f t="shared" si="7"/>
        <v>No geometric exceedance</v>
      </c>
      <c r="W15" s="30">
        <v>32.643999999999998</v>
      </c>
      <c r="X15" s="30">
        <v>-115.307</v>
      </c>
      <c r="Y15" s="30">
        <v>9.9600000000000009</v>
      </c>
      <c r="Z15" s="30">
        <v>30.440939054943911</v>
      </c>
      <c r="AA15" s="29" t="s">
        <v>167</v>
      </c>
      <c r="AB15" s="29" t="s">
        <v>4574</v>
      </c>
      <c r="AC15" s="39"/>
      <c r="AD15" s="39"/>
    </row>
    <row r="16" spans="1:33" ht="58" customHeight="1">
      <c r="A16" s="1" t="s">
        <v>1262</v>
      </c>
      <c r="B16" s="1">
        <v>16</v>
      </c>
      <c r="C16" s="1" t="s">
        <v>3123</v>
      </c>
      <c r="D16" s="29" t="s">
        <v>285</v>
      </c>
      <c r="E16" s="29" t="s">
        <v>745</v>
      </c>
      <c r="F16" s="1" t="s">
        <v>751</v>
      </c>
      <c r="G16" s="30">
        <v>32.893999999999998</v>
      </c>
      <c r="H16" s="30">
        <v>-115.38</v>
      </c>
      <c r="I16" s="30">
        <v>32.643999999999998</v>
      </c>
      <c r="J16" s="30">
        <v>-115.307</v>
      </c>
      <c r="K16" s="30">
        <v>9.9600000000000009</v>
      </c>
      <c r="L16" s="22">
        <v>30.3</v>
      </c>
      <c r="M16" s="22">
        <f t="shared" si="0"/>
        <v>28.624396683128875</v>
      </c>
      <c r="N16" s="22">
        <f t="shared" si="1"/>
        <v>30.307716599458946</v>
      </c>
      <c r="O16" s="22">
        <f t="shared" si="2"/>
        <v>-7.7165994589449838E-3</v>
      </c>
      <c r="P16" s="22">
        <f t="shared" si="3"/>
        <v>-2.5460840751964604E-2</v>
      </c>
      <c r="Q16" s="22">
        <f t="shared" si="4"/>
        <v>1.5153858299729475</v>
      </c>
      <c r="R16" s="29" t="str">
        <f t="shared" si="5"/>
        <v>Within screening tolerance</v>
      </c>
      <c r="S16" s="29" t="str">
        <f t="shared" si="6"/>
        <v/>
      </c>
      <c r="T16" s="22">
        <v>12.9</v>
      </c>
      <c r="U16" s="29" t="s">
        <v>4573</v>
      </c>
      <c r="V16" s="29" t="str">
        <f t="shared" si="7"/>
        <v>No geometric exceedance</v>
      </c>
      <c r="W16" s="30">
        <v>32.643999999999998</v>
      </c>
      <c r="X16" s="30">
        <v>-115.307</v>
      </c>
      <c r="Y16" s="30">
        <v>9.9600000000000009</v>
      </c>
      <c r="Z16" s="30">
        <v>30.307716599458658</v>
      </c>
      <c r="AA16" s="29" t="s">
        <v>167</v>
      </c>
      <c r="AB16" s="29" t="s">
        <v>4574</v>
      </c>
      <c r="AC16" s="39"/>
      <c r="AD16" s="39"/>
    </row>
    <row r="17" spans="1:30" ht="58" customHeight="1">
      <c r="A17" s="1" t="s">
        <v>1262</v>
      </c>
      <c r="B17" s="1">
        <v>17</v>
      </c>
      <c r="C17" s="1" t="s">
        <v>3125</v>
      </c>
      <c r="D17" s="29" t="s">
        <v>285</v>
      </c>
      <c r="E17" s="29" t="s">
        <v>745</v>
      </c>
      <c r="F17" s="1" t="s">
        <v>752</v>
      </c>
      <c r="G17" s="30">
        <v>32.863999999999997</v>
      </c>
      <c r="H17" s="30">
        <v>-115.432</v>
      </c>
      <c r="I17" s="30">
        <v>32.643999999999998</v>
      </c>
      <c r="J17" s="30">
        <v>-115.307</v>
      </c>
      <c r="K17" s="30">
        <v>9.9600000000000009</v>
      </c>
      <c r="L17" s="22">
        <v>28.9</v>
      </c>
      <c r="M17" s="22">
        <f t="shared" si="0"/>
        <v>27.112248003606499</v>
      </c>
      <c r="N17" s="22">
        <f t="shared" si="1"/>
        <v>28.883829244216646</v>
      </c>
      <c r="O17" s="22">
        <f t="shared" si="2"/>
        <v>1.617075578335303E-2</v>
      </c>
      <c r="P17" s="22">
        <f t="shared" si="3"/>
        <v>5.5985498482999344E-2</v>
      </c>
      <c r="Q17" s="22">
        <f t="shared" si="4"/>
        <v>1.4441914622108323</v>
      </c>
      <c r="R17" s="29" t="str">
        <f t="shared" si="5"/>
        <v>Within screening tolerance</v>
      </c>
      <c r="S17" s="29" t="str">
        <f t="shared" si="6"/>
        <v/>
      </c>
      <c r="T17" s="22">
        <v>7</v>
      </c>
      <c r="U17" s="29" t="s">
        <v>4573</v>
      </c>
      <c r="V17" s="29" t="str">
        <f t="shared" si="7"/>
        <v>No geometric exceedance</v>
      </c>
      <c r="W17" s="30">
        <v>32.643999999999998</v>
      </c>
      <c r="X17" s="30">
        <v>-115.307</v>
      </c>
      <c r="Y17" s="30">
        <v>9.9600000000000009</v>
      </c>
      <c r="Z17" s="30">
        <v>28.88382924421666</v>
      </c>
      <c r="AA17" s="29" t="s">
        <v>167</v>
      </c>
      <c r="AB17" s="29" t="s">
        <v>4574</v>
      </c>
      <c r="AC17" s="39"/>
      <c r="AD17" s="39"/>
    </row>
    <row r="18" spans="1:30" ht="58" customHeight="1">
      <c r="A18" s="1" t="s">
        <v>1262</v>
      </c>
      <c r="B18" s="1">
        <v>18</v>
      </c>
      <c r="C18" s="1" t="s">
        <v>3127</v>
      </c>
      <c r="D18" s="29" t="s">
        <v>285</v>
      </c>
      <c r="E18" s="29" t="s">
        <v>745</v>
      </c>
      <c r="F18" s="1" t="s">
        <v>753</v>
      </c>
      <c r="G18" s="30">
        <v>32.854999999999997</v>
      </c>
      <c r="H18" s="30">
        <v>-115.46599999999999</v>
      </c>
      <c r="I18" s="30">
        <v>32.643999999999998</v>
      </c>
      <c r="J18" s="30">
        <v>-115.307</v>
      </c>
      <c r="K18" s="30">
        <v>9.9600000000000009</v>
      </c>
      <c r="L18" s="22">
        <v>29.5</v>
      </c>
      <c r="M18" s="22">
        <f t="shared" si="0"/>
        <v>27.777281007840561</v>
      </c>
      <c r="N18" s="22">
        <f t="shared" si="1"/>
        <v>29.508963726104309</v>
      </c>
      <c r="O18" s="22">
        <f t="shared" si="2"/>
        <v>-8.9637261043087335E-3</v>
      </c>
      <c r="P18" s="22">
        <f t="shared" si="3"/>
        <v>-3.0376282229047626E-2</v>
      </c>
      <c r="Q18" s="22">
        <f t="shared" si="4"/>
        <v>1.4754481863052156</v>
      </c>
      <c r="R18" s="29" t="str">
        <f t="shared" si="5"/>
        <v>Within screening tolerance</v>
      </c>
      <c r="S18" s="29" t="str">
        <f t="shared" si="6"/>
        <v/>
      </c>
      <c r="T18" s="22">
        <v>4</v>
      </c>
      <c r="U18" s="29" t="s">
        <v>4573</v>
      </c>
      <c r="V18" s="29" t="str">
        <f t="shared" si="7"/>
        <v>No geometric exceedance</v>
      </c>
      <c r="W18" s="30">
        <v>32.643999999999998</v>
      </c>
      <c r="X18" s="30">
        <v>-115.307</v>
      </c>
      <c r="Y18" s="30">
        <v>9.9600000000000009</v>
      </c>
      <c r="Z18" s="30">
        <v>29.508963726104177</v>
      </c>
      <c r="AA18" s="29" t="s">
        <v>167</v>
      </c>
      <c r="AB18" s="29" t="s">
        <v>4574</v>
      </c>
      <c r="AC18" s="39"/>
      <c r="AD18" s="39"/>
    </row>
    <row r="19" spans="1:30" ht="58" customHeight="1">
      <c r="A19" s="1" t="s">
        <v>1262</v>
      </c>
      <c r="B19" s="1">
        <v>19</v>
      </c>
      <c r="C19" s="1" t="s">
        <v>3129</v>
      </c>
      <c r="D19" s="29" t="s">
        <v>285</v>
      </c>
      <c r="E19" s="29" t="s">
        <v>745</v>
      </c>
      <c r="F19" s="1" t="s">
        <v>754</v>
      </c>
      <c r="G19" s="30">
        <v>32.838999999999999</v>
      </c>
      <c r="H19" s="30">
        <v>-115.48699999999999</v>
      </c>
      <c r="I19" s="30">
        <v>32.643999999999998</v>
      </c>
      <c r="J19" s="30">
        <v>-115.307</v>
      </c>
      <c r="K19" s="30">
        <v>9.9600000000000009</v>
      </c>
      <c r="L19" s="22">
        <v>29.2</v>
      </c>
      <c r="M19" s="22">
        <f t="shared" si="0"/>
        <v>27.451266292448938</v>
      </c>
      <c r="N19" s="22">
        <f t="shared" si="1"/>
        <v>29.202287942196296</v>
      </c>
      <c r="O19" s="22">
        <f t="shared" si="2"/>
        <v>-2.2879421962969104E-3</v>
      </c>
      <c r="P19" s="22">
        <f t="shared" si="3"/>
        <v>-7.8348045907420602E-3</v>
      </c>
      <c r="Q19" s="22">
        <f t="shared" si="4"/>
        <v>1.4601143971098149</v>
      </c>
      <c r="R19" s="29" t="str">
        <f t="shared" si="5"/>
        <v>Within screening tolerance</v>
      </c>
      <c r="S19" s="29" t="str">
        <f t="shared" si="6"/>
        <v/>
      </c>
      <c r="T19" s="22">
        <v>1.4</v>
      </c>
      <c r="U19" s="29" t="s">
        <v>4573</v>
      </c>
      <c r="V19" s="29" t="str">
        <f t="shared" si="7"/>
        <v>No geometric exceedance</v>
      </c>
      <c r="W19" s="30">
        <v>32.643999999999998</v>
      </c>
      <c r="X19" s="30">
        <v>-115.307</v>
      </c>
      <c r="Y19" s="30">
        <v>9.9600000000000009</v>
      </c>
      <c r="Z19" s="30">
        <v>29.202287942196321</v>
      </c>
      <c r="AA19" s="29" t="s">
        <v>167</v>
      </c>
      <c r="AB19" s="29" t="s">
        <v>4574</v>
      </c>
      <c r="AC19" s="39"/>
      <c r="AD19" s="39"/>
    </row>
    <row r="20" spans="1:30" ht="58" customHeight="1">
      <c r="A20" s="1" t="s">
        <v>1262</v>
      </c>
      <c r="B20" s="1">
        <v>20</v>
      </c>
      <c r="C20" s="1" t="s">
        <v>3131</v>
      </c>
      <c r="D20" s="29" t="s">
        <v>285</v>
      </c>
      <c r="E20" s="29" t="s">
        <v>745</v>
      </c>
      <c r="F20" s="1" t="s">
        <v>755</v>
      </c>
      <c r="G20" s="30">
        <v>32.829000000000001</v>
      </c>
      <c r="H20" s="30">
        <v>-115.504</v>
      </c>
      <c r="I20" s="30">
        <v>32.643999999999998</v>
      </c>
      <c r="J20" s="30">
        <v>-115.307</v>
      </c>
      <c r="K20" s="30">
        <v>9.9600000000000009</v>
      </c>
      <c r="L20" s="22">
        <v>29.4</v>
      </c>
      <c r="M20" s="22">
        <f t="shared" si="0"/>
        <v>27.616816115525431</v>
      </c>
      <c r="N20" s="22">
        <f t="shared" si="1"/>
        <v>29.357965398827371</v>
      </c>
      <c r="O20" s="22">
        <f t="shared" si="2"/>
        <v>4.2034601172627362E-2</v>
      </c>
      <c r="P20" s="22">
        <f t="shared" si="3"/>
        <v>0.14317954463665361</v>
      </c>
      <c r="Q20" s="22">
        <f t="shared" si="4"/>
        <v>1.4678982699413687</v>
      </c>
      <c r="R20" s="29" t="str">
        <f t="shared" si="5"/>
        <v>Within screening tolerance</v>
      </c>
      <c r="S20" s="29" t="str">
        <f t="shared" si="6"/>
        <v/>
      </c>
      <c r="T20" s="22">
        <v>0.6</v>
      </c>
      <c r="U20" s="29" t="s">
        <v>4573</v>
      </c>
      <c r="V20" s="29" t="str">
        <f t="shared" si="7"/>
        <v>No geometric exceedance</v>
      </c>
      <c r="W20" s="30">
        <v>32.643999999999998</v>
      </c>
      <c r="X20" s="30">
        <v>-115.307</v>
      </c>
      <c r="Y20" s="30">
        <v>9.9600000000000009</v>
      </c>
      <c r="Z20" s="30">
        <v>29.35796539882729</v>
      </c>
      <c r="AA20" s="29" t="s">
        <v>167</v>
      </c>
      <c r="AB20" s="29" t="s">
        <v>4574</v>
      </c>
      <c r="AC20" s="39"/>
      <c r="AD20" s="39"/>
    </row>
    <row r="21" spans="1:30" ht="58" customHeight="1">
      <c r="A21" s="1" t="s">
        <v>1262</v>
      </c>
      <c r="B21" s="1">
        <v>21</v>
      </c>
      <c r="C21" s="1" t="s">
        <v>3133</v>
      </c>
      <c r="D21" s="29" t="s">
        <v>285</v>
      </c>
      <c r="E21" s="29" t="s">
        <v>745</v>
      </c>
      <c r="F21" s="1" t="s">
        <v>756</v>
      </c>
      <c r="G21" s="30">
        <v>32.795999999999999</v>
      </c>
      <c r="H21" s="30">
        <v>-115.535</v>
      </c>
      <c r="I21" s="30">
        <v>32.643999999999998</v>
      </c>
      <c r="J21" s="30">
        <v>-115.307</v>
      </c>
      <c r="K21" s="30">
        <v>9.9600000000000009</v>
      </c>
      <c r="L21" s="22">
        <v>29</v>
      </c>
      <c r="M21" s="22">
        <f t="shared" si="0"/>
        <v>27.214241340553567</v>
      </c>
      <c r="N21" s="22">
        <f t="shared" si="1"/>
        <v>28.979588191378681</v>
      </c>
      <c r="O21" s="22">
        <f t="shared" si="2"/>
        <v>2.0411808621318528E-2</v>
      </c>
      <c r="P21" s="22">
        <f t="shared" si="3"/>
        <v>7.0435123116728643E-2</v>
      </c>
      <c r="Q21" s="22">
        <f t="shared" si="4"/>
        <v>1.4489794095689341</v>
      </c>
      <c r="R21" s="29" t="str">
        <f t="shared" si="5"/>
        <v>Within screening tolerance</v>
      </c>
      <c r="S21" s="29" t="str">
        <f t="shared" si="6"/>
        <v/>
      </c>
      <c r="T21" s="22">
        <v>5.0999999999999996</v>
      </c>
      <c r="U21" s="29" t="s">
        <v>4573</v>
      </c>
      <c r="V21" s="29" t="str">
        <f t="shared" si="7"/>
        <v>No geometric exceedance</v>
      </c>
      <c r="W21" s="30">
        <v>32.643999999999998</v>
      </c>
      <c r="X21" s="30">
        <v>-115.307</v>
      </c>
      <c r="Y21" s="30">
        <v>9.9600000000000009</v>
      </c>
      <c r="Z21" s="30">
        <v>28.979588191378497</v>
      </c>
      <c r="AA21" s="29" t="s">
        <v>167</v>
      </c>
      <c r="AB21" s="29" t="s">
        <v>4574</v>
      </c>
      <c r="AC21" s="39"/>
      <c r="AD21" s="39"/>
    </row>
    <row r="22" spans="1:30" ht="58" customHeight="1">
      <c r="A22" s="1" t="s">
        <v>1262</v>
      </c>
      <c r="B22" s="1">
        <v>22</v>
      </c>
      <c r="C22" s="1" t="s">
        <v>3135</v>
      </c>
      <c r="D22" s="29" t="s">
        <v>285</v>
      </c>
      <c r="E22" s="29" t="s">
        <v>745</v>
      </c>
      <c r="F22" s="1" t="s">
        <v>757</v>
      </c>
      <c r="G22" s="30">
        <v>32.811399999999999</v>
      </c>
      <c r="H22" s="30">
        <v>-115.37860000000001</v>
      </c>
      <c r="I22" s="30">
        <v>32.643999999999998</v>
      </c>
      <c r="J22" s="30">
        <v>-115.307</v>
      </c>
      <c r="K22" s="30">
        <v>9.9600000000000009</v>
      </c>
      <c r="L22" s="22">
        <v>22.2</v>
      </c>
      <c r="M22" s="22">
        <f t="shared" si="0"/>
        <v>19.78233195548772</v>
      </c>
      <c r="N22" s="22">
        <f t="shared" si="1"/>
        <v>22.148188585008722</v>
      </c>
      <c r="O22" s="22">
        <f t="shared" si="2"/>
        <v>5.1811414991277616E-2</v>
      </c>
      <c r="P22" s="22">
        <f t="shared" si="3"/>
        <v>0.23393071082276598</v>
      </c>
      <c r="Q22" s="22">
        <f t="shared" si="4"/>
        <v>1.1074094292504362</v>
      </c>
      <c r="R22" s="29" t="str">
        <f t="shared" si="5"/>
        <v>Within screening tolerance</v>
      </c>
      <c r="S22" s="29" t="str">
        <f t="shared" si="6"/>
        <v/>
      </c>
      <c r="T22" s="22">
        <v>7.5</v>
      </c>
      <c r="U22" s="29" t="s">
        <v>4573</v>
      </c>
      <c r="V22" s="29" t="str">
        <f t="shared" si="7"/>
        <v>No geometric exceedance</v>
      </c>
      <c r="W22" s="30">
        <v>32.643999999999998</v>
      </c>
      <c r="X22" s="30">
        <v>-115.307</v>
      </c>
      <c r="Y22" s="30">
        <v>9.9600000000000009</v>
      </c>
      <c r="Z22" s="30">
        <v>22.148188585008782</v>
      </c>
      <c r="AA22" s="29" t="s">
        <v>167</v>
      </c>
      <c r="AB22" s="29" t="s">
        <v>4574</v>
      </c>
      <c r="AC22" s="39"/>
      <c r="AD22" s="39"/>
    </row>
    <row r="23" spans="1:30" ht="58" customHeight="1">
      <c r="A23" s="1" t="s">
        <v>1262</v>
      </c>
      <c r="B23" s="1">
        <v>23</v>
      </c>
      <c r="C23" s="1" t="s">
        <v>3137</v>
      </c>
      <c r="D23" s="29" t="s">
        <v>292</v>
      </c>
      <c r="E23" s="29" t="s">
        <v>293</v>
      </c>
      <c r="F23" s="1" t="s">
        <v>754</v>
      </c>
      <c r="G23" s="30">
        <v>32.838999999999999</v>
      </c>
      <c r="H23" s="30">
        <v>-115.48699999999999</v>
      </c>
      <c r="I23" s="30">
        <v>32.7667</v>
      </c>
      <c r="J23" s="30">
        <v>-115.4413</v>
      </c>
      <c r="K23" s="30">
        <v>9.5</v>
      </c>
      <c r="L23" s="22">
        <v>13.2</v>
      </c>
      <c r="M23" s="22">
        <f t="shared" si="0"/>
        <v>9.1036137098547503</v>
      </c>
      <c r="N23" s="22">
        <f t="shared" si="1"/>
        <v>13.157727105326945</v>
      </c>
      <c r="O23" s="22">
        <f t="shared" si="2"/>
        <v>4.2272894673054395E-2</v>
      </c>
      <c r="P23" s="22">
        <f t="shared" si="3"/>
        <v>0.3212780925965556</v>
      </c>
      <c r="Q23" s="22">
        <f t="shared" si="4"/>
        <v>1</v>
      </c>
      <c r="R23" s="29" t="str">
        <f t="shared" si="5"/>
        <v>Within screening tolerance</v>
      </c>
      <c r="S23" s="29" t="str">
        <f t="shared" si="6"/>
        <v/>
      </c>
      <c r="T23" s="22">
        <v>10.4</v>
      </c>
      <c r="U23" s="29" t="s">
        <v>4573</v>
      </c>
      <c r="V23" s="29" t="str">
        <f t="shared" si="7"/>
        <v>No geometric exceedance</v>
      </c>
      <c r="W23" s="30">
        <v>32.7667</v>
      </c>
      <c r="X23" s="30">
        <v>-115.4413</v>
      </c>
      <c r="Y23" s="30">
        <v>9.5</v>
      </c>
      <c r="Z23" s="30">
        <v>13.157727105327037</v>
      </c>
      <c r="AA23" s="29" t="s">
        <v>167</v>
      </c>
      <c r="AB23" s="29" t="s">
        <v>4574</v>
      </c>
      <c r="AC23" s="39"/>
      <c r="AD23" s="39"/>
    </row>
    <row r="24" spans="1:30" ht="58" customHeight="1">
      <c r="A24" s="1" t="s">
        <v>1262</v>
      </c>
      <c r="B24" s="1">
        <v>24</v>
      </c>
      <c r="C24" s="1" t="s">
        <v>3140</v>
      </c>
      <c r="D24" s="29" t="s">
        <v>305</v>
      </c>
      <c r="E24" s="29" t="s">
        <v>758</v>
      </c>
      <c r="F24" s="1" t="s">
        <v>759</v>
      </c>
      <c r="G24" s="30">
        <v>40.820999999999998</v>
      </c>
      <c r="H24" s="30">
        <v>15.069000000000001</v>
      </c>
      <c r="I24" s="30">
        <v>40.805900000000001</v>
      </c>
      <c r="J24" s="30">
        <v>15.337199999999999</v>
      </c>
      <c r="K24" s="30">
        <v>9.5</v>
      </c>
      <c r="L24" s="22">
        <v>24.6</v>
      </c>
      <c r="M24" s="22">
        <f t="shared" si="0"/>
        <v>22.633251018913853</v>
      </c>
      <c r="N24" s="22">
        <f t="shared" si="1"/>
        <v>24.546161648721476</v>
      </c>
      <c r="O24" s="22">
        <f t="shared" si="2"/>
        <v>5.3838351278525209E-2</v>
      </c>
      <c r="P24" s="22">
        <f t="shared" si="3"/>
        <v>0.2193351125483583</v>
      </c>
      <c r="Q24" s="22">
        <f t="shared" si="4"/>
        <v>1.2273080824360738</v>
      </c>
      <c r="R24" s="29" t="str">
        <f t="shared" si="5"/>
        <v>Within screening tolerance</v>
      </c>
      <c r="S24" s="29" t="str">
        <f t="shared" si="6"/>
        <v/>
      </c>
      <c r="T24" s="22">
        <v>8.1999999999999993</v>
      </c>
      <c r="U24" s="29" t="s">
        <v>4573</v>
      </c>
      <c r="V24" s="29" t="str">
        <f t="shared" si="7"/>
        <v>No geometric exceedance</v>
      </c>
      <c r="W24" s="30">
        <v>40.805900000000001</v>
      </c>
      <c r="X24" s="30">
        <v>15.337199999999999</v>
      </c>
      <c r="Y24" s="30">
        <v>9.5</v>
      </c>
      <c r="Z24" s="30">
        <v>24.546161648721451</v>
      </c>
      <c r="AA24" s="29" t="s">
        <v>167</v>
      </c>
      <c r="AB24" s="29" t="s">
        <v>4574</v>
      </c>
      <c r="AC24" s="39"/>
      <c r="AD24" s="39"/>
    </row>
    <row r="25" spans="1:30" ht="58" customHeight="1">
      <c r="A25" s="1" t="s">
        <v>1262</v>
      </c>
      <c r="B25" s="1">
        <v>25</v>
      </c>
      <c r="C25" s="1" t="s">
        <v>3142</v>
      </c>
      <c r="D25" s="29" t="s">
        <v>305</v>
      </c>
      <c r="E25" s="29" t="s">
        <v>758</v>
      </c>
      <c r="F25" s="1" t="s">
        <v>761</v>
      </c>
      <c r="G25" s="30">
        <v>41.0184</v>
      </c>
      <c r="H25" s="30">
        <v>15.111700000000001</v>
      </c>
      <c r="I25" s="30">
        <v>40.805900000000001</v>
      </c>
      <c r="J25" s="30">
        <v>15.337199999999999</v>
      </c>
      <c r="K25" s="30">
        <v>9.5</v>
      </c>
      <c r="L25" s="22">
        <v>31.8</v>
      </c>
      <c r="M25" s="22">
        <f t="shared" si="0"/>
        <v>30.288513380639429</v>
      </c>
      <c r="N25" s="22">
        <f t="shared" si="1"/>
        <v>31.74340943895557</v>
      </c>
      <c r="O25" s="22">
        <f t="shared" si="2"/>
        <v>5.6590561044430387E-2</v>
      </c>
      <c r="P25" s="22">
        <f t="shared" si="3"/>
        <v>0.17827499328091187</v>
      </c>
      <c r="Q25" s="22">
        <f t="shared" si="4"/>
        <v>1.5871704719477786</v>
      </c>
      <c r="R25" s="29" t="str">
        <f t="shared" si="5"/>
        <v>Within screening tolerance</v>
      </c>
      <c r="S25" s="29" t="str">
        <f t="shared" si="6"/>
        <v/>
      </c>
      <c r="T25" s="22">
        <v>10.8</v>
      </c>
      <c r="U25" s="29" t="s">
        <v>4573</v>
      </c>
      <c r="V25" s="29" t="str">
        <f t="shared" si="7"/>
        <v>No geometric exceedance</v>
      </c>
      <c r="W25" s="30">
        <v>40.805900000000001</v>
      </c>
      <c r="X25" s="30">
        <v>15.337199999999999</v>
      </c>
      <c r="Y25" s="30">
        <v>9.5</v>
      </c>
      <c r="Z25" s="30">
        <v>31.743409438955648</v>
      </c>
      <c r="AA25" s="29" t="s">
        <v>167</v>
      </c>
      <c r="AB25" s="29" t="s">
        <v>4574</v>
      </c>
      <c r="AC25" s="39"/>
      <c r="AD25" s="39"/>
    </row>
    <row r="26" spans="1:30" ht="58" customHeight="1">
      <c r="A26" s="1" t="s">
        <v>1262</v>
      </c>
      <c r="B26" s="1">
        <v>26</v>
      </c>
      <c r="C26" s="1" t="s">
        <v>3144</v>
      </c>
      <c r="D26" s="29" t="s">
        <v>312</v>
      </c>
      <c r="E26" s="29" t="s">
        <v>313</v>
      </c>
      <c r="F26" s="1" t="s">
        <v>762</v>
      </c>
      <c r="G26" s="30">
        <v>37.588000000000001</v>
      </c>
      <c r="H26" s="30">
        <v>-118.705</v>
      </c>
      <c r="I26" s="30">
        <v>37.506</v>
      </c>
      <c r="J26" s="30">
        <v>-118.82599999999999</v>
      </c>
      <c r="K26" s="30">
        <v>14</v>
      </c>
      <c r="L26" s="22">
        <v>19.8</v>
      </c>
      <c r="M26" s="22">
        <f t="shared" si="0"/>
        <v>14.033300111331513</v>
      </c>
      <c r="N26" s="22">
        <f t="shared" si="1"/>
        <v>19.822550593066904</v>
      </c>
      <c r="O26" s="22">
        <f t="shared" si="2"/>
        <v>-2.2550593066902991E-2</v>
      </c>
      <c r="P26" s="22">
        <f t="shared" si="3"/>
        <v>-0.11376231812867836</v>
      </c>
      <c r="Q26" s="22">
        <f t="shared" si="4"/>
        <v>1</v>
      </c>
      <c r="R26" s="29" t="str">
        <f t="shared" si="5"/>
        <v>Within screening tolerance</v>
      </c>
      <c r="S26" s="29" t="str">
        <f t="shared" si="6"/>
        <v/>
      </c>
      <c r="T26" s="22">
        <v>16</v>
      </c>
      <c r="U26" s="29" t="s">
        <v>4573</v>
      </c>
      <c r="V26" s="29" t="str">
        <f t="shared" si="7"/>
        <v>No geometric exceedance</v>
      </c>
      <c r="W26" s="30">
        <v>37.506</v>
      </c>
      <c r="X26" s="30">
        <v>-118.82599999999999</v>
      </c>
      <c r="Y26" s="30">
        <v>14</v>
      </c>
      <c r="Z26" s="30">
        <v>19.822550593066993</v>
      </c>
      <c r="AA26" s="29" t="s">
        <v>167</v>
      </c>
      <c r="AB26" s="29" t="s">
        <v>4574</v>
      </c>
      <c r="AC26" s="39"/>
      <c r="AD26" s="39"/>
    </row>
    <row r="27" spans="1:30" ht="58" customHeight="1">
      <c r="A27" s="1" t="s">
        <v>1262</v>
      </c>
      <c r="B27" s="1">
        <v>27</v>
      </c>
      <c r="C27" s="1" t="s">
        <v>3146</v>
      </c>
      <c r="D27" s="29" t="s">
        <v>318</v>
      </c>
      <c r="E27" s="29" t="s">
        <v>763</v>
      </c>
      <c r="F27" s="1" t="s">
        <v>764</v>
      </c>
      <c r="G27" s="30">
        <v>32.929000000000002</v>
      </c>
      <c r="H27" s="30">
        <v>-115.70099999999999</v>
      </c>
      <c r="I27" s="30">
        <v>33.1</v>
      </c>
      <c r="J27" s="30">
        <v>-115.62</v>
      </c>
      <c r="K27" s="30">
        <v>2.2999999999999998</v>
      </c>
      <c r="L27" s="22">
        <v>20.6</v>
      </c>
      <c r="M27" s="22">
        <f t="shared" si="0"/>
        <v>20.459345129791991</v>
      </c>
      <c r="N27" s="22">
        <f t="shared" si="1"/>
        <v>20.5882200090232</v>
      </c>
      <c r="O27" s="22">
        <f t="shared" si="2"/>
        <v>1.1779990976801713E-2</v>
      </c>
      <c r="P27" s="22">
        <f t="shared" si="3"/>
        <v>5.7217141509265476E-2</v>
      </c>
      <c r="Q27" s="22">
        <f t="shared" si="4"/>
        <v>1.0294110004511601</v>
      </c>
      <c r="R27" s="29" t="str">
        <f t="shared" si="5"/>
        <v>Within screening tolerance</v>
      </c>
      <c r="S27" s="29" t="str">
        <f t="shared" si="6"/>
        <v/>
      </c>
      <c r="T27" s="22">
        <v>16.7</v>
      </c>
      <c r="U27" s="29" t="s">
        <v>4573</v>
      </c>
      <c r="V27" s="29" t="str">
        <f t="shared" si="7"/>
        <v>No geometric exceedance</v>
      </c>
      <c r="W27" s="30">
        <v>33.1</v>
      </c>
      <c r="X27" s="30">
        <v>-115.62</v>
      </c>
      <c r="Y27" s="30">
        <v>2.2999999999999998</v>
      </c>
      <c r="Z27" s="30">
        <v>20.58822000902321</v>
      </c>
      <c r="AA27" s="29" t="s">
        <v>167</v>
      </c>
      <c r="AB27" s="29" t="s">
        <v>4574</v>
      </c>
      <c r="AC27" s="39"/>
      <c r="AD27" s="39"/>
    </row>
    <row r="28" spans="1:30" ht="58" customHeight="1">
      <c r="A28" s="1" t="s">
        <v>1262</v>
      </c>
      <c r="B28" s="1">
        <v>28</v>
      </c>
      <c r="C28" s="1" t="s">
        <v>3148</v>
      </c>
      <c r="D28" s="29" t="s">
        <v>318</v>
      </c>
      <c r="E28" s="29" t="s">
        <v>763</v>
      </c>
      <c r="F28" s="1" t="s">
        <v>765</v>
      </c>
      <c r="G28" s="30">
        <v>33.036999999999999</v>
      </c>
      <c r="H28" s="30">
        <v>-115.623</v>
      </c>
      <c r="I28" s="30">
        <v>33.1</v>
      </c>
      <c r="J28" s="30">
        <v>-115.62</v>
      </c>
      <c r="K28" s="30">
        <v>2.2999999999999998</v>
      </c>
      <c r="L28" s="22">
        <v>7.4</v>
      </c>
      <c r="M28" s="22">
        <f t="shared" si="0"/>
        <v>7.0108559783694986</v>
      </c>
      <c r="N28" s="22">
        <f t="shared" si="1"/>
        <v>7.3784891102067327</v>
      </c>
      <c r="O28" s="22">
        <f t="shared" si="2"/>
        <v>2.1510889793267651E-2</v>
      </c>
      <c r="P28" s="22">
        <f t="shared" si="3"/>
        <v>0.29153515675060682</v>
      </c>
      <c r="Q28" s="22">
        <f t="shared" si="4"/>
        <v>1</v>
      </c>
      <c r="R28" s="29" t="str">
        <f t="shared" si="5"/>
        <v>Within screening tolerance</v>
      </c>
      <c r="S28" s="29" t="str">
        <f t="shared" si="6"/>
        <v/>
      </c>
      <c r="T28" s="22">
        <v>6.5</v>
      </c>
      <c r="U28" s="29" t="s">
        <v>4573</v>
      </c>
      <c r="V28" s="29" t="str">
        <f t="shared" si="7"/>
        <v>No geometric exceedance</v>
      </c>
      <c r="W28" s="30">
        <v>33.1</v>
      </c>
      <c r="X28" s="30">
        <v>-115.62</v>
      </c>
      <c r="Y28" s="30">
        <v>2.2999999999999998</v>
      </c>
      <c r="Z28" s="30">
        <v>7.3784891102066057</v>
      </c>
      <c r="AA28" s="29" t="s">
        <v>167</v>
      </c>
      <c r="AB28" s="29" t="s">
        <v>4574</v>
      </c>
      <c r="AC28" s="39"/>
      <c r="AD28" s="39"/>
    </row>
    <row r="29" spans="1:30" ht="58" customHeight="1">
      <c r="A29" s="1" t="s">
        <v>1262</v>
      </c>
      <c r="B29" s="1">
        <v>29</v>
      </c>
      <c r="C29" s="1" t="s">
        <v>3150</v>
      </c>
      <c r="D29" s="29" t="s">
        <v>325</v>
      </c>
      <c r="E29" s="29" t="s">
        <v>326</v>
      </c>
      <c r="F29" s="1" t="s">
        <v>766</v>
      </c>
      <c r="G29" s="30">
        <v>36.232999999999997</v>
      </c>
      <c r="H29" s="30">
        <v>-120.333</v>
      </c>
      <c r="I29" s="30">
        <v>36.246000000000002</v>
      </c>
      <c r="J29" s="30">
        <v>-120.29900000000001</v>
      </c>
      <c r="K29" s="30">
        <v>12</v>
      </c>
      <c r="L29" s="22">
        <v>12.5</v>
      </c>
      <c r="M29" s="22">
        <f t="shared" si="0"/>
        <v>3.3745598714737945</v>
      </c>
      <c r="N29" s="22">
        <f t="shared" si="1"/>
        <v>12.465458448294681</v>
      </c>
      <c r="O29" s="22">
        <f t="shared" si="2"/>
        <v>3.4541551705318696E-2</v>
      </c>
      <c r="P29" s="22">
        <f t="shared" si="3"/>
        <v>0.27709812558112618</v>
      </c>
      <c r="Q29" s="22">
        <f t="shared" si="4"/>
        <v>1</v>
      </c>
      <c r="R29" s="29" t="str">
        <f t="shared" si="5"/>
        <v>Within screening tolerance</v>
      </c>
      <c r="S29" s="29" t="str">
        <f t="shared" si="6"/>
        <v/>
      </c>
      <c r="T29" s="22">
        <v>11.6</v>
      </c>
      <c r="U29" s="29" t="s">
        <v>4573</v>
      </c>
      <c r="V29" s="29" t="str">
        <f t="shared" si="7"/>
        <v>No geometric exceedance</v>
      </c>
      <c r="W29" s="30">
        <v>36.246000000000002</v>
      </c>
      <c r="X29" s="30">
        <v>-120.29900000000001</v>
      </c>
      <c r="Y29" s="30">
        <v>12</v>
      </c>
      <c r="Z29" s="30">
        <v>12.465458448294669</v>
      </c>
      <c r="AA29" s="29" t="s">
        <v>167</v>
      </c>
      <c r="AB29" s="29" t="s">
        <v>4574</v>
      </c>
      <c r="AC29" s="39"/>
      <c r="AD29" s="39"/>
    </row>
    <row r="30" spans="1:30" ht="58" customHeight="1">
      <c r="A30" s="1" t="s">
        <v>1262</v>
      </c>
      <c r="B30" s="1">
        <v>30</v>
      </c>
      <c r="C30" s="1" t="s">
        <v>3152</v>
      </c>
      <c r="D30" s="29" t="s">
        <v>325</v>
      </c>
      <c r="E30" s="29" t="s">
        <v>326</v>
      </c>
      <c r="F30" s="1" t="s">
        <v>767</v>
      </c>
      <c r="G30" s="30">
        <v>36.232999999999997</v>
      </c>
      <c r="H30" s="30">
        <v>-120.333</v>
      </c>
      <c r="I30" s="30">
        <v>36.246000000000002</v>
      </c>
      <c r="J30" s="30">
        <v>-120.29900000000001</v>
      </c>
      <c r="K30" s="30">
        <v>12</v>
      </c>
      <c r="L30" s="22">
        <v>12.5</v>
      </c>
      <c r="M30" s="22">
        <f t="shared" si="0"/>
        <v>3.3745598714737945</v>
      </c>
      <c r="N30" s="22">
        <f t="shared" si="1"/>
        <v>12.465458448294681</v>
      </c>
      <c r="O30" s="22">
        <f t="shared" si="2"/>
        <v>3.4541551705318696E-2</v>
      </c>
      <c r="P30" s="22">
        <f t="shared" si="3"/>
        <v>0.27709812558112618</v>
      </c>
      <c r="Q30" s="22">
        <f t="shared" si="4"/>
        <v>1</v>
      </c>
      <c r="R30" s="29" t="str">
        <f t="shared" si="5"/>
        <v>Within screening tolerance</v>
      </c>
      <c r="S30" s="29" t="str">
        <f t="shared" si="6"/>
        <v/>
      </c>
      <c r="T30" s="22">
        <v>11.6</v>
      </c>
      <c r="U30" s="29" t="s">
        <v>4573</v>
      </c>
      <c r="V30" s="29" t="str">
        <f t="shared" si="7"/>
        <v>No geometric exceedance</v>
      </c>
      <c r="W30" s="30">
        <v>36.246000000000002</v>
      </c>
      <c r="X30" s="30">
        <v>-120.29900000000001</v>
      </c>
      <c r="Y30" s="30">
        <v>12</v>
      </c>
      <c r="Z30" s="30">
        <v>12.465458448294669</v>
      </c>
      <c r="AA30" s="29" t="s">
        <v>167</v>
      </c>
      <c r="AB30" s="29" t="s">
        <v>4574</v>
      </c>
      <c r="AC30" s="39"/>
      <c r="AD30" s="39"/>
    </row>
    <row r="31" spans="1:30" ht="58" customHeight="1">
      <c r="A31" s="1" t="s">
        <v>1262</v>
      </c>
      <c r="B31" s="1">
        <v>31</v>
      </c>
      <c r="C31" s="1" t="s">
        <v>3154</v>
      </c>
      <c r="D31" s="29" t="s">
        <v>331</v>
      </c>
      <c r="E31" s="29" t="s">
        <v>332</v>
      </c>
      <c r="F31" s="1" t="s">
        <v>768</v>
      </c>
      <c r="G31" s="30">
        <v>36.249000000000002</v>
      </c>
      <c r="H31" s="30">
        <v>-120.343</v>
      </c>
      <c r="I31" s="30">
        <v>36.241</v>
      </c>
      <c r="J31" s="30">
        <v>-120.40900000000001</v>
      </c>
      <c r="K31" s="30">
        <v>7.4</v>
      </c>
      <c r="L31" s="22">
        <v>9.5</v>
      </c>
      <c r="M31" s="22">
        <f t="shared" si="0"/>
        <v>5.9852415035535023</v>
      </c>
      <c r="N31" s="22">
        <f t="shared" si="1"/>
        <v>9.5175162650693377</v>
      </c>
      <c r="O31" s="22">
        <f t="shared" si="2"/>
        <v>-1.7516265069337678E-2</v>
      </c>
      <c r="P31" s="22">
        <f t="shared" si="3"/>
        <v>-0.18404239700251321</v>
      </c>
      <c r="Q31" s="22">
        <f t="shared" si="4"/>
        <v>1</v>
      </c>
      <c r="R31" s="29" t="str">
        <f t="shared" si="5"/>
        <v>Within screening tolerance</v>
      </c>
      <c r="S31" s="29" t="str">
        <f t="shared" si="6"/>
        <v/>
      </c>
      <c r="T31" s="22">
        <v>9.5</v>
      </c>
      <c r="U31" s="29" t="s">
        <v>4573</v>
      </c>
      <c r="V31" s="29" t="str">
        <f t="shared" si="7"/>
        <v>No geometric exceedance</v>
      </c>
      <c r="W31" s="30">
        <v>36.241</v>
      </c>
      <c r="X31" s="30">
        <v>-120.40900000000001</v>
      </c>
      <c r="Y31" s="30">
        <v>7.4</v>
      </c>
      <c r="Z31" s="30">
        <v>9.5175162650693572</v>
      </c>
      <c r="AA31" s="29" t="s">
        <v>167</v>
      </c>
      <c r="AB31" s="29" t="s">
        <v>4574</v>
      </c>
      <c r="AC31" s="39"/>
      <c r="AD31" s="39"/>
    </row>
    <row r="32" spans="1:30" ht="58" customHeight="1">
      <c r="A32" s="1" t="s">
        <v>1262</v>
      </c>
      <c r="B32" s="1">
        <v>32</v>
      </c>
      <c r="C32" s="1" t="s">
        <v>3156</v>
      </c>
      <c r="D32" s="29" t="s">
        <v>338</v>
      </c>
      <c r="E32" s="29" t="s">
        <v>339</v>
      </c>
      <c r="F32" s="1" t="s">
        <v>769</v>
      </c>
      <c r="G32" s="30">
        <v>36.151000000000003</v>
      </c>
      <c r="H32" s="30">
        <v>-120.35299999999999</v>
      </c>
      <c r="I32" s="30">
        <v>36.228999999999999</v>
      </c>
      <c r="J32" s="30">
        <v>-120.398</v>
      </c>
      <c r="K32" s="30">
        <v>8.4</v>
      </c>
      <c r="L32" s="22">
        <v>12.7</v>
      </c>
      <c r="M32" s="22">
        <f t="shared" si="0"/>
        <v>9.5672788376079936</v>
      </c>
      <c r="N32" s="22">
        <f t="shared" si="1"/>
        <v>12.731568024267151</v>
      </c>
      <c r="O32" s="22">
        <f t="shared" si="2"/>
        <v>-3.1568024267151884E-2</v>
      </c>
      <c r="P32" s="22">
        <f t="shared" si="3"/>
        <v>-0.24795079606047965</v>
      </c>
      <c r="Q32" s="22">
        <f t="shared" si="4"/>
        <v>1</v>
      </c>
      <c r="R32" s="29" t="str">
        <f t="shared" si="5"/>
        <v>Within screening tolerance</v>
      </c>
      <c r="S32" s="29" t="str">
        <f t="shared" si="6"/>
        <v/>
      </c>
      <c r="T32" s="22">
        <v>10.9</v>
      </c>
      <c r="U32" s="29" t="s">
        <v>4573</v>
      </c>
      <c r="V32" s="29" t="str">
        <f t="shared" si="7"/>
        <v>No geometric exceedance</v>
      </c>
      <c r="W32" s="30">
        <v>36.228999999999999</v>
      </c>
      <c r="X32" s="30">
        <v>-120.398</v>
      </c>
      <c r="Y32" s="30">
        <v>8.4</v>
      </c>
      <c r="Z32" s="30">
        <v>12.731568024267002</v>
      </c>
      <c r="AA32" s="29" t="s">
        <v>167</v>
      </c>
      <c r="AB32" s="29" t="s">
        <v>4574</v>
      </c>
      <c r="AC32" s="39"/>
      <c r="AD32" s="39"/>
    </row>
    <row r="33" spans="1:30" ht="58" customHeight="1">
      <c r="A33" s="1" t="s">
        <v>1262</v>
      </c>
      <c r="B33" s="1">
        <v>33</v>
      </c>
      <c r="C33" s="1" t="s">
        <v>3158</v>
      </c>
      <c r="D33" s="29" t="s">
        <v>345</v>
      </c>
      <c r="E33" s="29" t="s">
        <v>770</v>
      </c>
      <c r="F33" s="1" t="s">
        <v>771</v>
      </c>
      <c r="G33" s="30">
        <v>37.118000000000002</v>
      </c>
      <c r="H33" s="30">
        <v>-121.55</v>
      </c>
      <c r="I33" s="30">
        <v>37.305999999999997</v>
      </c>
      <c r="J33" s="30">
        <v>-121.69499999999999</v>
      </c>
      <c r="K33" s="30">
        <v>8.5</v>
      </c>
      <c r="L33" s="22">
        <v>26</v>
      </c>
      <c r="M33" s="22">
        <f t="shared" si="0"/>
        <v>24.533351431265121</v>
      </c>
      <c r="N33" s="22">
        <f t="shared" si="1"/>
        <v>25.964116246272631</v>
      </c>
      <c r="O33" s="22">
        <f t="shared" si="2"/>
        <v>3.5883753727368628E-2</v>
      </c>
      <c r="P33" s="22">
        <f t="shared" si="3"/>
        <v>0.13820518051532005</v>
      </c>
      <c r="Q33" s="22">
        <f t="shared" si="4"/>
        <v>1.2982058123136317</v>
      </c>
      <c r="R33" s="29" t="str">
        <f t="shared" si="5"/>
        <v>Within screening tolerance</v>
      </c>
      <c r="S33" s="29" t="str">
        <f t="shared" si="6"/>
        <v/>
      </c>
      <c r="T33" s="22">
        <v>0.5</v>
      </c>
      <c r="U33" s="29" t="s">
        <v>4573</v>
      </c>
      <c r="V33" s="29" t="str">
        <f t="shared" si="7"/>
        <v>No geometric exceedance</v>
      </c>
      <c r="W33" s="30">
        <v>37.305999999999997</v>
      </c>
      <c r="X33" s="30">
        <v>-121.69499999999999</v>
      </c>
      <c r="Y33" s="30">
        <v>8.5</v>
      </c>
      <c r="Z33" s="30">
        <v>25.964116246272461</v>
      </c>
      <c r="AA33" s="29" t="s">
        <v>167</v>
      </c>
      <c r="AB33" s="29" t="s">
        <v>4574</v>
      </c>
      <c r="AC33" s="39"/>
      <c r="AD33" s="39"/>
    </row>
    <row r="34" spans="1:30" ht="58" customHeight="1">
      <c r="A34" s="1" t="s">
        <v>1262</v>
      </c>
      <c r="B34" s="1">
        <v>34</v>
      </c>
      <c r="C34" s="1" t="s">
        <v>3160</v>
      </c>
      <c r="D34" s="29" t="s">
        <v>345</v>
      </c>
      <c r="E34" s="29" t="s">
        <v>770</v>
      </c>
      <c r="F34" s="1" t="s">
        <v>744</v>
      </c>
      <c r="G34" s="30">
        <v>37.026000000000003</v>
      </c>
      <c r="H34" s="30">
        <v>-121.48399999999999</v>
      </c>
      <c r="I34" s="30">
        <v>37.305999999999997</v>
      </c>
      <c r="J34" s="30">
        <v>-121.69499999999999</v>
      </c>
      <c r="K34" s="30">
        <v>8.5</v>
      </c>
      <c r="L34" s="22">
        <v>37.299999999999997</v>
      </c>
      <c r="M34" s="22">
        <f t="shared" si="0"/>
        <v>36.31703019348447</v>
      </c>
      <c r="N34" s="22">
        <f t="shared" si="1"/>
        <v>37.298480962023945</v>
      </c>
      <c r="O34" s="22">
        <f t="shared" si="2"/>
        <v>1.519037976052573E-3</v>
      </c>
      <c r="P34" s="22">
        <f t="shared" si="3"/>
        <v>4.0726537297838114E-3</v>
      </c>
      <c r="Q34" s="22">
        <f t="shared" si="4"/>
        <v>1.8649240481011973</v>
      </c>
      <c r="R34" s="29" t="str">
        <f t="shared" si="5"/>
        <v>Within screening tolerance</v>
      </c>
      <c r="S34" s="29" t="str">
        <f t="shared" si="6"/>
        <v/>
      </c>
      <c r="T34" s="22">
        <v>9.9</v>
      </c>
      <c r="U34" s="29" t="s">
        <v>4573</v>
      </c>
      <c r="V34" s="29" t="str">
        <f t="shared" si="7"/>
        <v>No geometric exceedance</v>
      </c>
      <c r="W34" s="30">
        <v>37.305999999999997</v>
      </c>
      <c r="X34" s="30">
        <v>-121.69499999999999</v>
      </c>
      <c r="Y34" s="30">
        <v>8.5</v>
      </c>
      <c r="Z34" s="30">
        <v>37.298480962024072</v>
      </c>
      <c r="AA34" s="29" t="s">
        <v>167</v>
      </c>
      <c r="AB34" s="29" t="s">
        <v>4574</v>
      </c>
      <c r="AC34" s="39"/>
      <c r="AD34" s="39"/>
    </row>
    <row r="35" spans="1:30" ht="58" customHeight="1">
      <c r="A35" s="1" t="s">
        <v>1262</v>
      </c>
      <c r="B35" s="1">
        <v>35</v>
      </c>
      <c r="C35" s="1" t="s">
        <v>3163</v>
      </c>
      <c r="D35" s="29" t="s">
        <v>352</v>
      </c>
      <c r="E35" s="29" t="s">
        <v>772</v>
      </c>
      <c r="F35" s="1" t="s">
        <v>773</v>
      </c>
      <c r="G35" s="30">
        <v>37.03</v>
      </c>
      <c r="H35" s="30">
        <v>22.12</v>
      </c>
      <c r="I35" s="30">
        <v>37.08</v>
      </c>
      <c r="J35" s="30">
        <v>22.07</v>
      </c>
      <c r="K35" s="30">
        <v>5</v>
      </c>
      <c r="L35" s="22">
        <v>8.6999999999999993</v>
      </c>
      <c r="M35" s="22">
        <f t="shared" si="0"/>
        <v>7.1132072380451543</v>
      </c>
      <c r="N35" s="22">
        <f t="shared" si="1"/>
        <v>8.6946947739054057</v>
      </c>
      <c r="O35" s="22">
        <f t="shared" si="2"/>
        <v>5.3052260945936069E-3</v>
      </c>
      <c r="P35" s="22">
        <f t="shared" si="3"/>
        <v>6.1016818100569761E-2</v>
      </c>
      <c r="Q35" s="22">
        <f t="shared" si="4"/>
        <v>1</v>
      </c>
      <c r="R35" s="29" t="str">
        <f t="shared" si="5"/>
        <v>Within screening tolerance</v>
      </c>
      <c r="S35" s="29" t="str">
        <f t="shared" si="6"/>
        <v/>
      </c>
      <c r="T35" s="22">
        <v>5.6</v>
      </c>
      <c r="U35" s="29" t="s">
        <v>4573</v>
      </c>
      <c r="V35" s="29" t="str">
        <f t="shared" si="7"/>
        <v>No geometric exceedance</v>
      </c>
      <c r="W35" s="30">
        <v>37.08</v>
      </c>
      <c r="X35" s="30">
        <v>22.07</v>
      </c>
      <c r="Y35" s="30">
        <v>5</v>
      </c>
      <c r="Z35" s="30">
        <v>8.6946947739053879</v>
      </c>
      <c r="AA35" s="29" t="s">
        <v>167</v>
      </c>
      <c r="AB35" s="29" t="s">
        <v>4574</v>
      </c>
      <c r="AC35" s="39"/>
      <c r="AD35" s="39"/>
    </row>
    <row r="36" spans="1:30" ht="58" customHeight="1">
      <c r="A36" s="1" t="s">
        <v>1262</v>
      </c>
      <c r="B36" s="1">
        <v>36</v>
      </c>
      <c r="C36" s="1" t="s">
        <v>3165</v>
      </c>
      <c r="D36" s="29" t="s">
        <v>360</v>
      </c>
      <c r="E36" s="29" t="s">
        <v>361</v>
      </c>
      <c r="F36" s="1" t="s">
        <v>774</v>
      </c>
      <c r="G36" s="30">
        <v>34.0486</v>
      </c>
      <c r="H36" s="30">
        <v>-116.5782</v>
      </c>
      <c r="I36" s="30">
        <v>34</v>
      </c>
      <c r="J36" s="30">
        <v>-116.6117</v>
      </c>
      <c r="K36" s="30">
        <v>11</v>
      </c>
      <c r="L36" s="22">
        <v>12.6</v>
      </c>
      <c r="M36" s="22">
        <f t="shared" si="0"/>
        <v>6.2237824125883394</v>
      </c>
      <c r="N36" s="22">
        <f t="shared" si="1"/>
        <v>12.638649750635704</v>
      </c>
      <c r="O36" s="22">
        <f t="shared" si="2"/>
        <v>-3.8649750635704194E-2</v>
      </c>
      <c r="P36" s="22">
        <f t="shared" si="3"/>
        <v>-0.3058060109131529</v>
      </c>
      <c r="Q36" s="22">
        <f t="shared" si="4"/>
        <v>1</v>
      </c>
      <c r="R36" s="29" t="str">
        <f t="shared" si="5"/>
        <v>Within screening tolerance</v>
      </c>
      <c r="S36" s="29" t="str">
        <f t="shared" si="6"/>
        <v/>
      </c>
      <c r="T36" s="22">
        <v>12</v>
      </c>
      <c r="U36" s="29" t="s">
        <v>4573</v>
      </c>
      <c r="V36" s="29" t="str">
        <f t="shared" si="7"/>
        <v>No geometric exceedance</v>
      </c>
      <c r="W36" s="30">
        <v>34</v>
      </c>
      <c r="X36" s="30">
        <v>-116.6117</v>
      </c>
      <c r="Y36" s="30">
        <v>11</v>
      </c>
      <c r="Z36" s="30">
        <v>12.638649750635466</v>
      </c>
      <c r="AA36" s="29" t="s">
        <v>167</v>
      </c>
      <c r="AB36" s="29" t="s">
        <v>4574</v>
      </c>
      <c r="AC36" s="39"/>
      <c r="AD36" s="39"/>
    </row>
    <row r="37" spans="1:30" ht="58" customHeight="1">
      <c r="A37" s="1" t="s">
        <v>1262</v>
      </c>
      <c r="B37" s="1">
        <v>37</v>
      </c>
      <c r="C37" s="1" t="s">
        <v>3167</v>
      </c>
      <c r="D37" s="29" t="s">
        <v>373</v>
      </c>
      <c r="E37" s="29" t="s">
        <v>374</v>
      </c>
      <c r="F37" s="1" t="s">
        <v>775</v>
      </c>
      <c r="G37" s="30">
        <v>24.6738</v>
      </c>
      <c r="H37" s="30">
        <v>121.7646</v>
      </c>
      <c r="I37" s="30">
        <v>24.081700000000001</v>
      </c>
      <c r="J37" s="30">
        <v>121.5915</v>
      </c>
      <c r="K37" s="30">
        <v>15.8</v>
      </c>
      <c r="L37" s="22">
        <v>70</v>
      </c>
      <c r="M37" s="22">
        <f t="shared" si="0"/>
        <v>68.132731491903442</v>
      </c>
      <c r="N37" s="22">
        <f t="shared" si="1"/>
        <v>69.940754217750694</v>
      </c>
      <c r="O37" s="22">
        <f t="shared" si="2"/>
        <v>5.9245782249305989E-2</v>
      </c>
      <c r="P37" s="22">
        <f t="shared" si="3"/>
        <v>8.4708526397717393E-2</v>
      </c>
      <c r="Q37" s="22">
        <f t="shared" si="4"/>
        <v>3.4970377108875348</v>
      </c>
      <c r="R37" s="29" t="str">
        <f t="shared" si="5"/>
        <v>Within screening tolerance</v>
      </c>
      <c r="S37" s="29" t="str">
        <f t="shared" si="6"/>
        <v/>
      </c>
      <c r="T37" s="22">
        <v>59.9</v>
      </c>
      <c r="U37" s="29" t="s">
        <v>4573</v>
      </c>
      <c r="V37" s="29" t="str">
        <f t="shared" si="7"/>
        <v>No geometric exceedance</v>
      </c>
      <c r="W37" s="30">
        <v>24.081700000000001</v>
      </c>
      <c r="X37" s="30">
        <v>121.5915</v>
      </c>
      <c r="Y37" s="30">
        <v>15.8</v>
      </c>
      <c r="Z37" s="30">
        <v>69.940754217750879</v>
      </c>
      <c r="AA37" s="29" t="s">
        <v>167</v>
      </c>
      <c r="AB37" s="29" t="s">
        <v>4574</v>
      </c>
      <c r="AC37" s="39"/>
      <c r="AD37" s="39"/>
    </row>
    <row r="38" spans="1:30" ht="58" customHeight="1">
      <c r="A38" s="1" t="s">
        <v>1262</v>
      </c>
      <c r="B38" s="1">
        <v>38</v>
      </c>
      <c r="C38" s="1" t="s">
        <v>3169</v>
      </c>
      <c r="D38" s="29" t="s">
        <v>373</v>
      </c>
      <c r="E38" s="29" t="s">
        <v>374</v>
      </c>
      <c r="F38" s="1" t="s">
        <v>776</v>
      </c>
      <c r="G38" s="30">
        <v>24.648700000000002</v>
      </c>
      <c r="H38" s="30">
        <v>121.76439999999999</v>
      </c>
      <c r="I38" s="30">
        <v>24.081700000000001</v>
      </c>
      <c r="J38" s="30">
        <v>121.5915</v>
      </c>
      <c r="K38" s="30">
        <v>15.8</v>
      </c>
      <c r="L38" s="22">
        <v>67.400000000000006</v>
      </c>
      <c r="M38" s="22">
        <f t="shared" si="0"/>
        <v>65.434704140510931</v>
      </c>
      <c r="N38" s="22">
        <f t="shared" si="1"/>
        <v>67.315232347190175</v>
      </c>
      <c r="O38" s="22">
        <f t="shared" si="2"/>
        <v>8.4767652809830452E-2</v>
      </c>
      <c r="P38" s="22">
        <f t="shared" si="3"/>
        <v>0.12592640603634306</v>
      </c>
      <c r="Q38" s="22">
        <f t="shared" si="4"/>
        <v>3.3657616173595089</v>
      </c>
      <c r="R38" s="29" t="str">
        <f t="shared" si="5"/>
        <v>Within screening tolerance</v>
      </c>
      <c r="S38" s="29" t="str">
        <f t="shared" si="6"/>
        <v/>
      </c>
      <c r="T38" s="22">
        <v>57.3</v>
      </c>
      <c r="U38" s="29" t="s">
        <v>4573</v>
      </c>
      <c r="V38" s="29" t="str">
        <f t="shared" si="7"/>
        <v>No geometric exceedance</v>
      </c>
      <c r="W38" s="30">
        <v>24.081700000000001</v>
      </c>
      <c r="X38" s="30">
        <v>121.5915</v>
      </c>
      <c r="Y38" s="30">
        <v>15.8</v>
      </c>
      <c r="Z38" s="30">
        <v>67.315232347190246</v>
      </c>
      <c r="AA38" s="29" t="s">
        <v>167</v>
      </c>
      <c r="AB38" s="29" t="s">
        <v>4574</v>
      </c>
      <c r="AC38" s="39"/>
      <c r="AD38" s="39"/>
    </row>
    <row r="39" spans="1:30" ht="58" customHeight="1">
      <c r="A39" s="1" t="s">
        <v>1262</v>
      </c>
      <c r="B39" s="1">
        <v>39</v>
      </c>
      <c r="C39" s="1" t="s">
        <v>3171</v>
      </c>
      <c r="D39" s="29" t="s">
        <v>373</v>
      </c>
      <c r="E39" s="29" t="s">
        <v>374</v>
      </c>
      <c r="F39" s="1" t="s">
        <v>777</v>
      </c>
      <c r="G39" s="30">
        <v>24.6755</v>
      </c>
      <c r="H39" s="30">
        <v>121.765</v>
      </c>
      <c r="I39" s="30">
        <v>24.081700000000001</v>
      </c>
      <c r="J39" s="30">
        <v>121.5915</v>
      </c>
      <c r="K39" s="30">
        <v>15.8</v>
      </c>
      <c r="L39" s="22">
        <v>70.2</v>
      </c>
      <c r="M39" s="22">
        <f t="shared" si="0"/>
        <v>68.325792196749788</v>
      </c>
      <c r="N39" s="22">
        <f t="shared" si="1"/>
        <v>70.128837715403748</v>
      </c>
      <c r="O39" s="22">
        <f t="shared" si="2"/>
        <v>7.1162284596255176E-2</v>
      </c>
      <c r="P39" s="22">
        <f t="shared" si="3"/>
        <v>0.10147364039461962</v>
      </c>
      <c r="Q39" s="22">
        <f t="shared" si="4"/>
        <v>3.5064418857701876</v>
      </c>
      <c r="R39" s="29" t="str">
        <f t="shared" si="5"/>
        <v>Within screening tolerance</v>
      </c>
      <c r="S39" s="29" t="str">
        <f t="shared" si="6"/>
        <v/>
      </c>
      <c r="T39" s="22">
        <v>60.1</v>
      </c>
      <c r="U39" s="29" t="s">
        <v>4573</v>
      </c>
      <c r="V39" s="29" t="str">
        <f t="shared" si="7"/>
        <v>No geometric exceedance</v>
      </c>
      <c r="W39" s="30">
        <v>24.081700000000001</v>
      </c>
      <c r="X39" s="30">
        <v>121.5915</v>
      </c>
      <c r="Y39" s="30">
        <v>15.8</v>
      </c>
      <c r="Z39" s="30">
        <v>70.128837715403776</v>
      </c>
      <c r="AA39" s="29" t="s">
        <v>167</v>
      </c>
      <c r="AB39" s="29" t="s">
        <v>4574</v>
      </c>
      <c r="AC39" s="39"/>
      <c r="AD39" s="39"/>
    </row>
    <row r="40" spans="1:30" ht="58" customHeight="1">
      <c r="A40" s="1" t="s">
        <v>1262</v>
      </c>
      <c r="B40" s="1">
        <v>40</v>
      </c>
      <c r="C40" s="1" t="s">
        <v>3173</v>
      </c>
      <c r="D40" s="29" t="s">
        <v>373</v>
      </c>
      <c r="E40" s="29" t="s">
        <v>374</v>
      </c>
      <c r="F40" s="1" t="s">
        <v>778</v>
      </c>
      <c r="G40" s="30">
        <v>24.672000000000001</v>
      </c>
      <c r="H40" s="30">
        <v>121.7642</v>
      </c>
      <c r="I40" s="30">
        <v>24.081700000000001</v>
      </c>
      <c r="J40" s="30">
        <v>121.5915</v>
      </c>
      <c r="K40" s="30">
        <v>15.8</v>
      </c>
      <c r="L40" s="22">
        <v>69.8</v>
      </c>
      <c r="M40" s="22">
        <f t="shared" si="0"/>
        <v>67.928929187281298</v>
      </c>
      <c r="N40" s="22">
        <f t="shared" si="1"/>
        <v>69.74223555730542</v>
      </c>
      <c r="O40" s="22">
        <f t="shared" si="2"/>
        <v>5.7764442694576701E-2</v>
      </c>
      <c r="P40" s="22">
        <f t="shared" si="3"/>
        <v>8.2825625294321303E-2</v>
      </c>
      <c r="Q40" s="22">
        <f t="shared" si="4"/>
        <v>3.4871117778652714</v>
      </c>
      <c r="R40" s="29" t="str">
        <f t="shared" si="5"/>
        <v>Within screening tolerance</v>
      </c>
      <c r="S40" s="29" t="str">
        <f t="shared" si="6"/>
        <v/>
      </c>
      <c r="T40" s="22">
        <v>59.7</v>
      </c>
      <c r="U40" s="29" t="s">
        <v>4573</v>
      </c>
      <c r="V40" s="29" t="str">
        <f t="shared" si="7"/>
        <v>No geometric exceedance</v>
      </c>
      <c r="W40" s="30">
        <v>24.081700000000001</v>
      </c>
      <c r="X40" s="30">
        <v>121.5915</v>
      </c>
      <c r="Y40" s="30">
        <v>15.8</v>
      </c>
      <c r="Z40" s="30">
        <v>69.742235557305321</v>
      </c>
      <c r="AA40" s="29" t="s">
        <v>167</v>
      </c>
      <c r="AB40" s="29" t="s">
        <v>4574</v>
      </c>
      <c r="AC40" s="39"/>
      <c r="AD40" s="39"/>
    </row>
    <row r="41" spans="1:30" ht="58" customHeight="1">
      <c r="A41" s="1" t="s">
        <v>1262</v>
      </c>
      <c r="B41" s="1">
        <v>41</v>
      </c>
      <c r="C41" s="1" t="s">
        <v>3175</v>
      </c>
      <c r="D41" s="29" t="s">
        <v>373</v>
      </c>
      <c r="E41" s="29" t="s">
        <v>374</v>
      </c>
      <c r="F41" s="1" t="s">
        <v>779</v>
      </c>
      <c r="G41" s="30">
        <v>24.682200000000002</v>
      </c>
      <c r="H41" s="30">
        <v>121.7666</v>
      </c>
      <c r="I41" s="30">
        <v>24.081700000000001</v>
      </c>
      <c r="J41" s="30">
        <v>121.5915</v>
      </c>
      <c r="K41" s="30">
        <v>15.8</v>
      </c>
      <c r="L41" s="22">
        <v>70.900000000000006</v>
      </c>
      <c r="M41" s="22">
        <f t="shared" si="0"/>
        <v>69.087301729934524</v>
      </c>
      <c r="N41" s="22">
        <f t="shared" si="1"/>
        <v>70.87097614907681</v>
      </c>
      <c r="O41" s="22">
        <f t="shared" si="2"/>
        <v>2.9023850923195482E-2</v>
      </c>
      <c r="P41" s="22">
        <f t="shared" si="3"/>
        <v>4.0953084746771271E-2</v>
      </c>
      <c r="Q41" s="22">
        <f t="shared" si="4"/>
        <v>3.5435488074538406</v>
      </c>
      <c r="R41" s="29" t="str">
        <f t="shared" si="5"/>
        <v>Within screening tolerance</v>
      </c>
      <c r="S41" s="29" t="str">
        <f t="shared" si="6"/>
        <v/>
      </c>
      <c r="T41" s="22">
        <v>60.9</v>
      </c>
      <c r="U41" s="29" t="s">
        <v>4573</v>
      </c>
      <c r="V41" s="29" t="str">
        <f t="shared" si="7"/>
        <v>No geometric exceedance</v>
      </c>
      <c r="W41" s="30">
        <v>24.081700000000001</v>
      </c>
      <c r="X41" s="30">
        <v>121.5915</v>
      </c>
      <c r="Y41" s="30">
        <v>15.8</v>
      </c>
      <c r="Z41" s="30">
        <v>70.870976149076753</v>
      </c>
      <c r="AA41" s="29" t="s">
        <v>167</v>
      </c>
      <c r="AB41" s="29" t="s">
        <v>4574</v>
      </c>
      <c r="AC41" s="39"/>
      <c r="AD41" s="39"/>
    </row>
    <row r="42" spans="1:30" ht="58" customHeight="1">
      <c r="A42" s="1" t="s">
        <v>1262</v>
      </c>
      <c r="B42" s="1">
        <v>42</v>
      </c>
      <c r="C42" s="1" t="s">
        <v>3177</v>
      </c>
      <c r="D42" s="29" t="s">
        <v>373</v>
      </c>
      <c r="E42" s="29" t="s">
        <v>374</v>
      </c>
      <c r="F42" s="1" t="s">
        <v>780</v>
      </c>
      <c r="G42" s="30">
        <v>24.664899999999999</v>
      </c>
      <c r="H42" s="30">
        <v>121.762</v>
      </c>
      <c r="I42" s="30">
        <v>24.081700000000001</v>
      </c>
      <c r="J42" s="30">
        <v>121.5915</v>
      </c>
      <c r="K42" s="30">
        <v>15.8</v>
      </c>
      <c r="L42" s="22">
        <v>69</v>
      </c>
      <c r="M42" s="22">
        <f t="shared" si="0"/>
        <v>67.108818812197683</v>
      </c>
      <c r="N42" s="22">
        <f t="shared" si="1"/>
        <v>68.943698496442565</v>
      </c>
      <c r="O42" s="22">
        <f t="shared" si="2"/>
        <v>5.630150355743524E-2</v>
      </c>
      <c r="P42" s="22">
        <f t="shared" si="3"/>
        <v>8.1663016033786395E-2</v>
      </c>
      <c r="Q42" s="22">
        <f t="shared" si="4"/>
        <v>3.4471849248221282</v>
      </c>
      <c r="R42" s="29" t="str">
        <f t="shared" si="5"/>
        <v>Within screening tolerance</v>
      </c>
      <c r="S42" s="29" t="str">
        <f t="shared" si="6"/>
        <v/>
      </c>
      <c r="T42" s="22">
        <v>58.9</v>
      </c>
      <c r="U42" s="29" t="s">
        <v>4573</v>
      </c>
      <c r="V42" s="29" t="str">
        <f t="shared" si="7"/>
        <v>No geometric exceedance</v>
      </c>
      <c r="W42" s="30">
        <v>24.081700000000001</v>
      </c>
      <c r="X42" s="30">
        <v>121.5915</v>
      </c>
      <c r="Y42" s="30">
        <v>15.8</v>
      </c>
      <c r="Z42" s="30">
        <v>68.943698496442721</v>
      </c>
      <c r="AA42" s="29" t="s">
        <v>167</v>
      </c>
      <c r="AB42" s="29" t="s">
        <v>4574</v>
      </c>
      <c r="AC42" s="39"/>
      <c r="AD42" s="39"/>
    </row>
    <row r="43" spans="1:30" ht="58" customHeight="1">
      <c r="A43" s="1" t="s">
        <v>1262</v>
      </c>
      <c r="B43" s="1">
        <v>43</v>
      </c>
      <c r="C43" s="1" t="s">
        <v>3179</v>
      </c>
      <c r="D43" s="29" t="s">
        <v>373</v>
      </c>
      <c r="E43" s="29" t="s">
        <v>374</v>
      </c>
      <c r="F43" s="1" t="s">
        <v>781</v>
      </c>
      <c r="G43" s="30">
        <v>24.656099999999999</v>
      </c>
      <c r="H43" s="30">
        <v>121.7621</v>
      </c>
      <c r="I43" s="30">
        <v>24.081700000000001</v>
      </c>
      <c r="J43" s="30">
        <v>121.5915</v>
      </c>
      <c r="K43" s="30">
        <v>15.8</v>
      </c>
      <c r="L43" s="22">
        <v>68.099999999999994</v>
      </c>
      <c r="M43" s="22">
        <f t="shared" si="0"/>
        <v>66.166536999919515</v>
      </c>
      <c r="N43" s="22">
        <f t="shared" si="1"/>
        <v>68.026837487580721</v>
      </c>
      <c r="O43" s="22">
        <f t="shared" si="2"/>
        <v>7.3162512419273185E-2</v>
      </c>
      <c r="P43" s="22">
        <f t="shared" si="3"/>
        <v>0.10754948358819423</v>
      </c>
      <c r="Q43" s="22">
        <f t="shared" si="4"/>
        <v>3.4013418743790362</v>
      </c>
      <c r="R43" s="29" t="str">
        <f t="shared" si="5"/>
        <v>Within screening tolerance</v>
      </c>
      <c r="S43" s="29" t="str">
        <f t="shared" si="6"/>
        <v/>
      </c>
      <c r="T43" s="22">
        <v>58</v>
      </c>
      <c r="U43" s="29" t="s">
        <v>4573</v>
      </c>
      <c r="V43" s="29" t="str">
        <f t="shared" si="7"/>
        <v>No geometric exceedance</v>
      </c>
      <c r="W43" s="30">
        <v>24.081700000000001</v>
      </c>
      <c r="X43" s="30">
        <v>121.5915</v>
      </c>
      <c r="Y43" s="30">
        <v>15.8</v>
      </c>
      <c r="Z43" s="30">
        <v>68.026837487580622</v>
      </c>
      <c r="AA43" s="29" t="s">
        <v>167</v>
      </c>
      <c r="AB43" s="29" t="s">
        <v>4574</v>
      </c>
      <c r="AC43" s="39"/>
      <c r="AD43" s="39"/>
    </row>
    <row r="44" spans="1:30" ht="58" customHeight="1">
      <c r="A44" s="1" t="s">
        <v>1262</v>
      </c>
      <c r="B44" s="1">
        <v>44</v>
      </c>
      <c r="C44" s="1" t="s">
        <v>3181</v>
      </c>
      <c r="D44" s="29" t="s">
        <v>373</v>
      </c>
      <c r="E44" s="29" t="s">
        <v>374</v>
      </c>
      <c r="F44" s="1" t="s">
        <v>782</v>
      </c>
      <c r="G44" s="30">
        <v>24.675000000000001</v>
      </c>
      <c r="H44" s="30">
        <v>121.76609999999999</v>
      </c>
      <c r="I44" s="30">
        <v>24.081700000000001</v>
      </c>
      <c r="J44" s="30">
        <v>121.5915</v>
      </c>
      <c r="K44" s="30">
        <v>15.8</v>
      </c>
      <c r="L44" s="22">
        <v>70.2</v>
      </c>
      <c r="M44" s="22">
        <f t="shared" si="0"/>
        <v>68.300834721986135</v>
      </c>
      <c r="N44" s="22">
        <f t="shared" si="1"/>
        <v>70.104522134596039</v>
      </c>
      <c r="O44" s="22">
        <f t="shared" si="2"/>
        <v>9.5477865403964302E-2</v>
      </c>
      <c r="P44" s="22">
        <f t="shared" si="3"/>
        <v>0.13619358993796879</v>
      </c>
      <c r="Q44" s="22">
        <f t="shared" si="4"/>
        <v>3.5052261067298023</v>
      </c>
      <c r="R44" s="29" t="str">
        <f t="shared" si="5"/>
        <v>Within screening tolerance</v>
      </c>
      <c r="S44" s="29" t="str">
        <f t="shared" si="6"/>
        <v/>
      </c>
      <c r="T44" s="22">
        <v>60.1</v>
      </c>
      <c r="U44" s="29" t="s">
        <v>4573</v>
      </c>
      <c r="V44" s="29" t="str">
        <f t="shared" si="7"/>
        <v>No geometric exceedance</v>
      </c>
      <c r="W44" s="30">
        <v>24.081700000000001</v>
      </c>
      <c r="X44" s="30">
        <v>121.5915</v>
      </c>
      <c r="Y44" s="30">
        <v>15.8</v>
      </c>
      <c r="Z44" s="30">
        <v>70.104522134596095</v>
      </c>
      <c r="AA44" s="29" t="s">
        <v>167</v>
      </c>
      <c r="AB44" s="29" t="s">
        <v>4574</v>
      </c>
      <c r="AC44" s="39"/>
      <c r="AD44" s="39"/>
    </row>
    <row r="45" spans="1:30" ht="58" customHeight="1">
      <c r="A45" s="1" t="s">
        <v>1262</v>
      </c>
      <c r="B45" s="1">
        <v>45</v>
      </c>
      <c r="C45" s="1" t="s">
        <v>3183</v>
      </c>
      <c r="D45" s="29" t="s">
        <v>373</v>
      </c>
      <c r="E45" s="29" t="s">
        <v>374</v>
      </c>
      <c r="F45" s="1" t="s">
        <v>783</v>
      </c>
      <c r="G45" s="30">
        <v>24.674399999999999</v>
      </c>
      <c r="H45" s="30">
        <v>121.7667</v>
      </c>
      <c r="I45" s="30">
        <v>24.081700000000001</v>
      </c>
      <c r="J45" s="30">
        <v>121.5915</v>
      </c>
      <c r="K45" s="30">
        <v>15.8</v>
      </c>
      <c r="L45" s="22">
        <v>70.099999999999994</v>
      </c>
      <c r="M45" s="22">
        <f t="shared" si="0"/>
        <v>68.252179133019411</v>
      </c>
      <c r="N45" s="22">
        <f t="shared" si="1"/>
        <v>70.057119241414512</v>
      </c>
      <c r="O45" s="22">
        <f t="shared" si="2"/>
        <v>4.2880758585482681E-2</v>
      </c>
      <c r="P45" s="22">
        <f t="shared" si="3"/>
        <v>6.1208281256494447E-2</v>
      </c>
      <c r="Q45" s="22">
        <f t="shared" si="4"/>
        <v>3.5028559620707256</v>
      </c>
      <c r="R45" s="29" t="str">
        <f t="shared" si="5"/>
        <v>Within screening tolerance</v>
      </c>
      <c r="S45" s="29" t="str">
        <f t="shared" si="6"/>
        <v/>
      </c>
      <c r="T45" s="22">
        <v>60</v>
      </c>
      <c r="U45" s="29" t="s">
        <v>4573</v>
      </c>
      <c r="V45" s="29" t="str">
        <f t="shared" si="7"/>
        <v>No geometric exceedance</v>
      </c>
      <c r="W45" s="30">
        <v>24.081700000000001</v>
      </c>
      <c r="X45" s="30">
        <v>121.5915</v>
      </c>
      <c r="Y45" s="30">
        <v>15.8</v>
      </c>
      <c r="Z45" s="30">
        <v>70.057119241414483</v>
      </c>
      <c r="AA45" s="29" t="s">
        <v>167</v>
      </c>
      <c r="AB45" s="29" t="s">
        <v>4574</v>
      </c>
      <c r="AC45" s="39"/>
      <c r="AD45" s="39"/>
    </row>
    <row r="46" spans="1:30" ht="58" customHeight="1">
      <c r="A46" s="1" t="s">
        <v>1262</v>
      </c>
      <c r="B46" s="1">
        <v>46</v>
      </c>
      <c r="C46" s="1" t="s">
        <v>3185</v>
      </c>
      <c r="D46" s="29" t="s">
        <v>373</v>
      </c>
      <c r="E46" s="29" t="s">
        <v>374</v>
      </c>
      <c r="F46" s="1" t="s">
        <v>784</v>
      </c>
      <c r="G46" s="30">
        <v>24.673400000000001</v>
      </c>
      <c r="H46" s="30">
        <v>121.7668</v>
      </c>
      <c r="I46" s="30">
        <v>24.081700000000001</v>
      </c>
      <c r="J46" s="30">
        <v>121.5915</v>
      </c>
      <c r="K46" s="30">
        <v>15.8</v>
      </c>
      <c r="L46" s="22">
        <v>70</v>
      </c>
      <c r="M46" s="22">
        <f t="shared" si="0"/>
        <v>68.147470283934254</v>
      </c>
      <c r="N46" s="22">
        <f t="shared" si="1"/>
        <v>69.955112079816601</v>
      </c>
      <c r="O46" s="22">
        <f t="shared" si="2"/>
        <v>4.4887920183398933E-2</v>
      </c>
      <c r="P46" s="22">
        <f t="shared" si="3"/>
        <v>6.416674757404893E-2</v>
      </c>
      <c r="Q46" s="22">
        <f t="shared" si="4"/>
        <v>3.4977556039908304</v>
      </c>
      <c r="R46" s="29" t="str">
        <f t="shared" si="5"/>
        <v>Within screening tolerance</v>
      </c>
      <c r="S46" s="29" t="str">
        <f t="shared" si="6"/>
        <v/>
      </c>
      <c r="T46" s="22">
        <v>59.9</v>
      </c>
      <c r="U46" s="29" t="s">
        <v>4573</v>
      </c>
      <c r="V46" s="29" t="str">
        <f t="shared" si="7"/>
        <v>No geometric exceedance</v>
      </c>
      <c r="W46" s="30">
        <v>24.081700000000001</v>
      </c>
      <c r="X46" s="30">
        <v>121.5915</v>
      </c>
      <c r="Y46" s="30">
        <v>15.8</v>
      </c>
      <c r="Z46" s="30">
        <v>69.955112079816629</v>
      </c>
      <c r="AA46" s="29" t="s">
        <v>167</v>
      </c>
      <c r="AB46" s="29" t="s">
        <v>4574</v>
      </c>
      <c r="AC46" s="39"/>
      <c r="AD46" s="39"/>
    </row>
    <row r="47" spans="1:30" ht="58" customHeight="1">
      <c r="A47" s="1" t="s">
        <v>1262</v>
      </c>
      <c r="B47" s="1">
        <v>47</v>
      </c>
      <c r="C47" s="1" t="s">
        <v>3187</v>
      </c>
      <c r="D47" s="29" t="s">
        <v>373</v>
      </c>
      <c r="E47" s="29" t="s">
        <v>374</v>
      </c>
      <c r="F47" s="1" t="s">
        <v>785</v>
      </c>
      <c r="G47" s="30">
        <v>24.672599999999999</v>
      </c>
      <c r="H47" s="30">
        <v>121.7663</v>
      </c>
      <c r="I47" s="30">
        <v>24.081700000000001</v>
      </c>
      <c r="J47" s="30">
        <v>121.5915</v>
      </c>
      <c r="K47" s="30">
        <v>15.8</v>
      </c>
      <c r="L47" s="22">
        <v>69.900000000000006</v>
      </c>
      <c r="M47" s="22">
        <f t="shared" si="0"/>
        <v>68.048412550421048</v>
      </c>
      <c r="N47" s="22">
        <f t="shared" si="1"/>
        <v>69.858617583175104</v>
      </c>
      <c r="O47" s="22">
        <f t="shared" si="2"/>
        <v>4.138241682490218E-2</v>
      </c>
      <c r="P47" s="22">
        <f t="shared" si="3"/>
        <v>5.923738295512565E-2</v>
      </c>
      <c r="Q47" s="22">
        <f t="shared" si="4"/>
        <v>3.4929308791587554</v>
      </c>
      <c r="R47" s="29" t="str">
        <f t="shared" si="5"/>
        <v>Within screening tolerance</v>
      </c>
      <c r="S47" s="29" t="str">
        <f t="shared" si="6"/>
        <v/>
      </c>
      <c r="T47" s="22">
        <v>59.8</v>
      </c>
      <c r="U47" s="29" t="s">
        <v>4573</v>
      </c>
      <c r="V47" s="29" t="str">
        <f t="shared" si="7"/>
        <v>No geometric exceedance</v>
      </c>
      <c r="W47" s="30">
        <v>24.081700000000001</v>
      </c>
      <c r="X47" s="30">
        <v>121.5915</v>
      </c>
      <c r="Y47" s="30">
        <v>15.8</v>
      </c>
      <c r="Z47" s="30">
        <v>69.858617583175118</v>
      </c>
      <c r="AA47" s="29" t="s">
        <v>167</v>
      </c>
      <c r="AB47" s="29" t="s">
        <v>4574</v>
      </c>
      <c r="AC47" s="39"/>
      <c r="AD47" s="39"/>
    </row>
    <row r="48" spans="1:30" ht="58" customHeight="1">
      <c r="A48" s="1" t="s">
        <v>1262</v>
      </c>
      <c r="B48" s="1">
        <v>48</v>
      </c>
      <c r="C48" s="1" t="s">
        <v>3189</v>
      </c>
      <c r="D48" s="29" t="s">
        <v>373</v>
      </c>
      <c r="E48" s="29" t="s">
        <v>374</v>
      </c>
      <c r="F48" s="1" t="s">
        <v>786</v>
      </c>
      <c r="G48" s="30">
        <v>24.6721</v>
      </c>
      <c r="H48" s="30">
        <v>121.76519999999999</v>
      </c>
      <c r="I48" s="30">
        <v>24.081700000000001</v>
      </c>
      <c r="J48" s="30">
        <v>121.5915</v>
      </c>
      <c r="K48" s="30">
        <v>15.8</v>
      </c>
      <c r="L48" s="22">
        <v>69.8</v>
      </c>
      <c r="M48" s="22">
        <f t="shared" si="0"/>
        <v>67.965817584264116</v>
      </c>
      <c r="N48" s="22">
        <f t="shared" si="1"/>
        <v>69.778165352045946</v>
      </c>
      <c r="O48" s="22">
        <f t="shared" si="2"/>
        <v>2.1834647954051434E-2</v>
      </c>
      <c r="P48" s="22">
        <f t="shared" si="3"/>
        <v>3.1291519121907134E-2</v>
      </c>
      <c r="Q48" s="22">
        <f t="shared" si="4"/>
        <v>3.4889082676022976</v>
      </c>
      <c r="R48" s="29" t="str">
        <f t="shared" si="5"/>
        <v>Within screening tolerance</v>
      </c>
      <c r="S48" s="29" t="str">
        <f t="shared" si="6"/>
        <v/>
      </c>
      <c r="T48" s="22">
        <v>59.8</v>
      </c>
      <c r="U48" s="29" t="s">
        <v>4573</v>
      </c>
      <c r="V48" s="29" t="str">
        <f t="shared" si="7"/>
        <v>No geometric exceedance</v>
      </c>
      <c r="W48" s="30">
        <v>24.081700000000001</v>
      </c>
      <c r="X48" s="30">
        <v>121.5915</v>
      </c>
      <c r="Y48" s="30">
        <v>15.8</v>
      </c>
      <c r="Z48" s="30">
        <v>69.778165352045974</v>
      </c>
      <c r="AA48" s="29" t="s">
        <v>167</v>
      </c>
      <c r="AB48" s="29" t="s">
        <v>4574</v>
      </c>
      <c r="AC48" s="39"/>
      <c r="AD48" s="39"/>
    </row>
    <row r="49" spans="1:30" ht="58" customHeight="1">
      <c r="A49" s="1" t="s">
        <v>1262</v>
      </c>
      <c r="B49" s="1">
        <v>49</v>
      </c>
      <c r="C49" s="1" t="s">
        <v>3191</v>
      </c>
      <c r="D49" s="29" t="s">
        <v>373</v>
      </c>
      <c r="E49" s="29" t="s">
        <v>374</v>
      </c>
      <c r="F49" s="1" t="s">
        <v>787</v>
      </c>
      <c r="G49" s="30">
        <v>24.672499999999999</v>
      </c>
      <c r="H49" s="30">
        <v>121.7636</v>
      </c>
      <c r="I49" s="30">
        <v>24.081700000000001</v>
      </c>
      <c r="J49" s="30">
        <v>121.5915</v>
      </c>
      <c r="K49" s="30">
        <v>15.8</v>
      </c>
      <c r="L49" s="22">
        <v>69.8</v>
      </c>
      <c r="M49" s="22">
        <f t="shared" si="0"/>
        <v>67.967034691394161</v>
      </c>
      <c r="N49" s="22">
        <f t="shared" si="1"/>
        <v>69.779350847805816</v>
      </c>
      <c r="O49" s="22">
        <f t="shared" si="2"/>
        <v>2.0649152194181397E-2</v>
      </c>
      <c r="P49" s="22">
        <f t="shared" si="3"/>
        <v>2.9592066912773097E-2</v>
      </c>
      <c r="Q49" s="22">
        <f t="shared" si="4"/>
        <v>3.4889675423902911</v>
      </c>
      <c r="R49" s="29" t="str">
        <f t="shared" si="5"/>
        <v>Within screening tolerance</v>
      </c>
      <c r="S49" s="29" t="str">
        <f t="shared" si="6"/>
        <v/>
      </c>
      <c r="T49" s="22">
        <v>59.8</v>
      </c>
      <c r="U49" s="29" t="s">
        <v>4573</v>
      </c>
      <c r="V49" s="29" t="str">
        <f t="shared" si="7"/>
        <v>No geometric exceedance</v>
      </c>
      <c r="W49" s="30">
        <v>24.081700000000001</v>
      </c>
      <c r="X49" s="30">
        <v>121.5915</v>
      </c>
      <c r="Y49" s="30">
        <v>15.8</v>
      </c>
      <c r="Z49" s="30">
        <v>69.779350847805674</v>
      </c>
      <c r="AA49" s="29" t="s">
        <v>167</v>
      </c>
      <c r="AB49" s="29" t="s">
        <v>4574</v>
      </c>
      <c r="AC49" s="39"/>
      <c r="AD49" s="39"/>
    </row>
    <row r="50" spans="1:30" ht="58" customHeight="1">
      <c r="A50" s="1" t="s">
        <v>1262</v>
      </c>
      <c r="B50" s="1">
        <v>50</v>
      </c>
      <c r="C50" s="1" t="s">
        <v>3193</v>
      </c>
      <c r="D50" s="29" t="s">
        <v>373</v>
      </c>
      <c r="E50" s="29" t="s">
        <v>374</v>
      </c>
      <c r="F50" s="1" t="s">
        <v>788</v>
      </c>
      <c r="G50" s="30">
        <v>24.673200000000001</v>
      </c>
      <c r="H50" s="30">
        <v>121.7629</v>
      </c>
      <c r="I50" s="30">
        <v>24.081700000000001</v>
      </c>
      <c r="J50" s="30">
        <v>121.5915</v>
      </c>
      <c r="K50" s="30">
        <v>15.8</v>
      </c>
      <c r="L50" s="22">
        <v>69.900000000000006</v>
      </c>
      <c r="M50" s="22">
        <f t="shared" si="0"/>
        <v>68.024131420258328</v>
      </c>
      <c r="N50" s="22">
        <f t="shared" si="1"/>
        <v>69.834965851502901</v>
      </c>
      <c r="O50" s="22">
        <f t="shared" si="2"/>
        <v>6.5034148497105093E-2</v>
      </c>
      <c r="P50" s="22">
        <f t="shared" si="3"/>
        <v>9.3125481918891084E-2</v>
      </c>
      <c r="Q50" s="22">
        <f t="shared" si="4"/>
        <v>3.4917482925751453</v>
      </c>
      <c r="R50" s="29" t="str">
        <f t="shared" si="5"/>
        <v>Within screening tolerance</v>
      </c>
      <c r="S50" s="29" t="str">
        <f t="shared" si="6"/>
        <v/>
      </c>
      <c r="T50" s="22">
        <v>59.8</v>
      </c>
      <c r="U50" s="29" t="s">
        <v>4573</v>
      </c>
      <c r="V50" s="29" t="str">
        <f t="shared" si="7"/>
        <v>No geometric exceedance</v>
      </c>
      <c r="W50" s="30">
        <v>24.081700000000001</v>
      </c>
      <c r="X50" s="30">
        <v>121.5915</v>
      </c>
      <c r="Y50" s="30">
        <v>15.8</v>
      </c>
      <c r="Z50" s="30">
        <v>69.834965851502972</v>
      </c>
      <c r="AA50" s="29" t="s">
        <v>167</v>
      </c>
      <c r="AB50" s="29" t="s">
        <v>4574</v>
      </c>
      <c r="AC50" s="39"/>
      <c r="AD50" s="39"/>
    </row>
    <row r="51" spans="1:30" ht="58" customHeight="1">
      <c r="A51" s="1" t="s">
        <v>1262</v>
      </c>
      <c r="B51" s="1">
        <v>51</v>
      </c>
      <c r="C51" s="1" t="s">
        <v>3195</v>
      </c>
      <c r="D51" s="29" t="s">
        <v>373</v>
      </c>
      <c r="E51" s="29" t="s">
        <v>374</v>
      </c>
      <c r="F51" s="1" t="s">
        <v>789</v>
      </c>
      <c r="G51" s="30">
        <v>24.674900000000001</v>
      </c>
      <c r="H51" s="30">
        <v>121.7634</v>
      </c>
      <c r="I51" s="30">
        <v>24.081700000000001</v>
      </c>
      <c r="J51" s="30">
        <v>121.5915</v>
      </c>
      <c r="K51" s="30">
        <v>15.8</v>
      </c>
      <c r="L51" s="22">
        <v>70.099999999999994</v>
      </c>
      <c r="M51" s="22">
        <f t="shared" si="0"/>
        <v>68.219797010500812</v>
      </c>
      <c r="N51" s="22">
        <f t="shared" si="1"/>
        <v>70.025571787411607</v>
      </c>
      <c r="O51" s="22">
        <f t="shared" si="2"/>
        <v>7.4428212588387055E-2</v>
      </c>
      <c r="P51" s="22">
        <f t="shared" si="3"/>
        <v>0.10628719007727817</v>
      </c>
      <c r="Q51" s="22">
        <f t="shared" si="4"/>
        <v>3.5012785893705805</v>
      </c>
      <c r="R51" s="29" t="str">
        <f t="shared" si="5"/>
        <v>Within screening tolerance</v>
      </c>
      <c r="S51" s="29" t="str">
        <f t="shared" si="6"/>
        <v/>
      </c>
      <c r="T51" s="22">
        <v>60</v>
      </c>
      <c r="U51" s="29" t="s">
        <v>4573</v>
      </c>
      <c r="V51" s="29" t="str">
        <f t="shared" si="7"/>
        <v>No geometric exceedance</v>
      </c>
      <c r="W51" s="30">
        <v>24.081700000000001</v>
      </c>
      <c r="X51" s="30">
        <v>121.5915</v>
      </c>
      <c r="Y51" s="30">
        <v>15.8</v>
      </c>
      <c r="Z51" s="30">
        <v>70.025571787411522</v>
      </c>
      <c r="AA51" s="29" t="s">
        <v>167</v>
      </c>
      <c r="AB51" s="29" t="s">
        <v>4574</v>
      </c>
      <c r="AC51" s="39"/>
      <c r="AD51" s="39"/>
    </row>
    <row r="52" spans="1:30" ht="58" customHeight="1">
      <c r="A52" s="1" t="s">
        <v>1262</v>
      </c>
      <c r="B52" s="1">
        <v>52</v>
      </c>
      <c r="C52" s="1" t="s">
        <v>3197</v>
      </c>
      <c r="D52" s="29" t="s">
        <v>373</v>
      </c>
      <c r="E52" s="29" t="s">
        <v>374</v>
      </c>
      <c r="F52" s="1" t="s">
        <v>790</v>
      </c>
      <c r="G52" s="30">
        <v>24.6755</v>
      </c>
      <c r="H52" s="30">
        <v>121.7641</v>
      </c>
      <c r="I52" s="30">
        <v>24.081700000000001</v>
      </c>
      <c r="J52" s="30">
        <v>121.5915</v>
      </c>
      <c r="K52" s="30">
        <v>15.8</v>
      </c>
      <c r="L52" s="22">
        <v>70.2</v>
      </c>
      <c r="M52" s="22">
        <f t="shared" si="0"/>
        <v>68.30240654405209</v>
      </c>
      <c r="N52" s="22">
        <f t="shared" si="1"/>
        <v>70.106053516860939</v>
      </c>
      <c r="O52" s="22">
        <f t="shared" si="2"/>
        <v>9.394648313906373E-2</v>
      </c>
      <c r="P52" s="22">
        <f t="shared" si="3"/>
        <v>0.13400623544794035</v>
      </c>
      <c r="Q52" s="22">
        <f t="shared" si="4"/>
        <v>3.5053026758430472</v>
      </c>
      <c r="R52" s="29" t="str">
        <f t="shared" si="5"/>
        <v>Within screening tolerance</v>
      </c>
      <c r="S52" s="29" t="str">
        <f t="shared" si="6"/>
        <v/>
      </c>
      <c r="T52" s="22">
        <v>60.1</v>
      </c>
      <c r="U52" s="29" t="s">
        <v>4573</v>
      </c>
      <c r="V52" s="29" t="str">
        <f t="shared" si="7"/>
        <v>No geometric exceedance</v>
      </c>
      <c r="W52" s="30">
        <v>24.081700000000001</v>
      </c>
      <c r="X52" s="30">
        <v>121.5915</v>
      </c>
      <c r="Y52" s="30">
        <v>15.8</v>
      </c>
      <c r="Z52" s="30">
        <v>70.106053516860982</v>
      </c>
      <c r="AA52" s="29" t="s">
        <v>167</v>
      </c>
      <c r="AB52" s="29" t="s">
        <v>4574</v>
      </c>
      <c r="AC52" s="39"/>
      <c r="AD52" s="39"/>
    </row>
    <row r="53" spans="1:30" ht="58" customHeight="1">
      <c r="A53" s="1" t="s">
        <v>1262</v>
      </c>
      <c r="B53" s="1">
        <v>53</v>
      </c>
      <c r="C53" s="1" t="s">
        <v>3199</v>
      </c>
      <c r="D53" s="29" t="s">
        <v>373</v>
      </c>
      <c r="E53" s="29" t="s">
        <v>374</v>
      </c>
      <c r="F53" s="1" t="s">
        <v>791</v>
      </c>
      <c r="G53" s="30">
        <v>24.6815</v>
      </c>
      <c r="H53" s="30">
        <v>121.7717</v>
      </c>
      <c r="I53" s="30">
        <v>24.081700000000001</v>
      </c>
      <c r="J53" s="30">
        <v>121.5915</v>
      </c>
      <c r="K53" s="30">
        <v>15.8</v>
      </c>
      <c r="L53" s="22">
        <v>71</v>
      </c>
      <c r="M53" s="22">
        <f t="shared" si="0"/>
        <v>69.146616577136825</v>
      </c>
      <c r="N53" s="22">
        <f t="shared" si="1"/>
        <v>70.92879939816811</v>
      </c>
      <c r="O53" s="22">
        <f t="shared" si="2"/>
        <v>7.1200601831890253E-2</v>
      </c>
      <c r="P53" s="22">
        <f t="shared" si="3"/>
        <v>0.10038320461650048</v>
      </c>
      <c r="Q53" s="22">
        <f t="shared" si="4"/>
        <v>3.5464399699084055</v>
      </c>
      <c r="R53" s="29" t="str">
        <f t="shared" si="5"/>
        <v>Within screening tolerance</v>
      </c>
      <c r="S53" s="29" t="str">
        <f t="shared" si="6"/>
        <v/>
      </c>
      <c r="T53" s="22">
        <v>60.9</v>
      </c>
      <c r="U53" s="29" t="s">
        <v>4573</v>
      </c>
      <c r="V53" s="29" t="str">
        <f t="shared" si="7"/>
        <v>No geometric exceedance</v>
      </c>
      <c r="W53" s="30">
        <v>24.081700000000001</v>
      </c>
      <c r="X53" s="30">
        <v>121.5915</v>
      </c>
      <c r="Y53" s="30">
        <v>15.8</v>
      </c>
      <c r="Z53" s="30">
        <v>70.928799398168152</v>
      </c>
      <c r="AA53" s="29" t="s">
        <v>167</v>
      </c>
      <c r="AB53" s="29" t="s">
        <v>4574</v>
      </c>
      <c r="AC53" s="39"/>
      <c r="AD53" s="39"/>
    </row>
    <row r="54" spans="1:30" ht="58" customHeight="1">
      <c r="A54" s="1" t="s">
        <v>1262</v>
      </c>
      <c r="B54" s="1">
        <v>54</v>
      </c>
      <c r="C54" s="1" t="s">
        <v>3201</v>
      </c>
      <c r="D54" s="29" t="s">
        <v>373</v>
      </c>
      <c r="E54" s="29" t="s">
        <v>374</v>
      </c>
      <c r="F54" s="1" t="s">
        <v>792</v>
      </c>
      <c r="G54" s="30">
        <v>24.6769</v>
      </c>
      <c r="H54" s="30">
        <v>121.7735</v>
      </c>
      <c r="I54" s="30">
        <v>24.081700000000001</v>
      </c>
      <c r="J54" s="30">
        <v>121.5915</v>
      </c>
      <c r="K54" s="30">
        <v>15.8</v>
      </c>
      <c r="L54" s="22">
        <v>70.5</v>
      </c>
      <c r="M54" s="22">
        <f t="shared" si="0"/>
        <v>68.702166102170949</v>
      </c>
      <c r="N54" s="22">
        <f t="shared" si="1"/>
        <v>70.495585869827963</v>
      </c>
      <c r="O54" s="22">
        <f t="shared" si="2"/>
        <v>4.4141301720372894E-3</v>
      </c>
      <c r="P54" s="22">
        <f t="shared" si="3"/>
        <v>6.2615695969788837E-3</v>
      </c>
      <c r="Q54" s="22">
        <f t="shared" si="4"/>
        <v>3.5247792934913984</v>
      </c>
      <c r="R54" s="29" t="str">
        <f t="shared" si="5"/>
        <v>Within screening tolerance</v>
      </c>
      <c r="S54" s="29" t="str">
        <f t="shared" si="6"/>
        <v/>
      </c>
      <c r="T54" s="22">
        <v>60.5</v>
      </c>
      <c r="U54" s="29" t="s">
        <v>4573</v>
      </c>
      <c r="V54" s="29" t="str">
        <f t="shared" si="7"/>
        <v>No geometric exceedance</v>
      </c>
      <c r="W54" s="30">
        <v>24.081700000000001</v>
      </c>
      <c r="X54" s="30">
        <v>121.5915</v>
      </c>
      <c r="Y54" s="30">
        <v>15.8</v>
      </c>
      <c r="Z54" s="30">
        <v>70.495585869828133</v>
      </c>
      <c r="AA54" s="29" t="s">
        <v>167</v>
      </c>
      <c r="AB54" s="29" t="s">
        <v>4574</v>
      </c>
      <c r="AC54" s="39"/>
      <c r="AD54" s="39"/>
    </row>
    <row r="55" spans="1:30" ht="58" customHeight="1">
      <c r="A55" s="1" t="s">
        <v>1262</v>
      </c>
      <c r="B55" s="1">
        <v>55</v>
      </c>
      <c r="C55" s="1" t="s">
        <v>3203</v>
      </c>
      <c r="D55" s="29" t="s">
        <v>373</v>
      </c>
      <c r="E55" s="29" t="s">
        <v>374</v>
      </c>
      <c r="F55" s="1" t="s">
        <v>793</v>
      </c>
      <c r="G55" s="30">
        <v>24.671800000000001</v>
      </c>
      <c r="H55" s="30">
        <v>121.7745</v>
      </c>
      <c r="I55" s="30">
        <v>24.081700000000001</v>
      </c>
      <c r="J55" s="30">
        <v>121.5915</v>
      </c>
      <c r="K55" s="30">
        <v>15.8</v>
      </c>
      <c r="L55" s="22">
        <v>70</v>
      </c>
      <c r="M55" s="22">
        <f t="shared" si="0"/>
        <v>68.183597117061822</v>
      </c>
      <c r="N55" s="22">
        <f t="shared" si="1"/>
        <v>69.990305870326083</v>
      </c>
      <c r="O55" s="22">
        <f t="shared" si="2"/>
        <v>9.6941296739174732E-3</v>
      </c>
      <c r="P55" s="22">
        <f t="shared" si="3"/>
        <v>1.3850674823279363E-2</v>
      </c>
      <c r="Q55" s="22">
        <f t="shared" si="4"/>
        <v>3.4995152935163043</v>
      </c>
      <c r="R55" s="29" t="str">
        <f t="shared" si="5"/>
        <v>Within screening tolerance</v>
      </c>
      <c r="S55" s="29" t="str">
        <f t="shared" si="6"/>
        <v/>
      </c>
      <c r="T55" s="22">
        <v>59.9</v>
      </c>
      <c r="U55" s="29" t="s">
        <v>4573</v>
      </c>
      <c r="V55" s="29" t="str">
        <f t="shared" si="7"/>
        <v>No geometric exceedance</v>
      </c>
      <c r="W55" s="30">
        <v>24.081700000000001</v>
      </c>
      <c r="X55" s="30">
        <v>121.5915</v>
      </c>
      <c r="Y55" s="30">
        <v>15.8</v>
      </c>
      <c r="Z55" s="30">
        <v>69.990305870326054</v>
      </c>
      <c r="AA55" s="29" t="s">
        <v>167</v>
      </c>
      <c r="AB55" s="29" t="s">
        <v>4574</v>
      </c>
      <c r="AC55" s="39"/>
      <c r="AD55" s="39"/>
    </row>
    <row r="56" spans="1:30" ht="58" customHeight="1">
      <c r="A56" s="1" t="s">
        <v>1262</v>
      </c>
      <c r="B56" s="1">
        <v>56</v>
      </c>
      <c r="C56" s="1" t="s">
        <v>3205</v>
      </c>
      <c r="D56" s="29" t="s">
        <v>373</v>
      </c>
      <c r="E56" s="29" t="s">
        <v>374</v>
      </c>
      <c r="F56" s="1" t="s">
        <v>794</v>
      </c>
      <c r="G56" s="30">
        <v>24.668299999999999</v>
      </c>
      <c r="H56" s="30">
        <v>121.77209999999999</v>
      </c>
      <c r="I56" s="30">
        <v>24.081700000000001</v>
      </c>
      <c r="J56" s="30">
        <v>121.5915</v>
      </c>
      <c r="K56" s="30">
        <v>15.8</v>
      </c>
      <c r="L56" s="22">
        <v>69.599999999999994</v>
      </c>
      <c r="M56" s="22">
        <f t="shared" si="0"/>
        <v>67.743184005291113</v>
      </c>
      <c r="N56" s="22">
        <f t="shared" si="1"/>
        <v>69.561332499994066</v>
      </c>
      <c r="O56" s="22">
        <f t="shared" si="2"/>
        <v>3.8667500005928446E-2</v>
      </c>
      <c r="P56" s="22">
        <f t="shared" si="3"/>
        <v>5.5587635567406278E-2</v>
      </c>
      <c r="Q56" s="22">
        <f t="shared" si="4"/>
        <v>3.4780666249997036</v>
      </c>
      <c r="R56" s="29" t="str">
        <f t="shared" si="5"/>
        <v>Within screening tolerance</v>
      </c>
      <c r="S56" s="29" t="str">
        <f t="shared" si="6"/>
        <v/>
      </c>
      <c r="T56" s="22">
        <v>59.5</v>
      </c>
      <c r="U56" s="29" t="s">
        <v>4573</v>
      </c>
      <c r="V56" s="29" t="str">
        <f t="shared" si="7"/>
        <v>No geometric exceedance</v>
      </c>
      <c r="W56" s="30">
        <v>24.081700000000001</v>
      </c>
      <c r="X56" s="30">
        <v>121.5915</v>
      </c>
      <c r="Y56" s="30">
        <v>15.8</v>
      </c>
      <c r="Z56" s="30">
        <v>69.561332499994251</v>
      </c>
      <c r="AA56" s="29" t="s">
        <v>167</v>
      </c>
      <c r="AB56" s="29" t="s">
        <v>4574</v>
      </c>
      <c r="AC56" s="39"/>
      <c r="AD56" s="39"/>
    </row>
    <row r="57" spans="1:30" ht="58" customHeight="1">
      <c r="A57" s="1" t="s">
        <v>1262</v>
      </c>
      <c r="B57" s="1">
        <v>57</v>
      </c>
      <c r="C57" s="1" t="s">
        <v>3207</v>
      </c>
      <c r="D57" s="29" t="s">
        <v>373</v>
      </c>
      <c r="E57" s="29" t="s">
        <v>374</v>
      </c>
      <c r="F57" s="1" t="s">
        <v>795</v>
      </c>
      <c r="G57" s="30">
        <v>24.665099999999999</v>
      </c>
      <c r="H57" s="30">
        <v>121.7677</v>
      </c>
      <c r="I57" s="30">
        <v>24.081700000000001</v>
      </c>
      <c r="J57" s="30">
        <v>121.5915</v>
      </c>
      <c r="K57" s="30">
        <v>15.8</v>
      </c>
      <c r="L57" s="22">
        <v>69.2</v>
      </c>
      <c r="M57" s="22">
        <f t="shared" si="0"/>
        <v>67.281130874460629</v>
      </c>
      <c r="N57" s="22">
        <f t="shared" si="1"/>
        <v>69.111435897008391</v>
      </c>
      <c r="O57" s="22">
        <f t="shared" si="2"/>
        <v>8.8564102991611549E-2</v>
      </c>
      <c r="P57" s="22">
        <f t="shared" si="3"/>
        <v>0.128146813681591</v>
      </c>
      <c r="Q57" s="22">
        <f t="shared" si="4"/>
        <v>3.4555717948504197</v>
      </c>
      <c r="R57" s="29" t="str">
        <f t="shared" si="5"/>
        <v>Within screening tolerance</v>
      </c>
      <c r="S57" s="29" t="str">
        <f t="shared" si="6"/>
        <v/>
      </c>
      <c r="T57" s="22">
        <v>59.1</v>
      </c>
      <c r="U57" s="29" t="s">
        <v>4573</v>
      </c>
      <c r="V57" s="29" t="str">
        <f t="shared" si="7"/>
        <v>No geometric exceedance</v>
      </c>
      <c r="W57" s="30">
        <v>24.081700000000001</v>
      </c>
      <c r="X57" s="30">
        <v>121.5915</v>
      </c>
      <c r="Y57" s="30">
        <v>15.8</v>
      </c>
      <c r="Z57" s="30">
        <v>69.111435897008477</v>
      </c>
      <c r="AA57" s="29" t="s">
        <v>167</v>
      </c>
      <c r="AB57" s="29" t="s">
        <v>4574</v>
      </c>
      <c r="AC57" s="39"/>
      <c r="AD57" s="39"/>
    </row>
    <row r="58" spans="1:30" ht="58" customHeight="1">
      <c r="A58" s="1" t="s">
        <v>1262</v>
      </c>
      <c r="B58" s="1">
        <v>58</v>
      </c>
      <c r="C58" s="1" t="s">
        <v>3209</v>
      </c>
      <c r="D58" s="29" t="s">
        <v>373</v>
      </c>
      <c r="E58" s="29" t="s">
        <v>374</v>
      </c>
      <c r="F58" s="1" t="s">
        <v>796</v>
      </c>
      <c r="G58" s="30">
        <v>24.670300000000001</v>
      </c>
      <c r="H58" s="30">
        <v>121.75530000000001</v>
      </c>
      <c r="I58" s="30">
        <v>24.081700000000001</v>
      </c>
      <c r="J58" s="30">
        <v>121.5915</v>
      </c>
      <c r="K58" s="30">
        <v>15.8</v>
      </c>
      <c r="L58" s="22">
        <v>69.400000000000006</v>
      </c>
      <c r="M58" s="22">
        <f t="shared" si="0"/>
        <v>67.519201922047671</v>
      </c>
      <c r="N58" s="22">
        <f t="shared" si="1"/>
        <v>69.343223376118345</v>
      </c>
      <c r="O58" s="22">
        <f t="shared" si="2"/>
        <v>5.6776623881660271E-2</v>
      </c>
      <c r="P58" s="22">
        <f t="shared" si="3"/>
        <v>8.1877681938295963E-2</v>
      </c>
      <c r="Q58" s="22">
        <f t="shared" si="4"/>
        <v>3.4671611688059176</v>
      </c>
      <c r="R58" s="29" t="str">
        <f t="shared" si="5"/>
        <v>Within screening tolerance</v>
      </c>
      <c r="S58" s="29" t="str">
        <f t="shared" si="6"/>
        <v/>
      </c>
      <c r="T58" s="22">
        <v>59.4</v>
      </c>
      <c r="U58" s="29" t="s">
        <v>4573</v>
      </c>
      <c r="V58" s="29" t="str">
        <f t="shared" si="7"/>
        <v>No geometric exceedance</v>
      </c>
      <c r="W58" s="30">
        <v>24.081700000000001</v>
      </c>
      <c r="X58" s="30">
        <v>121.5915</v>
      </c>
      <c r="Y58" s="30">
        <v>15.8</v>
      </c>
      <c r="Z58" s="30">
        <v>69.343223376118388</v>
      </c>
      <c r="AA58" s="29" t="s">
        <v>167</v>
      </c>
      <c r="AB58" s="29" t="s">
        <v>4574</v>
      </c>
      <c r="AC58" s="39"/>
      <c r="AD58" s="39"/>
    </row>
    <row r="59" spans="1:30" ht="58" customHeight="1">
      <c r="A59" s="1" t="s">
        <v>1262</v>
      </c>
      <c r="B59" s="1">
        <v>59</v>
      </c>
      <c r="C59" s="1" t="s">
        <v>3211</v>
      </c>
      <c r="D59" s="29" t="s">
        <v>373</v>
      </c>
      <c r="E59" s="29" t="s">
        <v>374</v>
      </c>
      <c r="F59" s="1" t="s">
        <v>797</v>
      </c>
      <c r="G59" s="30">
        <v>24.675000000000001</v>
      </c>
      <c r="H59" s="30">
        <v>121.75579999999999</v>
      </c>
      <c r="I59" s="30">
        <v>24.081700000000001</v>
      </c>
      <c r="J59" s="30">
        <v>121.5915</v>
      </c>
      <c r="K59" s="30">
        <v>15.8</v>
      </c>
      <c r="L59" s="22">
        <v>69.900000000000006</v>
      </c>
      <c r="M59" s="22">
        <f t="shared" si="0"/>
        <v>68.038209755538048</v>
      </c>
      <c r="N59" s="22">
        <f t="shared" si="1"/>
        <v>69.848679205397957</v>
      </c>
      <c r="O59" s="22">
        <f t="shared" si="2"/>
        <v>5.1320794602048636E-2</v>
      </c>
      <c r="P59" s="22">
        <f t="shared" si="3"/>
        <v>7.347425203436421E-2</v>
      </c>
      <c r="Q59" s="22">
        <f t="shared" si="4"/>
        <v>3.4924339602698979</v>
      </c>
      <c r="R59" s="29" t="str">
        <f t="shared" si="5"/>
        <v>Within screening tolerance</v>
      </c>
      <c r="S59" s="29" t="str">
        <f t="shared" si="6"/>
        <v/>
      </c>
      <c r="T59" s="22">
        <v>59.9</v>
      </c>
      <c r="U59" s="29" t="s">
        <v>4573</v>
      </c>
      <c r="V59" s="29" t="str">
        <f t="shared" si="7"/>
        <v>No geometric exceedance</v>
      </c>
      <c r="W59" s="30">
        <v>24.081700000000001</v>
      </c>
      <c r="X59" s="30">
        <v>121.5915</v>
      </c>
      <c r="Y59" s="30">
        <v>15.8</v>
      </c>
      <c r="Z59" s="30">
        <v>69.848679205398028</v>
      </c>
      <c r="AA59" s="29" t="s">
        <v>167</v>
      </c>
      <c r="AB59" s="29" t="s">
        <v>4574</v>
      </c>
      <c r="AC59" s="39"/>
      <c r="AD59" s="39"/>
    </row>
    <row r="60" spans="1:30" ht="58" customHeight="1">
      <c r="A60" s="1" t="s">
        <v>1262</v>
      </c>
      <c r="B60" s="1">
        <v>60</v>
      </c>
      <c r="C60" s="1" t="s">
        <v>3213</v>
      </c>
      <c r="D60" s="29" t="s">
        <v>373</v>
      </c>
      <c r="E60" s="29" t="s">
        <v>374</v>
      </c>
      <c r="F60" s="1" t="s">
        <v>798</v>
      </c>
      <c r="G60" s="30">
        <v>24.682400000000001</v>
      </c>
      <c r="H60" s="30">
        <v>121.7619</v>
      </c>
      <c r="I60" s="30">
        <v>24.081700000000001</v>
      </c>
      <c r="J60" s="30">
        <v>121.5915</v>
      </c>
      <c r="K60" s="30">
        <v>15.8</v>
      </c>
      <c r="L60" s="22">
        <v>70.8</v>
      </c>
      <c r="M60" s="22">
        <f t="shared" si="0"/>
        <v>68.988182133037938</v>
      </c>
      <c r="N60" s="22">
        <f t="shared" si="1"/>
        <v>70.774354635144604</v>
      </c>
      <c r="O60" s="22">
        <f t="shared" si="2"/>
        <v>2.5645364855392927E-2</v>
      </c>
      <c r="P60" s="22">
        <f t="shared" si="3"/>
        <v>3.6235392025260715E-2</v>
      </c>
      <c r="Q60" s="22">
        <f t="shared" si="4"/>
        <v>3.5387177317572305</v>
      </c>
      <c r="R60" s="29" t="str">
        <f t="shared" si="5"/>
        <v>Within screening tolerance</v>
      </c>
      <c r="S60" s="29" t="str">
        <f t="shared" si="6"/>
        <v/>
      </c>
      <c r="T60" s="22">
        <v>60.8</v>
      </c>
      <c r="U60" s="29" t="s">
        <v>4573</v>
      </c>
      <c r="V60" s="29" t="str">
        <f t="shared" si="7"/>
        <v>No geometric exceedance</v>
      </c>
      <c r="W60" s="30">
        <v>24.081700000000001</v>
      </c>
      <c r="X60" s="30">
        <v>121.5915</v>
      </c>
      <c r="Y60" s="30">
        <v>15.8</v>
      </c>
      <c r="Z60" s="30">
        <v>70.774354635144803</v>
      </c>
      <c r="AA60" s="29" t="s">
        <v>167</v>
      </c>
      <c r="AB60" s="29" t="s">
        <v>4574</v>
      </c>
      <c r="AC60" s="39"/>
      <c r="AD60" s="39"/>
    </row>
    <row r="61" spans="1:30" ht="58" customHeight="1">
      <c r="A61" s="1" t="s">
        <v>1262</v>
      </c>
      <c r="B61" s="1">
        <v>61</v>
      </c>
      <c r="C61" s="1" t="s">
        <v>3215</v>
      </c>
      <c r="D61" s="29" t="s">
        <v>373</v>
      </c>
      <c r="E61" s="29" t="s">
        <v>374</v>
      </c>
      <c r="F61" s="1" t="s">
        <v>799</v>
      </c>
      <c r="G61" s="30">
        <v>24.670300000000001</v>
      </c>
      <c r="H61" s="30">
        <v>121.78400000000001</v>
      </c>
      <c r="I61" s="30">
        <v>24.081700000000001</v>
      </c>
      <c r="J61" s="30">
        <v>121.5915</v>
      </c>
      <c r="K61" s="30">
        <v>15.8</v>
      </c>
      <c r="L61" s="22">
        <v>70.099999999999994</v>
      </c>
      <c r="M61" s="22">
        <f t="shared" si="0"/>
        <v>68.29157509025265</v>
      </c>
      <c r="N61" s="22">
        <f t="shared" si="1"/>
        <v>70.095500770788533</v>
      </c>
      <c r="O61" s="22">
        <f t="shared" si="2"/>
        <v>4.4992292114613974E-3</v>
      </c>
      <c r="P61" s="22">
        <f t="shared" si="3"/>
        <v>6.4187132725876716E-3</v>
      </c>
      <c r="Q61" s="22">
        <f t="shared" si="4"/>
        <v>3.5047750385394267</v>
      </c>
      <c r="R61" s="29" t="str">
        <f t="shared" si="5"/>
        <v>Within screening tolerance</v>
      </c>
      <c r="S61" s="29" t="str">
        <f t="shared" si="6"/>
        <v/>
      </c>
      <c r="T61" s="22">
        <v>60</v>
      </c>
      <c r="U61" s="29" t="s">
        <v>4573</v>
      </c>
      <c r="V61" s="29" t="str">
        <f t="shared" si="7"/>
        <v>No geometric exceedance</v>
      </c>
      <c r="W61" s="30">
        <v>24.081700000000001</v>
      </c>
      <c r="X61" s="30">
        <v>121.5915</v>
      </c>
      <c r="Y61" s="30">
        <v>15.8</v>
      </c>
      <c r="Z61" s="30">
        <v>70.09550077078859</v>
      </c>
      <c r="AA61" s="29" t="s">
        <v>167</v>
      </c>
      <c r="AB61" s="29" t="s">
        <v>4574</v>
      </c>
      <c r="AC61" s="39"/>
      <c r="AD61" s="39"/>
    </row>
    <row r="62" spans="1:30" ht="58" customHeight="1">
      <c r="A62" s="1" t="s">
        <v>1262</v>
      </c>
      <c r="B62" s="1">
        <v>62</v>
      </c>
      <c r="C62" s="1" t="s">
        <v>3217</v>
      </c>
      <c r="D62" s="29" t="s">
        <v>373</v>
      </c>
      <c r="E62" s="29" t="s">
        <v>374</v>
      </c>
      <c r="F62" s="1" t="s">
        <v>800</v>
      </c>
      <c r="G62" s="30">
        <v>24.661999999999999</v>
      </c>
      <c r="H62" s="30">
        <v>121.7799</v>
      </c>
      <c r="I62" s="30">
        <v>24.081700000000001</v>
      </c>
      <c r="J62" s="30">
        <v>121.5915</v>
      </c>
      <c r="K62" s="30">
        <v>15.8</v>
      </c>
      <c r="L62" s="22">
        <v>69.2</v>
      </c>
      <c r="M62" s="22">
        <f t="shared" si="0"/>
        <v>67.288828752579562</v>
      </c>
      <c r="N62" s="22">
        <f t="shared" si="1"/>
        <v>69.118929931632906</v>
      </c>
      <c r="O62" s="22">
        <f t="shared" si="2"/>
        <v>8.1070068367097292E-2</v>
      </c>
      <c r="P62" s="22">
        <f t="shared" si="3"/>
        <v>0.1172906878727514</v>
      </c>
      <c r="Q62" s="22">
        <f t="shared" si="4"/>
        <v>3.4559464965816455</v>
      </c>
      <c r="R62" s="29" t="str">
        <f t="shared" si="5"/>
        <v>Within screening tolerance</v>
      </c>
      <c r="S62" s="29" t="str">
        <f t="shared" si="6"/>
        <v/>
      </c>
      <c r="T62" s="22">
        <v>59</v>
      </c>
      <c r="U62" s="29" t="s">
        <v>4573</v>
      </c>
      <c r="V62" s="29" t="str">
        <f t="shared" si="7"/>
        <v>No geometric exceedance</v>
      </c>
      <c r="W62" s="30">
        <v>24.081700000000001</v>
      </c>
      <c r="X62" s="30">
        <v>121.5915</v>
      </c>
      <c r="Y62" s="30">
        <v>15.8</v>
      </c>
      <c r="Z62" s="30">
        <v>69.118929931633005</v>
      </c>
      <c r="AA62" s="29" t="s">
        <v>167</v>
      </c>
      <c r="AB62" s="29" t="s">
        <v>4574</v>
      </c>
      <c r="AC62" s="39"/>
      <c r="AD62" s="39"/>
    </row>
    <row r="63" spans="1:30" ht="58" customHeight="1">
      <c r="A63" s="1" t="s">
        <v>1262</v>
      </c>
      <c r="B63" s="1">
        <v>63</v>
      </c>
      <c r="C63" s="1" t="s">
        <v>3219</v>
      </c>
      <c r="D63" s="29" t="s">
        <v>373</v>
      </c>
      <c r="E63" s="29" t="s">
        <v>374</v>
      </c>
      <c r="F63" s="1" t="s">
        <v>801</v>
      </c>
      <c r="G63" s="30">
        <v>24.656500000000001</v>
      </c>
      <c r="H63" s="30">
        <v>121.77079999999999</v>
      </c>
      <c r="I63" s="30">
        <v>24.081700000000001</v>
      </c>
      <c r="J63" s="30">
        <v>121.5915</v>
      </c>
      <c r="K63" s="30">
        <v>15.8</v>
      </c>
      <c r="L63" s="22">
        <v>68.3</v>
      </c>
      <c r="M63" s="22">
        <f t="shared" si="0"/>
        <v>66.444890559191762</v>
      </c>
      <c r="N63" s="22">
        <f t="shared" si="1"/>
        <v>68.297609631838299</v>
      </c>
      <c r="O63" s="22">
        <f t="shared" si="2"/>
        <v>2.390368161698575E-3</v>
      </c>
      <c r="P63" s="22">
        <f t="shared" si="3"/>
        <v>3.499929462515562E-3</v>
      </c>
      <c r="Q63" s="22">
        <f t="shared" si="4"/>
        <v>3.4148804815919149</v>
      </c>
      <c r="R63" s="29" t="str">
        <f t="shared" si="5"/>
        <v>Within screening tolerance</v>
      </c>
      <c r="S63" s="29" t="str">
        <f t="shared" si="6"/>
        <v/>
      </c>
      <c r="T63" s="22">
        <v>58.2</v>
      </c>
      <c r="U63" s="29" t="s">
        <v>4573</v>
      </c>
      <c r="V63" s="29" t="str">
        <f t="shared" si="7"/>
        <v>No geometric exceedance</v>
      </c>
      <c r="W63" s="30">
        <v>24.081700000000001</v>
      </c>
      <c r="X63" s="30">
        <v>121.5915</v>
      </c>
      <c r="Y63" s="30">
        <v>15.8</v>
      </c>
      <c r="Z63" s="30">
        <v>68.297609631838355</v>
      </c>
      <c r="AA63" s="29" t="s">
        <v>167</v>
      </c>
      <c r="AB63" s="29" t="s">
        <v>4574</v>
      </c>
      <c r="AC63" s="39"/>
      <c r="AD63" s="39"/>
    </row>
    <row r="64" spans="1:30" ht="58" customHeight="1">
      <c r="A64" s="1" t="s">
        <v>1262</v>
      </c>
      <c r="B64" s="1">
        <v>64</v>
      </c>
      <c r="C64" s="1" t="s">
        <v>3221</v>
      </c>
      <c r="D64" s="29" t="s">
        <v>373</v>
      </c>
      <c r="E64" s="29" t="s">
        <v>374</v>
      </c>
      <c r="F64" s="1" t="s">
        <v>802</v>
      </c>
      <c r="G64" s="30">
        <v>24.659400000000002</v>
      </c>
      <c r="H64" s="30">
        <v>121.7518</v>
      </c>
      <c r="I64" s="30">
        <v>24.081700000000001</v>
      </c>
      <c r="J64" s="30">
        <v>121.5915</v>
      </c>
      <c r="K64" s="30">
        <v>15.8</v>
      </c>
      <c r="L64" s="22">
        <v>68.2</v>
      </c>
      <c r="M64" s="22">
        <f t="shared" si="0"/>
        <v>66.257421336147516</v>
      </c>
      <c r="N64" s="22">
        <f t="shared" si="1"/>
        <v>68.1152397200199</v>
      </c>
      <c r="O64" s="22">
        <f t="shared" si="2"/>
        <v>8.4760279980102382E-2</v>
      </c>
      <c r="P64" s="22">
        <f t="shared" si="3"/>
        <v>0.12443658765424605</v>
      </c>
      <c r="Q64" s="22">
        <f t="shared" si="4"/>
        <v>3.4057619860009951</v>
      </c>
      <c r="R64" s="29" t="str">
        <f t="shared" si="5"/>
        <v>Within screening tolerance</v>
      </c>
      <c r="S64" s="29" t="str">
        <f t="shared" si="6"/>
        <v/>
      </c>
      <c r="T64" s="22">
        <v>58.1</v>
      </c>
      <c r="U64" s="29" t="s">
        <v>4573</v>
      </c>
      <c r="V64" s="29" t="str">
        <f t="shared" si="7"/>
        <v>No geometric exceedance</v>
      </c>
      <c r="W64" s="30">
        <v>24.081700000000001</v>
      </c>
      <c r="X64" s="30">
        <v>121.5915</v>
      </c>
      <c r="Y64" s="30">
        <v>15.8</v>
      </c>
      <c r="Z64" s="30">
        <v>68.115239720019986</v>
      </c>
      <c r="AA64" s="29" t="s">
        <v>167</v>
      </c>
      <c r="AB64" s="29" t="s">
        <v>4574</v>
      </c>
      <c r="AC64" s="39"/>
      <c r="AD64" s="39"/>
    </row>
    <row r="65" spans="1:30" ht="58" customHeight="1">
      <c r="A65" s="1" t="s">
        <v>1262</v>
      </c>
      <c r="B65" s="1">
        <v>65</v>
      </c>
      <c r="C65" s="1" t="s">
        <v>3223</v>
      </c>
      <c r="D65" s="29" t="s">
        <v>373</v>
      </c>
      <c r="E65" s="29" t="s">
        <v>374</v>
      </c>
      <c r="F65" s="1" t="s">
        <v>803</v>
      </c>
      <c r="G65" s="30">
        <v>24.685600000000001</v>
      </c>
      <c r="H65" s="30">
        <v>121.75060000000001</v>
      </c>
      <c r="I65" s="30">
        <v>24.081700000000001</v>
      </c>
      <c r="J65" s="30">
        <v>121.5915</v>
      </c>
      <c r="K65" s="30">
        <v>15.8</v>
      </c>
      <c r="L65" s="22">
        <v>70.900000000000006</v>
      </c>
      <c r="M65" s="22">
        <f t="shared" si="0"/>
        <v>69.056738150944668</v>
      </c>
      <c r="N65" s="22">
        <f t="shared" si="1"/>
        <v>70.841182119217464</v>
      </c>
      <c r="O65" s="22">
        <f t="shared" si="2"/>
        <v>5.8817880782541465E-2</v>
      </c>
      <c r="P65" s="22">
        <f t="shared" si="3"/>
        <v>8.3027808151983989E-2</v>
      </c>
      <c r="Q65" s="22">
        <f t="shared" si="4"/>
        <v>3.5420591059608735</v>
      </c>
      <c r="R65" s="29" t="str">
        <f t="shared" si="5"/>
        <v>Within screening tolerance</v>
      </c>
      <c r="S65" s="29" t="str">
        <f t="shared" si="6"/>
        <v/>
      </c>
      <c r="T65" s="22">
        <v>60.9</v>
      </c>
      <c r="U65" s="29" t="s">
        <v>4573</v>
      </c>
      <c r="V65" s="29" t="str">
        <f t="shared" si="7"/>
        <v>No geometric exceedance</v>
      </c>
      <c r="W65" s="30">
        <v>24.081700000000001</v>
      </c>
      <c r="X65" s="30">
        <v>121.5915</v>
      </c>
      <c r="Y65" s="30">
        <v>15.8</v>
      </c>
      <c r="Z65" s="30">
        <v>70.841182119217407</v>
      </c>
      <c r="AA65" s="29" t="s">
        <v>167</v>
      </c>
      <c r="AB65" s="29" t="s">
        <v>4574</v>
      </c>
      <c r="AC65" s="39"/>
      <c r="AD65" s="39"/>
    </row>
    <row r="66" spans="1:30" ht="58" customHeight="1">
      <c r="A66" s="1" t="s">
        <v>1262</v>
      </c>
      <c r="B66" s="1">
        <v>66</v>
      </c>
      <c r="C66" s="1" t="s">
        <v>3225</v>
      </c>
      <c r="D66" s="29" t="s">
        <v>366</v>
      </c>
      <c r="E66" s="29" t="s">
        <v>804</v>
      </c>
      <c r="F66" s="1" t="s">
        <v>805</v>
      </c>
      <c r="G66" s="30">
        <v>13.7</v>
      </c>
      <c r="H66" s="30">
        <v>-89.174999999999997</v>
      </c>
      <c r="I66" s="30">
        <v>13.632999999999999</v>
      </c>
      <c r="J66" s="30">
        <v>-89.2</v>
      </c>
      <c r="K66" s="30">
        <v>10.9</v>
      </c>
      <c r="L66" s="22">
        <v>13.5</v>
      </c>
      <c r="M66" s="22">
        <f t="shared" ref="M66:M129" si="8">IF(OR(G66="",H66="",I66="",J66="",K66=""),"",12742*ASIN(SQRT(MIN(1,SIN(RADIANS(I66-G66)/2)^2+COS(RADIANS(I66))*COS(RADIANS(G66))*SIN(RADIANS(J66-H66)/2)^2))))</f>
        <v>7.9246262898910089</v>
      </c>
      <c r="N66" s="22">
        <f t="shared" ref="N66:N129" si="9">IF(M66="","",SQRT(M66^2+K66^2))</f>
        <v>13.476264387226593</v>
      </c>
      <c r="O66" s="22">
        <f t="shared" ref="O66:O129" si="10">IF(OR(L66="",N66=""),"",L66-N66)</f>
        <v>2.3735612773407411E-2</v>
      </c>
      <c r="P66" s="22">
        <f t="shared" ref="P66:P129" si="11">IF(OR(L66="",N66="",N66=0),"",100*O66/N66)</f>
        <v>0.17612902278694598</v>
      </c>
      <c r="Q66" s="22">
        <f t="shared" ref="Q66:Q129" si="12">IF(N66="","",MAX(1,0.05*N66))</f>
        <v>1</v>
      </c>
      <c r="R66" s="29" t="str">
        <f t="shared" ref="R66:R129" si="13">IF(N66="","Missing station coordinates",IF(L66="","No original Rhyp to compare",IF(ABS(O66)&gt;Q66,"Review: Rhyp mismatch","Within screening tolerance")))</f>
        <v>Within screening tolerance</v>
      </c>
      <c r="S66" s="29" t="str">
        <f t="shared" ref="S66:S129" si="14">IF(L66="","",IF(L66&lt;K66-1,"Rhyp below depth by &gt;1 km",IF(L66&lt;K66,"Rhyp below depth by &lt;=1 km","")))</f>
        <v/>
      </c>
      <c r="T66" s="22">
        <v>6.3</v>
      </c>
      <c r="U66" s="29" t="s">
        <v>4573</v>
      </c>
      <c r="V66" s="29" t="str">
        <f t="shared" ref="V66:V129" si="15">IF(T66="","Missing Rrup/closest distance",IF(N66="","Cannot check without coordinates",IF(T66&gt;N66+1,"Review: distance &gt; recalculated Rhyp +1 km","No geometric exceedance")))</f>
        <v>No geometric exceedance</v>
      </c>
      <c r="W66" s="30">
        <v>13.632999999999999</v>
      </c>
      <c r="X66" s="30">
        <v>-89.2</v>
      </c>
      <c r="Y66" s="30">
        <v>10.9</v>
      </c>
      <c r="Z66" s="30">
        <v>13.4762643872266</v>
      </c>
      <c r="AA66" s="29" t="s">
        <v>167</v>
      </c>
      <c r="AB66" s="29" t="s">
        <v>4574</v>
      </c>
      <c r="AC66" s="39"/>
      <c r="AD66" s="39"/>
    </row>
    <row r="67" spans="1:30" ht="58" customHeight="1">
      <c r="A67" s="1" t="s">
        <v>1262</v>
      </c>
      <c r="B67" s="1">
        <v>67</v>
      </c>
      <c r="C67" s="1" t="s">
        <v>3227</v>
      </c>
      <c r="D67" s="29" t="s">
        <v>366</v>
      </c>
      <c r="E67" s="29" t="s">
        <v>804</v>
      </c>
      <c r="F67" s="1" t="s">
        <v>806</v>
      </c>
      <c r="G67" s="30">
        <v>13.714</v>
      </c>
      <c r="H67" s="30">
        <v>-89.171000000000006</v>
      </c>
      <c r="I67" s="30">
        <v>13.632999999999999</v>
      </c>
      <c r="J67" s="30">
        <v>-89.2</v>
      </c>
      <c r="K67" s="30">
        <v>10.9</v>
      </c>
      <c r="L67" s="22">
        <v>14.5</v>
      </c>
      <c r="M67" s="22">
        <f t="shared" si="8"/>
        <v>9.5362243670949276</v>
      </c>
      <c r="N67" s="22">
        <f t="shared" si="9"/>
        <v>14.482733691522988</v>
      </c>
      <c r="O67" s="22">
        <f t="shared" si="10"/>
        <v>1.726630847701216E-2</v>
      </c>
      <c r="P67" s="22">
        <f t="shared" si="11"/>
        <v>0.119219954221201</v>
      </c>
      <c r="Q67" s="22">
        <f t="shared" si="12"/>
        <v>1</v>
      </c>
      <c r="R67" s="29" t="str">
        <f t="shared" si="13"/>
        <v>Within screening tolerance</v>
      </c>
      <c r="S67" s="29" t="str">
        <f t="shared" si="14"/>
        <v/>
      </c>
      <c r="T67" s="22">
        <v>7</v>
      </c>
      <c r="U67" s="29" t="s">
        <v>4573</v>
      </c>
      <c r="V67" s="29" t="str">
        <f t="shared" si="15"/>
        <v>No geometric exceedance</v>
      </c>
      <c r="W67" s="30">
        <v>13.632999999999999</v>
      </c>
      <c r="X67" s="30">
        <v>-89.2</v>
      </c>
      <c r="Y67" s="30">
        <v>10.9</v>
      </c>
      <c r="Z67" s="30">
        <v>14.482733691522924</v>
      </c>
      <c r="AA67" s="29" t="s">
        <v>167</v>
      </c>
      <c r="AB67" s="29" t="s">
        <v>4574</v>
      </c>
      <c r="AC67" s="39"/>
      <c r="AD67" s="39"/>
    </row>
    <row r="68" spans="1:30" ht="58" customHeight="1">
      <c r="A68" s="1" t="s">
        <v>1262</v>
      </c>
      <c r="B68" s="1">
        <v>68</v>
      </c>
      <c r="C68" s="1" t="s">
        <v>3229</v>
      </c>
      <c r="D68" s="29" t="s">
        <v>386</v>
      </c>
      <c r="E68" s="29" t="s">
        <v>387</v>
      </c>
      <c r="F68" s="1" t="s">
        <v>807</v>
      </c>
      <c r="G68" s="30">
        <v>33.965000000000003</v>
      </c>
      <c r="H68" s="30">
        <v>-118.158</v>
      </c>
      <c r="I68" s="30">
        <v>34.049300000000002</v>
      </c>
      <c r="J68" s="30">
        <v>-118.081</v>
      </c>
      <c r="K68" s="30">
        <v>14.6</v>
      </c>
      <c r="L68" s="22">
        <v>18.8</v>
      </c>
      <c r="M68" s="22">
        <f t="shared" si="8"/>
        <v>11.757686171567148</v>
      </c>
      <c r="N68" s="22">
        <f t="shared" si="9"/>
        <v>18.745751094823095</v>
      </c>
      <c r="O68" s="22">
        <f t="shared" si="10"/>
        <v>5.4248905176905282E-2</v>
      </c>
      <c r="P68" s="22">
        <f t="shared" si="11"/>
        <v>0.28939307314224866</v>
      </c>
      <c r="Q68" s="22">
        <f t="shared" si="12"/>
        <v>1</v>
      </c>
      <c r="R68" s="29" t="str">
        <f t="shared" si="13"/>
        <v>Within screening tolerance</v>
      </c>
      <c r="S68" s="29" t="str">
        <f t="shared" si="14"/>
        <v/>
      </c>
      <c r="T68" s="22">
        <v>17.8</v>
      </c>
      <c r="U68" s="29" t="s">
        <v>4573</v>
      </c>
      <c r="V68" s="29" t="str">
        <f t="shared" si="15"/>
        <v>No geometric exceedance</v>
      </c>
      <c r="W68" s="30">
        <v>34.049300000000002</v>
      </c>
      <c r="X68" s="30">
        <v>-118.081</v>
      </c>
      <c r="Y68" s="30">
        <v>14.6</v>
      </c>
      <c r="Z68" s="30">
        <v>18.745751094823177</v>
      </c>
      <c r="AA68" s="29" t="s">
        <v>167</v>
      </c>
      <c r="AB68" s="29" t="s">
        <v>4574</v>
      </c>
      <c r="AC68" s="39"/>
      <c r="AD68" s="39"/>
    </row>
    <row r="69" spans="1:30" ht="58" customHeight="1">
      <c r="A69" s="1" t="s">
        <v>1262</v>
      </c>
      <c r="B69" s="1">
        <v>69</v>
      </c>
      <c r="C69" s="1" t="s">
        <v>3231</v>
      </c>
      <c r="D69" s="29" t="s">
        <v>386</v>
      </c>
      <c r="E69" s="29" t="s">
        <v>387</v>
      </c>
      <c r="F69" s="1" t="s">
        <v>808</v>
      </c>
      <c r="G69" s="30">
        <v>33.899000000000001</v>
      </c>
      <c r="H69" s="30">
        <v>-118.196</v>
      </c>
      <c r="I69" s="30">
        <v>34.049300000000002</v>
      </c>
      <c r="J69" s="30">
        <v>-118.081</v>
      </c>
      <c r="K69" s="30">
        <v>14.6</v>
      </c>
      <c r="L69" s="22">
        <v>24.6</v>
      </c>
      <c r="M69" s="22">
        <f t="shared" si="8"/>
        <v>19.793069890790449</v>
      </c>
      <c r="N69" s="22">
        <f t="shared" si="9"/>
        <v>24.595235630132017</v>
      </c>
      <c r="O69" s="22">
        <f t="shared" si="10"/>
        <v>4.7643698679848967E-3</v>
      </c>
      <c r="P69" s="22">
        <f t="shared" si="11"/>
        <v>1.937110885877422E-2</v>
      </c>
      <c r="Q69" s="22">
        <f t="shared" si="12"/>
        <v>1.2297617815066009</v>
      </c>
      <c r="R69" s="29" t="str">
        <f t="shared" si="13"/>
        <v>Within screening tolerance</v>
      </c>
      <c r="S69" s="29" t="str">
        <f t="shared" si="14"/>
        <v/>
      </c>
      <c r="T69" s="22">
        <v>23.4</v>
      </c>
      <c r="U69" s="29" t="s">
        <v>4573</v>
      </c>
      <c r="V69" s="29" t="str">
        <f t="shared" si="15"/>
        <v>No geometric exceedance</v>
      </c>
      <c r="W69" s="30">
        <v>34.049300000000002</v>
      </c>
      <c r="X69" s="30">
        <v>-118.081</v>
      </c>
      <c r="Y69" s="30">
        <v>14.6</v>
      </c>
      <c r="Z69" s="30">
        <v>24.595235630132393</v>
      </c>
      <c r="AA69" s="29" t="s">
        <v>167</v>
      </c>
      <c r="AB69" s="29" t="s">
        <v>4574</v>
      </c>
      <c r="AC69" s="39"/>
      <c r="AD69" s="39"/>
    </row>
    <row r="70" spans="1:30" ht="58" customHeight="1">
      <c r="A70" s="1" t="s">
        <v>1262</v>
      </c>
      <c r="B70" s="1">
        <v>70</v>
      </c>
      <c r="C70" s="1" t="s">
        <v>3233</v>
      </c>
      <c r="D70" s="29" t="s">
        <v>386</v>
      </c>
      <c r="E70" s="29" t="s">
        <v>387</v>
      </c>
      <c r="F70" s="1" t="s">
        <v>809</v>
      </c>
      <c r="G70" s="30">
        <v>33.92</v>
      </c>
      <c r="H70" s="30">
        <v>-118.137</v>
      </c>
      <c r="I70" s="30">
        <v>34.049300000000002</v>
      </c>
      <c r="J70" s="30">
        <v>-118.081</v>
      </c>
      <c r="K70" s="30">
        <v>14.6</v>
      </c>
      <c r="L70" s="22">
        <v>21.1</v>
      </c>
      <c r="M70" s="22">
        <f t="shared" si="8"/>
        <v>15.276519689505736</v>
      </c>
      <c r="N70" s="22">
        <f t="shared" si="9"/>
        <v>21.13130506674532</v>
      </c>
      <c r="O70" s="22">
        <f t="shared" si="10"/>
        <v>-3.13050667453183E-2</v>
      </c>
      <c r="P70" s="22">
        <f t="shared" si="11"/>
        <v>-0.148145448879935</v>
      </c>
      <c r="Q70" s="22">
        <f t="shared" si="12"/>
        <v>1.056565253337266</v>
      </c>
      <c r="R70" s="29" t="str">
        <f t="shared" si="13"/>
        <v>Within screening tolerance</v>
      </c>
      <c r="S70" s="29" t="str">
        <f t="shared" si="14"/>
        <v/>
      </c>
      <c r="T70" s="22">
        <v>20.8</v>
      </c>
      <c r="U70" s="29" t="s">
        <v>4573</v>
      </c>
      <c r="V70" s="29" t="str">
        <f t="shared" si="15"/>
        <v>No geometric exceedance</v>
      </c>
      <c r="W70" s="30">
        <v>34.049300000000002</v>
      </c>
      <c r="X70" s="30">
        <v>-118.081</v>
      </c>
      <c r="Y70" s="30">
        <v>14.6</v>
      </c>
      <c r="Z70" s="30">
        <v>21.131305066745565</v>
      </c>
      <c r="AA70" s="29" t="s">
        <v>167</v>
      </c>
      <c r="AB70" s="29" t="s">
        <v>4574</v>
      </c>
      <c r="AC70" s="39"/>
      <c r="AD70" s="39"/>
    </row>
    <row r="71" spans="1:30" ht="58" customHeight="1">
      <c r="A71" s="1" t="s">
        <v>1262</v>
      </c>
      <c r="B71" s="1">
        <v>71</v>
      </c>
      <c r="C71" s="1" t="s">
        <v>3235</v>
      </c>
      <c r="D71" s="29" t="s">
        <v>386</v>
      </c>
      <c r="E71" s="29" t="s">
        <v>387</v>
      </c>
      <c r="F71" s="1" t="s">
        <v>810</v>
      </c>
      <c r="G71" s="30">
        <v>33.923999999999999</v>
      </c>
      <c r="H71" s="30">
        <v>-118.167</v>
      </c>
      <c r="I71" s="30">
        <v>34.049300000000002</v>
      </c>
      <c r="J71" s="30">
        <v>-118.081</v>
      </c>
      <c r="K71" s="30">
        <v>14.6</v>
      </c>
      <c r="L71" s="22">
        <v>21.7</v>
      </c>
      <c r="M71" s="22">
        <f t="shared" si="8"/>
        <v>16.030968270672503</v>
      </c>
      <c r="N71" s="22">
        <f t="shared" si="9"/>
        <v>21.682987425521155</v>
      </c>
      <c r="O71" s="22">
        <f t="shared" si="10"/>
        <v>1.70125744788443E-2</v>
      </c>
      <c r="P71" s="22">
        <f t="shared" si="11"/>
        <v>7.8460472927361857E-2</v>
      </c>
      <c r="Q71" s="22">
        <f t="shared" si="12"/>
        <v>1.0841493712760577</v>
      </c>
      <c r="R71" s="29" t="str">
        <f t="shared" si="13"/>
        <v>Within screening tolerance</v>
      </c>
      <c r="S71" s="29" t="str">
        <f t="shared" si="14"/>
        <v/>
      </c>
      <c r="T71" s="22">
        <v>20.8</v>
      </c>
      <c r="U71" s="29" t="s">
        <v>4573</v>
      </c>
      <c r="V71" s="29" t="str">
        <f t="shared" si="15"/>
        <v>No geometric exceedance</v>
      </c>
      <c r="W71" s="30">
        <v>34.049300000000002</v>
      </c>
      <c r="X71" s="30">
        <v>-118.081</v>
      </c>
      <c r="Y71" s="30">
        <v>14.6</v>
      </c>
      <c r="Z71" s="30">
        <v>21.682987425521521</v>
      </c>
      <c r="AA71" s="29" t="s">
        <v>167</v>
      </c>
      <c r="AB71" s="29" t="s">
        <v>4574</v>
      </c>
      <c r="AC71" s="39"/>
      <c r="AD71" s="39"/>
    </row>
    <row r="72" spans="1:30" ht="58" customHeight="1">
      <c r="A72" s="1" t="s">
        <v>1262</v>
      </c>
      <c r="B72" s="1">
        <v>72</v>
      </c>
      <c r="C72" s="1" t="s">
        <v>3237</v>
      </c>
      <c r="D72" s="29" t="s">
        <v>386</v>
      </c>
      <c r="E72" s="29" t="s">
        <v>387</v>
      </c>
      <c r="F72" s="1" t="s">
        <v>811</v>
      </c>
      <c r="G72" s="30">
        <v>33.881</v>
      </c>
      <c r="H72" s="30">
        <v>-118.176</v>
      </c>
      <c r="I72" s="30">
        <v>34.049300000000002</v>
      </c>
      <c r="J72" s="30">
        <v>-118.081</v>
      </c>
      <c r="K72" s="30">
        <v>14.6</v>
      </c>
      <c r="L72" s="22">
        <v>25.3</v>
      </c>
      <c r="M72" s="22">
        <f t="shared" si="8"/>
        <v>20.663380392922615</v>
      </c>
      <c r="N72" s="22">
        <f t="shared" si="9"/>
        <v>25.300895028884231</v>
      </c>
      <c r="O72" s="22">
        <f t="shared" si="10"/>
        <v>-8.9502888422998694E-4</v>
      </c>
      <c r="P72" s="22">
        <f t="shared" si="11"/>
        <v>-3.5375384278231903E-3</v>
      </c>
      <c r="Q72" s="22">
        <f t="shared" si="12"/>
        <v>1.2650447514442116</v>
      </c>
      <c r="R72" s="29" t="str">
        <f t="shared" si="13"/>
        <v>Within screening tolerance</v>
      </c>
      <c r="S72" s="29" t="str">
        <f t="shared" si="14"/>
        <v/>
      </c>
      <c r="T72" s="22">
        <v>24.5</v>
      </c>
      <c r="U72" s="29" t="s">
        <v>4573</v>
      </c>
      <c r="V72" s="29" t="str">
        <f t="shared" si="15"/>
        <v>No geometric exceedance</v>
      </c>
      <c r="W72" s="30">
        <v>34.049300000000002</v>
      </c>
      <c r="X72" s="30">
        <v>-118.081</v>
      </c>
      <c r="Y72" s="30">
        <v>14.6</v>
      </c>
      <c r="Z72" s="30">
        <v>25.300895028884387</v>
      </c>
      <c r="AA72" s="29" t="s">
        <v>167</v>
      </c>
      <c r="AB72" s="29" t="s">
        <v>4574</v>
      </c>
      <c r="AC72" s="39"/>
      <c r="AD72" s="39"/>
    </row>
    <row r="73" spans="1:30" ht="58" customHeight="1">
      <c r="A73" s="1" t="s">
        <v>1262</v>
      </c>
      <c r="B73" s="1">
        <v>73</v>
      </c>
      <c r="C73" s="1" t="s">
        <v>3239</v>
      </c>
      <c r="D73" s="29" t="s">
        <v>386</v>
      </c>
      <c r="E73" s="29" t="s">
        <v>387</v>
      </c>
      <c r="F73" s="1" t="s">
        <v>812</v>
      </c>
      <c r="G73" s="30">
        <v>33.914999999999999</v>
      </c>
      <c r="H73" s="30">
        <v>-118.07</v>
      </c>
      <c r="I73" s="30">
        <v>34.049300000000002</v>
      </c>
      <c r="J73" s="30">
        <v>-118.081</v>
      </c>
      <c r="K73" s="30">
        <v>14.6</v>
      </c>
      <c r="L73" s="22">
        <v>20.9</v>
      </c>
      <c r="M73" s="22">
        <f t="shared" si="8"/>
        <v>14.967881527501305</v>
      </c>
      <c r="N73" s="22">
        <f t="shared" si="9"/>
        <v>20.909267739959589</v>
      </c>
      <c r="O73" s="22">
        <f t="shared" si="10"/>
        <v>-9.2677399595899601E-3</v>
      </c>
      <c r="P73" s="22">
        <f t="shared" si="11"/>
        <v>-4.4323598869406761E-2</v>
      </c>
      <c r="Q73" s="22">
        <f t="shared" si="12"/>
        <v>1.0454633869979795</v>
      </c>
      <c r="R73" s="29" t="str">
        <f t="shared" si="13"/>
        <v>Within screening tolerance</v>
      </c>
      <c r="S73" s="29" t="str">
        <f t="shared" si="14"/>
        <v/>
      </c>
      <c r="T73" s="22">
        <v>20.399999999999999</v>
      </c>
      <c r="U73" s="29" t="s">
        <v>4573</v>
      </c>
      <c r="V73" s="29" t="str">
        <f t="shared" si="15"/>
        <v>No geometric exceedance</v>
      </c>
      <c r="W73" s="30">
        <v>34.049300000000002</v>
      </c>
      <c r="X73" s="30">
        <v>-118.081</v>
      </c>
      <c r="Y73" s="30">
        <v>14.6</v>
      </c>
      <c r="Z73" s="30">
        <v>20.909267739959621</v>
      </c>
      <c r="AA73" s="29" t="s">
        <v>167</v>
      </c>
      <c r="AB73" s="29" t="s">
        <v>4574</v>
      </c>
      <c r="AC73" s="39"/>
      <c r="AD73" s="39"/>
    </row>
    <row r="74" spans="1:30" ht="58" customHeight="1">
      <c r="A74" s="1" t="s">
        <v>1262</v>
      </c>
      <c r="B74" s="1">
        <v>74</v>
      </c>
      <c r="C74" s="1" t="s">
        <v>3241</v>
      </c>
      <c r="D74" s="29" t="s">
        <v>386</v>
      </c>
      <c r="E74" s="29" t="s">
        <v>387</v>
      </c>
      <c r="F74" s="1" t="s">
        <v>813</v>
      </c>
      <c r="G74" s="30">
        <v>33.944000000000003</v>
      </c>
      <c r="H74" s="30">
        <v>-118.087</v>
      </c>
      <c r="I74" s="30">
        <v>34.049300000000002</v>
      </c>
      <c r="J74" s="30">
        <v>-118.081</v>
      </c>
      <c r="K74" s="30">
        <v>14.6</v>
      </c>
      <c r="L74" s="22">
        <v>18.7</v>
      </c>
      <c r="M74" s="22">
        <f t="shared" si="8"/>
        <v>11.721883557268582</v>
      </c>
      <c r="N74" s="22">
        <f t="shared" si="9"/>
        <v>18.723315788881081</v>
      </c>
      <c r="O74" s="22">
        <f t="shared" si="10"/>
        <v>-2.3315788881081545E-2</v>
      </c>
      <c r="P74" s="22">
        <f t="shared" si="11"/>
        <v>-0.12452809718099037</v>
      </c>
      <c r="Q74" s="22">
        <f t="shared" si="12"/>
        <v>1</v>
      </c>
      <c r="R74" s="29" t="str">
        <f t="shared" si="13"/>
        <v>Within screening tolerance</v>
      </c>
      <c r="S74" s="29" t="str">
        <f t="shared" si="14"/>
        <v/>
      </c>
      <c r="T74" s="22">
        <v>18.5</v>
      </c>
      <c r="U74" s="29" t="s">
        <v>4573</v>
      </c>
      <c r="V74" s="29" t="str">
        <f t="shared" si="15"/>
        <v>No geometric exceedance</v>
      </c>
      <c r="W74" s="30">
        <v>34.049300000000002</v>
      </c>
      <c r="X74" s="30">
        <v>-118.081</v>
      </c>
      <c r="Y74" s="30">
        <v>14.6</v>
      </c>
      <c r="Z74" s="30">
        <v>18.723315788881298</v>
      </c>
      <c r="AA74" s="29" t="s">
        <v>167</v>
      </c>
      <c r="AB74" s="29" t="s">
        <v>4574</v>
      </c>
      <c r="AC74" s="39"/>
      <c r="AD74" s="39"/>
    </row>
    <row r="75" spans="1:30" ht="58" customHeight="1">
      <c r="A75" s="1" t="s">
        <v>1262</v>
      </c>
      <c r="B75" s="1">
        <v>75</v>
      </c>
      <c r="C75" s="1" t="s">
        <v>3243</v>
      </c>
      <c r="D75" s="29" t="s">
        <v>379</v>
      </c>
      <c r="E75" s="29" t="s">
        <v>814</v>
      </c>
      <c r="F75" s="1" t="s">
        <v>815</v>
      </c>
      <c r="G75" s="30">
        <v>33.125</v>
      </c>
      <c r="H75" s="30">
        <v>-115.66500000000001</v>
      </c>
      <c r="I75" s="30">
        <v>33.022199999999998</v>
      </c>
      <c r="J75" s="30">
        <v>-115.8314</v>
      </c>
      <c r="K75" s="30">
        <v>9</v>
      </c>
      <c r="L75" s="22">
        <v>21.3</v>
      </c>
      <c r="M75" s="22">
        <f t="shared" si="8"/>
        <v>19.26300859846296</v>
      </c>
      <c r="N75" s="22">
        <f t="shared" si="9"/>
        <v>21.261784973620113</v>
      </c>
      <c r="O75" s="22">
        <f t="shared" si="10"/>
        <v>3.8215026379887718E-2</v>
      </c>
      <c r="P75" s="22">
        <f t="shared" si="11"/>
        <v>0.17973573915502297</v>
      </c>
      <c r="Q75" s="22">
        <f t="shared" si="12"/>
        <v>1.0630892486810057</v>
      </c>
      <c r="R75" s="29" t="str">
        <f t="shared" si="13"/>
        <v>Within screening tolerance</v>
      </c>
      <c r="S75" s="29" t="str">
        <f t="shared" si="14"/>
        <v/>
      </c>
      <c r="T75" s="22">
        <v>18.5</v>
      </c>
      <c r="U75" s="29" t="s">
        <v>4573</v>
      </c>
      <c r="V75" s="29" t="str">
        <f t="shared" si="15"/>
        <v>No geometric exceedance</v>
      </c>
      <c r="W75" s="30">
        <v>33.022199999999998</v>
      </c>
      <c r="X75" s="30">
        <v>-115.8314</v>
      </c>
      <c r="Y75" s="30">
        <v>9</v>
      </c>
      <c r="Z75" s="30">
        <v>21.261784973620173</v>
      </c>
      <c r="AA75" s="29" t="s">
        <v>167</v>
      </c>
      <c r="AB75" s="29" t="s">
        <v>4574</v>
      </c>
      <c r="AC75" s="39"/>
      <c r="AD75" s="39"/>
    </row>
    <row r="76" spans="1:30" ht="58" customHeight="1">
      <c r="A76" s="1" t="s">
        <v>1262</v>
      </c>
      <c r="B76" s="1">
        <v>76</v>
      </c>
      <c r="C76" s="1" t="s">
        <v>3245</v>
      </c>
      <c r="D76" s="29" t="s">
        <v>379</v>
      </c>
      <c r="E76" s="29" t="s">
        <v>814</v>
      </c>
      <c r="F76" s="1" t="s">
        <v>764</v>
      </c>
      <c r="G76" s="30">
        <v>32.929000000000002</v>
      </c>
      <c r="H76" s="30">
        <v>-115.70099999999999</v>
      </c>
      <c r="I76" s="30">
        <v>33.022199999999998</v>
      </c>
      <c r="J76" s="30">
        <v>-115.8314</v>
      </c>
      <c r="K76" s="30">
        <v>9</v>
      </c>
      <c r="L76" s="22">
        <v>18.399999999999999</v>
      </c>
      <c r="M76" s="22">
        <f t="shared" si="8"/>
        <v>15.980004724731435</v>
      </c>
      <c r="N76" s="22">
        <f t="shared" si="9"/>
        <v>18.340134977759543</v>
      </c>
      <c r="O76" s="22">
        <f t="shared" si="10"/>
        <v>5.986502224045509E-2</v>
      </c>
      <c r="P76" s="22">
        <f t="shared" si="11"/>
        <v>0.32641538523599395</v>
      </c>
      <c r="Q76" s="22">
        <f t="shared" si="12"/>
        <v>1</v>
      </c>
      <c r="R76" s="29" t="str">
        <f t="shared" si="13"/>
        <v>Within screening tolerance</v>
      </c>
      <c r="S76" s="29" t="str">
        <f t="shared" si="14"/>
        <v/>
      </c>
      <c r="T76" s="22">
        <v>0.9</v>
      </c>
      <c r="U76" s="29" t="s">
        <v>4573</v>
      </c>
      <c r="V76" s="29" t="str">
        <f t="shared" si="15"/>
        <v>No geometric exceedance</v>
      </c>
      <c r="W76" s="30">
        <v>33.022199999999998</v>
      </c>
      <c r="X76" s="30">
        <v>-115.8314</v>
      </c>
      <c r="Y76" s="30">
        <v>9</v>
      </c>
      <c r="Z76" s="30">
        <v>18.340134977759476</v>
      </c>
      <c r="AA76" s="29" t="s">
        <v>167</v>
      </c>
      <c r="AB76" s="29" t="s">
        <v>4574</v>
      </c>
      <c r="AC76" s="39"/>
      <c r="AD76" s="39"/>
    </row>
    <row r="77" spans="1:30" ht="58" customHeight="1">
      <c r="A77" s="1" t="s">
        <v>1262</v>
      </c>
      <c r="B77" s="1">
        <v>77</v>
      </c>
      <c r="C77" s="1" t="s">
        <v>3248</v>
      </c>
      <c r="D77" s="29" t="s">
        <v>379</v>
      </c>
      <c r="E77" s="29" t="s">
        <v>814</v>
      </c>
      <c r="F77" s="1" t="s">
        <v>816</v>
      </c>
      <c r="G77" s="30">
        <v>33.097000000000001</v>
      </c>
      <c r="H77" s="30">
        <v>-115.751</v>
      </c>
      <c r="I77" s="30">
        <v>33.022199999999998</v>
      </c>
      <c r="J77" s="30">
        <v>-115.8314</v>
      </c>
      <c r="K77" s="30">
        <v>9</v>
      </c>
      <c r="L77" s="22">
        <v>14.4</v>
      </c>
      <c r="M77" s="22">
        <f t="shared" si="8"/>
        <v>11.194616848305966</v>
      </c>
      <c r="N77" s="22">
        <f t="shared" si="9"/>
        <v>14.36382422547616</v>
      </c>
      <c r="O77" s="22">
        <f t="shared" si="10"/>
        <v>3.6175774523840687E-2</v>
      </c>
      <c r="P77" s="22">
        <f t="shared" si="11"/>
        <v>0.25185336409003195</v>
      </c>
      <c r="Q77" s="22">
        <f t="shared" si="12"/>
        <v>1</v>
      </c>
      <c r="R77" s="29" t="str">
        <f t="shared" si="13"/>
        <v>Within screening tolerance</v>
      </c>
      <c r="S77" s="29" t="str">
        <f t="shared" si="14"/>
        <v/>
      </c>
      <c r="T77" s="22">
        <v>11.2</v>
      </c>
      <c r="U77" s="29" t="s">
        <v>4573</v>
      </c>
      <c r="V77" s="29" t="str">
        <f t="shared" si="15"/>
        <v>No geometric exceedance</v>
      </c>
      <c r="W77" s="30">
        <v>33.022199999999998</v>
      </c>
      <c r="X77" s="30">
        <v>-115.8314</v>
      </c>
      <c r="Y77" s="30">
        <v>9</v>
      </c>
      <c r="Z77" s="30">
        <v>14.363824225476334</v>
      </c>
      <c r="AA77" s="29" t="s">
        <v>167</v>
      </c>
      <c r="AB77" s="29" t="s">
        <v>4574</v>
      </c>
      <c r="AC77" s="39"/>
      <c r="AD77" s="39"/>
    </row>
    <row r="78" spans="1:30" ht="58" customHeight="1">
      <c r="A78" s="1" t="s">
        <v>1262</v>
      </c>
      <c r="B78" s="1">
        <v>78</v>
      </c>
      <c r="C78" s="1" t="s">
        <v>3250</v>
      </c>
      <c r="D78" s="29" t="s">
        <v>392</v>
      </c>
      <c r="E78" s="29" t="s">
        <v>817</v>
      </c>
      <c r="F78" s="1" t="s">
        <v>818</v>
      </c>
      <c r="G78" s="30">
        <v>37.784999999999997</v>
      </c>
      <c r="H78" s="30">
        <v>-122.303</v>
      </c>
      <c r="I78" s="30">
        <v>37.040700000000001</v>
      </c>
      <c r="J78" s="30">
        <v>-121.88290000000001</v>
      </c>
      <c r="K78" s="30">
        <v>17.48</v>
      </c>
      <c r="L78" s="22">
        <v>92.4</v>
      </c>
      <c r="M78" s="22">
        <f t="shared" si="8"/>
        <v>90.698389545287355</v>
      </c>
      <c r="N78" s="22">
        <f t="shared" si="9"/>
        <v>92.367463243875491</v>
      </c>
      <c r="O78" s="22">
        <f t="shared" si="10"/>
        <v>3.2536756124514454E-2</v>
      </c>
      <c r="P78" s="22">
        <f t="shared" si="11"/>
        <v>3.522534340756818E-2</v>
      </c>
      <c r="Q78" s="22">
        <f t="shared" si="12"/>
        <v>4.6183731621937749</v>
      </c>
      <c r="R78" s="29" t="str">
        <f t="shared" si="13"/>
        <v>Within screening tolerance</v>
      </c>
      <c r="S78" s="29" t="str">
        <f t="shared" si="14"/>
        <v/>
      </c>
      <c r="T78" s="22">
        <v>71</v>
      </c>
      <c r="U78" s="29" t="s">
        <v>4573</v>
      </c>
      <c r="V78" s="29" t="str">
        <f t="shared" si="15"/>
        <v>No geometric exceedance</v>
      </c>
      <c r="W78" s="30">
        <v>37.040700000000001</v>
      </c>
      <c r="X78" s="30">
        <v>-121.88290000000001</v>
      </c>
      <c r="Y78" s="30">
        <v>17.48</v>
      </c>
      <c r="Z78" s="30">
        <v>92.36746324387569</v>
      </c>
      <c r="AA78" s="29" t="s">
        <v>167</v>
      </c>
      <c r="AB78" s="29" t="s">
        <v>4574</v>
      </c>
      <c r="AC78" s="39"/>
      <c r="AD78" s="39"/>
    </row>
    <row r="79" spans="1:30" ht="58" customHeight="1">
      <c r="A79" s="1" t="s">
        <v>1262</v>
      </c>
      <c r="B79" s="1">
        <v>79</v>
      </c>
      <c r="C79" s="1" t="s">
        <v>3252</v>
      </c>
      <c r="D79" s="29" t="s">
        <v>392</v>
      </c>
      <c r="E79" s="29" t="s">
        <v>817</v>
      </c>
      <c r="F79" s="1" t="s">
        <v>819</v>
      </c>
      <c r="G79" s="30">
        <v>37.844000000000001</v>
      </c>
      <c r="H79" s="30">
        <v>-122.295</v>
      </c>
      <c r="I79" s="30">
        <v>37.040700000000001</v>
      </c>
      <c r="J79" s="30">
        <v>-121.88290000000001</v>
      </c>
      <c r="K79" s="30">
        <v>17.48</v>
      </c>
      <c r="L79" s="22">
        <v>98.1</v>
      </c>
      <c r="M79" s="22">
        <f t="shared" si="8"/>
        <v>96.44781867737403</v>
      </c>
      <c r="N79" s="22">
        <f t="shared" si="9"/>
        <v>98.019039617941672</v>
      </c>
      <c r="O79" s="22">
        <f t="shared" si="10"/>
        <v>8.0960382058322011E-2</v>
      </c>
      <c r="P79" s="22">
        <f t="shared" si="11"/>
        <v>8.2596587738350782E-2</v>
      </c>
      <c r="Q79" s="22">
        <f t="shared" si="12"/>
        <v>4.9009519808970836</v>
      </c>
      <c r="R79" s="29" t="str">
        <f t="shared" si="13"/>
        <v>Within screening tolerance</v>
      </c>
      <c r="S79" s="29" t="str">
        <f t="shared" si="14"/>
        <v/>
      </c>
      <c r="T79" s="22">
        <v>77</v>
      </c>
      <c r="U79" s="29" t="s">
        <v>4573</v>
      </c>
      <c r="V79" s="29" t="str">
        <f t="shared" si="15"/>
        <v>No geometric exceedance</v>
      </c>
      <c r="W79" s="30">
        <v>37.040700000000001</v>
      </c>
      <c r="X79" s="30">
        <v>-121.88290000000001</v>
      </c>
      <c r="Y79" s="30">
        <v>17.48</v>
      </c>
      <c r="Z79" s="30">
        <v>98.019039617941928</v>
      </c>
      <c r="AA79" s="29" t="s">
        <v>167</v>
      </c>
      <c r="AB79" s="29" t="s">
        <v>4574</v>
      </c>
      <c r="AC79" s="39"/>
      <c r="AD79" s="39"/>
    </row>
    <row r="80" spans="1:30" ht="58" customHeight="1">
      <c r="A80" s="1" t="s">
        <v>1262</v>
      </c>
      <c r="B80" s="1">
        <v>80</v>
      </c>
      <c r="C80" s="1" t="s">
        <v>3254</v>
      </c>
      <c r="D80" s="29" t="s">
        <v>392</v>
      </c>
      <c r="E80" s="29" t="s">
        <v>817</v>
      </c>
      <c r="F80" s="1" t="s">
        <v>820</v>
      </c>
      <c r="G80" s="30">
        <v>37.009</v>
      </c>
      <c r="H80" s="30">
        <v>-121.569</v>
      </c>
      <c r="I80" s="30">
        <v>37.040700000000001</v>
      </c>
      <c r="J80" s="30">
        <v>-121.88290000000001</v>
      </c>
      <c r="K80" s="30">
        <v>17.48</v>
      </c>
      <c r="L80" s="22">
        <v>33.1</v>
      </c>
      <c r="M80" s="22">
        <f t="shared" si="8"/>
        <v>28.088566017134085</v>
      </c>
      <c r="N80" s="22">
        <f t="shared" si="9"/>
        <v>33.08349952618223</v>
      </c>
      <c r="O80" s="22">
        <f t="shared" si="10"/>
        <v>1.6500473817771422E-2</v>
      </c>
      <c r="P80" s="22">
        <f t="shared" si="11"/>
        <v>4.9875237064062619E-2</v>
      </c>
      <c r="Q80" s="22">
        <f t="shared" si="12"/>
        <v>1.6541749763091116</v>
      </c>
      <c r="R80" s="29" t="str">
        <f t="shared" si="13"/>
        <v>Within screening tolerance</v>
      </c>
      <c r="S80" s="29" t="str">
        <f t="shared" si="14"/>
        <v/>
      </c>
      <c r="T80" s="22">
        <v>11</v>
      </c>
      <c r="U80" s="29" t="s">
        <v>4573</v>
      </c>
      <c r="V80" s="29" t="str">
        <f t="shared" si="15"/>
        <v>No geometric exceedance</v>
      </c>
      <c r="W80" s="30">
        <v>37.040700000000001</v>
      </c>
      <c r="X80" s="30">
        <v>-121.88290000000001</v>
      </c>
      <c r="Y80" s="30">
        <v>17.48</v>
      </c>
      <c r="Z80" s="30">
        <v>33.08349952618218</v>
      </c>
      <c r="AA80" s="29" t="s">
        <v>167</v>
      </c>
      <c r="AB80" s="29" t="s">
        <v>4574</v>
      </c>
      <c r="AC80" s="39"/>
      <c r="AD80" s="39"/>
    </row>
    <row r="81" spans="1:30" ht="58" customHeight="1">
      <c r="A81" s="1" t="s">
        <v>1262</v>
      </c>
      <c r="B81" s="1">
        <v>81</v>
      </c>
      <c r="C81" s="1" t="s">
        <v>3256</v>
      </c>
      <c r="D81" s="29" t="s">
        <v>392</v>
      </c>
      <c r="E81" s="29" t="s">
        <v>817</v>
      </c>
      <c r="F81" s="1" t="s">
        <v>741</v>
      </c>
      <c r="G81" s="30">
        <v>36.981999999999999</v>
      </c>
      <c r="H81" s="30">
        <v>-121.556</v>
      </c>
      <c r="I81" s="30">
        <v>37.040700000000001</v>
      </c>
      <c r="J81" s="30">
        <v>-121.88290000000001</v>
      </c>
      <c r="K81" s="30">
        <v>17.48</v>
      </c>
      <c r="L81" s="22">
        <v>34.5</v>
      </c>
      <c r="M81" s="22">
        <f t="shared" si="8"/>
        <v>29.750589260328038</v>
      </c>
      <c r="N81" s="22">
        <f t="shared" si="9"/>
        <v>34.505767073588522</v>
      </c>
      <c r="O81" s="22">
        <f t="shared" si="10"/>
        <v>-5.7670735885224644E-3</v>
      </c>
      <c r="P81" s="22">
        <f t="shared" si="11"/>
        <v>-1.6713361497581979E-2</v>
      </c>
      <c r="Q81" s="22">
        <f t="shared" si="12"/>
        <v>1.7252883536794261</v>
      </c>
      <c r="R81" s="29" t="str">
        <f t="shared" si="13"/>
        <v>Within screening tolerance</v>
      </c>
      <c r="S81" s="29" t="str">
        <f t="shared" si="14"/>
        <v/>
      </c>
      <c r="T81" s="22">
        <v>11.1</v>
      </c>
      <c r="U81" s="29" t="s">
        <v>4573</v>
      </c>
      <c r="V81" s="29" t="str">
        <f t="shared" si="15"/>
        <v>No geometric exceedance</v>
      </c>
      <c r="W81" s="30">
        <v>37.040700000000001</v>
      </c>
      <c r="X81" s="30">
        <v>-121.88290000000001</v>
      </c>
      <c r="Y81" s="30">
        <v>17.48</v>
      </c>
      <c r="Z81" s="30">
        <v>34.505767073588537</v>
      </c>
      <c r="AA81" s="29" t="s">
        <v>167</v>
      </c>
      <c r="AB81" s="29" t="s">
        <v>4574</v>
      </c>
      <c r="AC81" s="39"/>
      <c r="AD81" s="39"/>
    </row>
    <row r="82" spans="1:30" ht="58" customHeight="1">
      <c r="A82" s="1" t="s">
        <v>1262</v>
      </c>
      <c r="B82" s="1">
        <v>82</v>
      </c>
      <c r="C82" s="1" t="s">
        <v>3259</v>
      </c>
      <c r="D82" s="29" t="s">
        <v>392</v>
      </c>
      <c r="E82" s="29" t="s">
        <v>817</v>
      </c>
      <c r="F82" s="1" t="s">
        <v>742</v>
      </c>
      <c r="G82" s="30">
        <v>36.987000000000002</v>
      </c>
      <c r="H82" s="30">
        <v>-121.536</v>
      </c>
      <c r="I82" s="30">
        <v>37.040700000000001</v>
      </c>
      <c r="J82" s="30">
        <v>-121.88290000000001</v>
      </c>
      <c r="K82" s="30">
        <v>17.48</v>
      </c>
      <c r="L82" s="22">
        <v>35.9</v>
      </c>
      <c r="M82" s="22">
        <f t="shared" si="8"/>
        <v>31.374013837811667</v>
      </c>
      <c r="N82" s="22">
        <f t="shared" si="9"/>
        <v>35.914887502193267</v>
      </c>
      <c r="O82" s="22">
        <f t="shared" si="10"/>
        <v>-1.4887502193268176E-2</v>
      </c>
      <c r="P82" s="22">
        <f t="shared" si="11"/>
        <v>-4.1452175486722656E-2</v>
      </c>
      <c r="Q82" s="22">
        <f t="shared" si="12"/>
        <v>1.7957443751096633</v>
      </c>
      <c r="R82" s="29" t="str">
        <f t="shared" si="13"/>
        <v>Within screening tolerance</v>
      </c>
      <c r="S82" s="29" t="str">
        <f t="shared" si="14"/>
        <v/>
      </c>
      <c r="T82" s="22">
        <v>12.8</v>
      </c>
      <c r="U82" s="29" t="s">
        <v>4573</v>
      </c>
      <c r="V82" s="29" t="str">
        <f t="shared" si="15"/>
        <v>No geometric exceedance</v>
      </c>
      <c r="W82" s="30">
        <v>37.040700000000001</v>
      </c>
      <c r="X82" s="30">
        <v>-121.88290000000001</v>
      </c>
      <c r="Y82" s="30">
        <v>17.48</v>
      </c>
      <c r="Z82" s="30">
        <v>35.914887502193203</v>
      </c>
      <c r="AA82" s="29" t="s">
        <v>167</v>
      </c>
      <c r="AB82" s="29" t="s">
        <v>4574</v>
      </c>
      <c r="AC82" s="39"/>
      <c r="AD82" s="39"/>
    </row>
    <row r="83" spans="1:30" ht="58" customHeight="1">
      <c r="A83" s="1" t="s">
        <v>1262</v>
      </c>
      <c r="B83" s="1">
        <v>83</v>
      </c>
      <c r="C83" s="1" t="s">
        <v>3262</v>
      </c>
      <c r="D83" s="29" t="s">
        <v>392</v>
      </c>
      <c r="E83" s="29" t="s">
        <v>817</v>
      </c>
      <c r="F83" s="1" t="s">
        <v>821</v>
      </c>
      <c r="G83" s="30">
        <v>37.813000000000002</v>
      </c>
      <c r="H83" s="30">
        <v>-122.31399999999999</v>
      </c>
      <c r="I83" s="30">
        <v>37.040700000000001</v>
      </c>
      <c r="J83" s="30">
        <v>-121.88290000000001</v>
      </c>
      <c r="K83" s="30">
        <v>17.48</v>
      </c>
      <c r="L83" s="22">
        <v>95.6</v>
      </c>
      <c r="M83" s="22">
        <f t="shared" si="8"/>
        <v>93.934727423135655</v>
      </c>
      <c r="N83" s="22">
        <f t="shared" si="9"/>
        <v>95.547283666563715</v>
      </c>
      <c r="O83" s="22">
        <f t="shared" si="10"/>
        <v>5.2716333436279683E-2</v>
      </c>
      <c r="P83" s="22">
        <f t="shared" si="11"/>
        <v>5.5173032045836692E-2</v>
      </c>
      <c r="Q83" s="22">
        <f t="shared" si="12"/>
        <v>4.7773641833281859</v>
      </c>
      <c r="R83" s="29" t="str">
        <f t="shared" si="13"/>
        <v>Within screening tolerance</v>
      </c>
      <c r="S83" s="29" t="str">
        <f t="shared" si="14"/>
        <v/>
      </c>
      <c r="T83" s="22">
        <v>74.3</v>
      </c>
      <c r="U83" s="29" t="s">
        <v>4573</v>
      </c>
      <c r="V83" s="29" t="str">
        <f t="shared" si="15"/>
        <v>No geometric exceedance</v>
      </c>
      <c r="W83" s="30">
        <v>37.040700000000001</v>
      </c>
      <c r="X83" s="30">
        <v>-121.88290000000001</v>
      </c>
      <c r="Y83" s="30">
        <v>17.48</v>
      </c>
      <c r="Z83" s="30">
        <v>95.547283666563658</v>
      </c>
      <c r="AA83" s="29" t="s">
        <v>167</v>
      </c>
      <c r="AB83" s="29" t="s">
        <v>4574</v>
      </c>
      <c r="AC83" s="39"/>
      <c r="AD83" s="39"/>
    </row>
    <row r="84" spans="1:30" ht="58" customHeight="1">
      <c r="A84" s="1" t="s">
        <v>1262</v>
      </c>
      <c r="B84" s="1">
        <v>84</v>
      </c>
      <c r="C84" s="1" t="s">
        <v>3264</v>
      </c>
      <c r="D84" s="29" t="s">
        <v>392</v>
      </c>
      <c r="E84" s="29" t="s">
        <v>817</v>
      </c>
      <c r="F84" s="1" t="s">
        <v>822</v>
      </c>
      <c r="G84" s="30">
        <v>37.805999999999997</v>
      </c>
      <c r="H84" s="30">
        <v>-122.267</v>
      </c>
      <c r="I84" s="30">
        <v>37.040700000000001</v>
      </c>
      <c r="J84" s="30">
        <v>-121.88290000000001</v>
      </c>
      <c r="K84" s="30">
        <v>17.48</v>
      </c>
      <c r="L84" s="22">
        <v>93.3</v>
      </c>
      <c r="M84" s="22">
        <f t="shared" si="8"/>
        <v>91.607971066259083</v>
      </c>
      <c r="N84" s="22">
        <f t="shared" si="9"/>
        <v>93.260767543895767</v>
      </c>
      <c r="O84" s="22">
        <f t="shared" si="10"/>
        <v>3.9232456104230096E-2</v>
      </c>
      <c r="P84" s="22">
        <f t="shared" si="11"/>
        <v>4.2067481468844072E-2</v>
      </c>
      <c r="Q84" s="22">
        <f t="shared" si="12"/>
        <v>4.6630383771947885</v>
      </c>
      <c r="R84" s="29" t="str">
        <f t="shared" si="13"/>
        <v>Within screening tolerance</v>
      </c>
      <c r="S84" s="29" t="str">
        <f t="shared" si="14"/>
        <v/>
      </c>
      <c r="T84" s="22">
        <v>72.2</v>
      </c>
      <c r="U84" s="29" t="s">
        <v>4573</v>
      </c>
      <c r="V84" s="29" t="str">
        <f t="shared" si="15"/>
        <v>No geometric exceedance</v>
      </c>
      <c r="W84" s="30">
        <v>37.040700000000001</v>
      </c>
      <c r="X84" s="30">
        <v>-121.88290000000001</v>
      </c>
      <c r="Y84" s="30">
        <v>17.48</v>
      </c>
      <c r="Z84" s="30">
        <v>93.260767543896137</v>
      </c>
      <c r="AA84" s="29" t="s">
        <v>167</v>
      </c>
      <c r="AB84" s="29" t="s">
        <v>4574</v>
      </c>
      <c r="AC84" s="39"/>
      <c r="AD84" s="39"/>
    </row>
    <row r="85" spans="1:30" ht="58" customHeight="1">
      <c r="A85" s="1" t="s">
        <v>1262</v>
      </c>
      <c r="B85" s="1">
        <v>85</v>
      </c>
      <c r="C85" s="1" t="s">
        <v>3266</v>
      </c>
      <c r="D85" s="29" t="s">
        <v>392</v>
      </c>
      <c r="E85" s="29" t="s">
        <v>817</v>
      </c>
      <c r="F85" s="1" t="s">
        <v>823</v>
      </c>
      <c r="G85" s="30">
        <v>37.792000000000002</v>
      </c>
      <c r="H85" s="30">
        <v>-122.45699999999999</v>
      </c>
      <c r="I85" s="30">
        <v>37.040700000000001</v>
      </c>
      <c r="J85" s="30">
        <v>-121.88290000000001</v>
      </c>
      <c r="K85" s="30">
        <v>17.48</v>
      </c>
      <c r="L85" s="22">
        <v>99.3</v>
      </c>
      <c r="M85" s="22">
        <f t="shared" si="8"/>
        <v>97.722252017640784</v>
      </c>
      <c r="N85" s="22">
        <f t="shared" si="9"/>
        <v>99.273304263529468</v>
      </c>
      <c r="O85" s="22">
        <f t="shared" si="10"/>
        <v>2.6695736470529141E-2</v>
      </c>
      <c r="P85" s="22">
        <f t="shared" si="11"/>
        <v>2.6891153335304552E-2</v>
      </c>
      <c r="Q85" s="22">
        <f t="shared" si="12"/>
        <v>4.9636652131764736</v>
      </c>
      <c r="R85" s="29" t="str">
        <f t="shared" si="13"/>
        <v>Within screening tolerance</v>
      </c>
      <c r="S85" s="29" t="str">
        <f t="shared" si="14"/>
        <v/>
      </c>
      <c r="T85" s="22">
        <v>77.400000000000006</v>
      </c>
      <c r="U85" s="29" t="s">
        <v>4573</v>
      </c>
      <c r="V85" s="29" t="str">
        <f t="shared" si="15"/>
        <v>No geometric exceedance</v>
      </c>
      <c r="W85" s="30">
        <v>37.040700000000001</v>
      </c>
      <c r="X85" s="30">
        <v>-121.88290000000001</v>
      </c>
      <c r="Y85" s="30">
        <v>17.48</v>
      </c>
      <c r="Z85" s="30">
        <v>99.27330426352988</v>
      </c>
      <c r="AA85" s="29" t="s">
        <v>167</v>
      </c>
      <c r="AB85" s="29" t="s">
        <v>4574</v>
      </c>
      <c r="AC85" s="39"/>
      <c r="AD85" s="39"/>
    </row>
    <row r="86" spans="1:30" ht="58" customHeight="1">
      <c r="A86" s="1" t="s">
        <v>1262</v>
      </c>
      <c r="B86" s="1">
        <v>86</v>
      </c>
      <c r="C86" s="1" t="s">
        <v>3268</v>
      </c>
      <c r="D86" s="29" t="s">
        <v>392</v>
      </c>
      <c r="E86" s="29" t="s">
        <v>817</v>
      </c>
      <c r="F86" s="1" t="s">
        <v>824</v>
      </c>
      <c r="G86" s="30">
        <v>37.255000000000003</v>
      </c>
      <c r="H86" s="30">
        <v>-122.03100000000001</v>
      </c>
      <c r="I86" s="30">
        <v>37.040700000000001</v>
      </c>
      <c r="J86" s="30">
        <v>-121.88290000000001</v>
      </c>
      <c r="K86" s="30">
        <v>17.48</v>
      </c>
      <c r="L86" s="22">
        <v>32.4</v>
      </c>
      <c r="M86" s="22">
        <f t="shared" si="8"/>
        <v>27.205211402608327</v>
      </c>
      <c r="N86" s="22">
        <f t="shared" si="9"/>
        <v>32.336881845048239</v>
      </c>
      <c r="O86" s="22">
        <f t="shared" si="10"/>
        <v>6.3118154951759209E-2</v>
      </c>
      <c r="P86" s="22">
        <f t="shared" si="11"/>
        <v>0.19518936690992214</v>
      </c>
      <c r="Q86" s="22">
        <f t="shared" si="12"/>
        <v>1.6168440922524121</v>
      </c>
      <c r="R86" s="29" t="str">
        <f t="shared" si="13"/>
        <v>Within screening tolerance</v>
      </c>
      <c r="S86" s="29" t="str">
        <f t="shared" si="14"/>
        <v/>
      </c>
      <c r="T86" s="22">
        <v>8.5</v>
      </c>
      <c r="U86" s="29" t="s">
        <v>4573</v>
      </c>
      <c r="V86" s="29" t="str">
        <f t="shared" si="15"/>
        <v>No geometric exceedance</v>
      </c>
      <c r="W86" s="30">
        <v>37.040700000000001</v>
      </c>
      <c r="X86" s="30">
        <v>-121.88290000000001</v>
      </c>
      <c r="Y86" s="30">
        <v>17.48</v>
      </c>
      <c r="Z86" s="30">
        <v>32.336881845048524</v>
      </c>
      <c r="AA86" s="29" t="s">
        <v>167</v>
      </c>
      <c r="AB86" s="29" t="s">
        <v>4574</v>
      </c>
      <c r="AC86" s="39"/>
      <c r="AD86" s="39"/>
    </row>
    <row r="87" spans="1:30" ht="58" customHeight="1">
      <c r="A87" s="1" t="s">
        <v>1262</v>
      </c>
      <c r="B87" s="1">
        <v>87</v>
      </c>
      <c r="C87" s="1" t="s">
        <v>3270</v>
      </c>
      <c r="D87" s="29" t="s">
        <v>392</v>
      </c>
      <c r="E87" s="29" t="s">
        <v>817</v>
      </c>
      <c r="F87" s="1" t="s">
        <v>825</v>
      </c>
      <c r="G87" s="30">
        <v>37.262</v>
      </c>
      <c r="H87" s="30">
        <v>-122.009</v>
      </c>
      <c r="I87" s="30">
        <v>37.040700000000001</v>
      </c>
      <c r="J87" s="30">
        <v>-121.88290000000001</v>
      </c>
      <c r="K87" s="30">
        <v>17.48</v>
      </c>
      <c r="L87" s="22">
        <v>32.200000000000003</v>
      </c>
      <c r="M87" s="22">
        <f t="shared" si="8"/>
        <v>27.026392054378128</v>
      </c>
      <c r="N87" s="22">
        <f t="shared" si="9"/>
        <v>32.186585209943495</v>
      </c>
      <c r="O87" s="22">
        <f t="shared" si="10"/>
        <v>1.3414790056508252E-2</v>
      </c>
      <c r="P87" s="22">
        <f t="shared" si="11"/>
        <v>4.1678202173382417E-2</v>
      </c>
      <c r="Q87" s="22">
        <f t="shared" si="12"/>
        <v>1.6093292604971747</v>
      </c>
      <c r="R87" s="29" t="str">
        <f t="shared" si="13"/>
        <v>Within screening tolerance</v>
      </c>
      <c r="S87" s="29" t="str">
        <f t="shared" si="14"/>
        <v/>
      </c>
      <c r="T87" s="22">
        <v>9.3000000000000007</v>
      </c>
      <c r="U87" s="29" t="s">
        <v>4573</v>
      </c>
      <c r="V87" s="29" t="str">
        <f t="shared" si="15"/>
        <v>No geometric exceedance</v>
      </c>
      <c r="W87" s="30">
        <v>37.040700000000001</v>
      </c>
      <c r="X87" s="30">
        <v>-121.88290000000001</v>
      </c>
      <c r="Y87" s="30">
        <v>17.48</v>
      </c>
      <c r="Z87" s="30">
        <v>32.186585209943502</v>
      </c>
      <c r="AA87" s="29" t="s">
        <v>167</v>
      </c>
      <c r="AB87" s="29" t="s">
        <v>4574</v>
      </c>
      <c r="AC87" s="39"/>
      <c r="AD87" s="39"/>
    </row>
    <row r="88" spans="1:30" ht="58" customHeight="1">
      <c r="A88" s="1" t="s">
        <v>1262</v>
      </c>
      <c r="B88" s="1">
        <v>88</v>
      </c>
      <c r="C88" s="1" t="s">
        <v>3272</v>
      </c>
      <c r="D88" s="29" t="s">
        <v>392</v>
      </c>
      <c r="E88" s="29" t="s">
        <v>817</v>
      </c>
      <c r="F88" s="1" t="s">
        <v>826</v>
      </c>
      <c r="G88" s="30">
        <v>37.825000000000003</v>
      </c>
      <c r="H88" s="30">
        <v>-122.373</v>
      </c>
      <c r="I88" s="30">
        <v>37.040700000000001</v>
      </c>
      <c r="J88" s="30">
        <v>-121.88290000000001</v>
      </c>
      <c r="K88" s="30">
        <v>17.48</v>
      </c>
      <c r="L88" s="22">
        <v>99</v>
      </c>
      <c r="M88" s="22">
        <f t="shared" si="8"/>
        <v>97.355865241991708</v>
      </c>
      <c r="N88" s="22">
        <f t="shared" si="9"/>
        <v>98.912662976066159</v>
      </c>
      <c r="O88" s="22">
        <f t="shared" si="10"/>
        <v>8.7337023933841351E-2</v>
      </c>
      <c r="P88" s="22">
        <f t="shared" si="11"/>
        <v>8.8297111114048407E-2</v>
      </c>
      <c r="Q88" s="22">
        <f t="shared" si="12"/>
        <v>4.9456331488033083</v>
      </c>
      <c r="R88" s="29" t="str">
        <f t="shared" si="13"/>
        <v>Within screening tolerance</v>
      </c>
      <c r="S88" s="29" t="str">
        <f t="shared" si="14"/>
        <v/>
      </c>
      <c r="T88" s="22">
        <v>77.400000000000006</v>
      </c>
      <c r="U88" s="29" t="s">
        <v>4573</v>
      </c>
      <c r="V88" s="29" t="str">
        <f t="shared" si="15"/>
        <v>No geometric exceedance</v>
      </c>
      <c r="W88" s="30">
        <v>37.040700000000001</v>
      </c>
      <c r="X88" s="30">
        <v>-121.88290000000001</v>
      </c>
      <c r="Y88" s="30">
        <v>17.48</v>
      </c>
      <c r="Z88" s="30">
        <v>98.912662976066116</v>
      </c>
      <c r="AA88" s="29" t="s">
        <v>167</v>
      </c>
      <c r="AB88" s="29" t="s">
        <v>4574</v>
      </c>
      <c r="AC88" s="39"/>
      <c r="AD88" s="39"/>
    </row>
    <row r="89" spans="1:30" ht="58" customHeight="1">
      <c r="A89" s="1" t="s">
        <v>1262</v>
      </c>
      <c r="B89" s="1">
        <v>89</v>
      </c>
      <c r="C89" s="1" t="s">
        <v>3274</v>
      </c>
      <c r="D89" s="29" t="s">
        <v>392</v>
      </c>
      <c r="E89" s="29" t="s">
        <v>817</v>
      </c>
      <c r="F89" s="1" t="s">
        <v>827</v>
      </c>
      <c r="G89" s="30">
        <v>37.201999999999998</v>
      </c>
      <c r="H89" s="30">
        <v>-121.991</v>
      </c>
      <c r="I89" s="30">
        <v>37.040700000000001</v>
      </c>
      <c r="J89" s="30">
        <v>-121.88290000000001</v>
      </c>
      <c r="K89" s="30">
        <v>17.48</v>
      </c>
      <c r="L89" s="22">
        <v>26.8</v>
      </c>
      <c r="M89" s="22">
        <f t="shared" si="8"/>
        <v>20.335959464945724</v>
      </c>
      <c r="N89" s="22">
        <f t="shared" si="9"/>
        <v>26.816070692029353</v>
      </c>
      <c r="O89" s="22">
        <f t="shared" si="10"/>
        <v>-1.6070692029352074E-2</v>
      </c>
      <c r="P89" s="22">
        <f t="shared" si="11"/>
        <v>-5.9929331981246711E-2</v>
      </c>
      <c r="Q89" s="22">
        <f t="shared" si="12"/>
        <v>1.3408035346014677</v>
      </c>
      <c r="R89" s="29" t="str">
        <f t="shared" si="13"/>
        <v>Within screening tolerance</v>
      </c>
      <c r="S89" s="29" t="str">
        <f t="shared" si="14"/>
        <v/>
      </c>
      <c r="T89" s="22">
        <v>5</v>
      </c>
      <c r="U89" s="29" t="s">
        <v>4573</v>
      </c>
      <c r="V89" s="29" t="str">
        <f t="shared" si="15"/>
        <v>No geometric exceedance</v>
      </c>
      <c r="W89" s="30">
        <v>37.040700000000001</v>
      </c>
      <c r="X89" s="30">
        <v>-121.88290000000001</v>
      </c>
      <c r="Y89" s="30">
        <v>17.48</v>
      </c>
      <c r="Z89" s="30">
        <v>26.816070692029331</v>
      </c>
      <c r="AA89" s="29" t="s">
        <v>167</v>
      </c>
      <c r="AB89" s="29" t="s">
        <v>4574</v>
      </c>
      <c r="AC89" s="39"/>
      <c r="AD89" s="39"/>
    </row>
    <row r="90" spans="1:30" ht="58" customHeight="1">
      <c r="A90" s="1" t="s">
        <v>1262</v>
      </c>
      <c r="B90" s="1">
        <v>90</v>
      </c>
      <c r="C90" s="1" t="s">
        <v>3276</v>
      </c>
      <c r="D90" s="29" t="s">
        <v>399</v>
      </c>
      <c r="E90" s="29" t="s">
        <v>828</v>
      </c>
      <c r="F90" s="1" t="s">
        <v>828</v>
      </c>
      <c r="G90" s="30">
        <v>40.347999999999999</v>
      </c>
      <c r="H90" s="30">
        <v>-124.352</v>
      </c>
      <c r="I90" s="30">
        <v>40.326999999999998</v>
      </c>
      <c r="J90" s="30">
        <v>-124.233</v>
      </c>
      <c r="K90" s="30">
        <v>9.5</v>
      </c>
      <c r="L90" s="22">
        <v>14.1</v>
      </c>
      <c r="M90" s="22">
        <f t="shared" si="8"/>
        <v>10.352948173776268</v>
      </c>
      <c r="N90" s="22">
        <f t="shared" si="9"/>
        <v>14.051104436623385</v>
      </c>
      <c r="O90" s="22">
        <f t="shared" si="10"/>
        <v>4.8895563376614604E-2</v>
      </c>
      <c r="P90" s="22">
        <f t="shared" si="11"/>
        <v>0.34798377307033007</v>
      </c>
      <c r="Q90" s="22">
        <f t="shared" si="12"/>
        <v>1</v>
      </c>
      <c r="R90" s="29" t="str">
        <f t="shared" si="13"/>
        <v>Within screening tolerance</v>
      </c>
      <c r="S90" s="29" t="str">
        <f t="shared" si="14"/>
        <v/>
      </c>
      <c r="T90" s="22">
        <v>7</v>
      </c>
      <c r="U90" s="29" t="s">
        <v>4573</v>
      </c>
      <c r="V90" s="29" t="str">
        <f t="shared" si="15"/>
        <v>No geometric exceedance</v>
      </c>
      <c r="W90" s="30">
        <v>40.326999999999998</v>
      </c>
      <c r="X90" s="30">
        <v>-124.233</v>
      </c>
      <c r="Y90" s="30">
        <v>9.5</v>
      </c>
      <c r="Z90" s="30">
        <v>14.051104436623415</v>
      </c>
      <c r="AA90" s="29" t="s">
        <v>167</v>
      </c>
      <c r="AB90" s="29" t="s">
        <v>4574</v>
      </c>
      <c r="AC90" s="39"/>
      <c r="AD90" s="39"/>
    </row>
    <row r="91" spans="1:30" ht="58" customHeight="1">
      <c r="A91" s="1" t="s">
        <v>1262</v>
      </c>
      <c r="B91" s="1">
        <v>91</v>
      </c>
      <c r="C91" s="1" t="s">
        <v>3278</v>
      </c>
      <c r="D91" s="29" t="s">
        <v>399</v>
      </c>
      <c r="E91" s="29" t="s">
        <v>828</v>
      </c>
      <c r="F91" s="1" t="s">
        <v>829</v>
      </c>
      <c r="G91" s="30">
        <v>40.323999999999998</v>
      </c>
      <c r="H91" s="30">
        <v>-124.286</v>
      </c>
      <c r="I91" s="30">
        <v>40.326999999999998</v>
      </c>
      <c r="J91" s="30">
        <v>-124.233</v>
      </c>
      <c r="K91" s="30">
        <v>9.5</v>
      </c>
      <c r="L91" s="22">
        <v>10.5</v>
      </c>
      <c r="M91" s="22">
        <f t="shared" si="8"/>
        <v>4.5053266958833769</v>
      </c>
      <c r="N91" s="22">
        <f t="shared" si="9"/>
        <v>10.514179408619553</v>
      </c>
      <c r="O91" s="22">
        <f t="shared" si="10"/>
        <v>-1.4179408619552802E-2</v>
      </c>
      <c r="P91" s="22">
        <f t="shared" si="11"/>
        <v>-0.13485986940577108</v>
      </c>
      <c r="Q91" s="22">
        <f t="shared" si="12"/>
        <v>1</v>
      </c>
      <c r="R91" s="29" t="str">
        <f t="shared" si="13"/>
        <v>Within screening tolerance</v>
      </c>
      <c r="S91" s="29" t="str">
        <f t="shared" si="14"/>
        <v/>
      </c>
      <c r="T91" s="22">
        <v>8.1999999999999993</v>
      </c>
      <c r="U91" s="29" t="s">
        <v>4573</v>
      </c>
      <c r="V91" s="29" t="str">
        <f t="shared" si="15"/>
        <v>No geometric exceedance</v>
      </c>
      <c r="W91" s="30">
        <v>40.326999999999998</v>
      </c>
      <c r="X91" s="30">
        <v>-124.233</v>
      </c>
      <c r="Y91" s="30">
        <v>9.5</v>
      </c>
      <c r="Z91" s="30">
        <v>10.514179408619547</v>
      </c>
      <c r="AA91" s="29" t="s">
        <v>167</v>
      </c>
      <c r="AB91" s="29" t="s">
        <v>4574</v>
      </c>
      <c r="AC91" s="39"/>
      <c r="AD91" s="39"/>
    </row>
    <row r="92" spans="1:30" ht="58" customHeight="1">
      <c r="A92" s="1" t="s">
        <v>1262</v>
      </c>
      <c r="B92" s="1">
        <v>92</v>
      </c>
      <c r="C92" s="1" t="s">
        <v>3280</v>
      </c>
      <c r="D92" s="29" t="s">
        <v>399</v>
      </c>
      <c r="E92" s="29" t="s">
        <v>828</v>
      </c>
      <c r="F92" s="1" t="s">
        <v>830</v>
      </c>
      <c r="G92" s="30">
        <v>40.497599999999998</v>
      </c>
      <c r="H92" s="30">
        <v>-124.2945</v>
      </c>
      <c r="I92" s="30">
        <v>40.326999999999998</v>
      </c>
      <c r="J92" s="30">
        <v>-124.233</v>
      </c>
      <c r="K92" s="30">
        <v>9.5</v>
      </c>
      <c r="L92" s="22">
        <v>21.9</v>
      </c>
      <c r="M92" s="22">
        <f t="shared" si="8"/>
        <v>19.671458469914683</v>
      </c>
      <c r="N92" s="22">
        <f t="shared" si="9"/>
        <v>21.845280459027713</v>
      </c>
      <c r="O92" s="22">
        <f t="shared" si="10"/>
        <v>5.471954097228604E-2</v>
      </c>
      <c r="P92" s="22">
        <f t="shared" si="11"/>
        <v>0.25048678626450327</v>
      </c>
      <c r="Q92" s="22">
        <f t="shared" si="12"/>
        <v>1.0922640229513856</v>
      </c>
      <c r="R92" s="29" t="str">
        <f t="shared" si="13"/>
        <v>Within screening tolerance</v>
      </c>
      <c r="S92" s="29" t="str">
        <f t="shared" si="14"/>
        <v/>
      </c>
      <c r="T92" s="22">
        <v>12.2</v>
      </c>
      <c r="U92" s="29" t="s">
        <v>4573</v>
      </c>
      <c r="V92" s="29" t="str">
        <f t="shared" si="15"/>
        <v>No geometric exceedance</v>
      </c>
      <c r="W92" s="30">
        <v>40.326999999999998</v>
      </c>
      <c r="X92" s="30">
        <v>-124.233</v>
      </c>
      <c r="Y92" s="30">
        <v>9.5</v>
      </c>
      <c r="Z92" s="30">
        <v>21.845280459027865</v>
      </c>
      <c r="AA92" s="29" t="s">
        <v>167</v>
      </c>
      <c r="AB92" s="29" t="s">
        <v>4574</v>
      </c>
      <c r="AC92" s="39"/>
      <c r="AD92" s="39"/>
    </row>
    <row r="93" spans="1:30" ht="58" customHeight="1">
      <c r="A93" s="1" t="s">
        <v>1262</v>
      </c>
      <c r="B93" s="1">
        <v>93</v>
      </c>
      <c r="C93" s="1" t="s">
        <v>3282</v>
      </c>
      <c r="D93" s="29" t="s">
        <v>399</v>
      </c>
      <c r="E93" s="29" t="s">
        <v>828</v>
      </c>
      <c r="F93" s="1" t="s">
        <v>831</v>
      </c>
      <c r="G93" s="30">
        <v>40.563000000000002</v>
      </c>
      <c r="H93" s="30">
        <v>-124.348</v>
      </c>
      <c r="I93" s="30">
        <v>40.326999999999998</v>
      </c>
      <c r="J93" s="30">
        <v>-124.233</v>
      </c>
      <c r="K93" s="30">
        <v>9.5</v>
      </c>
      <c r="L93" s="22">
        <v>29.6</v>
      </c>
      <c r="M93" s="22">
        <f t="shared" si="8"/>
        <v>27.988322817882853</v>
      </c>
      <c r="N93" s="22">
        <f t="shared" si="9"/>
        <v>29.556661079323931</v>
      </c>
      <c r="O93" s="22">
        <f t="shared" si="10"/>
        <v>4.3338920676070813E-2</v>
      </c>
      <c r="P93" s="22">
        <f t="shared" si="11"/>
        <v>0.14662996121164756</v>
      </c>
      <c r="Q93" s="22">
        <f t="shared" si="12"/>
        <v>1.4778330539661966</v>
      </c>
      <c r="R93" s="29" t="str">
        <f t="shared" si="13"/>
        <v>Within screening tolerance</v>
      </c>
      <c r="S93" s="29" t="str">
        <f t="shared" si="14"/>
        <v/>
      </c>
      <c r="T93" s="22">
        <v>18.3</v>
      </c>
      <c r="U93" s="29" t="s">
        <v>4573</v>
      </c>
      <c r="V93" s="29" t="str">
        <f t="shared" si="15"/>
        <v>No geometric exceedance</v>
      </c>
      <c r="W93" s="30">
        <v>40.326999999999998</v>
      </c>
      <c r="X93" s="30">
        <v>-124.233</v>
      </c>
      <c r="Y93" s="30">
        <v>9.5</v>
      </c>
      <c r="Z93" s="30">
        <v>29.556661079323696</v>
      </c>
      <c r="AA93" s="29" t="s">
        <v>167</v>
      </c>
      <c r="AB93" s="29" t="s">
        <v>4574</v>
      </c>
      <c r="AC93" s="39"/>
      <c r="AD93" s="39"/>
    </row>
    <row r="94" spans="1:30" ht="58" customHeight="1">
      <c r="A94" s="1" t="s">
        <v>1262</v>
      </c>
      <c r="B94" s="1">
        <v>94</v>
      </c>
      <c r="C94" s="1" t="s">
        <v>3284</v>
      </c>
      <c r="D94" s="29" t="s">
        <v>406</v>
      </c>
      <c r="E94" s="29" t="s">
        <v>407</v>
      </c>
      <c r="F94" s="1" t="s">
        <v>832</v>
      </c>
      <c r="G94" s="30">
        <v>33.746200000000002</v>
      </c>
      <c r="H94" s="30">
        <v>-116.2163</v>
      </c>
      <c r="I94" s="30">
        <v>33.96</v>
      </c>
      <c r="J94" s="30">
        <v>-116.3167</v>
      </c>
      <c r="K94" s="30">
        <v>12.4</v>
      </c>
      <c r="L94" s="22">
        <v>28.4</v>
      </c>
      <c r="M94" s="22">
        <f t="shared" si="8"/>
        <v>25.517354555851711</v>
      </c>
      <c r="N94" s="22">
        <f t="shared" si="9"/>
        <v>28.370678235266883</v>
      </c>
      <c r="O94" s="22">
        <f t="shared" si="10"/>
        <v>2.932176473311543E-2</v>
      </c>
      <c r="P94" s="22">
        <f t="shared" si="11"/>
        <v>0.10335235728226713</v>
      </c>
      <c r="Q94" s="22">
        <f t="shared" si="12"/>
        <v>1.4185339117633442</v>
      </c>
      <c r="R94" s="29" t="str">
        <f t="shared" si="13"/>
        <v>Within screening tolerance</v>
      </c>
      <c r="S94" s="29" t="str">
        <f t="shared" si="14"/>
        <v/>
      </c>
      <c r="T94" s="22">
        <v>25.5</v>
      </c>
      <c r="U94" s="29" t="s">
        <v>4573</v>
      </c>
      <c r="V94" s="29" t="str">
        <f t="shared" si="15"/>
        <v>No geometric exceedance</v>
      </c>
      <c r="W94" s="30">
        <v>33.96</v>
      </c>
      <c r="X94" s="30">
        <v>-116.3167</v>
      </c>
      <c r="Y94" s="30">
        <v>12.4</v>
      </c>
      <c r="Z94" s="30">
        <v>28.370678235266961</v>
      </c>
      <c r="AA94" s="29" t="s">
        <v>167</v>
      </c>
      <c r="AB94" s="29" t="s">
        <v>4574</v>
      </c>
      <c r="AC94" s="39"/>
      <c r="AD94" s="39"/>
    </row>
    <row r="95" spans="1:30" ht="58" customHeight="1">
      <c r="A95" s="1" t="s">
        <v>1262</v>
      </c>
      <c r="B95" s="1">
        <v>95</v>
      </c>
      <c r="C95" s="1" t="s">
        <v>3286</v>
      </c>
      <c r="D95" s="29" t="s">
        <v>412</v>
      </c>
      <c r="E95" s="29" t="s">
        <v>833</v>
      </c>
      <c r="F95" s="1" t="s">
        <v>834</v>
      </c>
      <c r="G95" s="30">
        <v>34.887</v>
      </c>
      <c r="H95" s="30">
        <v>-117.047</v>
      </c>
      <c r="I95" s="30">
        <v>34.200000000000003</v>
      </c>
      <c r="J95" s="30">
        <v>-116.43600000000001</v>
      </c>
      <c r="K95" s="30">
        <v>7</v>
      </c>
      <c r="L95" s="22">
        <v>95</v>
      </c>
      <c r="M95" s="22">
        <f t="shared" si="8"/>
        <v>94.695380268627062</v>
      </c>
      <c r="N95" s="22">
        <f t="shared" si="9"/>
        <v>94.953752133445903</v>
      </c>
      <c r="O95" s="22">
        <f t="shared" si="10"/>
        <v>4.6247866554097072E-2</v>
      </c>
      <c r="P95" s="22">
        <f t="shared" si="11"/>
        <v>4.8705675673670422E-2</v>
      </c>
      <c r="Q95" s="22">
        <f t="shared" si="12"/>
        <v>4.7476876066722955</v>
      </c>
      <c r="R95" s="29" t="str">
        <f t="shared" si="13"/>
        <v>Within screening tolerance</v>
      </c>
      <c r="S95" s="29" t="str">
        <f t="shared" si="14"/>
        <v/>
      </c>
      <c r="T95" s="22">
        <v>34.9</v>
      </c>
      <c r="U95" s="29" t="s">
        <v>4573</v>
      </c>
      <c r="V95" s="29" t="str">
        <f t="shared" si="15"/>
        <v>No geometric exceedance</v>
      </c>
      <c r="W95" s="30">
        <v>34.200000000000003</v>
      </c>
      <c r="X95" s="30">
        <v>-116.43600000000001</v>
      </c>
      <c r="Y95" s="30">
        <v>7</v>
      </c>
      <c r="Z95" s="30">
        <v>94.953752133445846</v>
      </c>
      <c r="AA95" s="29" t="s">
        <v>167</v>
      </c>
      <c r="AB95" s="29" t="s">
        <v>4574</v>
      </c>
      <c r="AC95" s="39"/>
      <c r="AD95" s="39"/>
    </row>
    <row r="96" spans="1:30" ht="58" customHeight="1">
      <c r="A96" s="1" t="s">
        <v>1262</v>
      </c>
      <c r="B96" s="1">
        <v>96</v>
      </c>
      <c r="C96" s="1" t="s">
        <v>3288</v>
      </c>
      <c r="D96" s="29" t="s">
        <v>412</v>
      </c>
      <c r="E96" s="29" t="s">
        <v>833</v>
      </c>
      <c r="F96" s="1" t="s">
        <v>835</v>
      </c>
      <c r="G96" s="30">
        <v>34.567999999999998</v>
      </c>
      <c r="H96" s="30">
        <v>-116.61199999999999</v>
      </c>
      <c r="I96" s="30">
        <v>34.200000000000003</v>
      </c>
      <c r="J96" s="30">
        <v>-116.43600000000001</v>
      </c>
      <c r="K96" s="30">
        <v>7</v>
      </c>
      <c r="L96" s="22">
        <v>44.6</v>
      </c>
      <c r="M96" s="22">
        <f t="shared" si="8"/>
        <v>43.991715575405436</v>
      </c>
      <c r="N96" s="22">
        <f t="shared" si="9"/>
        <v>44.545157304328484</v>
      </c>
      <c r="O96" s="22">
        <f t="shared" si="10"/>
        <v>5.4842695671517561E-2</v>
      </c>
      <c r="P96" s="22">
        <f t="shared" si="11"/>
        <v>0.12311707711982522</v>
      </c>
      <c r="Q96" s="22">
        <f t="shared" si="12"/>
        <v>2.2272578652164241</v>
      </c>
      <c r="R96" s="29" t="str">
        <f t="shared" si="13"/>
        <v>Within screening tolerance</v>
      </c>
      <c r="S96" s="29" t="str">
        <f t="shared" si="14"/>
        <v/>
      </c>
      <c r="T96" s="22">
        <v>2.2000000000000002</v>
      </c>
      <c r="U96" s="29" t="s">
        <v>4573</v>
      </c>
      <c r="V96" s="29" t="str">
        <f t="shared" si="15"/>
        <v>No geometric exceedance</v>
      </c>
      <c r="W96" s="30">
        <v>34.200000000000003</v>
      </c>
      <c r="X96" s="30">
        <v>-116.43600000000001</v>
      </c>
      <c r="Y96" s="30">
        <v>7</v>
      </c>
      <c r="Z96" s="30">
        <v>44.54515730432847</v>
      </c>
      <c r="AA96" s="29" t="s">
        <v>167</v>
      </c>
      <c r="AB96" s="29" t="s">
        <v>4574</v>
      </c>
      <c r="AC96" s="39"/>
      <c r="AD96" s="39"/>
    </row>
    <row r="97" spans="1:30" ht="58" customHeight="1">
      <c r="A97" s="1" t="s">
        <v>1262</v>
      </c>
      <c r="B97" s="1">
        <v>97</v>
      </c>
      <c r="C97" s="1" t="s">
        <v>3290</v>
      </c>
      <c r="D97" s="29" t="s">
        <v>412</v>
      </c>
      <c r="E97" s="29" t="s">
        <v>833</v>
      </c>
      <c r="F97" s="1" t="s">
        <v>836</v>
      </c>
      <c r="G97" s="30">
        <v>34.904000000000003</v>
      </c>
      <c r="H97" s="30">
        <v>-116.82299999999999</v>
      </c>
      <c r="I97" s="30">
        <v>34.200000000000003</v>
      </c>
      <c r="J97" s="30">
        <v>-116.43600000000001</v>
      </c>
      <c r="K97" s="30">
        <v>7</v>
      </c>
      <c r="L97" s="22">
        <v>86.3</v>
      </c>
      <c r="M97" s="22">
        <f t="shared" si="8"/>
        <v>85.93048260696726</v>
      </c>
      <c r="N97" s="22">
        <f t="shared" si="9"/>
        <v>86.215125361309447</v>
      </c>
      <c r="O97" s="22">
        <f t="shared" si="10"/>
        <v>8.4874638690550341E-2</v>
      </c>
      <c r="P97" s="22">
        <f t="shared" si="11"/>
        <v>9.8445183875635042E-2</v>
      </c>
      <c r="Q97" s="22">
        <f t="shared" si="12"/>
        <v>4.3107562680654725</v>
      </c>
      <c r="R97" s="29" t="str">
        <f t="shared" si="13"/>
        <v>Within screening tolerance</v>
      </c>
      <c r="S97" s="29" t="str">
        <f t="shared" si="14"/>
        <v/>
      </c>
      <c r="T97" s="22">
        <v>23.6</v>
      </c>
      <c r="U97" s="29" t="s">
        <v>4573</v>
      </c>
      <c r="V97" s="29" t="str">
        <f t="shared" si="15"/>
        <v>No geometric exceedance</v>
      </c>
      <c r="W97" s="30">
        <v>34.200000000000003</v>
      </c>
      <c r="X97" s="30">
        <v>-116.43600000000001</v>
      </c>
      <c r="Y97" s="30">
        <v>7</v>
      </c>
      <c r="Z97" s="30">
        <v>86.215125361309731</v>
      </c>
      <c r="AA97" s="29" t="s">
        <v>167</v>
      </c>
      <c r="AB97" s="29" t="s">
        <v>4574</v>
      </c>
      <c r="AC97" s="39"/>
      <c r="AD97" s="39"/>
    </row>
    <row r="98" spans="1:30" ht="58" customHeight="1">
      <c r="A98" s="1" t="s">
        <v>1262</v>
      </c>
      <c r="B98" s="1">
        <v>98</v>
      </c>
      <c r="C98" s="1" t="s">
        <v>3292</v>
      </c>
      <c r="D98" s="29" t="s">
        <v>419</v>
      </c>
      <c r="E98" s="29" t="s">
        <v>837</v>
      </c>
      <c r="F98" s="1" t="s">
        <v>838</v>
      </c>
      <c r="G98" s="30">
        <v>34.311999999999998</v>
      </c>
      <c r="H98" s="30">
        <v>-118.496</v>
      </c>
      <c r="I98" s="30">
        <v>34.2057</v>
      </c>
      <c r="J98" s="30">
        <v>-118.5539</v>
      </c>
      <c r="K98" s="30">
        <v>17.5</v>
      </c>
      <c r="L98" s="22">
        <v>21.8</v>
      </c>
      <c r="M98" s="22">
        <f t="shared" si="8"/>
        <v>12.962554351033059</v>
      </c>
      <c r="N98" s="22">
        <f t="shared" si="9"/>
        <v>21.777920362226649</v>
      </c>
      <c r="O98" s="22">
        <f t="shared" si="10"/>
        <v>2.207963777335209E-2</v>
      </c>
      <c r="P98" s="22">
        <f t="shared" si="11"/>
        <v>0.10138542802116571</v>
      </c>
      <c r="Q98" s="22">
        <f t="shared" si="12"/>
        <v>1.0888960181113325</v>
      </c>
      <c r="R98" s="29" t="str">
        <f t="shared" si="13"/>
        <v>Within screening tolerance</v>
      </c>
      <c r="S98" s="29" t="str">
        <f t="shared" si="14"/>
        <v/>
      </c>
      <c r="T98" s="22">
        <v>5.4</v>
      </c>
      <c r="U98" s="29" t="s">
        <v>4573</v>
      </c>
      <c r="V98" s="29" t="str">
        <f t="shared" si="15"/>
        <v>No geometric exceedance</v>
      </c>
      <c r="W98" s="30">
        <v>34.2057</v>
      </c>
      <c r="X98" s="30">
        <v>-118.5539</v>
      </c>
      <c r="Y98" s="30">
        <v>17.5</v>
      </c>
      <c r="Z98" s="30">
        <v>21.777920362226819</v>
      </c>
      <c r="AA98" s="29" t="s">
        <v>167</v>
      </c>
      <c r="AB98" s="29" t="s">
        <v>4574</v>
      </c>
      <c r="AC98" s="39"/>
      <c r="AD98" s="39"/>
    </row>
    <row r="99" spans="1:30" ht="58" customHeight="1">
      <c r="A99" s="1" t="s">
        <v>1262</v>
      </c>
      <c r="B99" s="1">
        <v>99</v>
      </c>
      <c r="C99" s="1" t="s">
        <v>3294</v>
      </c>
      <c r="D99" s="29" t="s">
        <v>419</v>
      </c>
      <c r="E99" s="29" t="s">
        <v>837</v>
      </c>
      <c r="F99" s="1" t="s">
        <v>839</v>
      </c>
      <c r="G99" s="30">
        <v>34.313000000000002</v>
      </c>
      <c r="H99" s="30">
        <v>-118.498</v>
      </c>
      <c r="I99" s="30">
        <v>34.2057</v>
      </c>
      <c r="J99" s="30">
        <v>-118.5539</v>
      </c>
      <c r="K99" s="30">
        <v>17.5</v>
      </c>
      <c r="L99" s="22">
        <v>21.8</v>
      </c>
      <c r="M99" s="22">
        <f t="shared" si="8"/>
        <v>12.990233895852692</v>
      </c>
      <c r="N99" s="22">
        <f t="shared" si="9"/>
        <v>21.794407004297231</v>
      </c>
      <c r="O99" s="22">
        <f t="shared" si="10"/>
        <v>5.5929957027700539E-3</v>
      </c>
      <c r="P99" s="22">
        <f t="shared" si="11"/>
        <v>2.566252755428159E-2</v>
      </c>
      <c r="Q99" s="22">
        <f t="shared" si="12"/>
        <v>1.0897203502148616</v>
      </c>
      <c r="R99" s="29" t="str">
        <f t="shared" si="13"/>
        <v>Within screening tolerance</v>
      </c>
      <c r="S99" s="29" t="str">
        <f t="shared" si="14"/>
        <v/>
      </c>
      <c r="T99" s="22">
        <v>5.4</v>
      </c>
      <c r="U99" s="29" t="s">
        <v>4573</v>
      </c>
      <c r="V99" s="29" t="str">
        <f t="shared" si="15"/>
        <v>No geometric exceedance</v>
      </c>
      <c r="W99" s="30">
        <v>34.2057</v>
      </c>
      <c r="X99" s="30">
        <v>-118.5539</v>
      </c>
      <c r="Y99" s="30">
        <v>17.5</v>
      </c>
      <c r="Z99" s="30">
        <v>21.794407004297344</v>
      </c>
      <c r="AA99" s="29" t="s">
        <v>167</v>
      </c>
      <c r="AB99" s="29" t="s">
        <v>4574</v>
      </c>
      <c r="AC99" s="39"/>
      <c r="AD99" s="39"/>
    </row>
    <row r="100" spans="1:30" ht="58" customHeight="1">
      <c r="A100" s="1" t="s">
        <v>1262</v>
      </c>
      <c r="B100" s="1">
        <v>100</v>
      </c>
      <c r="C100" s="1" t="s">
        <v>3296</v>
      </c>
      <c r="D100" s="29" t="s">
        <v>419</v>
      </c>
      <c r="E100" s="29" t="s">
        <v>837</v>
      </c>
      <c r="F100" s="1" t="s">
        <v>840</v>
      </c>
      <c r="G100" s="30">
        <v>34.045999999999999</v>
      </c>
      <c r="H100" s="30">
        <v>-118.355</v>
      </c>
      <c r="I100" s="30">
        <v>34.2057</v>
      </c>
      <c r="J100" s="30">
        <v>-118.5539</v>
      </c>
      <c r="K100" s="30">
        <v>17.5</v>
      </c>
      <c r="L100" s="22">
        <v>30.9</v>
      </c>
      <c r="M100" s="22">
        <f t="shared" si="8"/>
        <v>25.505593045688286</v>
      </c>
      <c r="N100" s="22">
        <f t="shared" si="9"/>
        <v>30.931945891137573</v>
      </c>
      <c r="O100" s="22">
        <f t="shared" si="10"/>
        <v>-3.1945891137574733E-2</v>
      </c>
      <c r="P100" s="22">
        <f t="shared" si="11"/>
        <v>-0.10327798726276599</v>
      </c>
      <c r="Q100" s="22">
        <f t="shared" si="12"/>
        <v>1.5465972945568787</v>
      </c>
      <c r="R100" s="29" t="str">
        <f t="shared" si="13"/>
        <v>Within screening tolerance</v>
      </c>
      <c r="S100" s="29" t="str">
        <f t="shared" si="14"/>
        <v/>
      </c>
      <c r="T100" s="22">
        <v>27</v>
      </c>
      <c r="U100" s="29" t="s">
        <v>4573</v>
      </c>
      <c r="V100" s="29" t="str">
        <f t="shared" si="15"/>
        <v>No geometric exceedance</v>
      </c>
      <c r="W100" s="30">
        <v>34.2057</v>
      </c>
      <c r="X100" s="30">
        <v>-118.5539</v>
      </c>
      <c r="Y100" s="30">
        <v>17.5</v>
      </c>
      <c r="Z100" s="30">
        <v>30.931945891137506</v>
      </c>
      <c r="AA100" s="29" t="s">
        <v>167</v>
      </c>
      <c r="AB100" s="29" t="s">
        <v>4574</v>
      </c>
      <c r="AC100" s="39"/>
      <c r="AD100" s="39"/>
    </row>
    <row r="101" spans="1:30" ht="58" customHeight="1">
      <c r="A101" s="1" t="s">
        <v>1262</v>
      </c>
      <c r="B101" s="1">
        <v>101</v>
      </c>
      <c r="C101" s="1" t="s">
        <v>3298</v>
      </c>
      <c r="D101" s="29" t="s">
        <v>419</v>
      </c>
      <c r="E101" s="29" t="s">
        <v>837</v>
      </c>
      <c r="F101" s="1" t="s">
        <v>841</v>
      </c>
      <c r="G101" s="30">
        <v>34.248899999999999</v>
      </c>
      <c r="H101" s="30">
        <v>-118.4789</v>
      </c>
      <c r="I101" s="30">
        <v>34.2057</v>
      </c>
      <c r="J101" s="30">
        <v>-118.5539</v>
      </c>
      <c r="K101" s="30">
        <v>17.5</v>
      </c>
      <c r="L101" s="22">
        <v>19.399999999999999</v>
      </c>
      <c r="M101" s="22">
        <f t="shared" si="8"/>
        <v>8.4035688230350303</v>
      </c>
      <c r="N101" s="22">
        <f t="shared" si="9"/>
        <v>19.413139080619764</v>
      </c>
      <c r="O101" s="22">
        <f t="shared" si="10"/>
        <v>-1.3139080619765764E-2</v>
      </c>
      <c r="P101" s="22">
        <f t="shared" si="11"/>
        <v>-6.7681380971934491E-2</v>
      </c>
      <c r="Q101" s="22">
        <f t="shared" si="12"/>
        <v>1</v>
      </c>
      <c r="R101" s="29" t="str">
        <f t="shared" si="13"/>
        <v>Within screening tolerance</v>
      </c>
      <c r="S101" s="29" t="str">
        <f t="shared" si="14"/>
        <v/>
      </c>
      <c r="T101" s="22">
        <v>8.4</v>
      </c>
      <c r="U101" s="29" t="s">
        <v>4573</v>
      </c>
      <c r="V101" s="29" t="str">
        <f t="shared" si="15"/>
        <v>No geometric exceedance</v>
      </c>
      <c r="W101" s="30">
        <v>34.2057</v>
      </c>
      <c r="X101" s="30">
        <v>-118.5539</v>
      </c>
      <c r="Y101" s="30">
        <v>17.5</v>
      </c>
      <c r="Z101" s="30">
        <v>19.413139080619921</v>
      </c>
      <c r="AA101" s="29" t="s">
        <v>167</v>
      </c>
      <c r="AB101" s="29" t="s">
        <v>4574</v>
      </c>
      <c r="AC101" s="39"/>
      <c r="AD101" s="39"/>
    </row>
    <row r="102" spans="1:30" ht="58" customHeight="1">
      <c r="A102" s="1" t="s">
        <v>1262</v>
      </c>
      <c r="B102" s="1">
        <v>102</v>
      </c>
      <c r="C102" s="1" t="s">
        <v>3300</v>
      </c>
      <c r="D102" s="29" t="s">
        <v>419</v>
      </c>
      <c r="E102" s="29" t="s">
        <v>837</v>
      </c>
      <c r="F102" s="1" t="s">
        <v>842</v>
      </c>
      <c r="G102" s="30">
        <v>34.293999999999997</v>
      </c>
      <c r="H102" s="30">
        <v>-118.483</v>
      </c>
      <c r="I102" s="30">
        <v>34.2057</v>
      </c>
      <c r="J102" s="30">
        <v>-118.5539</v>
      </c>
      <c r="K102" s="30">
        <v>17.5</v>
      </c>
      <c r="L102" s="22">
        <v>21.1</v>
      </c>
      <c r="M102" s="22">
        <f t="shared" si="8"/>
        <v>11.784286764897935</v>
      </c>
      <c r="N102" s="22">
        <f t="shared" si="9"/>
        <v>21.097853316329335</v>
      </c>
      <c r="O102" s="22">
        <f t="shared" si="10"/>
        <v>2.1466836706665049E-3</v>
      </c>
      <c r="P102" s="22">
        <f t="shared" si="11"/>
        <v>1.0174891437912371E-2</v>
      </c>
      <c r="Q102" s="22">
        <f t="shared" si="12"/>
        <v>1.0548926658164668</v>
      </c>
      <c r="R102" s="29" t="str">
        <f t="shared" si="13"/>
        <v>Within screening tolerance</v>
      </c>
      <c r="S102" s="29" t="str">
        <f t="shared" si="14"/>
        <v/>
      </c>
      <c r="T102" s="22">
        <v>5.9</v>
      </c>
      <c r="U102" s="29" t="s">
        <v>4573</v>
      </c>
      <c r="V102" s="29" t="str">
        <f t="shared" si="15"/>
        <v>No geometric exceedance</v>
      </c>
      <c r="W102" s="30">
        <v>34.2057</v>
      </c>
      <c r="X102" s="30">
        <v>-118.5539</v>
      </c>
      <c r="Y102" s="30">
        <v>17.5</v>
      </c>
      <c r="Z102" s="30">
        <v>21.09785331632964</v>
      </c>
      <c r="AA102" s="29" t="s">
        <v>167</v>
      </c>
      <c r="AB102" s="29" t="s">
        <v>4574</v>
      </c>
      <c r="AC102" s="39"/>
      <c r="AD102" s="39"/>
    </row>
    <row r="103" spans="1:30" ht="58" customHeight="1">
      <c r="A103" s="1" t="s">
        <v>1262</v>
      </c>
      <c r="B103" s="1">
        <v>103</v>
      </c>
      <c r="C103" s="1" t="s">
        <v>3302</v>
      </c>
      <c r="D103" s="29" t="s">
        <v>419</v>
      </c>
      <c r="E103" s="29" t="s">
        <v>837</v>
      </c>
      <c r="F103" s="1" t="s">
        <v>843</v>
      </c>
      <c r="G103" s="30">
        <v>34.387</v>
      </c>
      <c r="H103" s="30">
        <v>-118.533</v>
      </c>
      <c r="I103" s="30">
        <v>34.2057</v>
      </c>
      <c r="J103" s="30">
        <v>-118.5539</v>
      </c>
      <c r="K103" s="30">
        <v>17.5</v>
      </c>
      <c r="L103" s="22">
        <v>26.8</v>
      </c>
      <c r="M103" s="22">
        <f t="shared" si="8"/>
        <v>20.250855704652636</v>
      </c>
      <c r="N103" s="22">
        <f t="shared" si="9"/>
        <v>26.764662463230547</v>
      </c>
      <c r="O103" s="22">
        <f t="shared" si="10"/>
        <v>3.5337536769453948E-2</v>
      </c>
      <c r="P103" s="22">
        <f t="shared" si="11"/>
        <v>0.13203057134757767</v>
      </c>
      <c r="Q103" s="22">
        <f t="shared" si="12"/>
        <v>1.3382331231615274</v>
      </c>
      <c r="R103" s="29" t="str">
        <f t="shared" si="13"/>
        <v>Within screening tolerance</v>
      </c>
      <c r="S103" s="29" t="str">
        <f t="shared" si="14"/>
        <v/>
      </c>
      <c r="T103" s="22">
        <v>5.9</v>
      </c>
      <c r="U103" s="29" t="s">
        <v>4573</v>
      </c>
      <c r="V103" s="29" t="str">
        <f t="shared" si="15"/>
        <v>No geometric exceedance</v>
      </c>
      <c r="W103" s="30">
        <v>34.2057</v>
      </c>
      <c r="X103" s="30">
        <v>-118.5539</v>
      </c>
      <c r="Y103" s="30">
        <v>17.5</v>
      </c>
      <c r="Z103" s="30">
        <v>26.764662463230692</v>
      </c>
      <c r="AA103" s="29" t="s">
        <v>167</v>
      </c>
      <c r="AB103" s="29" t="s">
        <v>4574</v>
      </c>
      <c r="AC103" s="39"/>
      <c r="AD103" s="39"/>
    </row>
    <row r="104" spans="1:30" ht="58" customHeight="1">
      <c r="A104" s="1" t="s">
        <v>1262</v>
      </c>
      <c r="B104" s="1">
        <v>104</v>
      </c>
      <c r="C104" s="1" t="s">
        <v>3304</v>
      </c>
      <c r="D104" s="29" t="s">
        <v>419</v>
      </c>
      <c r="E104" s="29" t="s">
        <v>837</v>
      </c>
      <c r="F104" s="1" t="s">
        <v>844</v>
      </c>
      <c r="G104" s="30">
        <v>34.390999999999998</v>
      </c>
      <c r="H104" s="30">
        <v>-118.622</v>
      </c>
      <c r="I104" s="30">
        <v>34.2057</v>
      </c>
      <c r="J104" s="30">
        <v>-118.5539</v>
      </c>
      <c r="K104" s="30">
        <v>17.5</v>
      </c>
      <c r="L104" s="22">
        <v>27.8</v>
      </c>
      <c r="M104" s="22">
        <f t="shared" si="8"/>
        <v>21.533118104233623</v>
      </c>
      <c r="N104" s="22">
        <f t="shared" si="9"/>
        <v>27.747525570595908</v>
      </c>
      <c r="O104" s="22">
        <f t="shared" si="10"/>
        <v>5.2474429404092859E-2</v>
      </c>
      <c r="P104" s="22">
        <f t="shared" si="11"/>
        <v>0.18911390592500285</v>
      </c>
      <c r="Q104" s="22">
        <f t="shared" si="12"/>
        <v>1.3873762785297954</v>
      </c>
      <c r="R104" s="29" t="str">
        <f t="shared" si="13"/>
        <v>Within screening tolerance</v>
      </c>
      <c r="S104" s="29" t="str">
        <f t="shared" si="14"/>
        <v/>
      </c>
      <c r="T104" s="22">
        <v>5.5</v>
      </c>
      <c r="U104" s="29" t="s">
        <v>4573</v>
      </c>
      <c r="V104" s="29" t="str">
        <f t="shared" si="15"/>
        <v>No geometric exceedance</v>
      </c>
      <c r="W104" s="30">
        <v>34.2057</v>
      </c>
      <c r="X104" s="30">
        <v>-118.5539</v>
      </c>
      <c r="Y104" s="30">
        <v>17.5</v>
      </c>
      <c r="Z104" s="30">
        <v>27.747525570596423</v>
      </c>
      <c r="AA104" s="29" t="s">
        <v>167</v>
      </c>
      <c r="AB104" s="29" t="s">
        <v>4574</v>
      </c>
      <c r="AC104" s="39"/>
      <c r="AD104" s="39"/>
    </row>
    <row r="105" spans="1:30" ht="58" customHeight="1">
      <c r="A105" s="1" t="s">
        <v>1262</v>
      </c>
      <c r="B105" s="1">
        <v>105</v>
      </c>
      <c r="C105" s="1" t="s">
        <v>3306</v>
      </c>
      <c r="D105" s="29" t="s">
        <v>419</v>
      </c>
      <c r="E105" s="29" t="s">
        <v>837</v>
      </c>
      <c r="F105" s="1" t="s">
        <v>845</v>
      </c>
      <c r="G105" s="30">
        <v>34.334000000000003</v>
      </c>
      <c r="H105" s="30">
        <v>-118.396</v>
      </c>
      <c r="I105" s="30">
        <v>34.2057</v>
      </c>
      <c r="J105" s="30">
        <v>-118.5539</v>
      </c>
      <c r="K105" s="30">
        <v>17.5</v>
      </c>
      <c r="L105" s="22">
        <v>26.9</v>
      </c>
      <c r="M105" s="22">
        <f t="shared" si="8"/>
        <v>20.348342285923732</v>
      </c>
      <c r="N105" s="22">
        <f t="shared" si="9"/>
        <v>26.838499097101383</v>
      </c>
      <c r="O105" s="22">
        <f t="shared" si="10"/>
        <v>6.1500902898615095E-2</v>
      </c>
      <c r="P105" s="22">
        <f t="shared" si="11"/>
        <v>0.22915179673835534</v>
      </c>
      <c r="Q105" s="22">
        <f t="shared" si="12"/>
        <v>1.3419249548550694</v>
      </c>
      <c r="R105" s="29" t="str">
        <f t="shared" si="13"/>
        <v>Within screening tolerance</v>
      </c>
      <c r="S105" s="29" t="str">
        <f t="shared" si="14"/>
        <v/>
      </c>
      <c r="T105" s="22">
        <v>7</v>
      </c>
      <c r="U105" s="29" t="s">
        <v>4573</v>
      </c>
      <c r="V105" s="29" t="str">
        <f t="shared" si="15"/>
        <v>No geometric exceedance</v>
      </c>
      <c r="W105" s="30">
        <v>34.2057</v>
      </c>
      <c r="X105" s="30">
        <v>-118.5539</v>
      </c>
      <c r="Y105" s="30">
        <v>17.5</v>
      </c>
      <c r="Z105" s="30">
        <v>26.838499097101593</v>
      </c>
      <c r="AA105" s="29" t="s">
        <v>167</v>
      </c>
      <c r="AB105" s="29" t="s">
        <v>4574</v>
      </c>
      <c r="AC105" s="39"/>
      <c r="AD105" s="39"/>
    </row>
    <row r="106" spans="1:30" ht="58" customHeight="1">
      <c r="A106" s="1" t="s">
        <v>1262</v>
      </c>
      <c r="B106" s="1">
        <v>106</v>
      </c>
      <c r="C106" s="1" t="s">
        <v>3308</v>
      </c>
      <c r="D106" s="29" t="s">
        <v>419</v>
      </c>
      <c r="E106" s="29" t="s">
        <v>837</v>
      </c>
      <c r="F106" s="1" t="s">
        <v>846</v>
      </c>
      <c r="G106" s="30">
        <v>34.334000000000003</v>
      </c>
      <c r="H106" s="30">
        <v>-118.396</v>
      </c>
      <c r="I106" s="30">
        <v>34.2057</v>
      </c>
      <c r="J106" s="30">
        <v>-118.5539</v>
      </c>
      <c r="K106" s="30">
        <v>17.5</v>
      </c>
      <c r="L106" s="22">
        <v>26.9</v>
      </c>
      <c r="M106" s="22">
        <f t="shared" si="8"/>
        <v>20.348342285923732</v>
      </c>
      <c r="N106" s="22">
        <f t="shared" si="9"/>
        <v>26.838499097101383</v>
      </c>
      <c r="O106" s="22">
        <f t="shared" si="10"/>
        <v>6.1500902898615095E-2</v>
      </c>
      <c r="P106" s="22">
        <f t="shared" si="11"/>
        <v>0.22915179673835534</v>
      </c>
      <c r="Q106" s="22">
        <f t="shared" si="12"/>
        <v>1.3419249548550694</v>
      </c>
      <c r="R106" s="29" t="str">
        <f t="shared" si="13"/>
        <v>Within screening tolerance</v>
      </c>
      <c r="S106" s="29" t="str">
        <f t="shared" si="14"/>
        <v/>
      </c>
      <c r="T106" s="22">
        <v>7</v>
      </c>
      <c r="U106" s="29" t="s">
        <v>4573</v>
      </c>
      <c r="V106" s="29" t="str">
        <f t="shared" si="15"/>
        <v>No geometric exceedance</v>
      </c>
      <c r="W106" s="30">
        <v>34.2057</v>
      </c>
      <c r="X106" s="30">
        <v>-118.5539</v>
      </c>
      <c r="Y106" s="30">
        <v>17.5</v>
      </c>
      <c r="Z106" s="30">
        <v>26.838499097101593</v>
      </c>
      <c r="AA106" s="29" t="s">
        <v>167</v>
      </c>
      <c r="AB106" s="29" t="s">
        <v>4574</v>
      </c>
      <c r="AC106" s="39"/>
      <c r="AD106" s="39"/>
    </row>
    <row r="107" spans="1:30" ht="58" customHeight="1">
      <c r="A107" s="1" t="s">
        <v>1262</v>
      </c>
      <c r="B107" s="1">
        <v>107</v>
      </c>
      <c r="C107" s="1" t="s">
        <v>3310</v>
      </c>
      <c r="D107" s="29" t="s">
        <v>419</v>
      </c>
      <c r="E107" s="29" t="s">
        <v>837</v>
      </c>
      <c r="F107" s="1" t="s">
        <v>847</v>
      </c>
      <c r="G107" s="30">
        <v>34.295999999999999</v>
      </c>
      <c r="H107" s="30">
        <v>-118.375</v>
      </c>
      <c r="I107" s="30">
        <v>34.2057</v>
      </c>
      <c r="J107" s="30">
        <v>-118.5539</v>
      </c>
      <c r="K107" s="30">
        <v>17.5</v>
      </c>
      <c r="L107" s="22">
        <v>26</v>
      </c>
      <c r="M107" s="22">
        <f t="shared" si="8"/>
        <v>19.266333655520171</v>
      </c>
      <c r="N107" s="22">
        <f t="shared" si="9"/>
        <v>26.027708553113722</v>
      </c>
      <c r="O107" s="22">
        <f t="shared" si="10"/>
        <v>-2.7708553113722445E-2</v>
      </c>
      <c r="P107" s="22">
        <f t="shared" si="11"/>
        <v>-0.10645790449504493</v>
      </c>
      <c r="Q107" s="22">
        <f t="shared" si="12"/>
        <v>1.3013854276556862</v>
      </c>
      <c r="R107" s="29" t="str">
        <f t="shared" si="13"/>
        <v>Within screening tolerance</v>
      </c>
      <c r="S107" s="29" t="str">
        <f t="shared" si="14"/>
        <v/>
      </c>
      <c r="T107" s="22">
        <v>7.3</v>
      </c>
      <c r="U107" s="29" t="s">
        <v>4573</v>
      </c>
      <c r="V107" s="29" t="str">
        <f t="shared" si="15"/>
        <v>No geometric exceedance</v>
      </c>
      <c r="W107" s="30">
        <v>34.2057</v>
      </c>
      <c r="X107" s="30">
        <v>-118.5539</v>
      </c>
      <c r="Y107" s="30">
        <v>17.5</v>
      </c>
      <c r="Z107" s="30">
        <v>26.027708553113921</v>
      </c>
      <c r="AA107" s="29" t="s">
        <v>167</v>
      </c>
      <c r="AB107" s="29" t="s">
        <v>4574</v>
      </c>
      <c r="AC107" s="39"/>
      <c r="AD107" s="39"/>
    </row>
    <row r="108" spans="1:30" ht="58" customHeight="1">
      <c r="A108" s="1" t="s">
        <v>1262</v>
      </c>
      <c r="B108" s="1">
        <v>108</v>
      </c>
      <c r="C108" s="1" t="s">
        <v>3312</v>
      </c>
      <c r="D108" s="29" t="s">
        <v>419</v>
      </c>
      <c r="E108" s="29" t="s">
        <v>837</v>
      </c>
      <c r="F108" s="1" t="s">
        <v>848</v>
      </c>
      <c r="G108" s="30">
        <v>34.435000000000002</v>
      </c>
      <c r="H108" s="30">
        <v>-118.58199999999999</v>
      </c>
      <c r="I108" s="30">
        <v>34.2057</v>
      </c>
      <c r="J108" s="30">
        <v>-118.5539</v>
      </c>
      <c r="K108" s="30">
        <v>17.5</v>
      </c>
      <c r="L108" s="22">
        <v>31.1</v>
      </c>
      <c r="M108" s="22">
        <f t="shared" si="8"/>
        <v>25.627255502646996</v>
      </c>
      <c r="N108" s="22">
        <f t="shared" si="9"/>
        <v>31.032341590636545</v>
      </c>
      <c r="O108" s="22">
        <f t="shared" si="10"/>
        <v>6.7658409363456684E-2</v>
      </c>
      <c r="P108" s="22">
        <f t="shared" si="11"/>
        <v>0.21802547244411424</v>
      </c>
      <c r="Q108" s="22">
        <f t="shared" si="12"/>
        <v>1.5516170795318274</v>
      </c>
      <c r="R108" s="29" t="str">
        <f t="shared" si="13"/>
        <v>Within screening tolerance</v>
      </c>
      <c r="S108" s="29" t="str">
        <f t="shared" si="14"/>
        <v/>
      </c>
      <c r="T108" s="22">
        <v>7.5</v>
      </c>
      <c r="U108" s="29" t="s">
        <v>4573</v>
      </c>
      <c r="V108" s="29" t="str">
        <f t="shared" si="15"/>
        <v>No geometric exceedance</v>
      </c>
      <c r="W108" s="30">
        <v>34.2057</v>
      </c>
      <c r="X108" s="30">
        <v>-118.5539</v>
      </c>
      <c r="Y108" s="30">
        <v>17.5</v>
      </c>
      <c r="Z108" s="30">
        <v>31.032341590636729</v>
      </c>
      <c r="AA108" s="29" t="s">
        <v>167</v>
      </c>
      <c r="AB108" s="29" t="s">
        <v>4574</v>
      </c>
      <c r="AC108" s="39"/>
      <c r="AD108" s="39"/>
    </row>
    <row r="109" spans="1:30" ht="58" customHeight="1">
      <c r="A109" s="1" t="s">
        <v>1262</v>
      </c>
      <c r="B109" s="1">
        <v>109</v>
      </c>
      <c r="C109" s="1" t="s">
        <v>3314</v>
      </c>
      <c r="D109" s="29" t="s">
        <v>419</v>
      </c>
      <c r="E109" s="29" t="s">
        <v>837</v>
      </c>
      <c r="F109" s="1" t="s">
        <v>849</v>
      </c>
      <c r="G109" s="30">
        <v>34.280999999999999</v>
      </c>
      <c r="H109" s="30">
        <v>-118.47799999999999</v>
      </c>
      <c r="I109" s="30">
        <v>34.2057</v>
      </c>
      <c r="J109" s="30">
        <v>-118.5539</v>
      </c>
      <c r="K109" s="30">
        <v>17.5</v>
      </c>
      <c r="L109" s="22">
        <v>20.6</v>
      </c>
      <c r="M109" s="22">
        <f t="shared" si="8"/>
        <v>10.898684104627439</v>
      </c>
      <c r="N109" s="22">
        <f t="shared" si="9"/>
        <v>20.616287619560872</v>
      </c>
      <c r="O109" s="22">
        <f t="shared" si="10"/>
        <v>-1.6287619560870326E-2</v>
      </c>
      <c r="P109" s="22">
        <f t="shared" si="11"/>
        <v>-7.9003649257476036E-2</v>
      </c>
      <c r="Q109" s="22">
        <f t="shared" si="12"/>
        <v>1.0308143809780437</v>
      </c>
      <c r="R109" s="29" t="str">
        <f t="shared" si="13"/>
        <v>Within screening tolerance</v>
      </c>
      <c r="S109" s="29" t="str">
        <f t="shared" si="14"/>
        <v/>
      </c>
      <c r="T109" s="22">
        <v>6.5</v>
      </c>
      <c r="U109" s="29" t="s">
        <v>4573</v>
      </c>
      <c r="V109" s="29" t="str">
        <f t="shared" si="15"/>
        <v>No geometric exceedance</v>
      </c>
      <c r="W109" s="30">
        <v>34.2057</v>
      </c>
      <c r="X109" s="30">
        <v>-118.5539</v>
      </c>
      <c r="Y109" s="30">
        <v>17.5</v>
      </c>
      <c r="Z109" s="30">
        <v>20.616287619561145</v>
      </c>
      <c r="AA109" s="29" t="s">
        <v>167</v>
      </c>
      <c r="AB109" s="29" t="s">
        <v>4574</v>
      </c>
      <c r="AC109" s="39"/>
      <c r="AD109" s="39"/>
    </row>
    <row r="110" spans="1:30" ht="58" customHeight="1">
      <c r="A110" s="1" t="s">
        <v>1262</v>
      </c>
      <c r="B110" s="1">
        <v>110</v>
      </c>
      <c r="C110" s="1" t="s">
        <v>3316</v>
      </c>
      <c r="D110" s="29" t="s">
        <v>419</v>
      </c>
      <c r="E110" s="29" t="s">
        <v>837</v>
      </c>
      <c r="F110" s="1" t="s">
        <v>850</v>
      </c>
      <c r="G110" s="30">
        <v>34.311</v>
      </c>
      <c r="H110" s="30">
        <v>-118.49</v>
      </c>
      <c r="I110" s="30">
        <v>34.2057</v>
      </c>
      <c r="J110" s="30">
        <v>-118.5539</v>
      </c>
      <c r="K110" s="30">
        <v>17.5</v>
      </c>
      <c r="L110" s="22">
        <v>21.9</v>
      </c>
      <c r="M110" s="22">
        <f t="shared" si="8"/>
        <v>13.099021972480296</v>
      </c>
      <c r="N110" s="22">
        <f t="shared" si="9"/>
        <v>21.859423062732503</v>
      </c>
      <c r="O110" s="22">
        <f t="shared" si="10"/>
        <v>4.0576937267495339E-2</v>
      </c>
      <c r="P110" s="22">
        <f t="shared" si="11"/>
        <v>0.18562675305312051</v>
      </c>
      <c r="Q110" s="22">
        <f t="shared" si="12"/>
        <v>1.0929711531366253</v>
      </c>
      <c r="R110" s="29" t="str">
        <f t="shared" si="13"/>
        <v>Within screening tolerance</v>
      </c>
      <c r="S110" s="29" t="str">
        <f t="shared" si="14"/>
        <v/>
      </c>
      <c r="T110" s="22">
        <v>5.3</v>
      </c>
      <c r="U110" s="29" t="s">
        <v>4573</v>
      </c>
      <c r="V110" s="29" t="str">
        <f t="shared" si="15"/>
        <v>No geometric exceedance</v>
      </c>
      <c r="W110" s="30">
        <v>34.2057</v>
      </c>
      <c r="X110" s="30">
        <v>-118.5539</v>
      </c>
      <c r="Y110" s="30">
        <v>17.5</v>
      </c>
      <c r="Z110" s="30">
        <v>21.859423062732688</v>
      </c>
      <c r="AA110" s="29" t="s">
        <v>167</v>
      </c>
      <c r="AB110" s="29" t="s">
        <v>4574</v>
      </c>
      <c r="AC110" s="39"/>
      <c r="AD110" s="39"/>
    </row>
    <row r="111" spans="1:30" ht="58" customHeight="1">
      <c r="A111" s="1" t="s">
        <v>1262</v>
      </c>
      <c r="B111" s="1">
        <v>111</v>
      </c>
      <c r="C111" s="1" t="s">
        <v>3318</v>
      </c>
      <c r="D111" s="29" t="s">
        <v>419</v>
      </c>
      <c r="E111" s="29" t="s">
        <v>837</v>
      </c>
      <c r="F111" s="1" t="s">
        <v>851</v>
      </c>
      <c r="G111" s="30">
        <v>34.311999999999998</v>
      </c>
      <c r="H111" s="30">
        <v>-118.48099999999999</v>
      </c>
      <c r="I111" s="30">
        <v>34.2057</v>
      </c>
      <c r="J111" s="30">
        <v>-118.5539</v>
      </c>
      <c r="K111" s="30">
        <v>17.5</v>
      </c>
      <c r="L111" s="22">
        <v>22.2</v>
      </c>
      <c r="M111" s="22">
        <f t="shared" si="8"/>
        <v>13.586726694523419</v>
      </c>
      <c r="N111" s="22">
        <f t="shared" si="9"/>
        <v>22.155115487662783</v>
      </c>
      <c r="O111" s="22">
        <f t="shared" si="10"/>
        <v>4.4884512337215909E-2</v>
      </c>
      <c r="P111" s="22">
        <f t="shared" si="11"/>
        <v>0.20259209374110523</v>
      </c>
      <c r="Q111" s="22">
        <f t="shared" si="12"/>
        <v>1.1077557743831392</v>
      </c>
      <c r="R111" s="29" t="str">
        <f t="shared" si="13"/>
        <v>Within screening tolerance</v>
      </c>
      <c r="S111" s="29" t="str">
        <f t="shared" si="14"/>
        <v/>
      </c>
      <c r="T111" s="22">
        <v>5.2</v>
      </c>
      <c r="U111" s="29" t="s">
        <v>4573</v>
      </c>
      <c r="V111" s="29" t="str">
        <f t="shared" si="15"/>
        <v>No geometric exceedance</v>
      </c>
      <c r="W111" s="30">
        <v>34.2057</v>
      </c>
      <c r="X111" s="30">
        <v>-118.5539</v>
      </c>
      <c r="Y111" s="30">
        <v>17.5</v>
      </c>
      <c r="Z111" s="30">
        <v>22.15511548766295</v>
      </c>
      <c r="AA111" s="29" t="s">
        <v>167</v>
      </c>
      <c r="AB111" s="29" t="s">
        <v>4574</v>
      </c>
      <c r="AC111" s="39"/>
      <c r="AD111" s="39"/>
    </row>
    <row r="112" spans="1:30" ht="58" customHeight="1">
      <c r="A112" s="1" t="s">
        <v>1262</v>
      </c>
      <c r="B112" s="1">
        <v>112</v>
      </c>
      <c r="C112" s="1" t="s">
        <v>3320</v>
      </c>
      <c r="D112" s="29" t="s">
        <v>419</v>
      </c>
      <c r="E112" s="29" t="s">
        <v>837</v>
      </c>
      <c r="F112" s="1" t="s">
        <v>852</v>
      </c>
      <c r="G112" s="30">
        <v>34.326000000000001</v>
      </c>
      <c r="H112" s="30">
        <v>-118.444</v>
      </c>
      <c r="I112" s="30">
        <v>34.2057</v>
      </c>
      <c r="J112" s="30">
        <v>-118.5539</v>
      </c>
      <c r="K112" s="30">
        <v>17.5</v>
      </c>
      <c r="L112" s="22">
        <v>24.2</v>
      </c>
      <c r="M112" s="22">
        <f t="shared" si="8"/>
        <v>16.761055943559843</v>
      </c>
      <c r="N112" s="22">
        <f t="shared" si="9"/>
        <v>24.231859118588957</v>
      </c>
      <c r="O112" s="22">
        <f t="shared" si="10"/>
        <v>-3.1859118588958069E-2</v>
      </c>
      <c r="P112" s="22">
        <f t="shared" si="11"/>
        <v>-0.13147616298461401</v>
      </c>
      <c r="Q112" s="22">
        <f t="shared" si="12"/>
        <v>1.211592955929448</v>
      </c>
      <c r="R112" s="29" t="str">
        <f t="shared" si="13"/>
        <v>Within screening tolerance</v>
      </c>
      <c r="S112" s="29" t="str">
        <f t="shared" si="14"/>
        <v/>
      </c>
      <c r="T112" s="22">
        <v>5.3</v>
      </c>
      <c r="U112" s="29" t="s">
        <v>4573</v>
      </c>
      <c r="V112" s="29" t="str">
        <f t="shared" si="15"/>
        <v>No geometric exceedance</v>
      </c>
      <c r="W112" s="30">
        <v>34.2057</v>
      </c>
      <c r="X112" s="30">
        <v>-118.5539</v>
      </c>
      <c r="Y112" s="30">
        <v>17.5</v>
      </c>
      <c r="Z112" s="30">
        <v>24.231859118589053</v>
      </c>
      <c r="AA112" s="29" t="s">
        <v>167</v>
      </c>
      <c r="AB112" s="29" t="s">
        <v>4574</v>
      </c>
      <c r="AC112" s="39"/>
      <c r="AD112" s="39"/>
    </row>
    <row r="113" spans="1:30" ht="58" customHeight="1">
      <c r="A113" s="1" t="s">
        <v>1262</v>
      </c>
      <c r="B113" s="1">
        <v>113</v>
      </c>
      <c r="C113" s="1" t="s">
        <v>3322</v>
      </c>
      <c r="D113" s="29" t="s">
        <v>426</v>
      </c>
      <c r="E113" s="29" t="s">
        <v>853</v>
      </c>
      <c r="F113" s="1" t="s">
        <v>854</v>
      </c>
      <c r="G113" s="30">
        <v>34.683300000000003</v>
      </c>
      <c r="H113" s="30">
        <v>135.18</v>
      </c>
      <c r="I113" s="30">
        <v>34.595999999999997</v>
      </c>
      <c r="J113" s="30">
        <v>135.011</v>
      </c>
      <c r="K113" s="30">
        <v>17.899999999999999</v>
      </c>
      <c r="L113" s="22">
        <v>25.6</v>
      </c>
      <c r="M113" s="22">
        <f t="shared" si="8"/>
        <v>18.255755285111835</v>
      </c>
      <c r="N113" s="22">
        <f t="shared" si="9"/>
        <v>25.567217311038931</v>
      </c>
      <c r="O113" s="22">
        <f t="shared" si="10"/>
        <v>3.2782688961070505E-2</v>
      </c>
      <c r="P113" s="22">
        <f t="shared" si="11"/>
        <v>0.128221575943332</v>
      </c>
      <c r="Q113" s="22">
        <f t="shared" si="12"/>
        <v>1.2783608655519467</v>
      </c>
      <c r="R113" s="29" t="str">
        <f t="shared" si="13"/>
        <v>Within screening tolerance</v>
      </c>
      <c r="S113" s="29" t="str">
        <f t="shared" si="14"/>
        <v/>
      </c>
      <c r="T113" s="22">
        <v>1</v>
      </c>
      <c r="U113" s="29" t="s">
        <v>4573</v>
      </c>
      <c r="V113" s="29" t="str">
        <f t="shared" si="15"/>
        <v>No geometric exceedance</v>
      </c>
      <c r="W113" s="30">
        <v>34.595999999999997</v>
      </c>
      <c r="X113" s="30">
        <v>135.011</v>
      </c>
      <c r="Y113" s="30">
        <v>17.899999999999999</v>
      </c>
      <c r="Z113" s="30">
        <v>25.567217311038892</v>
      </c>
      <c r="AA113" s="29" t="s">
        <v>167</v>
      </c>
      <c r="AB113" s="29" t="s">
        <v>4574</v>
      </c>
      <c r="AC113" s="39"/>
      <c r="AD113" s="39"/>
    </row>
    <row r="114" spans="1:30" ht="58" customHeight="1">
      <c r="A114" s="1" t="s">
        <v>1262</v>
      </c>
      <c r="B114" s="1">
        <v>114</v>
      </c>
      <c r="C114" s="1" t="s">
        <v>3324</v>
      </c>
      <c r="D114" s="29" t="s">
        <v>426</v>
      </c>
      <c r="E114" s="29" t="s">
        <v>853</v>
      </c>
      <c r="F114" s="1" t="s">
        <v>855</v>
      </c>
      <c r="G114" s="30">
        <v>34.67</v>
      </c>
      <c r="H114" s="30">
        <v>135.20099999999999</v>
      </c>
      <c r="I114" s="30">
        <v>34.595999999999997</v>
      </c>
      <c r="J114" s="30">
        <v>135.011</v>
      </c>
      <c r="K114" s="30">
        <v>17.899999999999999</v>
      </c>
      <c r="L114" s="22">
        <v>26.3</v>
      </c>
      <c r="M114" s="22">
        <f t="shared" si="8"/>
        <v>19.23261599336433</v>
      </c>
      <c r="N114" s="22">
        <f t="shared" si="9"/>
        <v>26.273627803335675</v>
      </c>
      <c r="O114" s="22">
        <f t="shared" si="10"/>
        <v>2.6372196664325998E-2</v>
      </c>
      <c r="P114" s="22">
        <f t="shared" si="11"/>
        <v>0.10037516273629259</v>
      </c>
      <c r="Q114" s="22">
        <f t="shared" si="12"/>
        <v>1.3136813901667839</v>
      </c>
      <c r="R114" s="29" t="str">
        <f t="shared" si="13"/>
        <v>Within screening tolerance</v>
      </c>
      <c r="S114" s="29" t="str">
        <f t="shared" si="14"/>
        <v/>
      </c>
      <c r="T114" s="22">
        <v>3.3</v>
      </c>
      <c r="U114" s="29" t="s">
        <v>4573</v>
      </c>
      <c r="V114" s="29" t="str">
        <f t="shared" si="15"/>
        <v>No geometric exceedance</v>
      </c>
      <c r="W114" s="30">
        <v>34.595999999999997</v>
      </c>
      <c r="X114" s="30">
        <v>135.011</v>
      </c>
      <c r="Y114" s="30">
        <v>17.899999999999999</v>
      </c>
      <c r="Z114" s="30">
        <v>26.273627803335643</v>
      </c>
      <c r="AA114" s="29" t="s">
        <v>167</v>
      </c>
      <c r="AB114" s="29" t="s">
        <v>4574</v>
      </c>
      <c r="AC114" s="39"/>
      <c r="AD114" s="39"/>
    </row>
    <row r="115" spans="1:30" ht="58" customHeight="1">
      <c r="A115" s="1" t="s">
        <v>1262</v>
      </c>
      <c r="B115" s="1">
        <v>115</v>
      </c>
      <c r="C115" s="1" t="s">
        <v>3326</v>
      </c>
      <c r="D115" s="29" t="s">
        <v>426</v>
      </c>
      <c r="E115" s="29" t="s">
        <v>853</v>
      </c>
      <c r="F115" s="1" t="s">
        <v>856</v>
      </c>
      <c r="G115" s="30">
        <v>34.808999999999997</v>
      </c>
      <c r="H115" s="30">
        <v>135.34399999999999</v>
      </c>
      <c r="I115" s="30">
        <v>34.595999999999997</v>
      </c>
      <c r="J115" s="30">
        <v>135.011</v>
      </c>
      <c r="K115" s="30">
        <v>17.899999999999999</v>
      </c>
      <c r="L115" s="22">
        <v>42.5</v>
      </c>
      <c r="M115" s="22">
        <f t="shared" si="8"/>
        <v>38.569796213987864</v>
      </c>
      <c r="N115" s="22">
        <f t="shared" si="9"/>
        <v>42.521043966353325</v>
      </c>
      <c r="O115" s="22">
        <f t="shared" si="10"/>
        <v>-2.1043966353325061E-2</v>
      </c>
      <c r="P115" s="22">
        <f t="shared" si="11"/>
        <v>-4.9490709517802621E-2</v>
      </c>
      <c r="Q115" s="22">
        <f t="shared" si="12"/>
        <v>2.1260521983176663</v>
      </c>
      <c r="R115" s="29" t="str">
        <f t="shared" si="13"/>
        <v>Within screening tolerance</v>
      </c>
      <c r="S115" s="29" t="str">
        <f t="shared" si="14"/>
        <v/>
      </c>
      <c r="T115" s="22">
        <v>0.3</v>
      </c>
      <c r="U115" s="29" t="s">
        <v>4573</v>
      </c>
      <c r="V115" s="29" t="str">
        <f t="shared" si="15"/>
        <v>No geometric exceedance</v>
      </c>
      <c r="W115" s="30">
        <v>34.595999999999997</v>
      </c>
      <c r="X115" s="30">
        <v>135.011</v>
      </c>
      <c r="Y115" s="30">
        <v>17.899999999999999</v>
      </c>
      <c r="Z115" s="30">
        <v>42.521043966353545</v>
      </c>
      <c r="AA115" s="29" t="s">
        <v>167</v>
      </c>
      <c r="AB115" s="29" t="s">
        <v>4574</v>
      </c>
      <c r="AC115" s="39"/>
      <c r="AD115" s="39"/>
    </row>
    <row r="116" spans="1:30" ht="58" customHeight="1">
      <c r="A116" s="1" t="s">
        <v>1262</v>
      </c>
      <c r="B116" s="1">
        <v>116</v>
      </c>
      <c r="C116" s="1" t="s">
        <v>3328</v>
      </c>
      <c r="D116" s="29" t="s">
        <v>426</v>
      </c>
      <c r="E116" s="29" t="s">
        <v>853</v>
      </c>
      <c r="F116" s="1" t="s">
        <v>857</v>
      </c>
      <c r="G116" s="30">
        <v>34.649000000000001</v>
      </c>
      <c r="H116" s="30">
        <v>135.13900000000001</v>
      </c>
      <c r="I116" s="30">
        <v>34.595999999999997</v>
      </c>
      <c r="J116" s="30">
        <v>135.011</v>
      </c>
      <c r="K116" s="30">
        <v>17.899999999999999</v>
      </c>
      <c r="L116" s="22">
        <v>22.2</v>
      </c>
      <c r="M116" s="22">
        <f t="shared" si="8"/>
        <v>13.111582804592896</v>
      </c>
      <c r="N116" s="22">
        <f t="shared" si="9"/>
        <v>22.188366403178403</v>
      </c>
      <c r="O116" s="22">
        <f t="shared" si="10"/>
        <v>1.163359682159637E-2</v>
      </c>
      <c r="P116" s="22">
        <f t="shared" si="11"/>
        <v>5.2431065046455602E-2</v>
      </c>
      <c r="Q116" s="22">
        <f t="shared" si="12"/>
        <v>1.1094183201589203</v>
      </c>
      <c r="R116" s="29" t="str">
        <f t="shared" si="13"/>
        <v>Within screening tolerance</v>
      </c>
      <c r="S116" s="29" t="str">
        <f t="shared" si="14"/>
        <v/>
      </c>
      <c r="T116" s="22">
        <v>1.5</v>
      </c>
      <c r="U116" s="29" t="s">
        <v>4573</v>
      </c>
      <c r="V116" s="29" t="str">
        <f t="shared" si="15"/>
        <v>No geometric exceedance</v>
      </c>
      <c r="W116" s="30">
        <v>34.595999999999997</v>
      </c>
      <c r="X116" s="30">
        <v>135.011</v>
      </c>
      <c r="Y116" s="30">
        <v>17.899999999999999</v>
      </c>
      <c r="Z116" s="30">
        <v>22.188366403178513</v>
      </c>
      <c r="AA116" s="29" t="s">
        <v>167</v>
      </c>
      <c r="AB116" s="29" t="s">
        <v>4574</v>
      </c>
      <c r="AC116" s="39"/>
      <c r="AD116" s="39"/>
    </row>
    <row r="117" spans="1:30" ht="58" customHeight="1">
      <c r="A117" s="1" t="s">
        <v>1262</v>
      </c>
      <c r="B117" s="1">
        <v>117</v>
      </c>
      <c r="C117" s="1" t="s">
        <v>3330</v>
      </c>
      <c r="D117" s="29" t="s">
        <v>426</v>
      </c>
      <c r="E117" s="29" t="s">
        <v>853</v>
      </c>
      <c r="F117" s="1" t="s">
        <v>858</v>
      </c>
      <c r="G117" s="30"/>
      <c r="H117" s="30"/>
      <c r="I117" s="30">
        <v>34.595999999999997</v>
      </c>
      <c r="J117" s="30">
        <v>135.011</v>
      </c>
      <c r="K117" s="30">
        <v>17.899999999999999</v>
      </c>
      <c r="L117" s="22">
        <v>26.3</v>
      </c>
      <c r="M117" s="22" t="str">
        <f t="shared" si="8"/>
        <v/>
      </c>
      <c r="N117" s="22" t="str">
        <f t="shared" si="9"/>
        <v/>
      </c>
      <c r="O117" s="22" t="str">
        <f t="shared" si="10"/>
        <v/>
      </c>
      <c r="P117" s="22" t="str">
        <f t="shared" si="11"/>
        <v/>
      </c>
      <c r="Q117" s="22" t="str">
        <f t="shared" si="12"/>
        <v/>
      </c>
      <c r="R117" s="29" t="str">
        <f t="shared" si="13"/>
        <v>Missing station coordinates</v>
      </c>
      <c r="S117" s="29" t="str">
        <f t="shared" si="14"/>
        <v/>
      </c>
      <c r="T117" s="22">
        <v>3.3</v>
      </c>
      <c r="U117" s="29" t="s">
        <v>4573</v>
      </c>
      <c r="V117" s="29" t="str">
        <f t="shared" si="15"/>
        <v>Cannot check without coordinates</v>
      </c>
      <c r="W117" s="30">
        <v>34.595999999999997</v>
      </c>
      <c r="X117" s="30">
        <v>135.011</v>
      </c>
      <c r="Y117" s="30">
        <v>17.899999999999999</v>
      </c>
      <c r="Z117" s="30"/>
      <c r="AA117" s="29" t="s">
        <v>167</v>
      </c>
      <c r="AB117" s="29" t="s">
        <v>4575</v>
      </c>
      <c r="AC117" s="39"/>
      <c r="AD117" s="39"/>
    </row>
    <row r="118" spans="1:30" ht="58" customHeight="1">
      <c r="A118" s="1" t="s">
        <v>1262</v>
      </c>
      <c r="B118" s="1">
        <v>118</v>
      </c>
      <c r="C118" s="1" t="s">
        <v>3332</v>
      </c>
      <c r="D118" s="29" t="s">
        <v>433</v>
      </c>
      <c r="E118" s="29" t="s">
        <v>434</v>
      </c>
      <c r="F118" s="1" t="s">
        <v>859</v>
      </c>
      <c r="G118" s="30">
        <v>39.496000000000002</v>
      </c>
      <c r="H118" s="30">
        <v>76.739000000000004</v>
      </c>
      <c r="I118" s="30">
        <v>39.555700000000002</v>
      </c>
      <c r="J118" s="30">
        <v>76.947699999999998</v>
      </c>
      <c r="K118" s="30">
        <v>20</v>
      </c>
      <c r="L118" s="22">
        <v>27.7</v>
      </c>
      <c r="M118" s="22">
        <f t="shared" si="8"/>
        <v>19.091243906766714</v>
      </c>
      <c r="N118" s="22">
        <f t="shared" si="9"/>
        <v>27.649151775554657</v>
      </c>
      <c r="O118" s="22">
        <f t="shared" si="10"/>
        <v>5.0848224445342538E-2</v>
      </c>
      <c r="P118" s="22">
        <f t="shared" si="11"/>
        <v>0.18390518760976526</v>
      </c>
      <c r="Q118" s="22">
        <f t="shared" si="12"/>
        <v>1.3824575887777328</v>
      </c>
      <c r="R118" s="29" t="str">
        <f t="shared" si="13"/>
        <v>Within screening tolerance</v>
      </c>
      <c r="S118" s="29" t="str">
        <f t="shared" si="14"/>
        <v/>
      </c>
      <c r="T118" s="22">
        <v>17.7</v>
      </c>
      <c r="U118" s="29" t="s">
        <v>4573</v>
      </c>
      <c r="V118" s="29" t="str">
        <f t="shared" si="15"/>
        <v>No geometric exceedance</v>
      </c>
      <c r="W118" s="30">
        <v>39.555700000000002</v>
      </c>
      <c r="X118" s="30">
        <v>76.947699999999998</v>
      </c>
      <c r="Y118" s="30">
        <v>20</v>
      </c>
      <c r="Z118" s="30">
        <v>27.649151775554657</v>
      </c>
      <c r="AA118" s="29" t="s">
        <v>167</v>
      </c>
      <c r="AB118" s="29" t="s">
        <v>4574</v>
      </c>
      <c r="AC118" s="39"/>
      <c r="AD118" s="39"/>
    </row>
    <row r="119" spans="1:30" ht="58" customHeight="1">
      <c r="A119" s="1" t="s">
        <v>1262</v>
      </c>
      <c r="B119" s="1">
        <v>119</v>
      </c>
      <c r="C119" s="1" t="s">
        <v>3334</v>
      </c>
      <c r="D119" s="29" t="s">
        <v>211</v>
      </c>
      <c r="E119" s="29" t="s">
        <v>860</v>
      </c>
      <c r="F119" s="1" t="s">
        <v>861</v>
      </c>
      <c r="G119" s="30">
        <v>23.581499999999998</v>
      </c>
      <c r="H119" s="30">
        <v>120.55200000000001</v>
      </c>
      <c r="I119" s="30">
        <v>23.85</v>
      </c>
      <c r="J119" s="30">
        <v>120.82</v>
      </c>
      <c r="K119" s="30">
        <v>8</v>
      </c>
      <c r="L119" s="22">
        <v>41.3</v>
      </c>
      <c r="M119" s="22">
        <f t="shared" si="8"/>
        <v>40.44462164016781</v>
      </c>
      <c r="N119" s="22">
        <f t="shared" si="9"/>
        <v>41.228235708265885</v>
      </c>
      <c r="O119" s="22">
        <f t="shared" si="10"/>
        <v>7.1764291734112362E-2</v>
      </c>
      <c r="P119" s="22">
        <f t="shared" si="11"/>
        <v>0.1740658810673392</v>
      </c>
      <c r="Q119" s="22">
        <f t="shared" si="12"/>
        <v>2.0614117854132945</v>
      </c>
      <c r="R119" s="29" t="str">
        <f t="shared" si="13"/>
        <v>Within screening tolerance</v>
      </c>
      <c r="S119" s="29" t="str">
        <f t="shared" si="14"/>
        <v/>
      </c>
      <c r="T119" s="22">
        <v>9.8000000000000007</v>
      </c>
      <c r="U119" s="29" t="s">
        <v>4573</v>
      </c>
      <c r="V119" s="29" t="str">
        <f t="shared" si="15"/>
        <v>No geometric exceedance</v>
      </c>
      <c r="W119" s="30">
        <v>23.85</v>
      </c>
      <c r="X119" s="30">
        <v>120.82</v>
      </c>
      <c r="Y119" s="30">
        <v>8</v>
      </c>
      <c r="Z119" s="30">
        <v>41.228235708265878</v>
      </c>
      <c r="AA119" s="29" t="s">
        <v>167</v>
      </c>
      <c r="AB119" s="29" t="s">
        <v>4574</v>
      </c>
      <c r="AC119" s="39"/>
      <c r="AD119" s="39"/>
    </row>
    <row r="120" spans="1:30" ht="58" customHeight="1">
      <c r="A120" s="1" t="s">
        <v>1262</v>
      </c>
      <c r="B120" s="1">
        <v>120</v>
      </c>
      <c r="C120" s="1" t="s">
        <v>3336</v>
      </c>
      <c r="D120" s="29" t="s">
        <v>211</v>
      </c>
      <c r="E120" s="29" t="s">
        <v>860</v>
      </c>
      <c r="F120" s="1" t="s">
        <v>864</v>
      </c>
      <c r="G120" s="30">
        <v>23.757000000000001</v>
      </c>
      <c r="H120" s="30">
        <v>120.6062</v>
      </c>
      <c r="I120" s="30">
        <v>23.85</v>
      </c>
      <c r="J120" s="30">
        <v>120.82</v>
      </c>
      <c r="K120" s="30">
        <v>8</v>
      </c>
      <c r="L120" s="22">
        <v>25.4</v>
      </c>
      <c r="M120" s="22">
        <f t="shared" si="8"/>
        <v>24.084283811672393</v>
      </c>
      <c r="N120" s="22">
        <f t="shared" si="9"/>
        <v>25.378193921577335</v>
      </c>
      <c r="O120" s="22">
        <f t="shared" si="10"/>
        <v>2.1806078422663688E-2</v>
      </c>
      <c r="P120" s="22">
        <f t="shared" si="11"/>
        <v>8.5924469211827864E-2</v>
      </c>
      <c r="Q120" s="22">
        <f t="shared" si="12"/>
        <v>1.2689096960788668</v>
      </c>
      <c r="R120" s="29" t="str">
        <f t="shared" si="13"/>
        <v>Within screening tolerance</v>
      </c>
      <c r="S120" s="29" t="str">
        <f t="shared" si="14"/>
        <v/>
      </c>
      <c r="T120" s="22">
        <v>9.6</v>
      </c>
      <c r="U120" s="29" t="s">
        <v>4573</v>
      </c>
      <c r="V120" s="29" t="str">
        <f t="shared" si="15"/>
        <v>No geometric exceedance</v>
      </c>
      <c r="W120" s="30">
        <v>23.85</v>
      </c>
      <c r="X120" s="30">
        <v>120.82</v>
      </c>
      <c r="Y120" s="30">
        <v>8</v>
      </c>
      <c r="Z120" s="30">
        <v>25.378193921577303</v>
      </c>
      <c r="AA120" s="29" t="s">
        <v>167</v>
      </c>
      <c r="AB120" s="29" t="s">
        <v>4574</v>
      </c>
      <c r="AC120" s="39"/>
      <c r="AD120" s="39"/>
    </row>
    <row r="121" spans="1:30" ht="58" customHeight="1">
      <c r="A121" s="1" t="s">
        <v>1262</v>
      </c>
      <c r="B121" s="1">
        <v>121</v>
      </c>
      <c r="C121" s="1" t="s">
        <v>3338</v>
      </c>
      <c r="D121" s="29" t="s">
        <v>211</v>
      </c>
      <c r="E121" s="29" t="s">
        <v>860</v>
      </c>
      <c r="F121" s="1" t="s">
        <v>865</v>
      </c>
      <c r="G121" s="30">
        <v>23.686199999999999</v>
      </c>
      <c r="H121" s="30">
        <v>120.5622</v>
      </c>
      <c r="I121" s="30">
        <v>23.85</v>
      </c>
      <c r="J121" s="30">
        <v>120.82</v>
      </c>
      <c r="K121" s="30">
        <v>8</v>
      </c>
      <c r="L121" s="22">
        <v>33</v>
      </c>
      <c r="M121" s="22">
        <f t="shared" si="8"/>
        <v>31.937429845159453</v>
      </c>
      <c r="N121" s="22">
        <f t="shared" si="9"/>
        <v>32.924146535855442</v>
      </c>
      <c r="O121" s="22">
        <f t="shared" si="10"/>
        <v>7.5853464144557847E-2</v>
      </c>
      <c r="P121" s="22">
        <f t="shared" si="11"/>
        <v>0.23038855103487957</v>
      </c>
      <c r="Q121" s="22">
        <f t="shared" si="12"/>
        <v>1.6462073267927722</v>
      </c>
      <c r="R121" s="29" t="str">
        <f t="shared" si="13"/>
        <v>Within screening tolerance</v>
      </c>
      <c r="S121" s="29" t="str">
        <f t="shared" si="14"/>
        <v/>
      </c>
      <c r="T121" s="22">
        <v>9.9</v>
      </c>
      <c r="U121" s="29" t="s">
        <v>4573</v>
      </c>
      <c r="V121" s="29" t="str">
        <f t="shared" si="15"/>
        <v>No geometric exceedance</v>
      </c>
      <c r="W121" s="30">
        <v>23.85</v>
      </c>
      <c r="X121" s="30">
        <v>120.82</v>
      </c>
      <c r="Y121" s="30">
        <v>8</v>
      </c>
      <c r="Z121" s="30">
        <v>32.924146535855506</v>
      </c>
      <c r="AA121" s="29" t="s">
        <v>167</v>
      </c>
      <c r="AB121" s="29" t="s">
        <v>4574</v>
      </c>
      <c r="AC121" s="39"/>
      <c r="AD121" s="39"/>
    </row>
    <row r="122" spans="1:30" ht="58" customHeight="1">
      <c r="A122" s="1" t="s">
        <v>1262</v>
      </c>
      <c r="B122" s="1">
        <v>122</v>
      </c>
      <c r="C122" s="1" t="s">
        <v>3340</v>
      </c>
      <c r="D122" s="29" t="s">
        <v>211</v>
      </c>
      <c r="E122" s="29" t="s">
        <v>860</v>
      </c>
      <c r="F122" s="1" t="s">
        <v>866</v>
      </c>
      <c r="G122" s="30">
        <v>24.6312</v>
      </c>
      <c r="H122" s="30">
        <v>121.0005</v>
      </c>
      <c r="I122" s="30">
        <v>23.85</v>
      </c>
      <c r="J122" s="30">
        <v>120.82</v>
      </c>
      <c r="K122" s="30">
        <v>8</v>
      </c>
      <c r="L122" s="22">
        <v>89.2</v>
      </c>
      <c r="M122" s="22">
        <f t="shared" si="8"/>
        <v>88.772353383338654</v>
      </c>
      <c r="N122" s="22">
        <f t="shared" si="9"/>
        <v>89.132097053846749</v>
      </c>
      <c r="O122" s="22">
        <f t="shared" si="10"/>
        <v>6.7902946153253652E-2</v>
      </c>
      <c r="P122" s="22">
        <f t="shared" si="11"/>
        <v>7.6182372453586417E-2</v>
      </c>
      <c r="Q122" s="22">
        <f t="shared" si="12"/>
        <v>4.4566048526923376</v>
      </c>
      <c r="R122" s="29" t="str">
        <f t="shared" si="13"/>
        <v>Within screening tolerance</v>
      </c>
      <c r="S122" s="29" t="str">
        <f t="shared" si="14"/>
        <v/>
      </c>
      <c r="T122" s="22">
        <v>38.4</v>
      </c>
      <c r="U122" s="29" t="s">
        <v>4573</v>
      </c>
      <c r="V122" s="29" t="str">
        <f t="shared" si="15"/>
        <v>No geometric exceedance</v>
      </c>
      <c r="W122" s="30">
        <v>23.85</v>
      </c>
      <c r="X122" s="30">
        <v>120.82</v>
      </c>
      <c r="Y122" s="30">
        <v>8</v>
      </c>
      <c r="Z122" s="30">
        <v>89.132097053846806</v>
      </c>
      <c r="AA122" s="29" t="s">
        <v>167</v>
      </c>
      <c r="AB122" s="29" t="s">
        <v>4574</v>
      </c>
      <c r="AC122" s="39"/>
      <c r="AD122" s="39"/>
    </row>
    <row r="123" spans="1:30" ht="58" customHeight="1">
      <c r="A123" s="1" t="s">
        <v>1262</v>
      </c>
      <c r="B123" s="1">
        <v>123</v>
      </c>
      <c r="C123" s="1" t="s">
        <v>3342</v>
      </c>
      <c r="D123" s="29" t="s">
        <v>211</v>
      </c>
      <c r="E123" s="29" t="s">
        <v>860</v>
      </c>
      <c r="F123" s="1" t="s">
        <v>867</v>
      </c>
      <c r="G123" s="30">
        <v>24.4162</v>
      </c>
      <c r="H123" s="30">
        <v>120.7607</v>
      </c>
      <c r="I123" s="30">
        <v>23.85</v>
      </c>
      <c r="J123" s="30">
        <v>120.82</v>
      </c>
      <c r="K123" s="30">
        <v>8</v>
      </c>
      <c r="L123" s="22">
        <v>63.8</v>
      </c>
      <c r="M123" s="22">
        <f t="shared" si="8"/>
        <v>63.245486597221806</v>
      </c>
      <c r="N123" s="22">
        <f t="shared" si="9"/>
        <v>63.749443722430733</v>
      </c>
      <c r="O123" s="22">
        <f t="shared" si="10"/>
        <v>5.0556277569263841E-2</v>
      </c>
      <c r="P123" s="22">
        <f t="shared" si="11"/>
        <v>7.9304656820833125E-2</v>
      </c>
      <c r="Q123" s="22">
        <f t="shared" si="12"/>
        <v>3.1874721861215369</v>
      </c>
      <c r="R123" s="29" t="str">
        <f t="shared" si="13"/>
        <v>Within screening tolerance</v>
      </c>
      <c r="S123" s="29" t="str">
        <f t="shared" si="14"/>
        <v/>
      </c>
      <c r="T123" s="22">
        <v>13.1</v>
      </c>
      <c r="U123" s="29" t="s">
        <v>4573</v>
      </c>
      <c r="V123" s="29" t="str">
        <f t="shared" si="15"/>
        <v>No geometric exceedance</v>
      </c>
      <c r="W123" s="30">
        <v>23.85</v>
      </c>
      <c r="X123" s="30">
        <v>120.82</v>
      </c>
      <c r="Y123" s="30">
        <v>8</v>
      </c>
      <c r="Z123" s="30">
        <v>63.749443722430819</v>
      </c>
      <c r="AA123" s="29" t="s">
        <v>167</v>
      </c>
      <c r="AB123" s="29" t="s">
        <v>4574</v>
      </c>
      <c r="AC123" s="39"/>
      <c r="AD123" s="39"/>
    </row>
    <row r="124" spans="1:30" ht="58" customHeight="1">
      <c r="A124" s="1" t="s">
        <v>1262</v>
      </c>
      <c r="B124" s="1">
        <v>124</v>
      </c>
      <c r="C124" s="1" t="s">
        <v>3344</v>
      </c>
      <c r="D124" s="29" t="s">
        <v>211</v>
      </c>
      <c r="E124" s="29" t="s">
        <v>860</v>
      </c>
      <c r="F124" s="1" t="s">
        <v>868</v>
      </c>
      <c r="G124" s="30">
        <v>24.147500000000001</v>
      </c>
      <c r="H124" s="30">
        <v>120.676</v>
      </c>
      <c r="I124" s="30">
        <v>23.85</v>
      </c>
      <c r="J124" s="30">
        <v>120.82</v>
      </c>
      <c r="K124" s="30">
        <v>8</v>
      </c>
      <c r="L124" s="22">
        <v>37.1</v>
      </c>
      <c r="M124" s="22">
        <f t="shared" si="8"/>
        <v>36.170338697888141</v>
      </c>
      <c r="N124" s="22">
        <f t="shared" si="9"/>
        <v>37.044478691431799</v>
      </c>
      <c r="O124" s="22">
        <f t="shared" si="10"/>
        <v>5.5521308568202699E-2</v>
      </c>
      <c r="P124" s="22">
        <f t="shared" si="11"/>
        <v>0.14987741906338259</v>
      </c>
      <c r="Q124" s="22">
        <f t="shared" si="12"/>
        <v>1.8522239345715901</v>
      </c>
      <c r="R124" s="29" t="str">
        <f t="shared" si="13"/>
        <v>Within screening tolerance</v>
      </c>
      <c r="S124" s="29" t="str">
        <f t="shared" si="14"/>
        <v/>
      </c>
      <c r="T124" s="22">
        <v>5.2</v>
      </c>
      <c r="U124" s="29" t="s">
        <v>4573</v>
      </c>
      <c r="V124" s="29" t="str">
        <f t="shared" si="15"/>
        <v>No geometric exceedance</v>
      </c>
      <c r="W124" s="30">
        <v>23.85</v>
      </c>
      <c r="X124" s="30">
        <v>120.82</v>
      </c>
      <c r="Y124" s="30">
        <v>8</v>
      </c>
      <c r="Z124" s="30">
        <v>37.044478691431912</v>
      </c>
      <c r="AA124" s="29" t="s">
        <v>167</v>
      </c>
      <c r="AB124" s="29" t="s">
        <v>4574</v>
      </c>
      <c r="AC124" s="39"/>
      <c r="AD124" s="39"/>
    </row>
    <row r="125" spans="1:30" ht="58" customHeight="1">
      <c r="A125" s="1" t="s">
        <v>1262</v>
      </c>
      <c r="B125" s="1">
        <v>125</v>
      </c>
      <c r="C125" s="1" t="s">
        <v>3346</v>
      </c>
      <c r="D125" s="29" t="s">
        <v>211</v>
      </c>
      <c r="E125" s="29" t="s">
        <v>860</v>
      </c>
      <c r="F125" s="1" t="s">
        <v>869</v>
      </c>
      <c r="G125" s="30">
        <v>24.911799999999999</v>
      </c>
      <c r="H125" s="30">
        <v>121.1405</v>
      </c>
      <c r="I125" s="30">
        <v>23.85</v>
      </c>
      <c r="J125" s="30">
        <v>120.82</v>
      </c>
      <c r="K125" s="30">
        <v>8</v>
      </c>
      <c r="L125" s="22">
        <v>122.8</v>
      </c>
      <c r="M125" s="22">
        <f t="shared" si="8"/>
        <v>122.44735215234778</v>
      </c>
      <c r="N125" s="22">
        <f t="shared" si="9"/>
        <v>122.70841066985209</v>
      </c>
      <c r="O125" s="22">
        <f t="shared" si="10"/>
        <v>9.1589330147911596E-2</v>
      </c>
      <c r="P125" s="22">
        <f t="shared" si="11"/>
        <v>7.4639814539146296E-2</v>
      </c>
      <c r="Q125" s="22">
        <f t="shared" si="12"/>
        <v>6.1354205334926046</v>
      </c>
      <c r="R125" s="29" t="str">
        <f t="shared" si="13"/>
        <v>Within screening tolerance</v>
      </c>
      <c r="S125" s="29" t="str">
        <f t="shared" si="14"/>
        <v/>
      </c>
      <c r="T125" s="22">
        <v>72.599999999999994</v>
      </c>
      <c r="U125" s="29" t="s">
        <v>4573</v>
      </c>
      <c r="V125" s="29" t="str">
        <f t="shared" si="15"/>
        <v>No geometric exceedance</v>
      </c>
      <c r="W125" s="30">
        <v>23.85</v>
      </c>
      <c r="X125" s="30">
        <v>120.82</v>
      </c>
      <c r="Y125" s="30">
        <v>8</v>
      </c>
      <c r="Z125" s="30">
        <v>122.70841066985193</v>
      </c>
      <c r="AA125" s="29" t="s">
        <v>167</v>
      </c>
      <c r="AB125" s="29" t="s">
        <v>4574</v>
      </c>
      <c r="AC125" s="39"/>
      <c r="AD125" s="39"/>
    </row>
    <row r="126" spans="1:30" ht="58" customHeight="1">
      <c r="A126" s="1" t="s">
        <v>1262</v>
      </c>
      <c r="B126" s="1">
        <v>126</v>
      </c>
      <c r="C126" s="1" t="s">
        <v>3348</v>
      </c>
      <c r="D126" s="29" t="s">
        <v>211</v>
      </c>
      <c r="E126" s="29" t="s">
        <v>860</v>
      </c>
      <c r="F126" s="1" t="s">
        <v>870</v>
      </c>
      <c r="G126" s="30">
        <v>25.046299999999999</v>
      </c>
      <c r="H126" s="30">
        <v>121.3075</v>
      </c>
      <c r="I126" s="30">
        <v>23.85</v>
      </c>
      <c r="J126" s="30">
        <v>120.82</v>
      </c>
      <c r="K126" s="30">
        <v>8</v>
      </c>
      <c r="L126" s="22">
        <v>142.19999999999999</v>
      </c>
      <c r="M126" s="22">
        <f t="shared" si="8"/>
        <v>141.88012820201416</v>
      </c>
      <c r="N126" s="22">
        <f t="shared" si="9"/>
        <v>142.10549172575975</v>
      </c>
      <c r="O126" s="22">
        <f t="shared" si="10"/>
        <v>9.4508274240240553E-2</v>
      </c>
      <c r="P126" s="22">
        <f t="shared" si="11"/>
        <v>6.6505715643013996E-2</v>
      </c>
      <c r="Q126" s="22">
        <f t="shared" si="12"/>
        <v>7.1052745862879876</v>
      </c>
      <c r="R126" s="29" t="str">
        <f t="shared" si="13"/>
        <v>Within screening tolerance</v>
      </c>
      <c r="S126" s="29" t="str">
        <f t="shared" si="14"/>
        <v/>
      </c>
      <c r="T126" s="22">
        <v>92.7</v>
      </c>
      <c r="U126" s="29" t="s">
        <v>4573</v>
      </c>
      <c r="V126" s="29" t="str">
        <f t="shared" si="15"/>
        <v>No geometric exceedance</v>
      </c>
      <c r="W126" s="30">
        <v>23.85</v>
      </c>
      <c r="X126" s="30">
        <v>120.82</v>
      </c>
      <c r="Y126" s="30">
        <v>8</v>
      </c>
      <c r="Z126" s="30">
        <v>142.10549172575963</v>
      </c>
      <c r="AA126" s="29" t="s">
        <v>167</v>
      </c>
      <c r="AB126" s="29" t="s">
        <v>4574</v>
      </c>
      <c r="AC126" s="39"/>
      <c r="AD126" s="39"/>
    </row>
    <row r="127" spans="1:30" ht="58" customHeight="1">
      <c r="A127" s="1" t="s">
        <v>1262</v>
      </c>
      <c r="B127" s="1">
        <v>127</v>
      </c>
      <c r="C127" s="1" t="s">
        <v>3350</v>
      </c>
      <c r="D127" s="29" t="s">
        <v>211</v>
      </c>
      <c r="E127" s="29" t="s">
        <v>860</v>
      </c>
      <c r="F127" s="1" t="s">
        <v>871</v>
      </c>
      <c r="G127" s="30">
        <v>24.757200000000001</v>
      </c>
      <c r="H127" s="30">
        <v>120.9345</v>
      </c>
      <c r="I127" s="30">
        <v>23.85</v>
      </c>
      <c r="J127" s="30">
        <v>120.82</v>
      </c>
      <c r="K127" s="30">
        <v>8</v>
      </c>
      <c r="L127" s="22">
        <v>101.9</v>
      </c>
      <c r="M127" s="22">
        <f t="shared" si="8"/>
        <v>101.54118094140388</v>
      </c>
      <c r="N127" s="22">
        <f t="shared" si="9"/>
        <v>101.8558364894959</v>
      </c>
      <c r="O127" s="22">
        <f t="shared" si="10"/>
        <v>4.416351050410583E-2</v>
      </c>
      <c r="P127" s="22">
        <f t="shared" si="11"/>
        <v>4.3358841305731442E-2</v>
      </c>
      <c r="Q127" s="22">
        <f t="shared" si="12"/>
        <v>5.0927918244747952</v>
      </c>
      <c r="R127" s="29" t="str">
        <f t="shared" si="13"/>
        <v>Within screening tolerance</v>
      </c>
      <c r="S127" s="29" t="str">
        <f t="shared" si="14"/>
        <v/>
      </c>
      <c r="T127" s="22">
        <v>49.8</v>
      </c>
      <c r="U127" s="29" t="s">
        <v>4573</v>
      </c>
      <c r="V127" s="29" t="str">
        <f t="shared" si="15"/>
        <v>No geometric exceedance</v>
      </c>
      <c r="W127" s="30">
        <v>23.85</v>
      </c>
      <c r="X127" s="30">
        <v>120.82</v>
      </c>
      <c r="Y127" s="30">
        <v>8</v>
      </c>
      <c r="Z127" s="30">
        <v>101.85583648949604</v>
      </c>
      <c r="AA127" s="29" t="s">
        <v>167</v>
      </c>
      <c r="AB127" s="29" t="s">
        <v>4574</v>
      </c>
      <c r="AC127" s="39"/>
      <c r="AD127" s="39"/>
    </row>
    <row r="128" spans="1:30" ht="58" customHeight="1">
      <c r="A128" s="1" t="s">
        <v>1262</v>
      </c>
      <c r="B128" s="1">
        <v>128</v>
      </c>
      <c r="C128" s="1" t="s">
        <v>3352</v>
      </c>
      <c r="D128" s="29" t="s">
        <v>211</v>
      </c>
      <c r="E128" s="29" t="s">
        <v>860</v>
      </c>
      <c r="F128" s="1" t="s">
        <v>872</v>
      </c>
      <c r="G128" s="30">
        <v>24.780799999999999</v>
      </c>
      <c r="H128" s="30">
        <v>121.0068</v>
      </c>
      <c r="I128" s="30">
        <v>23.85</v>
      </c>
      <c r="J128" s="30">
        <v>120.82</v>
      </c>
      <c r="K128" s="30">
        <v>8</v>
      </c>
      <c r="L128" s="22">
        <v>105.6</v>
      </c>
      <c r="M128" s="22">
        <f t="shared" si="8"/>
        <v>105.21682539182996</v>
      </c>
      <c r="N128" s="22">
        <f t="shared" si="9"/>
        <v>105.5205209688373</v>
      </c>
      <c r="O128" s="22">
        <f t="shared" si="10"/>
        <v>7.9479031162691172E-2</v>
      </c>
      <c r="P128" s="22">
        <f t="shared" si="11"/>
        <v>7.5320923771939302E-2</v>
      </c>
      <c r="Q128" s="22">
        <f t="shared" si="12"/>
        <v>5.2760260484418655</v>
      </c>
      <c r="R128" s="29" t="str">
        <f t="shared" si="13"/>
        <v>Within screening tolerance</v>
      </c>
      <c r="S128" s="29" t="str">
        <f t="shared" si="14"/>
        <v/>
      </c>
      <c r="T128" s="22">
        <v>54.3</v>
      </c>
      <c r="U128" s="29" t="s">
        <v>4573</v>
      </c>
      <c r="V128" s="29" t="str">
        <f t="shared" si="15"/>
        <v>No geometric exceedance</v>
      </c>
      <c r="W128" s="30">
        <v>23.85</v>
      </c>
      <c r="X128" s="30">
        <v>120.82</v>
      </c>
      <c r="Y128" s="30">
        <v>8</v>
      </c>
      <c r="Z128" s="30">
        <v>105.5205209688373</v>
      </c>
      <c r="AA128" s="29" t="s">
        <v>167</v>
      </c>
      <c r="AB128" s="29" t="s">
        <v>4574</v>
      </c>
      <c r="AC128" s="39"/>
      <c r="AD128" s="39"/>
    </row>
    <row r="129" spans="1:30" ht="58" customHeight="1">
      <c r="A129" s="1" t="s">
        <v>1262</v>
      </c>
      <c r="B129" s="1">
        <v>129</v>
      </c>
      <c r="C129" s="1" t="s">
        <v>3354</v>
      </c>
      <c r="D129" s="29" t="s">
        <v>211</v>
      </c>
      <c r="E129" s="29" t="s">
        <v>860</v>
      </c>
      <c r="F129" s="1" t="s">
        <v>873</v>
      </c>
      <c r="G129" s="30">
        <v>24.88</v>
      </c>
      <c r="H129" s="30">
        <v>121.0535</v>
      </c>
      <c r="I129" s="30">
        <v>23.85</v>
      </c>
      <c r="J129" s="30">
        <v>120.82</v>
      </c>
      <c r="K129" s="30">
        <v>8</v>
      </c>
      <c r="L129" s="22">
        <v>117.3</v>
      </c>
      <c r="M129" s="22">
        <f t="shared" si="8"/>
        <v>116.9472947516751</v>
      </c>
      <c r="N129" s="22">
        <f t="shared" si="9"/>
        <v>117.22060292344163</v>
      </c>
      <c r="O129" s="22">
        <f t="shared" si="10"/>
        <v>7.9397076558365143E-2</v>
      </c>
      <c r="P129" s="22">
        <f t="shared" si="11"/>
        <v>6.773303888414603E-2</v>
      </c>
      <c r="Q129" s="22">
        <f t="shared" si="12"/>
        <v>5.861030146172082</v>
      </c>
      <c r="R129" s="29" t="str">
        <f t="shared" si="13"/>
        <v>Within screening tolerance</v>
      </c>
      <c r="S129" s="29" t="str">
        <f t="shared" si="14"/>
        <v/>
      </c>
      <c r="T129" s="22">
        <v>66.3</v>
      </c>
      <c r="U129" s="29" t="s">
        <v>4573</v>
      </c>
      <c r="V129" s="29" t="str">
        <f t="shared" si="15"/>
        <v>No geometric exceedance</v>
      </c>
      <c r="W129" s="30">
        <v>23.85</v>
      </c>
      <c r="X129" s="30">
        <v>120.82</v>
      </c>
      <c r="Y129" s="30">
        <v>8</v>
      </c>
      <c r="Z129" s="30">
        <v>117.22060292344152</v>
      </c>
      <c r="AA129" s="29" t="s">
        <v>167</v>
      </c>
      <c r="AB129" s="29" t="s">
        <v>4574</v>
      </c>
      <c r="AC129" s="39"/>
      <c r="AD129" s="39"/>
    </row>
    <row r="130" spans="1:30" ht="58" customHeight="1">
      <c r="A130" s="1" t="s">
        <v>1262</v>
      </c>
      <c r="B130" s="1">
        <v>130</v>
      </c>
      <c r="C130" s="1" t="s">
        <v>3356</v>
      </c>
      <c r="D130" s="29" t="s">
        <v>211</v>
      </c>
      <c r="E130" s="29" t="s">
        <v>860</v>
      </c>
      <c r="F130" s="1" t="s">
        <v>874</v>
      </c>
      <c r="G130" s="30">
        <v>24.775700000000001</v>
      </c>
      <c r="H130" s="30">
        <v>121.075</v>
      </c>
      <c r="I130" s="30">
        <v>23.85</v>
      </c>
      <c r="J130" s="30">
        <v>120.82</v>
      </c>
      <c r="K130" s="30">
        <v>8</v>
      </c>
      <c r="L130" s="22">
        <v>106.5</v>
      </c>
      <c r="M130" s="22">
        <f t="shared" ref="M130:M193" si="16">IF(OR(G130="",H130="",I130="",J130="",K130=""),"",12742*ASIN(SQRT(MIN(1,SIN(RADIANS(I130-G130)/2)^2+COS(RADIANS(I130))*COS(RADIANS(G130))*SIN(RADIANS(J130-H130)/2)^2))))</f>
        <v>106.12686606869806</v>
      </c>
      <c r="N130" s="22">
        <f t="shared" ref="N130:N193" si="17">IF(M130="","",SQRT(M130^2+K130^2))</f>
        <v>106.42796484741864</v>
      </c>
      <c r="O130" s="22">
        <f t="shared" ref="O130:O193" si="18">IF(OR(L130="",N130=""),"",L130-N130)</f>
        <v>7.2035152581364059E-2</v>
      </c>
      <c r="P130" s="22">
        <f t="shared" ref="P130:P193" si="19">IF(OR(L130="",N130="",N130=0),"",100*O130/N130)</f>
        <v>6.7684421744452106E-2</v>
      </c>
      <c r="Q130" s="22">
        <f t="shared" ref="Q130:Q193" si="20">IF(N130="","",MAX(1,0.05*N130))</f>
        <v>5.3213982423709325</v>
      </c>
      <c r="R130" s="29" t="str">
        <f t="shared" ref="R130:R193" si="21">IF(N130="","Missing station coordinates",IF(L130="","No original Rhyp to compare",IF(ABS(O130)&gt;Q130,"Review: Rhyp mismatch","Within screening tolerance")))</f>
        <v>Within screening tolerance</v>
      </c>
      <c r="S130" s="29" t="str">
        <f t="shared" ref="S130:S193" si="22">IF(L130="","",IF(L130&lt;K130-1,"Rhyp below depth by &gt;1 km",IF(L130&lt;K130,"Rhyp below depth by &lt;=1 km","")))</f>
        <v/>
      </c>
      <c r="T130" s="22">
        <v>56.1</v>
      </c>
      <c r="U130" s="29" t="s">
        <v>4573</v>
      </c>
      <c r="V130" s="29" t="str">
        <f t="shared" ref="V130:V193" si="23">IF(T130="","Missing Rrup/closest distance",IF(N130="","Cannot check without coordinates",IF(T130&gt;N130+1,"Review: distance &gt; recalculated Rhyp +1 km","No geometric exceedance")))</f>
        <v>No geometric exceedance</v>
      </c>
      <c r="W130" s="30">
        <v>23.85</v>
      </c>
      <c r="X130" s="30">
        <v>120.82</v>
      </c>
      <c r="Y130" s="30">
        <v>8</v>
      </c>
      <c r="Z130" s="30">
        <v>106.42796484741879</v>
      </c>
      <c r="AA130" s="29" t="s">
        <v>167</v>
      </c>
      <c r="AB130" s="29" t="s">
        <v>4574</v>
      </c>
      <c r="AC130" s="39"/>
      <c r="AD130" s="39"/>
    </row>
    <row r="131" spans="1:30" ht="58" customHeight="1">
      <c r="A131" s="1" t="s">
        <v>1262</v>
      </c>
      <c r="B131" s="1">
        <v>131</v>
      </c>
      <c r="C131" s="1" t="s">
        <v>3358</v>
      </c>
      <c r="D131" s="29" t="s">
        <v>211</v>
      </c>
      <c r="E131" s="29" t="s">
        <v>860</v>
      </c>
      <c r="F131" s="1" t="s">
        <v>875</v>
      </c>
      <c r="G131" s="30">
        <v>24.558800000000002</v>
      </c>
      <c r="H131" s="30">
        <v>120.7492</v>
      </c>
      <c r="I131" s="30">
        <v>23.85</v>
      </c>
      <c r="J131" s="30">
        <v>120.82</v>
      </c>
      <c r="K131" s="30">
        <v>8</v>
      </c>
      <c r="L131" s="22">
        <v>79.599999999999994</v>
      </c>
      <c r="M131" s="22">
        <f t="shared" si="16"/>
        <v>79.141374853433604</v>
      </c>
      <c r="N131" s="22">
        <f t="shared" si="17"/>
        <v>79.544686897942427</v>
      </c>
      <c r="O131" s="22">
        <f t="shared" si="18"/>
        <v>5.5313102057567676E-2</v>
      </c>
      <c r="P131" s="22">
        <f t="shared" si="19"/>
        <v>6.9537142221121062E-2</v>
      </c>
      <c r="Q131" s="22">
        <f t="shared" si="20"/>
        <v>3.9772343448971217</v>
      </c>
      <c r="R131" s="29" t="str">
        <f t="shared" si="21"/>
        <v>Within screening tolerance</v>
      </c>
      <c r="S131" s="29" t="str">
        <f t="shared" si="22"/>
        <v/>
      </c>
      <c r="T131" s="22">
        <v>28</v>
      </c>
      <c r="U131" s="29" t="s">
        <v>4573</v>
      </c>
      <c r="V131" s="29" t="str">
        <f t="shared" si="23"/>
        <v>No geometric exceedance</v>
      </c>
      <c r="W131" s="30">
        <v>23.85</v>
      </c>
      <c r="X131" s="30">
        <v>120.82</v>
      </c>
      <c r="Y131" s="30">
        <v>8</v>
      </c>
      <c r="Z131" s="30">
        <v>79.544686897942512</v>
      </c>
      <c r="AA131" s="29" t="s">
        <v>167</v>
      </c>
      <c r="AB131" s="29" t="s">
        <v>4574</v>
      </c>
      <c r="AC131" s="39"/>
      <c r="AD131" s="39"/>
    </row>
    <row r="132" spans="1:30" ht="58" customHeight="1">
      <c r="A132" s="1" t="s">
        <v>1262</v>
      </c>
      <c r="B132" s="1">
        <v>132</v>
      </c>
      <c r="C132" s="1" t="s">
        <v>3360</v>
      </c>
      <c r="D132" s="29" t="s">
        <v>211</v>
      </c>
      <c r="E132" s="29" t="s">
        <v>860</v>
      </c>
      <c r="F132" s="1" t="s">
        <v>876</v>
      </c>
      <c r="G132" s="30">
        <v>24.561499999999999</v>
      </c>
      <c r="H132" s="30">
        <v>120.70099999999999</v>
      </c>
      <c r="I132" s="30">
        <v>23.85</v>
      </c>
      <c r="J132" s="30">
        <v>120.82</v>
      </c>
      <c r="K132" s="30">
        <v>8</v>
      </c>
      <c r="L132" s="22">
        <v>80.5</v>
      </c>
      <c r="M132" s="22">
        <f t="shared" si="16"/>
        <v>80.030409522162714</v>
      </c>
      <c r="N132" s="22">
        <f t="shared" si="17"/>
        <v>80.42926363137407</v>
      </c>
      <c r="O132" s="22">
        <f t="shared" si="18"/>
        <v>7.0736368625929913E-2</v>
      </c>
      <c r="P132" s="22">
        <f t="shared" si="19"/>
        <v>8.7948546874842798E-2</v>
      </c>
      <c r="Q132" s="22">
        <f t="shared" si="20"/>
        <v>4.0214631815687039</v>
      </c>
      <c r="R132" s="29" t="str">
        <f t="shared" si="21"/>
        <v>Within screening tolerance</v>
      </c>
      <c r="S132" s="29" t="str">
        <f t="shared" si="22"/>
        <v/>
      </c>
      <c r="T132" s="22">
        <v>30.2</v>
      </c>
      <c r="U132" s="29" t="s">
        <v>4573</v>
      </c>
      <c r="V132" s="29" t="str">
        <f t="shared" si="23"/>
        <v>No geometric exceedance</v>
      </c>
      <c r="W132" s="30">
        <v>23.85</v>
      </c>
      <c r="X132" s="30">
        <v>120.82</v>
      </c>
      <c r="Y132" s="30">
        <v>8</v>
      </c>
      <c r="Z132" s="30">
        <v>80.429263631373985</v>
      </c>
      <c r="AA132" s="29" t="s">
        <v>167</v>
      </c>
      <c r="AB132" s="29" t="s">
        <v>4574</v>
      </c>
      <c r="AC132" s="39"/>
      <c r="AD132" s="39"/>
    </row>
    <row r="133" spans="1:30" ht="58" customHeight="1">
      <c r="A133" s="1" t="s">
        <v>1262</v>
      </c>
      <c r="B133" s="1">
        <v>133</v>
      </c>
      <c r="C133" s="1" t="s">
        <v>3362</v>
      </c>
      <c r="D133" s="29" t="s">
        <v>211</v>
      </c>
      <c r="E133" s="29" t="s">
        <v>860</v>
      </c>
      <c r="F133" s="1" t="s">
        <v>877</v>
      </c>
      <c r="G133" s="30">
        <v>24.685500000000001</v>
      </c>
      <c r="H133" s="30">
        <v>120.8623</v>
      </c>
      <c r="I133" s="30">
        <v>23.85</v>
      </c>
      <c r="J133" s="30">
        <v>120.82</v>
      </c>
      <c r="K133" s="30">
        <v>8</v>
      </c>
      <c r="L133" s="22">
        <v>93.4</v>
      </c>
      <c r="M133" s="22">
        <f t="shared" si="16"/>
        <v>93.002259214335552</v>
      </c>
      <c r="N133" s="22">
        <f t="shared" si="17"/>
        <v>93.345702734354418</v>
      </c>
      <c r="O133" s="22">
        <f t="shared" si="18"/>
        <v>5.4297265645587345E-2</v>
      </c>
      <c r="P133" s="22">
        <f t="shared" si="19"/>
        <v>5.8167932807906421E-2</v>
      </c>
      <c r="Q133" s="22">
        <f t="shared" si="20"/>
        <v>4.6672851367177213</v>
      </c>
      <c r="R133" s="29" t="str">
        <f t="shared" si="21"/>
        <v>Within screening tolerance</v>
      </c>
      <c r="S133" s="29" t="str">
        <f t="shared" si="22"/>
        <v/>
      </c>
      <c r="T133" s="22">
        <v>40.9</v>
      </c>
      <c r="U133" s="29" t="s">
        <v>4573</v>
      </c>
      <c r="V133" s="29" t="str">
        <f t="shared" si="23"/>
        <v>No geometric exceedance</v>
      </c>
      <c r="W133" s="30">
        <v>23.85</v>
      </c>
      <c r="X133" s="30">
        <v>120.82</v>
      </c>
      <c r="Y133" s="30">
        <v>8</v>
      </c>
      <c r="Z133" s="30">
        <v>93.34570273435456</v>
      </c>
      <c r="AA133" s="29" t="s">
        <v>167</v>
      </c>
      <c r="AB133" s="29" t="s">
        <v>4574</v>
      </c>
      <c r="AC133" s="39"/>
      <c r="AD133" s="39"/>
    </row>
    <row r="134" spans="1:30" ht="58" customHeight="1">
      <c r="A134" s="1" t="s">
        <v>1262</v>
      </c>
      <c r="B134" s="1">
        <v>134</v>
      </c>
      <c r="C134" s="1" t="s">
        <v>3364</v>
      </c>
      <c r="D134" s="29" t="s">
        <v>211</v>
      </c>
      <c r="E134" s="29" t="s">
        <v>860</v>
      </c>
      <c r="F134" s="1" t="s">
        <v>878</v>
      </c>
      <c r="G134" s="30">
        <v>24.638999999999999</v>
      </c>
      <c r="H134" s="30">
        <v>120.85680000000001</v>
      </c>
      <c r="I134" s="30">
        <v>23.85</v>
      </c>
      <c r="J134" s="30">
        <v>120.82</v>
      </c>
      <c r="K134" s="30">
        <v>8</v>
      </c>
      <c r="L134" s="22">
        <v>88.2</v>
      </c>
      <c r="M134" s="22">
        <f t="shared" si="16"/>
        <v>87.812095976983713</v>
      </c>
      <c r="N134" s="22">
        <f t="shared" si="17"/>
        <v>88.175757438600996</v>
      </c>
      <c r="O134" s="22">
        <f t="shared" si="18"/>
        <v>2.424256139900649E-2</v>
      </c>
      <c r="P134" s="22">
        <f t="shared" si="19"/>
        <v>2.749345410033727E-2</v>
      </c>
      <c r="Q134" s="22">
        <f t="shared" si="20"/>
        <v>4.4087878719300502</v>
      </c>
      <c r="R134" s="29" t="str">
        <f t="shared" si="21"/>
        <v>Within screening tolerance</v>
      </c>
      <c r="S134" s="29" t="str">
        <f t="shared" si="22"/>
        <v/>
      </c>
      <c r="T134" s="22">
        <v>35.700000000000003</v>
      </c>
      <c r="U134" s="29" t="s">
        <v>4573</v>
      </c>
      <c r="V134" s="29" t="str">
        <f t="shared" si="23"/>
        <v>No geometric exceedance</v>
      </c>
      <c r="W134" s="30">
        <v>23.85</v>
      </c>
      <c r="X134" s="30">
        <v>120.82</v>
      </c>
      <c r="Y134" s="30">
        <v>8</v>
      </c>
      <c r="Z134" s="30">
        <v>88.175757438600982</v>
      </c>
      <c r="AA134" s="29" t="s">
        <v>167</v>
      </c>
      <c r="AB134" s="29" t="s">
        <v>4574</v>
      </c>
      <c r="AC134" s="39"/>
      <c r="AD134" s="39"/>
    </row>
    <row r="135" spans="1:30" ht="58" customHeight="1">
      <c r="A135" s="1" t="s">
        <v>1262</v>
      </c>
      <c r="B135" s="1">
        <v>135</v>
      </c>
      <c r="C135" s="1" t="s">
        <v>3366</v>
      </c>
      <c r="D135" s="29" t="s">
        <v>211</v>
      </c>
      <c r="E135" s="29" t="s">
        <v>860</v>
      </c>
      <c r="F135" s="1" t="s">
        <v>879</v>
      </c>
      <c r="G135" s="30">
        <v>24.448799999999999</v>
      </c>
      <c r="H135" s="30">
        <v>120.69629999999999</v>
      </c>
      <c r="I135" s="30">
        <v>23.85</v>
      </c>
      <c r="J135" s="30">
        <v>120.82</v>
      </c>
      <c r="K135" s="30">
        <v>8</v>
      </c>
      <c r="L135" s="22">
        <v>68.3</v>
      </c>
      <c r="M135" s="22">
        <f t="shared" si="16"/>
        <v>67.756114840914648</v>
      </c>
      <c r="N135" s="22">
        <f t="shared" si="17"/>
        <v>68.226762332205197</v>
      </c>
      <c r="O135" s="22">
        <f t="shared" si="18"/>
        <v>7.3237667794799677E-2</v>
      </c>
      <c r="P135" s="22">
        <f t="shared" si="19"/>
        <v>0.10734448666667738</v>
      </c>
      <c r="Q135" s="22">
        <f t="shared" si="20"/>
        <v>3.4113381166102599</v>
      </c>
      <c r="R135" s="29" t="str">
        <f t="shared" si="21"/>
        <v>Within screening tolerance</v>
      </c>
      <c r="S135" s="29" t="str">
        <f t="shared" si="22"/>
        <v/>
      </c>
      <c r="T135" s="22">
        <v>19.8</v>
      </c>
      <c r="U135" s="29" t="s">
        <v>4573</v>
      </c>
      <c r="V135" s="29" t="str">
        <f t="shared" si="23"/>
        <v>No geometric exceedance</v>
      </c>
      <c r="W135" s="30">
        <v>23.85</v>
      </c>
      <c r="X135" s="30">
        <v>120.82</v>
      </c>
      <c r="Y135" s="30">
        <v>8</v>
      </c>
      <c r="Z135" s="30">
        <v>68.226762332205325</v>
      </c>
      <c r="AA135" s="29" t="s">
        <v>167</v>
      </c>
      <c r="AB135" s="29" t="s">
        <v>4574</v>
      </c>
      <c r="AC135" s="39"/>
      <c r="AD135" s="39"/>
    </row>
    <row r="136" spans="1:30" ht="58" customHeight="1">
      <c r="A136" s="1" t="s">
        <v>1262</v>
      </c>
      <c r="B136" s="1">
        <v>136</v>
      </c>
      <c r="C136" s="1" t="s">
        <v>3368</v>
      </c>
      <c r="D136" s="29" t="s">
        <v>211</v>
      </c>
      <c r="E136" s="29" t="s">
        <v>860</v>
      </c>
      <c r="F136" s="1" t="s">
        <v>880</v>
      </c>
      <c r="G136" s="30">
        <v>24.491199999999999</v>
      </c>
      <c r="H136" s="30">
        <v>120.663</v>
      </c>
      <c r="I136" s="30">
        <v>23.85</v>
      </c>
      <c r="J136" s="30">
        <v>120.82</v>
      </c>
      <c r="K136" s="30">
        <v>8</v>
      </c>
      <c r="L136" s="22">
        <v>73.5</v>
      </c>
      <c r="M136" s="22">
        <f t="shared" si="16"/>
        <v>73.055456649192479</v>
      </c>
      <c r="N136" s="22">
        <f t="shared" si="17"/>
        <v>73.492174727803786</v>
      </c>
      <c r="O136" s="22">
        <f t="shared" si="18"/>
        <v>7.8252721962144278E-3</v>
      </c>
      <c r="P136" s="22">
        <f t="shared" si="19"/>
        <v>1.0647762466136339E-2</v>
      </c>
      <c r="Q136" s="22">
        <f t="shared" si="20"/>
        <v>3.6746087363901894</v>
      </c>
      <c r="R136" s="29" t="str">
        <f t="shared" si="21"/>
        <v>Within screening tolerance</v>
      </c>
      <c r="S136" s="29" t="str">
        <f t="shared" si="22"/>
        <v/>
      </c>
      <c r="T136" s="22">
        <v>25.4</v>
      </c>
      <c r="U136" s="29" t="s">
        <v>4573</v>
      </c>
      <c r="V136" s="29" t="str">
        <f t="shared" si="23"/>
        <v>No geometric exceedance</v>
      </c>
      <c r="W136" s="30">
        <v>23.85</v>
      </c>
      <c r="X136" s="30">
        <v>120.82</v>
      </c>
      <c r="Y136" s="30">
        <v>8</v>
      </c>
      <c r="Z136" s="30">
        <v>73.492174727803786</v>
      </c>
      <c r="AA136" s="29" t="s">
        <v>167</v>
      </c>
      <c r="AB136" s="29" t="s">
        <v>4574</v>
      </c>
      <c r="AC136" s="39"/>
      <c r="AD136" s="39"/>
    </row>
    <row r="137" spans="1:30" ht="58" customHeight="1">
      <c r="A137" s="1" t="s">
        <v>1262</v>
      </c>
      <c r="B137" s="1">
        <v>137</v>
      </c>
      <c r="C137" s="1" t="s">
        <v>3370</v>
      </c>
      <c r="D137" s="29" t="s">
        <v>211</v>
      </c>
      <c r="E137" s="29" t="s">
        <v>860</v>
      </c>
      <c r="F137" s="1" t="s">
        <v>881</v>
      </c>
      <c r="G137" s="30">
        <v>24.491700000000002</v>
      </c>
      <c r="H137" s="30">
        <v>120.7837</v>
      </c>
      <c r="I137" s="30">
        <v>23.85</v>
      </c>
      <c r="J137" s="30">
        <v>120.82</v>
      </c>
      <c r="K137" s="30">
        <v>8</v>
      </c>
      <c r="L137" s="22">
        <v>72</v>
      </c>
      <c r="M137" s="22">
        <f t="shared" si="16"/>
        <v>71.448744829654686</v>
      </c>
      <c r="N137" s="22">
        <f t="shared" si="17"/>
        <v>71.895223330434874</v>
      </c>
      <c r="O137" s="22">
        <f t="shared" si="18"/>
        <v>0.10477666956512621</v>
      </c>
      <c r="P137" s="22">
        <f t="shared" si="19"/>
        <v>0.14573523067529284</v>
      </c>
      <c r="Q137" s="22">
        <f t="shared" si="20"/>
        <v>3.594761166521744</v>
      </c>
      <c r="R137" s="29" t="str">
        <f t="shared" si="21"/>
        <v>Within screening tolerance</v>
      </c>
      <c r="S137" s="29" t="str">
        <f t="shared" si="22"/>
        <v/>
      </c>
      <c r="T137" s="22">
        <v>19.899999999999999</v>
      </c>
      <c r="U137" s="29" t="s">
        <v>4573</v>
      </c>
      <c r="V137" s="29" t="str">
        <f t="shared" si="23"/>
        <v>No geometric exceedance</v>
      </c>
      <c r="W137" s="30">
        <v>23.85</v>
      </c>
      <c r="X137" s="30">
        <v>120.82</v>
      </c>
      <c r="Y137" s="30">
        <v>8</v>
      </c>
      <c r="Z137" s="30">
        <v>71.895223330434831</v>
      </c>
      <c r="AA137" s="29" t="s">
        <v>167</v>
      </c>
      <c r="AB137" s="29" t="s">
        <v>4574</v>
      </c>
      <c r="AC137" s="39"/>
      <c r="AD137" s="39"/>
    </row>
    <row r="138" spans="1:30" ht="58" customHeight="1">
      <c r="A138" s="1" t="s">
        <v>1262</v>
      </c>
      <c r="B138" s="1">
        <v>138</v>
      </c>
      <c r="C138" s="1" t="s">
        <v>3372</v>
      </c>
      <c r="D138" s="29" t="s">
        <v>211</v>
      </c>
      <c r="E138" s="29" t="s">
        <v>860</v>
      </c>
      <c r="F138" s="1" t="s">
        <v>882</v>
      </c>
      <c r="G138" s="30">
        <v>24.4497</v>
      </c>
      <c r="H138" s="30">
        <v>120.6455</v>
      </c>
      <c r="I138" s="30">
        <v>23.85</v>
      </c>
      <c r="J138" s="30">
        <v>120.82</v>
      </c>
      <c r="K138" s="30">
        <v>8</v>
      </c>
      <c r="L138" s="22">
        <v>69.5</v>
      </c>
      <c r="M138" s="22">
        <f t="shared" si="16"/>
        <v>68.994020658811365</v>
      </c>
      <c r="N138" s="22">
        <f t="shared" si="17"/>
        <v>69.456280397588884</v>
      </c>
      <c r="O138" s="22">
        <f t="shared" si="18"/>
        <v>4.3719602411115943E-2</v>
      </c>
      <c r="P138" s="22">
        <f t="shared" si="19"/>
        <v>6.2945499184309375E-2</v>
      </c>
      <c r="Q138" s="22">
        <f t="shared" si="20"/>
        <v>3.4728140198794444</v>
      </c>
      <c r="R138" s="29" t="str">
        <f t="shared" si="21"/>
        <v>Within screening tolerance</v>
      </c>
      <c r="S138" s="29" t="str">
        <f t="shared" si="22"/>
        <v/>
      </c>
      <c r="T138" s="22">
        <v>22.1</v>
      </c>
      <c r="U138" s="29" t="s">
        <v>4573</v>
      </c>
      <c r="V138" s="29" t="str">
        <f t="shared" si="23"/>
        <v>No geometric exceedance</v>
      </c>
      <c r="W138" s="30">
        <v>23.85</v>
      </c>
      <c r="X138" s="30">
        <v>120.82</v>
      </c>
      <c r="Y138" s="30">
        <v>8</v>
      </c>
      <c r="Z138" s="30">
        <v>69.456280397588799</v>
      </c>
      <c r="AA138" s="29" t="s">
        <v>167</v>
      </c>
      <c r="AB138" s="29" t="s">
        <v>4574</v>
      </c>
      <c r="AC138" s="39"/>
      <c r="AD138" s="39"/>
    </row>
    <row r="139" spans="1:30" ht="58" customHeight="1">
      <c r="A139" s="1" t="s">
        <v>1262</v>
      </c>
      <c r="B139" s="1">
        <v>139</v>
      </c>
      <c r="C139" s="1" t="s">
        <v>3374</v>
      </c>
      <c r="D139" s="29" t="s">
        <v>211</v>
      </c>
      <c r="E139" s="29" t="s">
        <v>860</v>
      </c>
      <c r="F139" s="1" t="s">
        <v>883</v>
      </c>
      <c r="G139" s="30">
        <v>24.5412</v>
      </c>
      <c r="H139" s="30">
        <v>120.91370000000001</v>
      </c>
      <c r="I139" s="30">
        <v>23.85</v>
      </c>
      <c r="J139" s="30">
        <v>120.82</v>
      </c>
      <c r="K139" s="30">
        <v>8</v>
      </c>
      <c r="L139" s="22">
        <v>77.900000000000006</v>
      </c>
      <c r="M139" s="22">
        <f t="shared" si="16"/>
        <v>77.443269497367083</v>
      </c>
      <c r="N139" s="22">
        <f t="shared" si="17"/>
        <v>77.85537868665098</v>
      </c>
      <c r="O139" s="22">
        <f t="shared" si="18"/>
        <v>4.4621313349026082E-2</v>
      </c>
      <c r="P139" s="22">
        <f t="shared" si="19"/>
        <v>5.73130772744887E-2</v>
      </c>
      <c r="Q139" s="22">
        <f t="shared" si="20"/>
        <v>3.8927689343325493</v>
      </c>
      <c r="R139" s="29" t="str">
        <f t="shared" si="21"/>
        <v>Within screening tolerance</v>
      </c>
      <c r="S139" s="29" t="str">
        <f t="shared" si="22"/>
        <v/>
      </c>
      <c r="T139" s="22">
        <v>26</v>
      </c>
      <c r="U139" s="29" t="s">
        <v>4573</v>
      </c>
      <c r="V139" s="29" t="str">
        <f t="shared" si="23"/>
        <v>No geometric exceedance</v>
      </c>
      <c r="W139" s="30">
        <v>23.85</v>
      </c>
      <c r="X139" s="30">
        <v>120.82</v>
      </c>
      <c r="Y139" s="30">
        <v>8</v>
      </c>
      <c r="Z139" s="30">
        <v>77.85537868665088</v>
      </c>
      <c r="AA139" s="29" t="s">
        <v>167</v>
      </c>
      <c r="AB139" s="29" t="s">
        <v>4574</v>
      </c>
      <c r="AC139" s="39"/>
      <c r="AD139" s="39"/>
    </row>
    <row r="140" spans="1:30" ht="58" customHeight="1">
      <c r="A140" s="1" t="s">
        <v>1262</v>
      </c>
      <c r="B140" s="1">
        <v>140</v>
      </c>
      <c r="C140" s="1" t="s">
        <v>3376</v>
      </c>
      <c r="D140" s="29" t="s">
        <v>211</v>
      </c>
      <c r="E140" s="29" t="s">
        <v>860</v>
      </c>
      <c r="F140" s="1" t="s">
        <v>884</v>
      </c>
      <c r="G140" s="30">
        <v>24.468299999999999</v>
      </c>
      <c r="H140" s="30">
        <v>120.85429999999999</v>
      </c>
      <c r="I140" s="30">
        <v>23.85</v>
      </c>
      <c r="J140" s="30">
        <v>120.82</v>
      </c>
      <c r="K140" s="30">
        <v>8</v>
      </c>
      <c r="L140" s="22">
        <v>69.3</v>
      </c>
      <c r="M140" s="22">
        <f t="shared" si="16"/>
        <v>68.839835052260369</v>
      </c>
      <c r="N140" s="22">
        <f t="shared" si="17"/>
        <v>69.30312323425558</v>
      </c>
      <c r="O140" s="22">
        <f t="shared" si="18"/>
        <v>-3.1232342555824744E-3</v>
      </c>
      <c r="P140" s="22">
        <f t="shared" si="19"/>
        <v>-4.5066284314856141E-3</v>
      </c>
      <c r="Q140" s="22">
        <f t="shared" si="20"/>
        <v>3.4651561617127791</v>
      </c>
      <c r="R140" s="29" t="str">
        <f t="shared" si="21"/>
        <v>Within screening tolerance</v>
      </c>
      <c r="S140" s="29" t="str">
        <f t="shared" si="22"/>
        <v/>
      </c>
      <c r="T140" s="22">
        <v>16.7</v>
      </c>
      <c r="U140" s="29" t="s">
        <v>4573</v>
      </c>
      <c r="V140" s="29" t="str">
        <f t="shared" si="23"/>
        <v>No geometric exceedance</v>
      </c>
      <c r="W140" s="30">
        <v>23.85</v>
      </c>
      <c r="X140" s="30">
        <v>120.82</v>
      </c>
      <c r="Y140" s="30">
        <v>8</v>
      </c>
      <c r="Z140" s="30">
        <v>69.303123234255636</v>
      </c>
      <c r="AA140" s="29" t="s">
        <v>167</v>
      </c>
      <c r="AB140" s="29" t="s">
        <v>4574</v>
      </c>
      <c r="AC140" s="39"/>
      <c r="AD140" s="39"/>
    </row>
    <row r="141" spans="1:30" ht="58" customHeight="1">
      <c r="A141" s="1" t="s">
        <v>1262</v>
      </c>
      <c r="B141" s="1">
        <v>141</v>
      </c>
      <c r="C141" s="1" t="s">
        <v>3378</v>
      </c>
      <c r="D141" s="29" t="s">
        <v>211</v>
      </c>
      <c r="E141" s="29" t="s">
        <v>860</v>
      </c>
      <c r="F141" s="1" t="s">
        <v>885</v>
      </c>
      <c r="G141" s="30">
        <v>24.6188</v>
      </c>
      <c r="H141" s="30">
        <v>120.9387</v>
      </c>
      <c r="I141" s="30">
        <v>23.85</v>
      </c>
      <c r="J141" s="30">
        <v>120.82</v>
      </c>
      <c r="K141" s="30">
        <v>8</v>
      </c>
      <c r="L141" s="22">
        <v>86.8</v>
      </c>
      <c r="M141" s="22">
        <f t="shared" si="16"/>
        <v>86.329733790203775</v>
      </c>
      <c r="N141" s="22">
        <f t="shared" si="17"/>
        <v>86.699613241856227</v>
      </c>
      <c r="O141" s="22">
        <f t="shared" si="18"/>
        <v>0.10038675814377029</v>
      </c>
      <c r="P141" s="22">
        <f t="shared" si="19"/>
        <v>0.11578685808405231</v>
      </c>
      <c r="Q141" s="22">
        <f t="shared" si="20"/>
        <v>4.3349806620928115</v>
      </c>
      <c r="R141" s="29" t="str">
        <f t="shared" si="21"/>
        <v>Within screening tolerance</v>
      </c>
      <c r="S141" s="29" t="str">
        <f t="shared" si="22"/>
        <v/>
      </c>
      <c r="T141" s="22">
        <v>35</v>
      </c>
      <c r="U141" s="29" t="s">
        <v>4573</v>
      </c>
      <c r="V141" s="29" t="str">
        <f t="shared" si="23"/>
        <v>No geometric exceedance</v>
      </c>
      <c r="W141" s="30">
        <v>23.85</v>
      </c>
      <c r="X141" s="30">
        <v>120.82</v>
      </c>
      <c r="Y141" s="30">
        <v>8</v>
      </c>
      <c r="Z141" s="30">
        <v>86.699613241856412</v>
      </c>
      <c r="AA141" s="29" t="s">
        <v>167</v>
      </c>
      <c r="AB141" s="29" t="s">
        <v>4574</v>
      </c>
      <c r="AC141" s="39"/>
      <c r="AD141" s="39"/>
    </row>
    <row r="142" spans="1:30" ht="58" customHeight="1">
      <c r="A142" s="1" t="s">
        <v>1262</v>
      </c>
      <c r="B142" s="1">
        <v>142</v>
      </c>
      <c r="C142" s="1" t="s">
        <v>3380</v>
      </c>
      <c r="D142" s="29" t="s">
        <v>211</v>
      </c>
      <c r="E142" s="29" t="s">
        <v>860</v>
      </c>
      <c r="F142" s="1" t="s">
        <v>886</v>
      </c>
      <c r="G142" s="30">
        <v>24.178999999999998</v>
      </c>
      <c r="H142" s="30">
        <v>120.6902</v>
      </c>
      <c r="I142" s="30">
        <v>23.85</v>
      </c>
      <c r="J142" s="30">
        <v>120.82</v>
      </c>
      <c r="K142" s="30">
        <v>8</v>
      </c>
      <c r="L142" s="22">
        <v>39.700000000000003</v>
      </c>
      <c r="M142" s="22">
        <f t="shared" si="16"/>
        <v>38.886212065087271</v>
      </c>
      <c r="N142" s="22">
        <f t="shared" si="17"/>
        <v>39.700598090846675</v>
      </c>
      <c r="O142" s="22">
        <f t="shared" si="18"/>
        <v>-5.9809084667250545E-4</v>
      </c>
      <c r="P142" s="22">
        <f t="shared" si="19"/>
        <v>-1.5065033662815287E-3</v>
      </c>
      <c r="Q142" s="22">
        <f t="shared" si="20"/>
        <v>1.9850299045423339</v>
      </c>
      <c r="R142" s="29" t="str">
        <f t="shared" si="21"/>
        <v>Within screening tolerance</v>
      </c>
      <c r="S142" s="29" t="str">
        <f t="shared" si="22"/>
        <v/>
      </c>
      <c r="T142" s="22">
        <v>3.8</v>
      </c>
      <c r="U142" s="29" t="s">
        <v>4573</v>
      </c>
      <c r="V142" s="29" t="str">
        <f t="shared" si="23"/>
        <v>No geometric exceedance</v>
      </c>
      <c r="W142" s="30">
        <v>23.85</v>
      </c>
      <c r="X142" s="30">
        <v>120.82</v>
      </c>
      <c r="Y142" s="30">
        <v>8</v>
      </c>
      <c r="Z142" s="30">
        <v>39.700598090846761</v>
      </c>
      <c r="AA142" s="29" t="s">
        <v>167</v>
      </c>
      <c r="AB142" s="29" t="s">
        <v>4574</v>
      </c>
      <c r="AC142" s="39"/>
      <c r="AD142" s="39"/>
    </row>
    <row r="143" spans="1:30" ht="58" customHeight="1">
      <c r="A143" s="1" t="s">
        <v>1262</v>
      </c>
      <c r="B143" s="1">
        <v>143</v>
      </c>
      <c r="C143" s="1" t="s">
        <v>3382</v>
      </c>
      <c r="D143" s="29" t="s">
        <v>211</v>
      </c>
      <c r="E143" s="29" t="s">
        <v>860</v>
      </c>
      <c r="F143" s="1" t="s">
        <v>887</v>
      </c>
      <c r="G143" s="30">
        <v>24.160299999999999</v>
      </c>
      <c r="H143" s="30">
        <v>120.65179999999999</v>
      </c>
      <c r="I143" s="30">
        <v>23.85</v>
      </c>
      <c r="J143" s="30">
        <v>120.82</v>
      </c>
      <c r="K143" s="30">
        <v>8</v>
      </c>
      <c r="L143" s="22">
        <v>39.4</v>
      </c>
      <c r="M143" s="22">
        <f t="shared" si="16"/>
        <v>38.502195523272206</v>
      </c>
      <c r="N143" s="22">
        <f t="shared" si="17"/>
        <v>39.324535090860039</v>
      </c>
      <c r="O143" s="22">
        <f t="shared" si="18"/>
        <v>7.5464909139959957E-2</v>
      </c>
      <c r="P143" s="22">
        <f t="shared" si="19"/>
        <v>0.191902864116758</v>
      </c>
      <c r="Q143" s="22">
        <f t="shared" si="20"/>
        <v>1.9662267545430021</v>
      </c>
      <c r="R143" s="29" t="str">
        <f t="shared" si="21"/>
        <v>Within screening tolerance</v>
      </c>
      <c r="S143" s="29" t="str">
        <f t="shared" si="22"/>
        <v/>
      </c>
      <c r="T143" s="22">
        <v>7.6</v>
      </c>
      <c r="U143" s="29" t="s">
        <v>4573</v>
      </c>
      <c r="V143" s="29" t="str">
        <f t="shared" si="23"/>
        <v>No geometric exceedance</v>
      </c>
      <c r="W143" s="30">
        <v>23.85</v>
      </c>
      <c r="X143" s="30">
        <v>120.82</v>
      </c>
      <c r="Y143" s="30">
        <v>8</v>
      </c>
      <c r="Z143" s="30">
        <v>39.324535090860195</v>
      </c>
      <c r="AA143" s="29" t="s">
        <v>167</v>
      </c>
      <c r="AB143" s="29" t="s">
        <v>4574</v>
      </c>
      <c r="AC143" s="39"/>
      <c r="AD143" s="39"/>
    </row>
    <row r="144" spans="1:30" ht="58" customHeight="1">
      <c r="A144" s="1" t="s">
        <v>1262</v>
      </c>
      <c r="B144" s="1">
        <v>144</v>
      </c>
      <c r="C144" s="1" t="s">
        <v>3384</v>
      </c>
      <c r="D144" s="29" t="s">
        <v>211</v>
      </c>
      <c r="E144" s="29" t="s">
        <v>860</v>
      </c>
      <c r="F144" s="1" t="s">
        <v>888</v>
      </c>
      <c r="G144" s="30">
        <v>24.198</v>
      </c>
      <c r="H144" s="30">
        <v>120.7393</v>
      </c>
      <c r="I144" s="30">
        <v>23.85</v>
      </c>
      <c r="J144" s="30">
        <v>120.82</v>
      </c>
      <c r="K144" s="30">
        <v>8</v>
      </c>
      <c r="L144" s="22">
        <v>40.4</v>
      </c>
      <c r="M144" s="22">
        <f t="shared" si="16"/>
        <v>39.554310096109241</v>
      </c>
      <c r="N144" s="22">
        <f t="shared" si="17"/>
        <v>40.355215860891754</v>
      </c>
      <c r="O144" s="22">
        <f t="shared" si="18"/>
        <v>4.4784139108244858E-2</v>
      </c>
      <c r="P144" s="22">
        <f t="shared" si="19"/>
        <v>0.11097484712414876</v>
      </c>
      <c r="Q144" s="22">
        <f t="shared" si="20"/>
        <v>2.0177607930445878</v>
      </c>
      <c r="R144" s="29" t="str">
        <f t="shared" si="21"/>
        <v>Within screening tolerance</v>
      </c>
      <c r="S144" s="29" t="str">
        <f t="shared" si="22"/>
        <v/>
      </c>
      <c r="T144" s="22">
        <v>0.7</v>
      </c>
      <c r="U144" s="29" t="s">
        <v>4573</v>
      </c>
      <c r="V144" s="29" t="str">
        <f t="shared" si="23"/>
        <v>No geometric exceedance</v>
      </c>
      <c r="W144" s="30">
        <v>23.85</v>
      </c>
      <c r="X144" s="30">
        <v>120.82</v>
      </c>
      <c r="Y144" s="30">
        <v>8</v>
      </c>
      <c r="Z144" s="30">
        <v>40.355215860891796</v>
      </c>
      <c r="AA144" s="29" t="s">
        <v>167</v>
      </c>
      <c r="AB144" s="29" t="s">
        <v>4574</v>
      </c>
      <c r="AC144" s="39"/>
      <c r="AD144" s="39"/>
    </row>
    <row r="145" spans="1:30" ht="58" customHeight="1">
      <c r="A145" s="1" t="s">
        <v>1262</v>
      </c>
      <c r="B145" s="1">
        <v>145</v>
      </c>
      <c r="C145" s="1" t="s">
        <v>3386</v>
      </c>
      <c r="D145" s="29" t="s">
        <v>211</v>
      </c>
      <c r="E145" s="29" t="s">
        <v>860</v>
      </c>
      <c r="F145" s="1" t="s">
        <v>889</v>
      </c>
      <c r="G145" s="30">
        <v>24.1935</v>
      </c>
      <c r="H145" s="30">
        <v>120.6688</v>
      </c>
      <c r="I145" s="30">
        <v>23.85</v>
      </c>
      <c r="J145" s="30">
        <v>120.82</v>
      </c>
      <c r="K145" s="30">
        <v>8</v>
      </c>
      <c r="L145" s="22">
        <v>42</v>
      </c>
      <c r="M145" s="22">
        <f t="shared" si="16"/>
        <v>41.166919379949334</v>
      </c>
      <c r="N145" s="22">
        <f t="shared" si="17"/>
        <v>41.937039132910279</v>
      </c>
      <c r="O145" s="22">
        <f t="shared" si="18"/>
        <v>6.2960867089721262E-2</v>
      </c>
      <c r="P145" s="22">
        <f t="shared" si="19"/>
        <v>0.15013188434734401</v>
      </c>
      <c r="Q145" s="22">
        <f t="shared" si="20"/>
        <v>2.0968519566455139</v>
      </c>
      <c r="R145" s="29" t="str">
        <f t="shared" si="21"/>
        <v>Within screening tolerance</v>
      </c>
      <c r="S145" s="29" t="str">
        <f t="shared" si="22"/>
        <v/>
      </c>
      <c r="T145" s="22">
        <v>6</v>
      </c>
      <c r="U145" s="29" t="s">
        <v>4573</v>
      </c>
      <c r="V145" s="29" t="str">
        <f t="shared" si="23"/>
        <v>No geometric exceedance</v>
      </c>
      <c r="W145" s="30">
        <v>23.85</v>
      </c>
      <c r="X145" s="30">
        <v>120.82</v>
      </c>
      <c r="Y145" s="30">
        <v>8</v>
      </c>
      <c r="Z145" s="30">
        <v>41.937039132910229</v>
      </c>
      <c r="AA145" s="29" t="s">
        <v>167</v>
      </c>
      <c r="AB145" s="29" t="s">
        <v>4574</v>
      </c>
      <c r="AC145" s="39"/>
      <c r="AD145" s="39"/>
    </row>
    <row r="146" spans="1:30" ht="58" customHeight="1">
      <c r="A146" s="1" t="s">
        <v>1262</v>
      </c>
      <c r="B146" s="1">
        <v>146</v>
      </c>
      <c r="C146" s="1" t="s">
        <v>3388</v>
      </c>
      <c r="D146" s="29" t="s">
        <v>211</v>
      </c>
      <c r="E146" s="29" t="s">
        <v>860</v>
      </c>
      <c r="F146" s="1" t="s">
        <v>890</v>
      </c>
      <c r="G146" s="30">
        <v>24.158799999999999</v>
      </c>
      <c r="H146" s="30">
        <v>120.6238</v>
      </c>
      <c r="I146" s="30">
        <v>23.85</v>
      </c>
      <c r="J146" s="30">
        <v>120.82</v>
      </c>
      <c r="K146" s="30">
        <v>8</v>
      </c>
      <c r="L146" s="22">
        <v>40.5</v>
      </c>
      <c r="M146" s="22">
        <f t="shared" si="16"/>
        <v>39.701609049128258</v>
      </c>
      <c r="N146" s="22">
        <f t="shared" si="17"/>
        <v>40.499601986807512</v>
      </c>
      <c r="O146" s="22">
        <f t="shared" si="18"/>
        <v>3.9801319248766731E-4</v>
      </c>
      <c r="P146" s="22">
        <f t="shared" si="19"/>
        <v>9.8275828146982187E-4</v>
      </c>
      <c r="Q146" s="22">
        <f t="shared" si="20"/>
        <v>2.0249800993403757</v>
      </c>
      <c r="R146" s="29" t="str">
        <f t="shared" si="21"/>
        <v>Within screening tolerance</v>
      </c>
      <c r="S146" s="29" t="str">
        <f t="shared" si="22"/>
        <v/>
      </c>
      <c r="T146" s="22">
        <v>10.5</v>
      </c>
      <c r="U146" s="29" t="s">
        <v>4573</v>
      </c>
      <c r="V146" s="29" t="str">
        <f t="shared" si="23"/>
        <v>No geometric exceedance</v>
      </c>
      <c r="W146" s="30">
        <v>23.85</v>
      </c>
      <c r="X146" s="30">
        <v>120.82</v>
      </c>
      <c r="Y146" s="30">
        <v>8</v>
      </c>
      <c r="Z146" s="30">
        <v>40.499601986807434</v>
      </c>
      <c r="AA146" s="29" t="s">
        <v>167</v>
      </c>
      <c r="AB146" s="29" t="s">
        <v>4574</v>
      </c>
      <c r="AC146" s="39"/>
      <c r="AD146" s="39"/>
    </row>
    <row r="147" spans="1:30" ht="58" customHeight="1">
      <c r="A147" s="1" t="s">
        <v>1262</v>
      </c>
      <c r="B147" s="1">
        <v>147</v>
      </c>
      <c r="C147" s="1" t="s">
        <v>3390</v>
      </c>
      <c r="D147" s="29" t="s">
        <v>211</v>
      </c>
      <c r="E147" s="29" t="s">
        <v>860</v>
      </c>
      <c r="F147" s="1" t="s">
        <v>891</v>
      </c>
      <c r="G147" s="30">
        <v>24.268699999999999</v>
      </c>
      <c r="H147" s="30">
        <v>120.5637</v>
      </c>
      <c r="I147" s="30">
        <v>23.85</v>
      </c>
      <c r="J147" s="30">
        <v>120.82</v>
      </c>
      <c r="K147" s="30">
        <v>8</v>
      </c>
      <c r="L147" s="22">
        <v>54</v>
      </c>
      <c r="M147" s="22">
        <f t="shared" si="16"/>
        <v>53.336603661045054</v>
      </c>
      <c r="N147" s="22">
        <f t="shared" si="17"/>
        <v>53.933229924559541</v>
      </c>
      <c r="O147" s="22">
        <f t="shared" si="18"/>
        <v>6.6770075440459209E-2</v>
      </c>
      <c r="P147" s="22">
        <f t="shared" si="19"/>
        <v>0.12380136612225066</v>
      </c>
      <c r="Q147" s="22">
        <f t="shared" si="20"/>
        <v>2.6966614962279771</v>
      </c>
      <c r="R147" s="29" t="str">
        <f t="shared" si="21"/>
        <v>Within screening tolerance</v>
      </c>
      <c r="S147" s="29" t="str">
        <f t="shared" si="22"/>
        <v/>
      </c>
      <c r="T147" s="22">
        <v>17.100000000000001</v>
      </c>
      <c r="U147" s="29" t="s">
        <v>4573</v>
      </c>
      <c r="V147" s="29" t="str">
        <f t="shared" si="23"/>
        <v>No geometric exceedance</v>
      </c>
      <c r="W147" s="30">
        <v>23.85</v>
      </c>
      <c r="X147" s="30">
        <v>120.82</v>
      </c>
      <c r="Y147" s="30">
        <v>8</v>
      </c>
      <c r="Z147" s="30">
        <v>53.933229924559669</v>
      </c>
      <c r="AA147" s="29" t="s">
        <v>167</v>
      </c>
      <c r="AB147" s="29" t="s">
        <v>4574</v>
      </c>
      <c r="AC147" s="39"/>
      <c r="AD147" s="39"/>
    </row>
    <row r="148" spans="1:30" ht="58" customHeight="1">
      <c r="A148" s="1" t="s">
        <v>1262</v>
      </c>
      <c r="B148" s="1">
        <v>148</v>
      </c>
      <c r="C148" s="1" t="s">
        <v>3392</v>
      </c>
      <c r="D148" s="29" t="s">
        <v>211</v>
      </c>
      <c r="E148" s="29" t="s">
        <v>860</v>
      </c>
      <c r="F148" s="1" t="s">
        <v>892</v>
      </c>
      <c r="G148" s="30">
        <v>24.1083</v>
      </c>
      <c r="H148" s="30">
        <v>120.61579999999999</v>
      </c>
      <c r="I148" s="30">
        <v>23.85</v>
      </c>
      <c r="J148" s="30">
        <v>120.82</v>
      </c>
      <c r="K148" s="30">
        <v>8</v>
      </c>
      <c r="L148" s="22">
        <v>36.4</v>
      </c>
      <c r="M148" s="22">
        <f t="shared" si="16"/>
        <v>35.430805350512649</v>
      </c>
      <c r="N148" s="22">
        <f t="shared" si="17"/>
        <v>36.322747249979813</v>
      </c>
      <c r="O148" s="22">
        <f t="shared" si="18"/>
        <v>7.7252750020186056E-2</v>
      </c>
      <c r="P148" s="22">
        <f t="shared" si="19"/>
        <v>0.21268421545462532</v>
      </c>
      <c r="Q148" s="22">
        <f t="shared" si="20"/>
        <v>1.8161373624989907</v>
      </c>
      <c r="R148" s="29" t="str">
        <f t="shared" si="21"/>
        <v>Within screening tolerance</v>
      </c>
      <c r="S148" s="29" t="str">
        <f t="shared" si="22"/>
        <v/>
      </c>
      <c r="T148" s="22">
        <v>9.8000000000000007</v>
      </c>
      <c r="U148" s="29" t="s">
        <v>4573</v>
      </c>
      <c r="V148" s="29" t="str">
        <f t="shared" si="23"/>
        <v>No geometric exceedance</v>
      </c>
      <c r="W148" s="30">
        <v>23.85</v>
      </c>
      <c r="X148" s="30">
        <v>120.82</v>
      </c>
      <c r="Y148" s="30">
        <v>8</v>
      </c>
      <c r="Z148" s="30">
        <v>36.322747249979813</v>
      </c>
      <c r="AA148" s="29" t="s">
        <v>167</v>
      </c>
      <c r="AB148" s="29" t="s">
        <v>4574</v>
      </c>
      <c r="AC148" s="39"/>
      <c r="AD148" s="39"/>
    </row>
    <row r="149" spans="1:30" ht="58" customHeight="1">
      <c r="A149" s="1" t="s">
        <v>1262</v>
      </c>
      <c r="B149" s="1">
        <v>149</v>
      </c>
      <c r="C149" s="1" t="s">
        <v>3394</v>
      </c>
      <c r="D149" s="29" t="s">
        <v>211</v>
      </c>
      <c r="E149" s="29" t="s">
        <v>860</v>
      </c>
      <c r="F149" s="1" t="s">
        <v>893</v>
      </c>
      <c r="G149" s="30">
        <v>24.345700000000001</v>
      </c>
      <c r="H149" s="30">
        <v>120.61</v>
      </c>
      <c r="I149" s="30">
        <v>23.85</v>
      </c>
      <c r="J149" s="30">
        <v>120.82</v>
      </c>
      <c r="K149" s="30">
        <v>8</v>
      </c>
      <c r="L149" s="22">
        <v>59.7</v>
      </c>
      <c r="M149" s="22">
        <f t="shared" si="16"/>
        <v>59.097398465208613</v>
      </c>
      <c r="N149" s="22">
        <f t="shared" si="17"/>
        <v>59.636419286838823</v>
      </c>
      <c r="O149" s="22">
        <f t="shared" si="18"/>
        <v>6.3580713161179858E-2</v>
      </c>
      <c r="P149" s="22">
        <f t="shared" si="19"/>
        <v>0.10661390123939166</v>
      </c>
      <c r="Q149" s="22">
        <f t="shared" si="20"/>
        <v>2.9818209643419413</v>
      </c>
      <c r="R149" s="29" t="str">
        <f t="shared" si="21"/>
        <v>Within screening tolerance</v>
      </c>
      <c r="S149" s="29" t="str">
        <f t="shared" si="22"/>
        <v/>
      </c>
      <c r="T149" s="22">
        <v>16.600000000000001</v>
      </c>
      <c r="U149" s="29" t="s">
        <v>4573</v>
      </c>
      <c r="V149" s="29" t="str">
        <f t="shared" si="23"/>
        <v>No geometric exceedance</v>
      </c>
      <c r="W149" s="30">
        <v>23.85</v>
      </c>
      <c r="X149" s="30">
        <v>120.82</v>
      </c>
      <c r="Y149" s="30">
        <v>8</v>
      </c>
      <c r="Z149" s="30">
        <v>59.636419286838745</v>
      </c>
      <c r="AA149" s="29" t="s">
        <v>167</v>
      </c>
      <c r="AB149" s="29" t="s">
        <v>4574</v>
      </c>
      <c r="AC149" s="39"/>
      <c r="AD149" s="39"/>
    </row>
    <row r="150" spans="1:30" ht="58" customHeight="1">
      <c r="A150" s="1" t="s">
        <v>1262</v>
      </c>
      <c r="B150" s="1">
        <v>150</v>
      </c>
      <c r="C150" s="1" t="s">
        <v>3396</v>
      </c>
      <c r="D150" s="29" t="s">
        <v>211</v>
      </c>
      <c r="E150" s="29" t="s">
        <v>860</v>
      </c>
      <c r="F150" s="1" t="s">
        <v>894</v>
      </c>
      <c r="G150" s="30">
        <v>24.058800000000002</v>
      </c>
      <c r="H150" s="30">
        <v>120.69119999999999</v>
      </c>
      <c r="I150" s="30">
        <v>23.85</v>
      </c>
      <c r="J150" s="30">
        <v>120.82</v>
      </c>
      <c r="K150" s="30">
        <v>8</v>
      </c>
      <c r="L150" s="22">
        <v>27.9</v>
      </c>
      <c r="M150" s="22">
        <f t="shared" si="16"/>
        <v>26.652519400944541</v>
      </c>
      <c r="N150" s="22">
        <f t="shared" si="17"/>
        <v>27.827267031056522</v>
      </c>
      <c r="O150" s="22">
        <f t="shared" si="18"/>
        <v>7.2732968943476806E-2</v>
      </c>
      <c r="P150" s="22">
        <f t="shared" si="19"/>
        <v>0.26137302259076839</v>
      </c>
      <c r="Q150" s="22">
        <f t="shared" si="20"/>
        <v>1.3913633515528261</v>
      </c>
      <c r="R150" s="29" t="str">
        <f t="shared" si="21"/>
        <v>Within screening tolerance</v>
      </c>
      <c r="S150" s="29" t="str">
        <f t="shared" si="22"/>
        <v/>
      </c>
      <c r="T150" s="22">
        <v>0.6</v>
      </c>
      <c r="U150" s="29" t="s">
        <v>4573</v>
      </c>
      <c r="V150" s="29" t="str">
        <f t="shared" si="23"/>
        <v>No geometric exceedance</v>
      </c>
      <c r="W150" s="30">
        <v>23.85</v>
      </c>
      <c r="X150" s="30">
        <v>120.82</v>
      </c>
      <c r="Y150" s="30">
        <v>8</v>
      </c>
      <c r="Z150" s="30">
        <v>27.827267031056536</v>
      </c>
      <c r="AA150" s="29" t="s">
        <v>167</v>
      </c>
      <c r="AB150" s="29" t="s">
        <v>4574</v>
      </c>
      <c r="AC150" s="39"/>
      <c r="AD150" s="39"/>
    </row>
    <row r="151" spans="1:30" ht="58" customHeight="1">
      <c r="A151" s="1" t="s">
        <v>1262</v>
      </c>
      <c r="B151" s="1">
        <v>151</v>
      </c>
      <c r="C151" s="1" t="s">
        <v>3398</v>
      </c>
      <c r="D151" s="29" t="s">
        <v>211</v>
      </c>
      <c r="E151" s="29" t="s">
        <v>860</v>
      </c>
      <c r="F151" s="1" t="s">
        <v>895</v>
      </c>
      <c r="G151" s="30">
        <v>24.277200000000001</v>
      </c>
      <c r="H151" s="30">
        <v>120.7658</v>
      </c>
      <c r="I151" s="30">
        <v>23.85</v>
      </c>
      <c r="J151" s="30">
        <v>120.82</v>
      </c>
      <c r="K151" s="30">
        <v>8</v>
      </c>
      <c r="L151" s="22">
        <v>48.5</v>
      </c>
      <c r="M151" s="22">
        <f t="shared" si="16"/>
        <v>47.820159837050291</v>
      </c>
      <c r="N151" s="22">
        <f t="shared" si="17"/>
        <v>48.484716012791473</v>
      </c>
      <c r="O151" s="22">
        <f t="shared" si="18"/>
        <v>1.5283987208526639E-2</v>
      </c>
      <c r="P151" s="22">
        <f t="shared" si="19"/>
        <v>3.1523309746713468E-2</v>
      </c>
      <c r="Q151" s="22">
        <f t="shared" si="20"/>
        <v>2.4242358006395737</v>
      </c>
      <c r="R151" s="29" t="str">
        <f t="shared" si="21"/>
        <v>Within screening tolerance</v>
      </c>
      <c r="S151" s="29" t="str">
        <f t="shared" si="22"/>
        <v/>
      </c>
      <c r="T151" s="22">
        <v>0.3</v>
      </c>
      <c r="U151" s="29" t="s">
        <v>4573</v>
      </c>
      <c r="V151" s="29" t="str">
        <f t="shared" si="23"/>
        <v>No geometric exceedance</v>
      </c>
      <c r="W151" s="30">
        <v>23.85</v>
      </c>
      <c r="X151" s="30">
        <v>120.82</v>
      </c>
      <c r="Y151" s="30">
        <v>8</v>
      </c>
      <c r="Z151" s="30">
        <v>48.484716012791459</v>
      </c>
      <c r="AA151" s="29" t="s">
        <v>167</v>
      </c>
      <c r="AB151" s="29" t="s">
        <v>4574</v>
      </c>
      <c r="AC151" s="39"/>
      <c r="AD151" s="39"/>
    </row>
    <row r="152" spans="1:30" ht="58" customHeight="1">
      <c r="A152" s="1" t="s">
        <v>1262</v>
      </c>
      <c r="B152" s="1">
        <v>152</v>
      </c>
      <c r="C152" s="1" t="s">
        <v>3400</v>
      </c>
      <c r="D152" s="29" t="s">
        <v>211</v>
      </c>
      <c r="E152" s="29" t="s">
        <v>860</v>
      </c>
      <c r="F152" s="1" t="s">
        <v>896</v>
      </c>
      <c r="G152" s="30">
        <v>23.982700000000001</v>
      </c>
      <c r="H152" s="30">
        <v>120.6778</v>
      </c>
      <c r="I152" s="30">
        <v>23.85</v>
      </c>
      <c r="J152" s="30">
        <v>120.82</v>
      </c>
      <c r="K152" s="30">
        <v>8</v>
      </c>
      <c r="L152" s="22">
        <v>22.2</v>
      </c>
      <c r="M152" s="22">
        <f t="shared" si="16"/>
        <v>20.655575713497853</v>
      </c>
      <c r="N152" s="22">
        <f t="shared" si="17"/>
        <v>22.150684144198401</v>
      </c>
      <c r="O152" s="22">
        <f t="shared" si="18"/>
        <v>4.9315855801598474E-2</v>
      </c>
      <c r="P152" s="22">
        <f t="shared" si="19"/>
        <v>0.22263807059212229</v>
      </c>
      <c r="Q152" s="22">
        <f t="shared" si="20"/>
        <v>1.1075342072099201</v>
      </c>
      <c r="R152" s="29" t="str">
        <f t="shared" si="21"/>
        <v>Within screening tolerance</v>
      </c>
      <c r="S152" s="29" t="str">
        <f t="shared" si="22"/>
        <v/>
      </c>
      <c r="T152" s="22">
        <v>0.9</v>
      </c>
      <c r="U152" s="29" t="s">
        <v>4573</v>
      </c>
      <c r="V152" s="29" t="str">
        <f t="shared" si="23"/>
        <v>No geometric exceedance</v>
      </c>
      <c r="W152" s="30">
        <v>23.85</v>
      </c>
      <c r="X152" s="30">
        <v>120.82</v>
      </c>
      <c r="Y152" s="30">
        <v>8</v>
      </c>
      <c r="Z152" s="30">
        <v>22.150684144198419</v>
      </c>
      <c r="AA152" s="29" t="s">
        <v>167</v>
      </c>
      <c r="AB152" s="29" t="s">
        <v>4574</v>
      </c>
      <c r="AC152" s="39"/>
      <c r="AD152" s="39"/>
    </row>
    <row r="153" spans="1:30" ht="58" customHeight="1">
      <c r="A153" s="1" t="s">
        <v>1262</v>
      </c>
      <c r="B153" s="1">
        <v>153</v>
      </c>
      <c r="C153" s="1" t="s">
        <v>3402</v>
      </c>
      <c r="D153" s="29" t="s">
        <v>211</v>
      </c>
      <c r="E153" s="29" t="s">
        <v>860</v>
      </c>
      <c r="F153" s="1" t="s">
        <v>897</v>
      </c>
      <c r="G153" s="30">
        <v>23.907699999999998</v>
      </c>
      <c r="H153" s="30">
        <v>120.67570000000001</v>
      </c>
      <c r="I153" s="30">
        <v>23.85</v>
      </c>
      <c r="J153" s="30">
        <v>120.82</v>
      </c>
      <c r="K153" s="30">
        <v>8</v>
      </c>
      <c r="L153" s="22">
        <v>17.899999999999999</v>
      </c>
      <c r="M153" s="22">
        <f t="shared" si="16"/>
        <v>16.013486708904523</v>
      </c>
      <c r="N153" s="22">
        <f t="shared" si="17"/>
        <v>17.900607715277765</v>
      </c>
      <c r="O153" s="22">
        <f t="shared" si="18"/>
        <v>-6.0771527776637413E-4</v>
      </c>
      <c r="P153" s="22">
        <f t="shared" si="19"/>
        <v>-3.3949421574536983E-3</v>
      </c>
      <c r="Q153" s="22">
        <f t="shared" si="20"/>
        <v>1</v>
      </c>
      <c r="R153" s="29" t="str">
        <f t="shared" si="21"/>
        <v>Within screening tolerance</v>
      </c>
      <c r="S153" s="29" t="str">
        <f t="shared" si="22"/>
        <v/>
      </c>
      <c r="T153" s="22">
        <v>2.7</v>
      </c>
      <c r="U153" s="29" t="s">
        <v>4573</v>
      </c>
      <c r="V153" s="29" t="str">
        <f t="shared" si="23"/>
        <v>No geometric exceedance</v>
      </c>
      <c r="W153" s="30">
        <v>23.85</v>
      </c>
      <c r="X153" s="30">
        <v>120.82</v>
      </c>
      <c r="Y153" s="30">
        <v>8</v>
      </c>
      <c r="Z153" s="30">
        <v>17.900607715277822</v>
      </c>
      <c r="AA153" s="29" t="s">
        <v>167</v>
      </c>
      <c r="AB153" s="29" t="s">
        <v>4574</v>
      </c>
      <c r="AC153" s="39"/>
      <c r="AD153" s="39"/>
    </row>
    <row r="154" spans="1:30" ht="58" customHeight="1">
      <c r="A154" s="1" t="s">
        <v>1262</v>
      </c>
      <c r="B154" s="1">
        <v>154</v>
      </c>
      <c r="C154" s="1" t="s">
        <v>3404</v>
      </c>
      <c r="D154" s="29" t="s">
        <v>211</v>
      </c>
      <c r="E154" s="29" t="s">
        <v>860</v>
      </c>
      <c r="F154" s="1" t="s">
        <v>898</v>
      </c>
      <c r="G154" s="30">
        <v>24.802199999999999</v>
      </c>
      <c r="H154" s="30">
        <v>120.9695</v>
      </c>
      <c r="I154" s="30">
        <v>23.85</v>
      </c>
      <c r="J154" s="30">
        <v>120.82</v>
      </c>
      <c r="K154" s="30">
        <v>8</v>
      </c>
      <c r="L154" s="22">
        <v>107.3</v>
      </c>
      <c r="M154" s="22">
        <f t="shared" si="16"/>
        <v>106.95783736569177</v>
      </c>
      <c r="N154" s="22">
        <f t="shared" si="17"/>
        <v>107.25660340485229</v>
      </c>
      <c r="O154" s="22">
        <f t="shared" si="18"/>
        <v>4.3396595147711992E-2</v>
      </c>
      <c r="P154" s="22">
        <f t="shared" si="19"/>
        <v>4.0460534615203686E-2</v>
      </c>
      <c r="Q154" s="22">
        <f t="shared" si="20"/>
        <v>5.3628301702426144</v>
      </c>
      <c r="R154" s="29" t="str">
        <f t="shared" si="21"/>
        <v>Within screening tolerance</v>
      </c>
      <c r="S154" s="29" t="str">
        <f t="shared" si="22"/>
        <v/>
      </c>
      <c r="T154" s="22">
        <v>55.5</v>
      </c>
      <c r="U154" s="29" t="s">
        <v>4573</v>
      </c>
      <c r="V154" s="29" t="str">
        <f t="shared" si="23"/>
        <v>No geometric exceedance</v>
      </c>
      <c r="W154" s="30">
        <v>23.85</v>
      </c>
      <c r="X154" s="30">
        <v>120.82</v>
      </c>
      <c r="Y154" s="30">
        <v>8</v>
      </c>
      <c r="Z154" s="30">
        <v>107.25660340485231</v>
      </c>
      <c r="AA154" s="29" t="s">
        <v>167</v>
      </c>
      <c r="AB154" s="29" t="s">
        <v>4574</v>
      </c>
      <c r="AC154" s="39"/>
      <c r="AD154" s="39"/>
    </row>
    <row r="155" spans="1:30" ht="58" customHeight="1">
      <c r="A155" s="1" t="s">
        <v>1262</v>
      </c>
      <c r="B155" s="1">
        <v>155</v>
      </c>
      <c r="C155" s="1" t="s">
        <v>3406</v>
      </c>
      <c r="D155" s="29" t="s">
        <v>211</v>
      </c>
      <c r="E155" s="29" t="s">
        <v>860</v>
      </c>
      <c r="F155" s="1" t="s">
        <v>899</v>
      </c>
      <c r="G155" s="30">
        <v>24.147500000000001</v>
      </c>
      <c r="H155" s="30">
        <v>120.676</v>
      </c>
      <c r="I155" s="30">
        <v>23.85</v>
      </c>
      <c r="J155" s="30">
        <v>120.82</v>
      </c>
      <c r="K155" s="30">
        <v>8</v>
      </c>
      <c r="L155" s="22">
        <v>37.1</v>
      </c>
      <c r="M155" s="22">
        <f t="shared" si="16"/>
        <v>36.170338697888141</v>
      </c>
      <c r="N155" s="22">
        <f t="shared" si="17"/>
        <v>37.044478691431799</v>
      </c>
      <c r="O155" s="22">
        <f t="shared" si="18"/>
        <v>5.5521308568202699E-2</v>
      </c>
      <c r="P155" s="22">
        <f t="shared" si="19"/>
        <v>0.14987741906338259</v>
      </c>
      <c r="Q155" s="22">
        <f t="shared" si="20"/>
        <v>1.8522239345715901</v>
      </c>
      <c r="R155" s="29" t="str">
        <f t="shared" si="21"/>
        <v>Within screening tolerance</v>
      </c>
      <c r="S155" s="29" t="str">
        <f t="shared" si="22"/>
        <v/>
      </c>
      <c r="T155" s="22">
        <v>5.2</v>
      </c>
      <c r="U155" s="29" t="s">
        <v>4573</v>
      </c>
      <c r="V155" s="29" t="str">
        <f t="shared" si="23"/>
        <v>No geometric exceedance</v>
      </c>
      <c r="W155" s="30">
        <v>23.85</v>
      </c>
      <c r="X155" s="30">
        <v>120.82</v>
      </c>
      <c r="Y155" s="30">
        <v>8</v>
      </c>
      <c r="Z155" s="30">
        <v>37.044478691431912</v>
      </c>
      <c r="AA155" s="29" t="s">
        <v>167</v>
      </c>
      <c r="AB155" s="29" t="s">
        <v>4574</v>
      </c>
      <c r="AC155" s="39"/>
      <c r="AD155" s="39"/>
    </row>
    <row r="156" spans="1:30" ht="58" customHeight="1">
      <c r="A156" s="1" t="s">
        <v>1262</v>
      </c>
      <c r="B156" s="1">
        <v>156</v>
      </c>
      <c r="C156" s="1" t="s">
        <v>3408</v>
      </c>
      <c r="D156" s="29" t="s">
        <v>211</v>
      </c>
      <c r="E156" s="29" t="s">
        <v>860</v>
      </c>
      <c r="F156" s="1" t="s">
        <v>900</v>
      </c>
      <c r="G156" s="30">
        <v>24.348199999999999</v>
      </c>
      <c r="H156" s="30">
        <v>120.77330000000001</v>
      </c>
      <c r="I156" s="30">
        <v>23.85</v>
      </c>
      <c r="J156" s="30">
        <v>120.82</v>
      </c>
      <c r="K156" s="30">
        <v>8</v>
      </c>
      <c r="L156" s="22">
        <v>56.2</v>
      </c>
      <c r="M156" s="22">
        <f t="shared" si="16"/>
        <v>55.599743794237916</v>
      </c>
      <c r="N156" s="22">
        <f t="shared" si="17"/>
        <v>56.172337586973342</v>
      </c>
      <c r="O156" s="22">
        <f t="shared" si="18"/>
        <v>2.766241302666117E-2</v>
      </c>
      <c r="P156" s="22">
        <f t="shared" si="19"/>
        <v>4.9245614861284016E-2</v>
      </c>
      <c r="Q156" s="22">
        <f t="shared" si="20"/>
        <v>2.8086168793486674</v>
      </c>
      <c r="R156" s="29" t="str">
        <f t="shared" si="21"/>
        <v>Within screening tolerance</v>
      </c>
      <c r="S156" s="29" t="str">
        <f t="shared" si="22"/>
        <v/>
      </c>
      <c r="T156" s="22">
        <v>7</v>
      </c>
      <c r="U156" s="29" t="s">
        <v>4573</v>
      </c>
      <c r="V156" s="29" t="str">
        <f t="shared" si="23"/>
        <v>No geometric exceedance</v>
      </c>
      <c r="W156" s="30">
        <v>23.85</v>
      </c>
      <c r="X156" s="30">
        <v>120.82</v>
      </c>
      <c r="Y156" s="30">
        <v>8</v>
      </c>
      <c r="Z156" s="30">
        <v>56.172337586973484</v>
      </c>
      <c r="AA156" s="29" t="s">
        <v>167</v>
      </c>
      <c r="AB156" s="29" t="s">
        <v>4574</v>
      </c>
      <c r="AC156" s="39"/>
      <c r="AD156" s="39"/>
    </row>
    <row r="157" spans="1:30" ht="58" customHeight="1">
      <c r="A157" s="1" t="s">
        <v>1262</v>
      </c>
      <c r="B157" s="1">
        <v>157</v>
      </c>
      <c r="C157" s="1" t="s">
        <v>3410</v>
      </c>
      <c r="D157" s="29" t="s">
        <v>211</v>
      </c>
      <c r="E157" s="29" t="s">
        <v>860</v>
      </c>
      <c r="F157" s="1" t="s">
        <v>901</v>
      </c>
      <c r="G157" s="30">
        <v>24.253299999999999</v>
      </c>
      <c r="H157" s="30">
        <v>121.1758</v>
      </c>
      <c r="I157" s="30">
        <v>23.85</v>
      </c>
      <c r="J157" s="30">
        <v>120.82</v>
      </c>
      <c r="K157" s="30">
        <v>8</v>
      </c>
      <c r="L157" s="22">
        <v>58.2</v>
      </c>
      <c r="M157" s="22">
        <f t="shared" si="16"/>
        <v>57.587370585327243</v>
      </c>
      <c r="N157" s="22">
        <f t="shared" si="17"/>
        <v>58.140392593547332</v>
      </c>
      <c r="O157" s="22">
        <f t="shared" si="18"/>
        <v>5.9607406452670375E-2</v>
      </c>
      <c r="P157" s="22">
        <f t="shared" si="19"/>
        <v>0.10252322661351596</v>
      </c>
      <c r="Q157" s="22">
        <f t="shared" si="20"/>
        <v>2.9070196296773667</v>
      </c>
      <c r="R157" s="29" t="str">
        <f t="shared" si="21"/>
        <v>Within screening tolerance</v>
      </c>
      <c r="S157" s="29" t="str">
        <f t="shared" si="22"/>
        <v/>
      </c>
      <c r="T157" s="22">
        <v>18.2</v>
      </c>
      <c r="U157" s="29" t="s">
        <v>4573</v>
      </c>
      <c r="V157" s="29" t="str">
        <f t="shared" si="23"/>
        <v>No geometric exceedance</v>
      </c>
      <c r="W157" s="30">
        <v>23.85</v>
      </c>
      <c r="X157" s="30">
        <v>120.82</v>
      </c>
      <c r="Y157" s="30">
        <v>8</v>
      </c>
      <c r="Z157" s="30">
        <v>58.140392593547411</v>
      </c>
      <c r="AA157" s="29" t="s">
        <v>167</v>
      </c>
      <c r="AB157" s="29" t="s">
        <v>4574</v>
      </c>
      <c r="AC157" s="39"/>
      <c r="AD157" s="39"/>
    </row>
    <row r="158" spans="1:30" ht="58" customHeight="1">
      <c r="A158" s="1" t="s">
        <v>1262</v>
      </c>
      <c r="B158" s="1">
        <v>158</v>
      </c>
      <c r="C158" s="1" t="s">
        <v>3412</v>
      </c>
      <c r="D158" s="29" t="s">
        <v>211</v>
      </c>
      <c r="E158" s="29" t="s">
        <v>860</v>
      </c>
      <c r="F158" s="1" t="s">
        <v>902</v>
      </c>
      <c r="G158" s="30">
        <v>24.769500000000001</v>
      </c>
      <c r="H158" s="30">
        <v>121.0488</v>
      </c>
      <c r="I158" s="30">
        <v>23.85</v>
      </c>
      <c r="J158" s="30">
        <v>120.82</v>
      </c>
      <c r="K158" s="30">
        <v>8</v>
      </c>
      <c r="L158" s="22">
        <v>105.2</v>
      </c>
      <c r="M158" s="22">
        <f t="shared" si="16"/>
        <v>104.83956478003768</v>
      </c>
      <c r="N158" s="22">
        <f t="shared" si="17"/>
        <v>105.14435003017383</v>
      </c>
      <c r="O158" s="22">
        <f t="shared" si="18"/>
        <v>5.5649969826177426E-2</v>
      </c>
      <c r="P158" s="22">
        <f t="shared" si="19"/>
        <v>5.292720893724414E-2</v>
      </c>
      <c r="Q158" s="22">
        <f t="shared" si="20"/>
        <v>5.2572175015086913</v>
      </c>
      <c r="R158" s="29" t="str">
        <f t="shared" si="21"/>
        <v>Within screening tolerance</v>
      </c>
      <c r="S158" s="29" t="str">
        <f t="shared" si="22"/>
        <v/>
      </c>
      <c r="T158" s="22">
        <v>54.5</v>
      </c>
      <c r="U158" s="29" t="s">
        <v>4573</v>
      </c>
      <c r="V158" s="29" t="str">
        <f t="shared" si="23"/>
        <v>No geometric exceedance</v>
      </c>
      <c r="W158" s="30">
        <v>23.85</v>
      </c>
      <c r="X158" s="30">
        <v>120.82</v>
      </c>
      <c r="Y158" s="30">
        <v>8</v>
      </c>
      <c r="Z158" s="30">
        <v>105.14435003017371</v>
      </c>
      <c r="AA158" s="29" t="s">
        <v>167</v>
      </c>
      <c r="AB158" s="29" t="s">
        <v>4574</v>
      </c>
      <c r="AC158" s="39"/>
      <c r="AD158" s="39"/>
    </row>
    <row r="159" spans="1:30" ht="58" customHeight="1">
      <c r="A159" s="1" t="s">
        <v>1262</v>
      </c>
      <c r="B159" s="1">
        <v>159</v>
      </c>
      <c r="C159" s="1" t="s">
        <v>3414</v>
      </c>
      <c r="D159" s="29" t="s">
        <v>211</v>
      </c>
      <c r="E159" s="29" t="s">
        <v>860</v>
      </c>
      <c r="F159" s="1" t="s">
        <v>903</v>
      </c>
      <c r="G159" s="30">
        <v>24.691700000000001</v>
      </c>
      <c r="H159" s="30">
        <v>121.01349999999999</v>
      </c>
      <c r="I159" s="30">
        <v>23.85</v>
      </c>
      <c r="J159" s="30">
        <v>120.82</v>
      </c>
      <c r="K159" s="30">
        <v>8</v>
      </c>
      <c r="L159" s="22">
        <v>96</v>
      </c>
      <c r="M159" s="22">
        <f t="shared" si="16"/>
        <v>95.6259491815009</v>
      </c>
      <c r="N159" s="22">
        <f t="shared" si="17"/>
        <v>95.96000290153701</v>
      </c>
      <c r="O159" s="22">
        <f t="shared" si="18"/>
        <v>3.9997098462990266E-2</v>
      </c>
      <c r="P159" s="22">
        <f t="shared" si="19"/>
        <v>4.1681010060025357E-2</v>
      </c>
      <c r="Q159" s="22">
        <f t="shared" si="20"/>
        <v>4.798000145076851</v>
      </c>
      <c r="R159" s="29" t="str">
        <f t="shared" si="21"/>
        <v>Within screening tolerance</v>
      </c>
      <c r="S159" s="29" t="str">
        <f t="shared" si="22"/>
        <v/>
      </c>
      <c r="T159" s="22">
        <v>45.2</v>
      </c>
      <c r="U159" s="29" t="s">
        <v>4573</v>
      </c>
      <c r="V159" s="29" t="str">
        <f t="shared" si="23"/>
        <v>No geometric exceedance</v>
      </c>
      <c r="W159" s="30">
        <v>23.85</v>
      </c>
      <c r="X159" s="30">
        <v>120.82</v>
      </c>
      <c r="Y159" s="30">
        <v>8</v>
      </c>
      <c r="Z159" s="30">
        <v>95.960002901537067</v>
      </c>
      <c r="AA159" s="29" t="s">
        <v>167</v>
      </c>
      <c r="AB159" s="29" t="s">
        <v>4574</v>
      </c>
      <c r="AC159" s="39"/>
      <c r="AD159" s="39"/>
    </row>
    <row r="160" spans="1:30" ht="58" customHeight="1">
      <c r="A160" s="1" t="s">
        <v>1262</v>
      </c>
      <c r="B160" s="1">
        <v>160</v>
      </c>
      <c r="C160" s="1" t="s">
        <v>3416</v>
      </c>
      <c r="D160" s="29" t="s">
        <v>211</v>
      </c>
      <c r="E160" s="29" t="s">
        <v>860</v>
      </c>
      <c r="F160" s="1" t="s">
        <v>904</v>
      </c>
      <c r="G160" s="30">
        <v>24.7957</v>
      </c>
      <c r="H160" s="30">
        <v>120.9558</v>
      </c>
      <c r="I160" s="30">
        <v>23.85</v>
      </c>
      <c r="J160" s="30">
        <v>120.82</v>
      </c>
      <c r="K160" s="30">
        <v>8</v>
      </c>
      <c r="L160" s="22">
        <v>106.4</v>
      </c>
      <c r="M160" s="22">
        <f t="shared" si="16"/>
        <v>106.05344399761225</v>
      </c>
      <c r="N160" s="22">
        <f t="shared" si="17"/>
        <v>106.35475064027312</v>
      </c>
      <c r="O160" s="22">
        <f t="shared" si="18"/>
        <v>4.5249359726881266E-2</v>
      </c>
      <c r="P160" s="22">
        <f t="shared" si="19"/>
        <v>4.2545687385352006E-2</v>
      </c>
      <c r="Q160" s="22">
        <f t="shared" si="20"/>
        <v>5.3177375320136564</v>
      </c>
      <c r="R160" s="29" t="str">
        <f t="shared" si="21"/>
        <v>Within screening tolerance</v>
      </c>
      <c r="S160" s="29" t="str">
        <f t="shared" si="22"/>
        <v/>
      </c>
      <c r="T160" s="22">
        <v>54.5</v>
      </c>
      <c r="U160" s="29" t="s">
        <v>4573</v>
      </c>
      <c r="V160" s="29" t="str">
        <f t="shared" si="23"/>
        <v>No geometric exceedance</v>
      </c>
      <c r="W160" s="30">
        <v>23.85</v>
      </c>
      <c r="X160" s="30">
        <v>120.82</v>
      </c>
      <c r="Y160" s="30">
        <v>8</v>
      </c>
      <c r="Z160" s="30">
        <v>106.35475064027321</v>
      </c>
      <c r="AA160" s="29" t="s">
        <v>167</v>
      </c>
      <c r="AB160" s="29" t="s">
        <v>4574</v>
      </c>
      <c r="AC160" s="39"/>
      <c r="AD160" s="39"/>
    </row>
    <row r="161" spans="1:30" ht="58" customHeight="1">
      <c r="A161" s="1" t="s">
        <v>1262</v>
      </c>
      <c r="B161" s="1">
        <v>161</v>
      </c>
      <c r="C161" s="1" t="s">
        <v>3418</v>
      </c>
      <c r="D161" s="29" t="s">
        <v>211</v>
      </c>
      <c r="E161" s="29" t="s">
        <v>860</v>
      </c>
      <c r="F161" s="1" t="s">
        <v>905</v>
      </c>
      <c r="G161" s="30">
        <v>24.743300000000001</v>
      </c>
      <c r="H161" s="30">
        <v>120.899</v>
      </c>
      <c r="I161" s="30">
        <v>23.85</v>
      </c>
      <c r="J161" s="30">
        <v>120.82</v>
      </c>
      <c r="K161" s="30">
        <v>8</v>
      </c>
      <c r="L161" s="22">
        <v>100.1</v>
      </c>
      <c r="M161" s="22">
        <f t="shared" si="16"/>
        <v>99.652563098554282</v>
      </c>
      <c r="N161" s="22">
        <f t="shared" si="17"/>
        <v>99.973163059449831</v>
      </c>
      <c r="O161" s="22">
        <f t="shared" si="18"/>
        <v>0.12683694055016304</v>
      </c>
      <c r="P161" s="22">
        <f t="shared" si="19"/>
        <v>0.12687098884201398</v>
      </c>
      <c r="Q161" s="22">
        <f t="shared" si="20"/>
        <v>4.9986581529724923</v>
      </c>
      <c r="R161" s="29" t="str">
        <f t="shared" si="21"/>
        <v>Within screening tolerance</v>
      </c>
      <c r="S161" s="29" t="str">
        <f t="shared" si="22"/>
        <v/>
      </c>
      <c r="T161" s="22">
        <v>47.7</v>
      </c>
      <c r="U161" s="29" t="s">
        <v>4573</v>
      </c>
      <c r="V161" s="29" t="str">
        <f t="shared" si="23"/>
        <v>No geometric exceedance</v>
      </c>
      <c r="W161" s="30">
        <v>23.85</v>
      </c>
      <c r="X161" s="30">
        <v>120.82</v>
      </c>
      <c r="Y161" s="30">
        <v>8</v>
      </c>
      <c r="Z161" s="30">
        <v>99.973163059449831</v>
      </c>
      <c r="AA161" s="29" t="s">
        <v>167</v>
      </c>
      <c r="AB161" s="29" t="s">
        <v>4574</v>
      </c>
      <c r="AC161" s="39"/>
      <c r="AD161" s="39"/>
    </row>
    <row r="162" spans="1:30" ht="58" customHeight="1">
      <c r="A162" s="1" t="s">
        <v>1262</v>
      </c>
      <c r="B162" s="1">
        <v>162</v>
      </c>
      <c r="C162" s="1" t="s">
        <v>3420</v>
      </c>
      <c r="D162" s="29" t="s">
        <v>211</v>
      </c>
      <c r="E162" s="29" t="s">
        <v>860</v>
      </c>
      <c r="F162" s="1" t="s">
        <v>906</v>
      </c>
      <c r="G162" s="30">
        <v>24.242000000000001</v>
      </c>
      <c r="H162" s="30">
        <v>120.7092</v>
      </c>
      <c r="I162" s="30">
        <v>23.85</v>
      </c>
      <c r="J162" s="30">
        <v>120.82</v>
      </c>
      <c r="K162" s="30">
        <v>8</v>
      </c>
      <c r="L162" s="22">
        <v>45.8</v>
      </c>
      <c r="M162" s="22">
        <f t="shared" si="16"/>
        <v>45.017093155126084</v>
      </c>
      <c r="N162" s="22">
        <f t="shared" si="17"/>
        <v>45.722408905670093</v>
      </c>
      <c r="O162" s="22">
        <f t="shared" si="18"/>
        <v>7.7591094329903854E-2</v>
      </c>
      <c r="P162" s="22">
        <f t="shared" si="19"/>
        <v>0.16970036397247146</v>
      </c>
      <c r="Q162" s="22">
        <f t="shared" si="20"/>
        <v>2.2861204452835047</v>
      </c>
      <c r="R162" s="29" t="str">
        <f t="shared" si="21"/>
        <v>Within screening tolerance</v>
      </c>
      <c r="S162" s="29" t="str">
        <f t="shared" si="22"/>
        <v/>
      </c>
      <c r="T162" s="22">
        <v>2.1</v>
      </c>
      <c r="U162" s="29" t="s">
        <v>4573</v>
      </c>
      <c r="V162" s="29" t="str">
        <f t="shared" si="23"/>
        <v>No geometric exceedance</v>
      </c>
      <c r="W162" s="30">
        <v>23.85</v>
      </c>
      <c r="X162" s="30">
        <v>120.82</v>
      </c>
      <c r="Y162" s="30">
        <v>8</v>
      </c>
      <c r="Z162" s="30">
        <v>45.722408905670065</v>
      </c>
      <c r="AA162" s="29" t="s">
        <v>167</v>
      </c>
      <c r="AB162" s="29" t="s">
        <v>4574</v>
      </c>
      <c r="AC162" s="39"/>
      <c r="AD162" s="39"/>
    </row>
    <row r="163" spans="1:30" ht="58" customHeight="1">
      <c r="A163" s="1" t="s">
        <v>1262</v>
      </c>
      <c r="B163" s="1">
        <v>163</v>
      </c>
      <c r="C163" s="1" t="s">
        <v>3422</v>
      </c>
      <c r="D163" s="29" t="s">
        <v>211</v>
      </c>
      <c r="E163" s="29" t="s">
        <v>860</v>
      </c>
      <c r="F163" s="1" t="s">
        <v>907</v>
      </c>
      <c r="G163" s="30">
        <v>24.249300000000002</v>
      </c>
      <c r="H163" s="30">
        <v>120.7208</v>
      </c>
      <c r="I163" s="30">
        <v>23.85</v>
      </c>
      <c r="J163" s="30">
        <v>120.82</v>
      </c>
      <c r="K163" s="30">
        <v>8</v>
      </c>
      <c r="L163" s="22">
        <v>46.3</v>
      </c>
      <c r="M163" s="22">
        <f t="shared" si="16"/>
        <v>45.528416286352311</v>
      </c>
      <c r="N163" s="22">
        <f t="shared" si="17"/>
        <v>46.225930921328029</v>
      </c>
      <c r="O163" s="22">
        <f t="shared" si="18"/>
        <v>7.4069078671968214E-2</v>
      </c>
      <c r="P163" s="22">
        <f t="shared" si="19"/>
        <v>0.16023274641678167</v>
      </c>
      <c r="Q163" s="22">
        <f t="shared" si="20"/>
        <v>2.3112965460664014</v>
      </c>
      <c r="R163" s="29" t="str">
        <f t="shared" si="21"/>
        <v>Within screening tolerance</v>
      </c>
      <c r="S163" s="29" t="str">
        <f t="shared" si="22"/>
        <v/>
      </c>
      <c r="T163" s="22">
        <v>1.5</v>
      </c>
      <c r="U163" s="29" t="s">
        <v>4573</v>
      </c>
      <c r="V163" s="29" t="str">
        <f t="shared" si="23"/>
        <v>No geometric exceedance</v>
      </c>
      <c r="W163" s="30">
        <v>23.85</v>
      </c>
      <c r="X163" s="30">
        <v>120.82</v>
      </c>
      <c r="Y163" s="30">
        <v>8</v>
      </c>
      <c r="Z163" s="30">
        <v>46.225930921327979</v>
      </c>
      <c r="AA163" s="29" t="s">
        <v>167</v>
      </c>
      <c r="AB163" s="29" t="s">
        <v>4574</v>
      </c>
      <c r="AC163" s="39"/>
      <c r="AD163" s="39"/>
    </row>
    <row r="164" spans="1:30" ht="58" customHeight="1">
      <c r="A164" s="1" t="s">
        <v>1262</v>
      </c>
      <c r="B164" s="1">
        <v>164</v>
      </c>
      <c r="C164" s="1" t="s">
        <v>3424</v>
      </c>
      <c r="D164" s="29" t="s">
        <v>211</v>
      </c>
      <c r="E164" s="29" t="s">
        <v>860</v>
      </c>
      <c r="F164" s="1" t="s">
        <v>908</v>
      </c>
      <c r="G164" s="30">
        <v>24.309799999999999</v>
      </c>
      <c r="H164" s="30">
        <v>120.7072</v>
      </c>
      <c r="I164" s="30">
        <v>23.85</v>
      </c>
      <c r="J164" s="30">
        <v>120.82</v>
      </c>
      <c r="K164" s="30">
        <v>8</v>
      </c>
      <c r="L164" s="22">
        <v>53</v>
      </c>
      <c r="M164" s="22">
        <f t="shared" si="16"/>
        <v>52.394126873844357</v>
      </c>
      <c r="N164" s="22">
        <f t="shared" si="17"/>
        <v>53.001363481258664</v>
      </c>
      <c r="O164" s="22">
        <f t="shared" si="18"/>
        <v>-1.3634812586644784E-3</v>
      </c>
      <c r="P164" s="22">
        <f t="shared" si="19"/>
        <v>-2.57253996710218E-3</v>
      </c>
      <c r="Q164" s="22">
        <f t="shared" si="20"/>
        <v>2.6500681740629335</v>
      </c>
      <c r="R164" s="29" t="str">
        <f t="shared" si="21"/>
        <v>Within screening tolerance</v>
      </c>
      <c r="S164" s="29" t="str">
        <f t="shared" si="22"/>
        <v/>
      </c>
      <c r="T164" s="22">
        <v>6.1</v>
      </c>
      <c r="U164" s="29" t="s">
        <v>4573</v>
      </c>
      <c r="V164" s="29" t="str">
        <f t="shared" si="23"/>
        <v>No geometric exceedance</v>
      </c>
      <c r="W164" s="30">
        <v>23.85</v>
      </c>
      <c r="X164" s="30">
        <v>120.82</v>
      </c>
      <c r="Y164" s="30">
        <v>8</v>
      </c>
      <c r="Z164" s="30">
        <v>53.001363481258693</v>
      </c>
      <c r="AA164" s="29" t="s">
        <v>167</v>
      </c>
      <c r="AB164" s="29" t="s">
        <v>4574</v>
      </c>
      <c r="AC164" s="39"/>
      <c r="AD164" s="39"/>
    </row>
    <row r="165" spans="1:30" ht="58" customHeight="1">
      <c r="A165" s="1" t="s">
        <v>1262</v>
      </c>
      <c r="B165" s="1">
        <v>165</v>
      </c>
      <c r="C165" s="1" t="s">
        <v>3426</v>
      </c>
      <c r="D165" s="29" t="s">
        <v>211</v>
      </c>
      <c r="E165" s="29" t="s">
        <v>860</v>
      </c>
      <c r="F165" s="1" t="s">
        <v>909</v>
      </c>
      <c r="G165" s="30">
        <v>24.2455</v>
      </c>
      <c r="H165" s="30">
        <v>120.6018</v>
      </c>
      <c r="I165" s="30">
        <v>23.85</v>
      </c>
      <c r="J165" s="30">
        <v>120.82</v>
      </c>
      <c r="K165" s="30">
        <v>8</v>
      </c>
      <c r="L165" s="22">
        <v>49.9</v>
      </c>
      <c r="M165" s="22">
        <f t="shared" si="16"/>
        <v>49.243809094037132</v>
      </c>
      <c r="N165" s="22">
        <f t="shared" si="17"/>
        <v>49.88940502842236</v>
      </c>
      <c r="O165" s="22">
        <f t="shared" si="18"/>
        <v>1.0594971577639001E-2</v>
      </c>
      <c r="P165" s="22">
        <f t="shared" si="19"/>
        <v>2.12369170800954E-2</v>
      </c>
      <c r="Q165" s="22">
        <f t="shared" si="20"/>
        <v>2.4944702514211183</v>
      </c>
      <c r="R165" s="29" t="str">
        <f t="shared" si="21"/>
        <v>Within screening tolerance</v>
      </c>
      <c r="S165" s="29" t="str">
        <f t="shared" si="22"/>
        <v/>
      </c>
      <c r="T165" s="22">
        <v>12.9</v>
      </c>
      <c r="U165" s="29" t="s">
        <v>4573</v>
      </c>
      <c r="V165" s="29" t="str">
        <f t="shared" si="23"/>
        <v>No geometric exceedance</v>
      </c>
      <c r="W165" s="30">
        <v>23.85</v>
      </c>
      <c r="X165" s="30">
        <v>120.82</v>
      </c>
      <c r="Y165" s="30">
        <v>8</v>
      </c>
      <c r="Z165" s="30">
        <v>49.889405028422473</v>
      </c>
      <c r="AA165" s="29" t="s">
        <v>167</v>
      </c>
      <c r="AB165" s="29" t="s">
        <v>4574</v>
      </c>
      <c r="AC165" s="39"/>
      <c r="AD165" s="39"/>
    </row>
    <row r="166" spans="1:30" ht="58" customHeight="1">
      <c r="A166" s="1" t="s">
        <v>1262</v>
      </c>
      <c r="B166" s="1">
        <v>166</v>
      </c>
      <c r="C166" s="1" t="s">
        <v>3428</v>
      </c>
      <c r="D166" s="29" t="s">
        <v>211</v>
      </c>
      <c r="E166" s="29" t="s">
        <v>860</v>
      </c>
      <c r="F166" s="1" t="s">
        <v>910</v>
      </c>
      <c r="G166" s="30">
        <v>24.4162</v>
      </c>
      <c r="H166" s="30">
        <v>120.7607</v>
      </c>
      <c r="I166" s="30">
        <v>23.85</v>
      </c>
      <c r="J166" s="30">
        <v>120.82</v>
      </c>
      <c r="K166" s="30">
        <v>8</v>
      </c>
      <c r="L166" s="22">
        <v>63.8</v>
      </c>
      <c r="M166" s="22">
        <f t="shared" si="16"/>
        <v>63.245486597221806</v>
      </c>
      <c r="N166" s="22">
        <f t="shared" si="17"/>
        <v>63.749443722430733</v>
      </c>
      <c r="O166" s="22">
        <f t="shared" si="18"/>
        <v>5.0556277569263841E-2</v>
      </c>
      <c r="P166" s="22">
        <f t="shared" si="19"/>
        <v>7.9304656820833125E-2</v>
      </c>
      <c r="Q166" s="22">
        <f t="shared" si="20"/>
        <v>3.1874721861215369</v>
      </c>
      <c r="R166" s="29" t="str">
        <f t="shared" si="21"/>
        <v>Within screening tolerance</v>
      </c>
      <c r="S166" s="29" t="str">
        <f t="shared" si="22"/>
        <v/>
      </c>
      <c r="T166" s="22">
        <v>13.1</v>
      </c>
      <c r="U166" s="29" t="s">
        <v>4573</v>
      </c>
      <c r="V166" s="29" t="str">
        <f t="shared" si="23"/>
        <v>No geometric exceedance</v>
      </c>
      <c r="W166" s="30">
        <v>23.85</v>
      </c>
      <c r="X166" s="30">
        <v>120.82</v>
      </c>
      <c r="Y166" s="30">
        <v>8</v>
      </c>
      <c r="Z166" s="30">
        <v>63.749443722430819</v>
      </c>
      <c r="AA166" s="29" t="s">
        <v>167</v>
      </c>
      <c r="AB166" s="29" t="s">
        <v>4574</v>
      </c>
      <c r="AC166" s="39"/>
      <c r="AD166" s="39"/>
    </row>
    <row r="167" spans="1:30" ht="58" customHeight="1">
      <c r="A167" s="1" t="s">
        <v>1262</v>
      </c>
      <c r="B167" s="1">
        <v>167</v>
      </c>
      <c r="C167" s="1" t="s">
        <v>3430</v>
      </c>
      <c r="D167" s="29" t="s">
        <v>211</v>
      </c>
      <c r="E167" s="29" t="s">
        <v>860</v>
      </c>
      <c r="F167" s="1" t="s">
        <v>911</v>
      </c>
      <c r="G167" s="30">
        <v>24.260300000000001</v>
      </c>
      <c r="H167" s="30">
        <v>120.65179999999999</v>
      </c>
      <c r="I167" s="30">
        <v>23.85</v>
      </c>
      <c r="J167" s="30">
        <v>120.82</v>
      </c>
      <c r="K167" s="30">
        <v>8</v>
      </c>
      <c r="L167" s="22">
        <v>49.4</v>
      </c>
      <c r="M167" s="22">
        <f t="shared" si="16"/>
        <v>48.715125386623278</v>
      </c>
      <c r="N167" s="22">
        <f t="shared" si="17"/>
        <v>49.367635566577704</v>
      </c>
      <c r="O167" s="22">
        <f t="shared" si="18"/>
        <v>3.236443342229478E-2</v>
      </c>
      <c r="P167" s="22">
        <f t="shared" si="19"/>
        <v>6.5557997766872531E-2</v>
      </c>
      <c r="Q167" s="22">
        <f t="shared" si="20"/>
        <v>2.4683817783288853</v>
      </c>
      <c r="R167" s="29" t="str">
        <f t="shared" si="21"/>
        <v>Within screening tolerance</v>
      </c>
      <c r="S167" s="29" t="str">
        <f t="shared" si="22"/>
        <v/>
      </c>
      <c r="T167" s="22">
        <v>8.3000000000000007</v>
      </c>
      <c r="U167" s="29" t="s">
        <v>4573</v>
      </c>
      <c r="V167" s="29" t="str">
        <f t="shared" si="23"/>
        <v>No geometric exceedance</v>
      </c>
      <c r="W167" s="30">
        <v>23.85</v>
      </c>
      <c r="X167" s="30">
        <v>120.82</v>
      </c>
      <c r="Y167" s="30">
        <v>8</v>
      </c>
      <c r="Z167" s="30">
        <v>49.367635566577739</v>
      </c>
      <c r="AA167" s="29" t="s">
        <v>167</v>
      </c>
      <c r="AB167" s="29" t="s">
        <v>4574</v>
      </c>
      <c r="AC167" s="39"/>
      <c r="AD167" s="39"/>
    </row>
    <row r="168" spans="1:30" ht="58" customHeight="1">
      <c r="A168" s="1" t="s">
        <v>1262</v>
      </c>
      <c r="B168" s="1">
        <v>168</v>
      </c>
      <c r="C168" s="1" t="s">
        <v>3432</v>
      </c>
      <c r="D168" s="29" t="s">
        <v>211</v>
      </c>
      <c r="E168" s="29" t="s">
        <v>860</v>
      </c>
      <c r="F168" s="1" t="s">
        <v>912</v>
      </c>
      <c r="G168" s="30">
        <v>23.686199999999999</v>
      </c>
      <c r="H168" s="30">
        <v>120.5622</v>
      </c>
      <c r="I168" s="30">
        <v>23.85</v>
      </c>
      <c r="J168" s="30">
        <v>120.82</v>
      </c>
      <c r="K168" s="30">
        <v>8</v>
      </c>
      <c r="L168" s="22">
        <v>33</v>
      </c>
      <c r="M168" s="22">
        <f t="shared" si="16"/>
        <v>31.937429845159453</v>
      </c>
      <c r="N168" s="22">
        <f t="shared" si="17"/>
        <v>32.924146535855442</v>
      </c>
      <c r="O168" s="22">
        <f t="shared" si="18"/>
        <v>7.5853464144557847E-2</v>
      </c>
      <c r="P168" s="22">
        <f t="shared" si="19"/>
        <v>0.23038855103487957</v>
      </c>
      <c r="Q168" s="22">
        <f t="shared" si="20"/>
        <v>1.6462073267927722</v>
      </c>
      <c r="R168" s="29" t="str">
        <f t="shared" si="21"/>
        <v>Within screening tolerance</v>
      </c>
      <c r="S168" s="29" t="str">
        <f t="shared" si="22"/>
        <v/>
      </c>
      <c r="T168" s="22">
        <v>9.9</v>
      </c>
      <c r="U168" s="29" t="s">
        <v>4573</v>
      </c>
      <c r="V168" s="29" t="str">
        <f t="shared" si="23"/>
        <v>No geometric exceedance</v>
      </c>
      <c r="W168" s="30">
        <v>23.85</v>
      </c>
      <c r="X168" s="30">
        <v>120.82</v>
      </c>
      <c r="Y168" s="30">
        <v>8</v>
      </c>
      <c r="Z168" s="30">
        <v>32.924146535855506</v>
      </c>
      <c r="AA168" s="29" t="s">
        <v>167</v>
      </c>
      <c r="AB168" s="29" t="s">
        <v>4574</v>
      </c>
      <c r="AC168" s="39"/>
      <c r="AD168" s="39"/>
    </row>
    <row r="169" spans="1:30" ht="58" customHeight="1">
      <c r="A169" s="1" t="s">
        <v>1262</v>
      </c>
      <c r="B169" s="1">
        <v>169</v>
      </c>
      <c r="C169" s="1" t="s">
        <v>3434</v>
      </c>
      <c r="D169" s="29" t="s">
        <v>463</v>
      </c>
      <c r="E169" s="29" t="s">
        <v>913</v>
      </c>
      <c r="F169" s="1" t="s">
        <v>864</v>
      </c>
      <c r="G169" s="30">
        <v>23.757000000000001</v>
      </c>
      <c r="H169" s="30">
        <v>120.6062</v>
      </c>
      <c r="I169" s="30">
        <v>23.81</v>
      </c>
      <c r="J169" s="30">
        <v>120.85</v>
      </c>
      <c r="K169" s="30">
        <v>7.8</v>
      </c>
      <c r="L169" s="22">
        <v>26.7</v>
      </c>
      <c r="M169" s="22">
        <f t="shared" si="16"/>
        <v>25.497503433231913</v>
      </c>
      <c r="N169" s="22">
        <f t="shared" si="17"/>
        <v>26.663883462985531</v>
      </c>
      <c r="O169" s="22">
        <f t="shared" si="18"/>
        <v>3.6116537014468264E-2</v>
      </c>
      <c r="P169" s="22">
        <f t="shared" si="19"/>
        <v>0.13545115085956924</v>
      </c>
      <c r="Q169" s="22">
        <f t="shared" si="20"/>
        <v>1.3331941731492767</v>
      </c>
      <c r="R169" s="29" t="str">
        <f t="shared" si="21"/>
        <v>Within screening tolerance</v>
      </c>
      <c r="S169" s="29" t="str">
        <f t="shared" si="22"/>
        <v/>
      </c>
      <c r="T169" s="22">
        <v>19.600000000000001</v>
      </c>
      <c r="U169" s="29" t="s">
        <v>4573</v>
      </c>
      <c r="V169" s="29" t="str">
        <f t="shared" si="23"/>
        <v>No geometric exceedance</v>
      </c>
      <c r="W169" s="30">
        <v>23.81</v>
      </c>
      <c r="X169" s="30">
        <v>120.85</v>
      </c>
      <c r="Y169" s="30">
        <v>7.8</v>
      </c>
      <c r="Z169" s="30">
        <v>26.663883462985481</v>
      </c>
      <c r="AA169" s="29" t="s">
        <v>167</v>
      </c>
      <c r="AB169" s="29" t="s">
        <v>4574</v>
      </c>
      <c r="AC169" s="39"/>
      <c r="AD169" s="39"/>
    </row>
    <row r="170" spans="1:30" ht="58" customHeight="1">
      <c r="A170" s="1" t="s">
        <v>1262</v>
      </c>
      <c r="B170" s="1">
        <v>170</v>
      </c>
      <c r="C170" s="1" t="s">
        <v>3437</v>
      </c>
      <c r="D170" s="29" t="s">
        <v>463</v>
      </c>
      <c r="E170" s="29" t="s">
        <v>913</v>
      </c>
      <c r="F170" s="1" t="s">
        <v>914</v>
      </c>
      <c r="G170" s="30">
        <v>23.52</v>
      </c>
      <c r="H170" s="30">
        <v>120.584</v>
      </c>
      <c r="I170" s="30">
        <v>23.81</v>
      </c>
      <c r="J170" s="30">
        <v>120.85</v>
      </c>
      <c r="K170" s="30">
        <v>7.8</v>
      </c>
      <c r="L170" s="22">
        <v>42.9</v>
      </c>
      <c r="M170" s="22">
        <f t="shared" si="16"/>
        <v>42.115744403755542</v>
      </c>
      <c r="N170" s="22">
        <f t="shared" si="17"/>
        <v>42.831949835169375</v>
      </c>
      <c r="O170" s="22">
        <f t="shared" si="18"/>
        <v>6.8050164830623316E-2</v>
      </c>
      <c r="P170" s="22">
        <f t="shared" si="19"/>
        <v>0.15887711181139652</v>
      </c>
      <c r="Q170" s="22">
        <f t="shared" si="20"/>
        <v>2.141597491758469</v>
      </c>
      <c r="R170" s="29" t="str">
        <f t="shared" si="21"/>
        <v>Within screening tolerance</v>
      </c>
      <c r="S170" s="29" t="str">
        <f t="shared" si="22"/>
        <v/>
      </c>
      <c r="T170" s="22">
        <v>34.5</v>
      </c>
      <c r="U170" s="29" t="s">
        <v>4573</v>
      </c>
      <c r="V170" s="29" t="str">
        <f t="shared" si="23"/>
        <v>No geometric exceedance</v>
      </c>
      <c r="W170" s="30">
        <v>23.81</v>
      </c>
      <c r="X170" s="30">
        <v>120.85</v>
      </c>
      <c r="Y170" s="30">
        <v>7.8</v>
      </c>
      <c r="Z170" s="30">
        <v>42.831949835169276</v>
      </c>
      <c r="AA170" s="29" t="s">
        <v>167</v>
      </c>
      <c r="AB170" s="29" t="s">
        <v>4574</v>
      </c>
      <c r="AC170" s="39"/>
      <c r="AD170" s="39"/>
    </row>
    <row r="171" spans="1:30" ht="58" customHeight="1">
      <c r="A171" s="1" t="s">
        <v>1262</v>
      </c>
      <c r="B171" s="1">
        <v>171</v>
      </c>
      <c r="C171" s="1" t="s">
        <v>3439</v>
      </c>
      <c r="D171" s="29" t="s">
        <v>463</v>
      </c>
      <c r="E171" s="29" t="s">
        <v>913</v>
      </c>
      <c r="F171" s="1" t="s">
        <v>915</v>
      </c>
      <c r="G171" s="30">
        <v>23.597200000000001</v>
      </c>
      <c r="H171" s="30">
        <v>120.6777</v>
      </c>
      <c r="I171" s="30">
        <v>23.81</v>
      </c>
      <c r="J171" s="30">
        <v>120.85</v>
      </c>
      <c r="K171" s="30">
        <v>7.8</v>
      </c>
      <c r="L171" s="22">
        <v>30.5</v>
      </c>
      <c r="M171" s="22">
        <f t="shared" si="16"/>
        <v>29.455821565442758</v>
      </c>
      <c r="N171" s="22">
        <f t="shared" si="17"/>
        <v>30.471058795112498</v>
      </c>
      <c r="O171" s="22">
        <f t="shared" si="18"/>
        <v>2.8941204887502181E-2</v>
      </c>
      <c r="P171" s="22">
        <f t="shared" si="19"/>
        <v>9.4979321467307518E-2</v>
      </c>
      <c r="Q171" s="22">
        <f t="shared" si="20"/>
        <v>1.5235529397556249</v>
      </c>
      <c r="R171" s="29" t="str">
        <f t="shared" si="21"/>
        <v>Within screening tolerance</v>
      </c>
      <c r="S171" s="29" t="str">
        <f t="shared" si="22"/>
        <v/>
      </c>
      <c r="T171" s="22">
        <v>22.4</v>
      </c>
      <c r="U171" s="29" t="s">
        <v>4573</v>
      </c>
      <c r="V171" s="29" t="str">
        <f t="shared" si="23"/>
        <v>No geometric exceedance</v>
      </c>
      <c r="W171" s="30">
        <v>23.81</v>
      </c>
      <c r="X171" s="30">
        <v>120.85</v>
      </c>
      <c r="Y171" s="30">
        <v>7.8</v>
      </c>
      <c r="Z171" s="30">
        <v>30.471058795112352</v>
      </c>
      <c r="AA171" s="29" t="s">
        <v>167</v>
      </c>
      <c r="AB171" s="29" t="s">
        <v>4574</v>
      </c>
      <c r="AC171" s="39"/>
      <c r="AD171" s="39"/>
    </row>
    <row r="172" spans="1:30" ht="58" customHeight="1">
      <c r="A172" s="1" t="s">
        <v>1262</v>
      </c>
      <c r="B172" s="1">
        <v>172</v>
      </c>
      <c r="C172" s="1" t="s">
        <v>3441</v>
      </c>
      <c r="D172" s="29" t="s">
        <v>463</v>
      </c>
      <c r="E172" s="29" t="s">
        <v>913</v>
      </c>
      <c r="F172" s="1" t="s">
        <v>894</v>
      </c>
      <c r="G172" s="30">
        <v>24.058800000000002</v>
      </c>
      <c r="H172" s="30">
        <v>120.69119999999999</v>
      </c>
      <c r="I172" s="30">
        <v>23.81</v>
      </c>
      <c r="J172" s="30">
        <v>120.85</v>
      </c>
      <c r="K172" s="30">
        <v>7.8</v>
      </c>
      <c r="L172" s="22">
        <v>33</v>
      </c>
      <c r="M172" s="22">
        <f t="shared" si="16"/>
        <v>32.0288526844773</v>
      </c>
      <c r="N172" s="22">
        <f t="shared" si="17"/>
        <v>32.964942048848634</v>
      </c>
      <c r="O172" s="22">
        <f t="shared" si="18"/>
        <v>3.5057951151365785E-2</v>
      </c>
      <c r="P172" s="22">
        <f t="shared" si="19"/>
        <v>0.10634919697239466</v>
      </c>
      <c r="Q172" s="22">
        <f t="shared" si="20"/>
        <v>1.6482471024424319</v>
      </c>
      <c r="R172" s="29" t="str">
        <f t="shared" si="21"/>
        <v>Within screening tolerance</v>
      </c>
      <c r="S172" s="29" t="str">
        <f t="shared" si="22"/>
        <v/>
      </c>
      <c r="T172" s="22">
        <v>26.1</v>
      </c>
      <c r="U172" s="29" t="s">
        <v>4573</v>
      </c>
      <c r="V172" s="29" t="str">
        <f t="shared" si="23"/>
        <v>No geometric exceedance</v>
      </c>
      <c r="W172" s="30">
        <v>23.81</v>
      </c>
      <c r="X172" s="30">
        <v>120.85</v>
      </c>
      <c r="Y172" s="30">
        <v>7.8</v>
      </c>
      <c r="Z172" s="30">
        <v>32.964942048848748</v>
      </c>
      <c r="AA172" s="29" t="s">
        <v>167</v>
      </c>
      <c r="AB172" s="29" t="s">
        <v>4574</v>
      </c>
      <c r="AC172" s="39"/>
      <c r="AD172" s="39"/>
    </row>
    <row r="173" spans="1:30" ht="58" customHeight="1">
      <c r="A173" s="1" t="s">
        <v>1262</v>
      </c>
      <c r="B173" s="1">
        <v>173</v>
      </c>
      <c r="C173" s="1" t="s">
        <v>3444</v>
      </c>
      <c r="D173" s="29" t="s">
        <v>463</v>
      </c>
      <c r="E173" s="29" t="s">
        <v>913</v>
      </c>
      <c r="F173" s="1" t="s">
        <v>897</v>
      </c>
      <c r="G173" s="30">
        <v>23.907699999999998</v>
      </c>
      <c r="H173" s="30">
        <v>120.67570000000001</v>
      </c>
      <c r="I173" s="30">
        <v>23.81</v>
      </c>
      <c r="J173" s="30">
        <v>120.85</v>
      </c>
      <c r="K173" s="30">
        <v>7.8</v>
      </c>
      <c r="L173" s="22">
        <v>22.2</v>
      </c>
      <c r="M173" s="22">
        <f t="shared" si="16"/>
        <v>20.789370473194229</v>
      </c>
      <c r="N173" s="22">
        <f t="shared" si="17"/>
        <v>22.204457315406742</v>
      </c>
      <c r="O173" s="22">
        <f t="shared" si="18"/>
        <v>-4.4573154067428788E-3</v>
      </c>
      <c r="P173" s="22">
        <f t="shared" si="19"/>
        <v>-2.0073966877137476E-2</v>
      </c>
      <c r="Q173" s="22">
        <f t="shared" si="20"/>
        <v>1.1102228657703372</v>
      </c>
      <c r="R173" s="29" t="str">
        <f t="shared" si="21"/>
        <v>Within screening tolerance</v>
      </c>
      <c r="S173" s="29" t="str">
        <f t="shared" si="22"/>
        <v/>
      </c>
      <c r="T173" s="22">
        <v>14.7</v>
      </c>
      <c r="U173" s="29" t="s">
        <v>4573</v>
      </c>
      <c r="V173" s="29" t="str">
        <f t="shared" si="23"/>
        <v>No geometric exceedance</v>
      </c>
      <c r="W173" s="30">
        <v>23.81</v>
      </c>
      <c r="X173" s="30">
        <v>120.85</v>
      </c>
      <c r="Y173" s="30">
        <v>7.8</v>
      </c>
      <c r="Z173" s="30">
        <v>22.204457315406884</v>
      </c>
      <c r="AA173" s="29" t="s">
        <v>167</v>
      </c>
      <c r="AB173" s="29" t="s">
        <v>4574</v>
      </c>
      <c r="AC173" s="39"/>
      <c r="AD173" s="39"/>
    </row>
    <row r="174" spans="1:30" ht="58" customHeight="1">
      <c r="A174" s="1" t="s">
        <v>1262</v>
      </c>
      <c r="B174" s="1">
        <v>174</v>
      </c>
      <c r="C174" s="1" t="s">
        <v>3447</v>
      </c>
      <c r="D174" s="29" t="s">
        <v>463</v>
      </c>
      <c r="E174" s="29" t="s">
        <v>913</v>
      </c>
      <c r="F174" s="1" t="s">
        <v>916</v>
      </c>
      <c r="G174" s="30">
        <v>23.812000000000001</v>
      </c>
      <c r="H174" s="30">
        <v>120.8455</v>
      </c>
      <c r="I174" s="30">
        <v>23.81</v>
      </c>
      <c r="J174" s="30">
        <v>120.85</v>
      </c>
      <c r="K174" s="30">
        <v>7.8</v>
      </c>
      <c r="L174" s="22">
        <v>7.8</v>
      </c>
      <c r="M174" s="22">
        <f t="shared" si="16"/>
        <v>0.50894538954452617</v>
      </c>
      <c r="N174" s="22">
        <f t="shared" si="17"/>
        <v>7.8165865574135767</v>
      </c>
      <c r="O174" s="22">
        <f t="shared" si="18"/>
        <v>-1.6586557413576841E-2</v>
      </c>
      <c r="P174" s="22">
        <f t="shared" si="19"/>
        <v>-0.212196939057055</v>
      </c>
      <c r="Q174" s="22">
        <f t="shared" si="20"/>
        <v>1</v>
      </c>
      <c r="R174" s="29" t="str">
        <f t="shared" si="21"/>
        <v>Within screening tolerance</v>
      </c>
      <c r="S174" s="29" t="str">
        <f t="shared" si="22"/>
        <v/>
      </c>
      <c r="T174" s="22">
        <v>7.6</v>
      </c>
      <c r="U174" s="29" t="s">
        <v>4573</v>
      </c>
      <c r="V174" s="29" t="str">
        <f t="shared" si="23"/>
        <v>No geometric exceedance</v>
      </c>
      <c r="W174" s="30">
        <v>23.81</v>
      </c>
      <c r="X174" s="30">
        <v>120.85</v>
      </c>
      <c r="Y174" s="30">
        <v>7.8</v>
      </c>
      <c r="Z174" s="30">
        <v>7.816586557413582</v>
      </c>
      <c r="AA174" s="29" t="s">
        <v>167</v>
      </c>
      <c r="AB174" s="29" t="s">
        <v>4574</v>
      </c>
      <c r="AC174" s="39"/>
      <c r="AD174" s="39"/>
    </row>
    <row r="175" spans="1:30" ht="58" customHeight="1">
      <c r="A175" s="1" t="s">
        <v>1262</v>
      </c>
      <c r="B175" s="1">
        <v>175</v>
      </c>
      <c r="C175" s="1" t="s">
        <v>3449</v>
      </c>
      <c r="D175" s="29" t="s">
        <v>484</v>
      </c>
      <c r="E175" s="29" t="s">
        <v>917</v>
      </c>
      <c r="F175" s="1" t="s">
        <v>865</v>
      </c>
      <c r="G175" s="30">
        <v>23.686199999999999</v>
      </c>
      <c r="H175" s="30">
        <v>120.5622</v>
      </c>
      <c r="I175" s="30">
        <v>23.87</v>
      </c>
      <c r="J175" s="30">
        <v>121.01</v>
      </c>
      <c r="K175" s="30">
        <v>16</v>
      </c>
      <c r="L175" s="22">
        <v>52.5</v>
      </c>
      <c r="M175" s="22">
        <f t="shared" si="16"/>
        <v>49.93980205651107</v>
      </c>
      <c r="N175" s="22">
        <f t="shared" si="17"/>
        <v>52.440288228074294</v>
      </c>
      <c r="O175" s="22">
        <f t="shared" si="18"/>
        <v>5.9711771925705648E-2</v>
      </c>
      <c r="P175" s="22">
        <f t="shared" si="19"/>
        <v>0.11386621611613972</v>
      </c>
      <c r="Q175" s="22">
        <f t="shared" si="20"/>
        <v>2.6220144114037147</v>
      </c>
      <c r="R175" s="29" t="str">
        <f t="shared" si="21"/>
        <v>Within screening tolerance</v>
      </c>
      <c r="S175" s="29" t="str">
        <f t="shared" si="22"/>
        <v/>
      </c>
      <c r="T175" s="22">
        <v>36</v>
      </c>
      <c r="U175" s="29" t="s">
        <v>4573</v>
      </c>
      <c r="V175" s="29" t="str">
        <f t="shared" si="23"/>
        <v>No geometric exceedance</v>
      </c>
      <c r="W175" s="30">
        <v>23.87</v>
      </c>
      <c r="X175" s="30">
        <v>121.01</v>
      </c>
      <c r="Y175" s="30">
        <v>16</v>
      </c>
      <c r="Z175" s="30">
        <v>52.440288228074294</v>
      </c>
      <c r="AA175" s="29" t="s">
        <v>167</v>
      </c>
      <c r="AB175" s="29" t="s">
        <v>4574</v>
      </c>
      <c r="AC175" s="39"/>
      <c r="AD175" s="39"/>
    </row>
    <row r="176" spans="1:30" ht="58" customHeight="1">
      <c r="A176" s="1" t="s">
        <v>1262</v>
      </c>
      <c r="B176" s="1">
        <v>176</v>
      </c>
      <c r="C176" s="1" t="s">
        <v>3452</v>
      </c>
      <c r="D176" s="29" t="s">
        <v>484</v>
      </c>
      <c r="E176" s="29" t="s">
        <v>917</v>
      </c>
      <c r="F176" s="1" t="s">
        <v>916</v>
      </c>
      <c r="G176" s="30">
        <v>23.812000000000001</v>
      </c>
      <c r="H176" s="30">
        <v>120.8455</v>
      </c>
      <c r="I176" s="30">
        <v>23.87</v>
      </c>
      <c r="J176" s="30">
        <v>121.01</v>
      </c>
      <c r="K176" s="30">
        <v>16</v>
      </c>
      <c r="L176" s="22">
        <v>24</v>
      </c>
      <c r="M176" s="22">
        <f t="shared" si="16"/>
        <v>17.930748666892399</v>
      </c>
      <c r="N176" s="22">
        <f t="shared" si="17"/>
        <v>24.031474106996921</v>
      </c>
      <c r="O176" s="22">
        <f t="shared" si="18"/>
        <v>-3.1474106996920881E-2</v>
      </c>
      <c r="P176" s="22">
        <f t="shared" si="19"/>
        <v>-0.13097035519663353</v>
      </c>
      <c r="Q176" s="22">
        <f t="shared" si="20"/>
        <v>1.2015737053498461</v>
      </c>
      <c r="R176" s="29" t="str">
        <f t="shared" si="21"/>
        <v>Within screening tolerance</v>
      </c>
      <c r="S176" s="29" t="str">
        <f t="shared" si="22"/>
        <v/>
      </c>
      <c r="T176" s="22">
        <v>11.5</v>
      </c>
      <c r="U176" s="29" t="s">
        <v>4573</v>
      </c>
      <c r="V176" s="29" t="str">
        <f t="shared" si="23"/>
        <v>No geometric exceedance</v>
      </c>
      <c r="W176" s="30">
        <v>23.87</v>
      </c>
      <c r="X176" s="30">
        <v>121.01</v>
      </c>
      <c r="Y176" s="30">
        <v>16</v>
      </c>
      <c r="Z176" s="30">
        <v>24.031474106996878</v>
      </c>
      <c r="AA176" s="29" t="s">
        <v>167</v>
      </c>
      <c r="AB176" s="29" t="s">
        <v>4574</v>
      </c>
      <c r="AC176" s="39"/>
      <c r="AD176" s="39"/>
    </row>
    <row r="177" spans="1:30" ht="58" customHeight="1">
      <c r="A177" s="1" t="s">
        <v>1262</v>
      </c>
      <c r="B177" s="1">
        <v>177</v>
      </c>
      <c r="C177" s="1" t="s">
        <v>3455</v>
      </c>
      <c r="D177" s="29" t="s">
        <v>484</v>
      </c>
      <c r="E177" s="29" t="s">
        <v>917</v>
      </c>
      <c r="F177" s="1" t="s">
        <v>918</v>
      </c>
      <c r="G177" s="30">
        <v>23.9</v>
      </c>
      <c r="H177" s="30">
        <v>120.93</v>
      </c>
      <c r="I177" s="30">
        <v>23.87</v>
      </c>
      <c r="J177" s="30">
        <v>121.01</v>
      </c>
      <c r="K177" s="30">
        <v>16</v>
      </c>
      <c r="L177" s="22">
        <v>18.3</v>
      </c>
      <c r="M177" s="22">
        <f t="shared" si="16"/>
        <v>8.7912557671479306</v>
      </c>
      <c r="N177" s="22">
        <f t="shared" si="17"/>
        <v>18.25612713483919</v>
      </c>
      <c r="O177" s="22">
        <f t="shared" si="18"/>
        <v>4.3872865160810903E-2</v>
      </c>
      <c r="P177" s="22">
        <f t="shared" si="19"/>
        <v>0.24031857817798527</v>
      </c>
      <c r="Q177" s="22">
        <f t="shared" si="20"/>
        <v>1</v>
      </c>
      <c r="R177" s="29" t="str">
        <f t="shared" si="21"/>
        <v>Within screening tolerance</v>
      </c>
      <c r="S177" s="29" t="str">
        <f t="shared" si="22"/>
        <v/>
      </c>
      <c r="T177" s="22">
        <v>10.199999999999999</v>
      </c>
      <c r="U177" s="29" t="s">
        <v>4573</v>
      </c>
      <c r="V177" s="29" t="str">
        <f t="shared" si="23"/>
        <v>No geometric exceedance</v>
      </c>
      <c r="W177" s="30">
        <v>23.87</v>
      </c>
      <c r="X177" s="30">
        <v>121.01</v>
      </c>
      <c r="Y177" s="30">
        <v>16</v>
      </c>
      <c r="Z177" s="30">
        <v>18.2561271348392</v>
      </c>
      <c r="AA177" s="29" t="s">
        <v>167</v>
      </c>
      <c r="AB177" s="29" t="s">
        <v>4574</v>
      </c>
      <c r="AC177" s="39"/>
      <c r="AD177" s="39"/>
    </row>
    <row r="178" spans="1:30" ht="58" customHeight="1">
      <c r="A178" s="1" t="s">
        <v>1262</v>
      </c>
      <c r="B178" s="1">
        <v>178</v>
      </c>
      <c r="C178" s="1" t="s">
        <v>3457</v>
      </c>
      <c r="D178" s="29" t="s">
        <v>469</v>
      </c>
      <c r="E178" s="29" t="s">
        <v>919</v>
      </c>
      <c r="F178" s="1" t="s">
        <v>920</v>
      </c>
      <c r="G178" s="30">
        <v>23.510300000000001</v>
      </c>
      <c r="H178" s="30">
        <v>120.8052</v>
      </c>
      <c r="I178" s="30">
        <v>23.6</v>
      </c>
      <c r="J178" s="30">
        <v>120.82</v>
      </c>
      <c r="K178" s="30">
        <v>18</v>
      </c>
      <c r="L178" s="22">
        <v>20.6</v>
      </c>
      <c r="M178" s="22">
        <f t="shared" si="16"/>
        <v>10.087621926292348</v>
      </c>
      <c r="N178" s="22">
        <f t="shared" si="17"/>
        <v>20.633955416444376</v>
      </c>
      <c r="O178" s="22">
        <f t="shared" si="18"/>
        <v>-3.395541644437472E-2</v>
      </c>
      <c r="P178" s="22">
        <f t="shared" si="19"/>
        <v>-0.16456086949433704</v>
      </c>
      <c r="Q178" s="22">
        <f t="shared" si="20"/>
        <v>1.0316977708222188</v>
      </c>
      <c r="R178" s="29" t="str">
        <f t="shared" si="21"/>
        <v>Within screening tolerance</v>
      </c>
      <c r="S178" s="29" t="str">
        <f t="shared" si="22"/>
        <v/>
      </c>
      <c r="T178" s="22">
        <v>6.2</v>
      </c>
      <c r="U178" s="29" t="s">
        <v>4573</v>
      </c>
      <c r="V178" s="29" t="str">
        <f t="shared" si="23"/>
        <v>No geometric exceedance</v>
      </c>
      <c r="W178" s="30">
        <v>23.6</v>
      </c>
      <c r="X178" s="30">
        <v>120.82</v>
      </c>
      <c r="Y178" s="30">
        <v>18</v>
      </c>
      <c r="Z178" s="30">
        <v>20.633955416444394</v>
      </c>
      <c r="AA178" s="29" t="s">
        <v>167</v>
      </c>
      <c r="AB178" s="29" t="s">
        <v>4574</v>
      </c>
      <c r="AC178" s="39"/>
      <c r="AD178" s="39"/>
    </row>
    <row r="179" spans="1:30" ht="58" customHeight="1">
      <c r="A179" s="1" t="s">
        <v>1262</v>
      </c>
      <c r="B179" s="1">
        <v>179</v>
      </c>
      <c r="C179" s="1" t="s">
        <v>3459</v>
      </c>
      <c r="D179" s="29" t="s">
        <v>491</v>
      </c>
      <c r="E179" s="29" t="s">
        <v>921</v>
      </c>
      <c r="F179" s="1" t="s">
        <v>922</v>
      </c>
      <c r="G179" s="30">
        <v>40.744999999999997</v>
      </c>
      <c r="H179" s="30">
        <v>31.61</v>
      </c>
      <c r="I179" s="30">
        <v>40.834499999999998</v>
      </c>
      <c r="J179" s="30">
        <v>31.134599999999999</v>
      </c>
      <c r="K179" s="30">
        <v>14</v>
      </c>
      <c r="L179" s="22">
        <v>43.6</v>
      </c>
      <c r="M179" s="22">
        <f t="shared" si="16"/>
        <v>41.241204964084154</v>
      </c>
      <c r="N179" s="22">
        <f t="shared" si="17"/>
        <v>43.552692073964835</v>
      </c>
      <c r="O179" s="22">
        <f t="shared" si="18"/>
        <v>4.7307926035166759E-2</v>
      </c>
      <c r="P179" s="22">
        <f t="shared" si="19"/>
        <v>0.10862227748131957</v>
      </c>
      <c r="Q179" s="22">
        <f t="shared" si="20"/>
        <v>2.1776346036982419</v>
      </c>
      <c r="R179" s="29" t="str">
        <f t="shared" si="21"/>
        <v>Within screening tolerance</v>
      </c>
      <c r="S179" s="29" t="str">
        <f t="shared" si="22"/>
        <v/>
      </c>
      <c r="T179" s="22">
        <v>12</v>
      </c>
      <c r="U179" s="29" t="s">
        <v>4573</v>
      </c>
      <c r="V179" s="29" t="str">
        <f t="shared" si="23"/>
        <v>No geometric exceedance</v>
      </c>
      <c r="W179" s="30">
        <v>40.834499999999998</v>
      </c>
      <c r="X179" s="30">
        <v>31.134599999999999</v>
      </c>
      <c r="Y179" s="30">
        <v>14</v>
      </c>
      <c r="Z179" s="30">
        <v>43.552692073964856</v>
      </c>
      <c r="AA179" s="29" t="s">
        <v>167</v>
      </c>
      <c r="AB179" s="29" t="s">
        <v>4574</v>
      </c>
      <c r="AC179" s="39"/>
      <c r="AD179" s="39"/>
    </row>
    <row r="180" spans="1:30" ht="58" customHeight="1">
      <c r="A180" s="1" t="s">
        <v>1262</v>
      </c>
      <c r="B180" s="1">
        <v>180</v>
      </c>
      <c r="C180" s="1" t="s">
        <v>3461</v>
      </c>
      <c r="D180" s="29" t="s">
        <v>491</v>
      </c>
      <c r="E180" s="29" t="s">
        <v>921</v>
      </c>
      <c r="F180" s="1" t="s">
        <v>685</v>
      </c>
      <c r="G180" s="30">
        <v>40.844000000000001</v>
      </c>
      <c r="H180" s="30">
        <v>31.149000000000001</v>
      </c>
      <c r="I180" s="30">
        <v>40.834499999999998</v>
      </c>
      <c r="J180" s="30">
        <v>31.134599999999999</v>
      </c>
      <c r="K180" s="30">
        <v>14</v>
      </c>
      <c r="L180" s="22">
        <v>14.1</v>
      </c>
      <c r="M180" s="22">
        <f t="shared" si="16"/>
        <v>1.6072777464072414</v>
      </c>
      <c r="N180" s="22">
        <f t="shared" si="17"/>
        <v>14.091960181397617</v>
      </c>
      <c r="O180" s="22">
        <f t="shared" si="18"/>
        <v>8.0398186023824536E-3</v>
      </c>
      <c r="P180" s="22">
        <f t="shared" si="19"/>
        <v>5.7052521429882992E-2</v>
      </c>
      <c r="Q180" s="22">
        <f t="shared" si="20"/>
        <v>1</v>
      </c>
      <c r="R180" s="29" t="str">
        <f t="shared" si="21"/>
        <v>Within screening tolerance</v>
      </c>
      <c r="S180" s="29" t="str">
        <f t="shared" si="22"/>
        <v/>
      </c>
      <c r="T180" s="22">
        <v>6.6</v>
      </c>
      <c r="U180" s="29" t="s">
        <v>4573</v>
      </c>
      <c r="V180" s="29" t="str">
        <f t="shared" si="23"/>
        <v>No geometric exceedance</v>
      </c>
      <c r="W180" s="30">
        <v>40.834499999999998</v>
      </c>
      <c r="X180" s="30">
        <v>31.134599999999999</v>
      </c>
      <c r="Y180" s="30">
        <v>14</v>
      </c>
      <c r="Z180" s="30">
        <v>14.091960181397599</v>
      </c>
      <c r="AA180" s="29" t="s">
        <v>167</v>
      </c>
      <c r="AB180" s="29" t="s">
        <v>4574</v>
      </c>
      <c r="AC180" s="39"/>
      <c r="AD180" s="39"/>
    </row>
    <row r="181" spans="1:30" ht="58" customHeight="1">
      <c r="A181" s="1" t="s">
        <v>1262</v>
      </c>
      <c r="B181" s="1">
        <v>181</v>
      </c>
      <c r="C181" s="1" t="s">
        <v>3463</v>
      </c>
      <c r="D181" s="29" t="s">
        <v>491</v>
      </c>
      <c r="E181" s="29" t="s">
        <v>921</v>
      </c>
      <c r="F181" s="1" t="s">
        <v>923</v>
      </c>
      <c r="G181" s="30">
        <v>40.748930000000001</v>
      </c>
      <c r="H181" s="30">
        <v>30.889199999999999</v>
      </c>
      <c r="I181" s="30">
        <v>40.834499999999998</v>
      </c>
      <c r="J181" s="30">
        <v>31.134599999999999</v>
      </c>
      <c r="K181" s="30">
        <v>14</v>
      </c>
      <c r="L181" s="22">
        <v>26.7</v>
      </c>
      <c r="M181" s="22">
        <f t="shared" si="16"/>
        <v>22.74473694445259</v>
      </c>
      <c r="N181" s="22">
        <f t="shared" si="17"/>
        <v>26.708108481739146</v>
      </c>
      <c r="O181" s="22">
        <f t="shared" si="18"/>
        <v>-8.1084817391463559E-3</v>
      </c>
      <c r="P181" s="22">
        <f t="shared" si="19"/>
        <v>-3.0359625597186274E-2</v>
      </c>
      <c r="Q181" s="22">
        <f t="shared" si="20"/>
        <v>1.3354054240869573</v>
      </c>
      <c r="R181" s="29" t="str">
        <f t="shared" si="21"/>
        <v>Within screening tolerance</v>
      </c>
      <c r="S181" s="29" t="str">
        <f t="shared" si="22"/>
        <v/>
      </c>
      <c r="T181" s="22">
        <v>2.6</v>
      </c>
      <c r="U181" s="29" t="s">
        <v>4573</v>
      </c>
      <c r="V181" s="29" t="str">
        <f t="shared" si="23"/>
        <v>No geometric exceedance</v>
      </c>
      <c r="W181" s="30">
        <v>40.834499999999998</v>
      </c>
      <c r="X181" s="30">
        <v>31.134599999999999</v>
      </c>
      <c r="Y181" s="30">
        <v>14</v>
      </c>
      <c r="Z181" s="30">
        <v>26.708108481739131</v>
      </c>
      <c r="AA181" s="29" t="s">
        <v>167</v>
      </c>
      <c r="AB181" s="29" t="s">
        <v>4574</v>
      </c>
      <c r="AC181" s="39"/>
      <c r="AD181" s="39"/>
    </row>
    <row r="182" spans="1:30" ht="58" customHeight="1">
      <c r="A182" s="1" t="s">
        <v>1262</v>
      </c>
      <c r="B182" s="1">
        <v>182</v>
      </c>
      <c r="C182" s="1" t="s">
        <v>3465</v>
      </c>
      <c r="D182" s="29" t="s">
        <v>208</v>
      </c>
      <c r="E182" s="29" t="s">
        <v>924</v>
      </c>
      <c r="F182" s="1" t="s">
        <v>925</v>
      </c>
      <c r="G182" s="30">
        <v>40.823599999999999</v>
      </c>
      <c r="H182" s="30">
        <v>29.360700000000001</v>
      </c>
      <c r="I182" s="30">
        <v>40.747999999999998</v>
      </c>
      <c r="J182" s="30">
        <v>29.99</v>
      </c>
      <c r="K182" s="30">
        <v>16</v>
      </c>
      <c r="L182" s="22">
        <v>56</v>
      </c>
      <c r="M182" s="22">
        <f t="shared" si="16"/>
        <v>53.644655996835411</v>
      </c>
      <c r="N182" s="22">
        <f t="shared" si="17"/>
        <v>55.979899223014051</v>
      </c>
      <c r="O182" s="22">
        <f t="shared" si="18"/>
        <v>2.0100776985948698E-2</v>
      </c>
      <c r="P182" s="22">
        <f t="shared" si="19"/>
        <v>3.5907133211995873E-2</v>
      </c>
      <c r="Q182" s="22">
        <f t="shared" si="20"/>
        <v>2.7989949611507026</v>
      </c>
      <c r="R182" s="29" t="str">
        <f t="shared" si="21"/>
        <v>Within screening tolerance</v>
      </c>
      <c r="S182" s="29" t="str">
        <f t="shared" si="22"/>
        <v/>
      </c>
      <c r="T182" s="22">
        <v>13.5</v>
      </c>
      <c r="U182" s="29" t="s">
        <v>4573</v>
      </c>
      <c r="V182" s="29" t="str">
        <f t="shared" si="23"/>
        <v>No geometric exceedance</v>
      </c>
      <c r="W182" s="30">
        <v>40.747999999999998</v>
      </c>
      <c r="X182" s="30">
        <v>29.99</v>
      </c>
      <c r="Y182" s="30">
        <v>16</v>
      </c>
      <c r="Z182" s="30">
        <v>55.979899223014051</v>
      </c>
      <c r="AA182" s="29" t="s">
        <v>167</v>
      </c>
      <c r="AB182" s="29" t="s">
        <v>4574</v>
      </c>
      <c r="AC182" s="39"/>
      <c r="AD182" s="39"/>
    </row>
    <row r="183" spans="1:30" ht="58" customHeight="1">
      <c r="A183" s="1" t="s">
        <v>1262</v>
      </c>
      <c r="B183" s="1">
        <v>183</v>
      </c>
      <c r="C183" s="1" t="s">
        <v>3467</v>
      </c>
      <c r="D183" s="29" t="s">
        <v>208</v>
      </c>
      <c r="E183" s="29" t="s">
        <v>924</v>
      </c>
      <c r="F183" s="1" t="s">
        <v>927</v>
      </c>
      <c r="G183" s="30">
        <v>40.82</v>
      </c>
      <c r="H183" s="30">
        <v>29.44</v>
      </c>
      <c r="I183" s="30">
        <v>40.747999999999998</v>
      </c>
      <c r="J183" s="30">
        <v>29.99</v>
      </c>
      <c r="K183" s="30">
        <v>16</v>
      </c>
      <c r="L183" s="22">
        <v>49.7</v>
      </c>
      <c r="M183" s="22">
        <f t="shared" si="16"/>
        <v>46.99376767504598</v>
      </c>
      <c r="N183" s="22">
        <f t="shared" si="17"/>
        <v>49.642866560022462</v>
      </c>
      <c r="O183" s="22">
        <f t="shared" si="18"/>
        <v>5.7133439977540945E-2</v>
      </c>
      <c r="P183" s="22">
        <f t="shared" si="19"/>
        <v>0.11508892200747864</v>
      </c>
      <c r="Q183" s="22">
        <f t="shared" si="20"/>
        <v>2.4821433280011234</v>
      </c>
      <c r="R183" s="29" t="str">
        <f t="shared" si="21"/>
        <v>Within screening tolerance</v>
      </c>
      <c r="S183" s="29" t="str">
        <f t="shared" si="22"/>
        <v/>
      </c>
      <c r="T183" s="22">
        <v>10.9</v>
      </c>
      <c r="U183" s="29" t="s">
        <v>4573</v>
      </c>
      <c r="V183" s="29" t="str">
        <f t="shared" si="23"/>
        <v>No geometric exceedance</v>
      </c>
      <c r="W183" s="30">
        <v>40.747999999999998</v>
      </c>
      <c r="X183" s="30">
        <v>29.99</v>
      </c>
      <c r="Y183" s="30">
        <v>16</v>
      </c>
      <c r="Z183" s="30">
        <v>49.642866560022469</v>
      </c>
      <c r="AA183" s="29" t="s">
        <v>167</v>
      </c>
      <c r="AB183" s="29" t="s">
        <v>4574</v>
      </c>
      <c r="AC183" s="39"/>
      <c r="AD183" s="39"/>
    </row>
    <row r="184" spans="1:30" ht="58" customHeight="1">
      <c r="A184" s="1" t="s">
        <v>1262</v>
      </c>
      <c r="B184" s="1">
        <v>184</v>
      </c>
      <c r="C184" s="1" t="s">
        <v>3469</v>
      </c>
      <c r="D184" s="29" t="s">
        <v>208</v>
      </c>
      <c r="E184" s="29" t="s">
        <v>924</v>
      </c>
      <c r="F184" s="1" t="s">
        <v>928</v>
      </c>
      <c r="G184" s="30">
        <v>40.79</v>
      </c>
      <c r="H184" s="30">
        <v>29.96</v>
      </c>
      <c r="I184" s="30">
        <v>40.747999999999998</v>
      </c>
      <c r="J184" s="30">
        <v>29.99</v>
      </c>
      <c r="K184" s="30">
        <v>16</v>
      </c>
      <c r="L184" s="22">
        <v>16.899999999999999</v>
      </c>
      <c r="M184" s="22">
        <f t="shared" si="16"/>
        <v>5.3097399264191241</v>
      </c>
      <c r="N184" s="22">
        <f t="shared" si="17"/>
        <v>16.858034822784337</v>
      </c>
      <c r="O184" s="22">
        <f t="shared" si="18"/>
        <v>4.1965177215661953E-2</v>
      </c>
      <c r="P184" s="22">
        <f t="shared" si="19"/>
        <v>0.24893279469884749</v>
      </c>
      <c r="Q184" s="22">
        <f t="shared" si="20"/>
        <v>1</v>
      </c>
      <c r="R184" s="29" t="str">
        <f t="shared" si="21"/>
        <v>Within screening tolerance</v>
      </c>
      <c r="S184" s="29" t="str">
        <f t="shared" si="22"/>
        <v/>
      </c>
      <c r="T184" s="22">
        <v>7.2</v>
      </c>
      <c r="U184" s="29" t="s">
        <v>4573</v>
      </c>
      <c r="V184" s="29" t="str">
        <f t="shared" si="23"/>
        <v>No geometric exceedance</v>
      </c>
      <c r="W184" s="30">
        <v>40.747999999999998</v>
      </c>
      <c r="X184" s="30">
        <v>29.99</v>
      </c>
      <c r="Y184" s="30">
        <v>16</v>
      </c>
      <c r="Z184" s="30">
        <v>16.858034822784443</v>
      </c>
      <c r="AA184" s="29" t="s">
        <v>167</v>
      </c>
      <c r="AB184" s="29" t="s">
        <v>4574</v>
      </c>
      <c r="AC184" s="39"/>
      <c r="AD184" s="39"/>
    </row>
    <row r="185" spans="1:30" ht="58" customHeight="1">
      <c r="A185" s="1" t="s">
        <v>1262</v>
      </c>
      <c r="B185" s="1">
        <v>185</v>
      </c>
      <c r="C185" s="1" t="s">
        <v>3471</v>
      </c>
      <c r="D185" s="29" t="s">
        <v>208</v>
      </c>
      <c r="E185" s="29" t="s">
        <v>924</v>
      </c>
      <c r="F185" s="1" t="s">
        <v>929</v>
      </c>
      <c r="G185" s="30">
        <v>40.764400000000002</v>
      </c>
      <c r="H185" s="30">
        <v>29.762</v>
      </c>
      <c r="I185" s="30">
        <v>40.747999999999998</v>
      </c>
      <c r="J185" s="30">
        <v>29.99</v>
      </c>
      <c r="K185" s="30">
        <v>16</v>
      </c>
      <c r="L185" s="22">
        <v>25.1</v>
      </c>
      <c r="M185" s="22">
        <f t="shared" si="16"/>
        <v>19.290714675758856</v>
      </c>
      <c r="N185" s="22">
        <f t="shared" si="17"/>
        <v>25.062555190992359</v>
      </c>
      <c r="O185" s="22">
        <f t="shared" si="18"/>
        <v>3.7444809007642021E-2</v>
      </c>
      <c r="P185" s="22">
        <f t="shared" si="19"/>
        <v>0.14940539271550382</v>
      </c>
      <c r="Q185" s="22">
        <f t="shared" si="20"/>
        <v>1.253127759549618</v>
      </c>
      <c r="R185" s="29" t="str">
        <f t="shared" si="21"/>
        <v>Within screening tolerance</v>
      </c>
      <c r="S185" s="29" t="str">
        <f t="shared" si="22"/>
        <v/>
      </c>
      <c r="T185" s="22">
        <v>4.8</v>
      </c>
      <c r="U185" s="29" t="s">
        <v>4573</v>
      </c>
      <c r="V185" s="29" t="str">
        <f t="shared" si="23"/>
        <v>No geometric exceedance</v>
      </c>
      <c r="W185" s="30">
        <v>40.747999999999998</v>
      </c>
      <c r="X185" s="30">
        <v>29.99</v>
      </c>
      <c r="Y185" s="30">
        <v>16</v>
      </c>
      <c r="Z185" s="30">
        <v>25.062555190992381</v>
      </c>
      <c r="AA185" s="29" t="s">
        <v>167</v>
      </c>
      <c r="AB185" s="29" t="s">
        <v>4574</v>
      </c>
      <c r="AC185" s="39"/>
      <c r="AD185" s="39"/>
    </row>
    <row r="186" spans="1:30" ht="58" customHeight="1">
      <c r="A186" s="1" t="s">
        <v>1262</v>
      </c>
      <c r="B186" s="1">
        <v>186</v>
      </c>
      <c r="C186" s="1" t="s">
        <v>3473</v>
      </c>
      <c r="D186" s="29" t="s">
        <v>506</v>
      </c>
      <c r="E186" s="29" t="s">
        <v>930</v>
      </c>
      <c r="F186" s="1" t="s">
        <v>931</v>
      </c>
      <c r="G186" s="30">
        <v>35.422699999999999</v>
      </c>
      <c r="H186" s="30">
        <v>133.33269999999999</v>
      </c>
      <c r="I186" s="30">
        <v>35.274999999999999</v>
      </c>
      <c r="J186" s="30">
        <v>133.35</v>
      </c>
      <c r="K186" s="30">
        <v>12.5</v>
      </c>
      <c r="L186" s="22">
        <v>20.7</v>
      </c>
      <c r="M186" s="22">
        <f t="shared" si="16"/>
        <v>16.498269801534004</v>
      </c>
      <c r="N186" s="22">
        <f t="shared" si="17"/>
        <v>20.698862443240905</v>
      </c>
      <c r="O186" s="22">
        <f t="shared" si="18"/>
        <v>1.1375567590938829E-3</v>
      </c>
      <c r="P186" s="22">
        <f t="shared" si="19"/>
        <v>5.4957452962123799E-3</v>
      </c>
      <c r="Q186" s="22">
        <f t="shared" si="20"/>
        <v>1.0349431221620453</v>
      </c>
      <c r="R186" s="29" t="str">
        <f t="shared" si="21"/>
        <v>Within screening tolerance</v>
      </c>
      <c r="S186" s="29" t="str">
        <f t="shared" si="22"/>
        <v/>
      </c>
      <c r="T186" s="22">
        <v>6.9</v>
      </c>
      <c r="U186" s="29" t="s">
        <v>4573</v>
      </c>
      <c r="V186" s="29" t="str">
        <f t="shared" si="23"/>
        <v>No geometric exceedance</v>
      </c>
      <c r="W186" s="30">
        <v>35.274999999999999</v>
      </c>
      <c r="X186" s="30">
        <v>133.35</v>
      </c>
      <c r="Y186" s="30">
        <v>12.5</v>
      </c>
      <c r="Z186" s="30">
        <v>20.698862443240802</v>
      </c>
      <c r="AA186" s="29" t="s">
        <v>167</v>
      </c>
      <c r="AB186" s="29" t="s">
        <v>4574</v>
      </c>
      <c r="AC186" s="39"/>
      <c r="AD186" s="39"/>
    </row>
    <row r="187" spans="1:30" ht="58" customHeight="1">
      <c r="A187" s="1" t="s">
        <v>1262</v>
      </c>
      <c r="B187" s="1">
        <v>187</v>
      </c>
      <c r="C187" s="1" t="s">
        <v>3475</v>
      </c>
      <c r="D187" s="29" t="s">
        <v>513</v>
      </c>
      <c r="E187" s="29" t="s">
        <v>514</v>
      </c>
      <c r="F187" s="1" t="s">
        <v>932</v>
      </c>
      <c r="G187" s="30">
        <v>38.33</v>
      </c>
      <c r="H187" s="30">
        <v>-122.318</v>
      </c>
      <c r="I187" s="30">
        <v>38.378799999999998</v>
      </c>
      <c r="J187" s="30">
        <v>-122.4127</v>
      </c>
      <c r="K187" s="30">
        <v>10.119999999999999</v>
      </c>
      <c r="L187" s="22">
        <v>14.2</v>
      </c>
      <c r="M187" s="22">
        <f t="shared" si="16"/>
        <v>9.8809482919498084</v>
      </c>
      <c r="N187" s="22">
        <f t="shared" si="17"/>
        <v>14.143816286567986</v>
      </c>
      <c r="O187" s="22">
        <f t="shared" si="18"/>
        <v>5.6183713432012894E-2</v>
      </c>
      <c r="P187" s="22">
        <f t="shared" si="19"/>
        <v>0.3972316402707316</v>
      </c>
      <c r="Q187" s="22">
        <f t="shared" si="20"/>
        <v>1</v>
      </c>
      <c r="R187" s="29" t="str">
        <f t="shared" si="21"/>
        <v>Within screening tolerance</v>
      </c>
      <c r="S187" s="29" t="str">
        <f t="shared" si="22"/>
        <v/>
      </c>
      <c r="T187" s="22">
        <v>11.5</v>
      </c>
      <c r="U187" s="29" t="s">
        <v>4573</v>
      </c>
      <c r="V187" s="29" t="str">
        <f t="shared" si="23"/>
        <v>No geometric exceedance</v>
      </c>
      <c r="W187" s="30">
        <v>38.378799999999998</v>
      </c>
      <c r="X187" s="30">
        <v>-122.4127</v>
      </c>
      <c r="Y187" s="30">
        <v>10.119999999999999</v>
      </c>
      <c r="Z187" s="30">
        <v>14.143816286567882</v>
      </c>
      <c r="AA187" s="29" t="s">
        <v>167</v>
      </c>
      <c r="AB187" s="29" t="s">
        <v>4574</v>
      </c>
      <c r="AC187" s="39"/>
      <c r="AD187" s="39"/>
    </row>
    <row r="188" spans="1:30" ht="58" customHeight="1">
      <c r="A188" s="1" t="s">
        <v>1262</v>
      </c>
      <c r="B188" s="1">
        <v>188</v>
      </c>
      <c r="C188" s="1" t="s">
        <v>3477</v>
      </c>
      <c r="D188" s="29" t="s">
        <v>214</v>
      </c>
      <c r="E188" s="29" t="s">
        <v>933</v>
      </c>
      <c r="F188" s="1" t="s">
        <v>934</v>
      </c>
      <c r="G188" s="30">
        <v>63.423900000000003</v>
      </c>
      <c r="H188" s="30">
        <v>-145.76580000000001</v>
      </c>
      <c r="I188" s="30">
        <v>63.542000000000002</v>
      </c>
      <c r="J188" s="30">
        <v>-147.4444</v>
      </c>
      <c r="K188" s="30">
        <v>8.9026999999999994</v>
      </c>
      <c r="L188" s="22">
        <v>84.9</v>
      </c>
      <c r="M188" s="22">
        <f t="shared" si="16"/>
        <v>84.359153895217275</v>
      </c>
      <c r="N188" s="22">
        <f t="shared" si="17"/>
        <v>84.827618811369163</v>
      </c>
      <c r="O188" s="22">
        <f t="shared" si="18"/>
        <v>7.238118863084253E-2</v>
      </c>
      <c r="P188" s="22">
        <f t="shared" si="19"/>
        <v>8.5327384695067635E-2</v>
      </c>
      <c r="Q188" s="22">
        <f t="shared" si="20"/>
        <v>4.2413809405684582</v>
      </c>
      <c r="R188" s="29" t="str">
        <f t="shared" si="21"/>
        <v>Within screening tolerance</v>
      </c>
      <c r="S188" s="29" t="str">
        <f t="shared" si="22"/>
        <v/>
      </c>
      <c r="T188" s="22">
        <v>2.7</v>
      </c>
      <c r="U188" s="29" t="s">
        <v>4573</v>
      </c>
      <c r="V188" s="29" t="str">
        <f t="shared" si="23"/>
        <v>No geometric exceedance</v>
      </c>
      <c r="W188" s="30">
        <v>63.542000000000002</v>
      </c>
      <c r="X188" s="30">
        <v>-147.4444</v>
      </c>
      <c r="Y188" s="30">
        <v>8.9026999999999994</v>
      </c>
      <c r="Z188" s="30">
        <v>84.827618811369177</v>
      </c>
      <c r="AA188" s="29" t="s">
        <v>167</v>
      </c>
      <c r="AB188" s="29" t="s">
        <v>4574</v>
      </c>
      <c r="AC188" s="39"/>
      <c r="AD188" s="39"/>
    </row>
    <row r="189" spans="1:30" ht="58" customHeight="1">
      <c r="A189" s="1" t="s">
        <v>1262</v>
      </c>
      <c r="B189" s="1">
        <v>189</v>
      </c>
      <c r="C189" s="1" t="s">
        <v>3479</v>
      </c>
      <c r="D189" s="29" t="s">
        <v>533</v>
      </c>
      <c r="E189" s="29" t="s">
        <v>936</v>
      </c>
      <c r="F189" s="1" t="s">
        <v>937</v>
      </c>
      <c r="G189" s="30">
        <v>29.097000000000001</v>
      </c>
      <c r="H189" s="30">
        <v>58.353000000000002</v>
      </c>
      <c r="I189" s="30">
        <v>28.984000000000002</v>
      </c>
      <c r="J189" s="30">
        <v>58.359000000000002</v>
      </c>
      <c r="K189" s="30">
        <v>6</v>
      </c>
      <c r="L189" s="22">
        <v>13.9</v>
      </c>
      <c r="M189" s="22">
        <f t="shared" si="16"/>
        <v>12.578558115531223</v>
      </c>
      <c r="N189" s="22">
        <f t="shared" si="17"/>
        <v>13.936288037558509</v>
      </c>
      <c r="O189" s="22">
        <f t="shared" si="18"/>
        <v>-3.6288037558508179E-2</v>
      </c>
      <c r="P189" s="22">
        <f t="shared" si="19"/>
        <v>-0.26038524362234311</v>
      </c>
      <c r="Q189" s="22">
        <f t="shared" si="20"/>
        <v>1</v>
      </c>
      <c r="R189" s="29" t="str">
        <f t="shared" si="21"/>
        <v>Within screening tolerance</v>
      </c>
      <c r="S189" s="29" t="str">
        <f t="shared" si="22"/>
        <v/>
      </c>
      <c r="T189" s="22">
        <v>1.7</v>
      </c>
      <c r="U189" s="29" t="s">
        <v>4573</v>
      </c>
      <c r="V189" s="29" t="str">
        <f t="shared" si="23"/>
        <v>No geometric exceedance</v>
      </c>
      <c r="W189" s="30">
        <v>28.984000000000002</v>
      </c>
      <c r="X189" s="30">
        <v>58.359000000000002</v>
      </c>
      <c r="Y189" s="30">
        <v>6</v>
      </c>
      <c r="Z189" s="30">
        <v>13.936288037558992</v>
      </c>
      <c r="AA189" s="29" t="s">
        <v>167</v>
      </c>
      <c r="AB189" s="29" t="s">
        <v>4574</v>
      </c>
      <c r="AC189" s="39"/>
      <c r="AD189" s="39"/>
    </row>
    <row r="190" spans="1:30" ht="58" customHeight="1">
      <c r="A190" s="1" t="s">
        <v>1262</v>
      </c>
      <c r="B190" s="1">
        <v>190</v>
      </c>
      <c r="C190" s="1" t="s">
        <v>3481</v>
      </c>
      <c r="D190" s="29" t="s">
        <v>540</v>
      </c>
      <c r="E190" s="29" t="s">
        <v>938</v>
      </c>
      <c r="F190" s="1" t="s">
        <v>939</v>
      </c>
      <c r="G190" s="30">
        <v>37.128100000000003</v>
      </c>
      <c r="H190" s="30">
        <v>138.74680000000001</v>
      </c>
      <c r="I190" s="30">
        <v>37.307000000000002</v>
      </c>
      <c r="J190" s="30">
        <v>138.839</v>
      </c>
      <c r="K190" s="30">
        <v>10.6</v>
      </c>
      <c r="L190" s="22">
        <v>24</v>
      </c>
      <c r="M190" s="22">
        <f t="shared" si="16"/>
        <v>21.502963250230909</v>
      </c>
      <c r="N190" s="22">
        <f t="shared" si="17"/>
        <v>23.973681997990653</v>
      </c>
      <c r="O190" s="22">
        <f t="shared" si="18"/>
        <v>2.6318002009347197E-2</v>
      </c>
      <c r="P190" s="22">
        <f t="shared" si="19"/>
        <v>0.10977872323305628</v>
      </c>
      <c r="Q190" s="22">
        <f t="shared" si="20"/>
        <v>1.1986840998995327</v>
      </c>
      <c r="R190" s="29" t="str">
        <f t="shared" si="21"/>
        <v>Within screening tolerance</v>
      </c>
      <c r="S190" s="29" t="str">
        <f t="shared" si="22"/>
        <v/>
      </c>
      <c r="T190" s="22">
        <v>11.3</v>
      </c>
      <c r="U190" s="29" t="s">
        <v>4573</v>
      </c>
      <c r="V190" s="29" t="str">
        <f t="shared" si="23"/>
        <v>No geometric exceedance</v>
      </c>
      <c r="W190" s="30">
        <v>37.307000000000002</v>
      </c>
      <c r="X190" s="30">
        <v>138.839</v>
      </c>
      <c r="Y190" s="30">
        <v>10.6</v>
      </c>
      <c r="Z190" s="30">
        <v>23.973681997990468</v>
      </c>
      <c r="AA190" s="29" t="s">
        <v>167</v>
      </c>
      <c r="AB190" s="29" t="s">
        <v>4574</v>
      </c>
      <c r="AC190" s="39"/>
      <c r="AD190" s="39"/>
    </row>
    <row r="191" spans="1:30" ht="58" customHeight="1">
      <c r="A191" s="1" t="s">
        <v>1262</v>
      </c>
      <c r="B191" s="1">
        <v>191</v>
      </c>
      <c r="C191" s="1" t="s">
        <v>3483</v>
      </c>
      <c r="D191" s="29" t="s">
        <v>540</v>
      </c>
      <c r="E191" s="29" t="s">
        <v>938</v>
      </c>
      <c r="F191" s="1" t="s">
        <v>940</v>
      </c>
      <c r="G191" s="30">
        <v>37.169699999999999</v>
      </c>
      <c r="H191" s="30">
        <v>138.74719999999999</v>
      </c>
      <c r="I191" s="30">
        <v>37.307000000000002</v>
      </c>
      <c r="J191" s="30">
        <v>138.839</v>
      </c>
      <c r="K191" s="30">
        <v>10.6</v>
      </c>
      <c r="L191" s="22">
        <v>20.3</v>
      </c>
      <c r="M191" s="22">
        <f t="shared" si="16"/>
        <v>17.295224241579199</v>
      </c>
      <c r="N191" s="22">
        <f t="shared" si="17"/>
        <v>20.285087664747934</v>
      </c>
      <c r="O191" s="22">
        <f t="shared" si="18"/>
        <v>1.4912335252066811E-2</v>
      </c>
      <c r="P191" s="22">
        <f t="shared" si="19"/>
        <v>7.351378262950245E-2</v>
      </c>
      <c r="Q191" s="22">
        <f t="shared" si="20"/>
        <v>1.0142543832373967</v>
      </c>
      <c r="R191" s="29" t="str">
        <f t="shared" si="21"/>
        <v>Within screening tolerance</v>
      </c>
      <c r="S191" s="29" t="str">
        <f t="shared" si="22"/>
        <v/>
      </c>
      <c r="T191" s="22">
        <v>8.9</v>
      </c>
      <c r="U191" s="29" t="s">
        <v>4573</v>
      </c>
      <c r="V191" s="29" t="str">
        <f t="shared" si="23"/>
        <v>No geometric exceedance</v>
      </c>
      <c r="W191" s="30">
        <v>37.307000000000002</v>
      </c>
      <c r="X191" s="30">
        <v>138.839</v>
      </c>
      <c r="Y191" s="30">
        <v>10.6</v>
      </c>
      <c r="Z191" s="30">
        <v>20.285087664747838</v>
      </c>
      <c r="AA191" s="29" t="s">
        <v>167</v>
      </c>
      <c r="AB191" s="29" t="s">
        <v>4574</v>
      </c>
      <c r="AC191" s="39"/>
      <c r="AD191" s="39"/>
    </row>
    <row r="192" spans="1:30" ht="58" customHeight="1">
      <c r="A192" s="1" t="s">
        <v>1262</v>
      </c>
      <c r="B192" s="1">
        <v>192</v>
      </c>
      <c r="C192" s="1" t="s">
        <v>3485</v>
      </c>
      <c r="D192" s="29" t="s">
        <v>547</v>
      </c>
      <c r="E192" s="29" t="s">
        <v>941</v>
      </c>
      <c r="F192" s="1" t="s">
        <v>942</v>
      </c>
      <c r="G192" s="30">
        <v>35.893999999999998</v>
      </c>
      <c r="H192" s="30">
        <v>-120.42100000000001</v>
      </c>
      <c r="I192" s="30">
        <v>35.817</v>
      </c>
      <c r="J192" s="30">
        <v>-120.36499999999999</v>
      </c>
      <c r="K192" s="30">
        <v>8.1</v>
      </c>
      <c r="L192" s="22">
        <v>12.8</v>
      </c>
      <c r="M192" s="22">
        <f t="shared" si="16"/>
        <v>9.9387699316490696</v>
      </c>
      <c r="N192" s="22">
        <f t="shared" si="17"/>
        <v>12.821433139639721</v>
      </c>
      <c r="O192" s="22">
        <f t="shared" si="18"/>
        <v>-2.1433139639720267E-2</v>
      </c>
      <c r="P192" s="22">
        <f t="shared" si="19"/>
        <v>-0.16716648916146462</v>
      </c>
      <c r="Q192" s="22">
        <f t="shared" si="20"/>
        <v>1</v>
      </c>
      <c r="R192" s="29" t="str">
        <f t="shared" si="21"/>
        <v>Within screening tolerance</v>
      </c>
      <c r="S192" s="29" t="str">
        <f t="shared" si="22"/>
        <v/>
      </c>
      <c r="T192" s="22">
        <v>2.9</v>
      </c>
      <c r="U192" s="29" t="s">
        <v>4573</v>
      </c>
      <c r="V192" s="29" t="str">
        <f t="shared" si="23"/>
        <v>No geometric exceedance</v>
      </c>
      <c r="W192" s="30">
        <v>35.817</v>
      </c>
      <c r="X192" s="30">
        <v>-120.36499999999999</v>
      </c>
      <c r="Y192" s="30">
        <v>8.1</v>
      </c>
      <c r="Z192" s="30">
        <v>12.821433139639593</v>
      </c>
      <c r="AA192" s="29" t="s">
        <v>167</v>
      </c>
      <c r="AB192" s="29" t="s">
        <v>4574</v>
      </c>
      <c r="AC192" s="39"/>
      <c r="AD192" s="39"/>
    </row>
    <row r="193" spans="1:30" ht="58" customHeight="1">
      <c r="A193" s="1" t="s">
        <v>1262</v>
      </c>
      <c r="B193" s="1">
        <v>193</v>
      </c>
      <c r="C193" s="1" t="s">
        <v>3487</v>
      </c>
      <c r="D193" s="29" t="s">
        <v>547</v>
      </c>
      <c r="E193" s="29" t="s">
        <v>941</v>
      </c>
      <c r="F193" s="1" t="s">
        <v>943</v>
      </c>
      <c r="G193" s="30">
        <v>36.033999999999999</v>
      </c>
      <c r="H193" s="30">
        <v>-120.59</v>
      </c>
      <c r="I193" s="30">
        <v>35.817</v>
      </c>
      <c r="J193" s="30">
        <v>-120.36499999999999</v>
      </c>
      <c r="K193" s="30">
        <v>8.1</v>
      </c>
      <c r="L193" s="22">
        <v>32.5</v>
      </c>
      <c r="M193" s="22">
        <f t="shared" si="16"/>
        <v>31.506833507471949</v>
      </c>
      <c r="N193" s="22">
        <f t="shared" si="17"/>
        <v>32.531378047472217</v>
      </c>
      <c r="O193" s="22">
        <f t="shared" si="18"/>
        <v>-3.1378047472216508E-2</v>
      </c>
      <c r="P193" s="22">
        <f t="shared" si="19"/>
        <v>-9.6454713435217276E-2</v>
      </c>
      <c r="Q193" s="22">
        <f t="shared" si="20"/>
        <v>1.626568902373611</v>
      </c>
      <c r="R193" s="29" t="str">
        <f t="shared" si="21"/>
        <v>Within screening tolerance</v>
      </c>
      <c r="S193" s="29" t="str">
        <f t="shared" si="22"/>
        <v/>
      </c>
      <c r="T193" s="22">
        <v>3</v>
      </c>
      <c r="U193" s="29" t="s">
        <v>4573</v>
      </c>
      <c r="V193" s="29" t="str">
        <f t="shared" si="23"/>
        <v>No geometric exceedance</v>
      </c>
      <c r="W193" s="30">
        <v>35.817</v>
      </c>
      <c r="X193" s="30">
        <v>-120.36499999999999</v>
      </c>
      <c r="Y193" s="30">
        <v>8.1</v>
      </c>
      <c r="Z193" s="30">
        <v>32.531378047472359</v>
      </c>
      <c r="AA193" s="29" t="s">
        <v>167</v>
      </c>
      <c r="AB193" s="29" t="s">
        <v>4574</v>
      </c>
      <c r="AC193" s="39"/>
      <c r="AD193" s="39"/>
    </row>
    <row r="194" spans="1:30" ht="58" customHeight="1">
      <c r="A194" s="1" t="s">
        <v>1262</v>
      </c>
      <c r="B194" s="1">
        <v>194</v>
      </c>
      <c r="C194" s="1" t="s">
        <v>3489</v>
      </c>
      <c r="D194" s="29" t="s">
        <v>547</v>
      </c>
      <c r="E194" s="29" t="s">
        <v>941</v>
      </c>
      <c r="F194" s="1" t="s">
        <v>944</v>
      </c>
      <c r="G194" s="30">
        <v>35.743000000000002</v>
      </c>
      <c r="H194" s="30">
        <v>-120.277</v>
      </c>
      <c r="I194" s="30">
        <v>35.817</v>
      </c>
      <c r="J194" s="30">
        <v>-120.36499999999999</v>
      </c>
      <c r="K194" s="30">
        <v>8.1</v>
      </c>
      <c r="L194" s="22">
        <v>14</v>
      </c>
      <c r="M194" s="22">
        <f t="shared" ref="M194:M257" si="24">IF(OR(G194="",H194="",I194="",J194="",K194=""),"",12742*ASIN(SQRT(MIN(1,SIN(RADIANS(I194-G194)/2)^2+COS(RADIANS(I194))*COS(RADIANS(G194))*SIN(RADIANS(J194-H194)/2)^2))))</f>
        <v>11.433496653773268</v>
      </c>
      <c r="N194" s="22">
        <f t="shared" ref="N194:N257" si="25">IF(M194="","",SQRT(M194^2+K194^2))</f>
        <v>14.011953672912442</v>
      </c>
      <c r="O194" s="22">
        <f t="shared" ref="O194:O257" si="26">IF(OR(L194="",N194=""),"",L194-N194)</f>
        <v>-1.1953672912442315E-2</v>
      </c>
      <c r="P194" s="22">
        <f t="shared" ref="P194:P257" si="27">IF(OR(L194="",N194="",N194=0),"",100*O194/N194)</f>
        <v>-8.5310536927843655E-2</v>
      </c>
      <c r="Q194" s="22">
        <f t="shared" ref="Q194:Q257" si="28">IF(N194="","",MAX(1,0.05*N194))</f>
        <v>1</v>
      </c>
      <c r="R194" s="29" t="str">
        <f t="shared" ref="R194:R257" si="29">IF(N194="","Missing station coordinates",IF(L194="","No original Rhyp to compare",IF(ABS(O194)&gt;Q194,"Review: Rhyp mismatch","Within screening tolerance")))</f>
        <v>Within screening tolerance</v>
      </c>
      <c r="S194" s="29" t="str">
        <f t="shared" ref="S194:S257" si="30">IF(L194="","",IF(L194&lt;K194-1,"Rhyp below depth by &gt;1 km",IF(L194&lt;K194,"Rhyp below depth by &lt;=1 km","")))</f>
        <v/>
      </c>
      <c r="T194" s="22">
        <v>3</v>
      </c>
      <c r="U194" s="29" t="s">
        <v>4573</v>
      </c>
      <c r="V194" s="29" t="str">
        <f t="shared" ref="V194:V257" si="31">IF(T194="","Missing Rrup/closest distance",IF(N194="","Cannot check without coordinates",IF(T194&gt;N194+1,"Review: distance &gt; recalculated Rhyp +1 km","No geometric exceedance")))</f>
        <v>No geometric exceedance</v>
      </c>
      <c r="W194" s="30">
        <v>35.817</v>
      </c>
      <c r="X194" s="30">
        <v>-120.36499999999999</v>
      </c>
      <c r="Y194" s="30">
        <v>8.1</v>
      </c>
      <c r="Z194" s="30">
        <v>14.011953672912435</v>
      </c>
      <c r="AA194" s="29" t="s">
        <v>167</v>
      </c>
      <c r="AB194" s="29" t="s">
        <v>4574</v>
      </c>
      <c r="AC194" s="39"/>
      <c r="AD194" s="39"/>
    </row>
    <row r="195" spans="1:30" ht="58" customHeight="1">
      <c r="A195" s="1" t="s">
        <v>1262</v>
      </c>
      <c r="B195" s="1">
        <v>195</v>
      </c>
      <c r="C195" s="1" t="s">
        <v>3491</v>
      </c>
      <c r="D195" s="29" t="s">
        <v>547</v>
      </c>
      <c r="E195" s="29" t="s">
        <v>941</v>
      </c>
      <c r="F195" s="1" t="s">
        <v>945</v>
      </c>
      <c r="G195" s="30">
        <v>35.732999999999997</v>
      </c>
      <c r="H195" s="30">
        <v>-120.29</v>
      </c>
      <c r="I195" s="30">
        <v>35.817</v>
      </c>
      <c r="J195" s="30">
        <v>-120.36499999999999</v>
      </c>
      <c r="K195" s="30">
        <v>8.1</v>
      </c>
      <c r="L195" s="22">
        <v>14.1</v>
      </c>
      <c r="M195" s="22">
        <f t="shared" si="24"/>
        <v>11.533540449829074</v>
      </c>
      <c r="N195" s="22">
        <f t="shared" si="25"/>
        <v>14.093706230365505</v>
      </c>
      <c r="O195" s="22">
        <f t="shared" si="26"/>
        <v>6.2937696344942395E-3</v>
      </c>
      <c r="P195" s="22">
        <f t="shared" si="27"/>
        <v>4.4656597289746525E-2</v>
      </c>
      <c r="Q195" s="22">
        <f t="shared" si="28"/>
        <v>1</v>
      </c>
      <c r="R195" s="29" t="str">
        <f t="shared" si="29"/>
        <v>Within screening tolerance</v>
      </c>
      <c r="S195" s="29" t="str">
        <f t="shared" si="30"/>
        <v/>
      </c>
      <c r="T195" s="22">
        <v>3</v>
      </c>
      <c r="U195" s="29" t="s">
        <v>4573</v>
      </c>
      <c r="V195" s="29" t="str">
        <f t="shared" si="31"/>
        <v>No geometric exceedance</v>
      </c>
      <c r="W195" s="30">
        <v>35.817</v>
      </c>
      <c r="X195" s="30">
        <v>-120.36499999999999</v>
      </c>
      <c r="Y195" s="30">
        <v>8.1</v>
      </c>
      <c r="Z195" s="30">
        <v>14.093706230365543</v>
      </c>
      <c r="AA195" s="29" t="s">
        <v>167</v>
      </c>
      <c r="AB195" s="29" t="s">
        <v>4574</v>
      </c>
      <c r="AC195" s="39"/>
      <c r="AD195" s="39"/>
    </row>
    <row r="196" spans="1:30" ht="58" customHeight="1">
      <c r="A196" s="1" t="s">
        <v>1262</v>
      </c>
      <c r="B196" s="1">
        <v>196</v>
      </c>
      <c r="C196" s="1" t="s">
        <v>3493</v>
      </c>
      <c r="D196" s="29" t="s">
        <v>547</v>
      </c>
      <c r="E196" s="29" t="s">
        <v>941</v>
      </c>
      <c r="F196" s="1" t="s">
        <v>946</v>
      </c>
      <c r="G196" s="30">
        <v>35.770000000000003</v>
      </c>
      <c r="H196" s="30">
        <v>-120.247</v>
      </c>
      <c r="I196" s="30">
        <v>35.817</v>
      </c>
      <c r="J196" s="30">
        <v>-120.36499999999999</v>
      </c>
      <c r="K196" s="30">
        <v>8.1</v>
      </c>
      <c r="L196" s="22">
        <v>14.4</v>
      </c>
      <c r="M196" s="22">
        <f t="shared" si="24"/>
        <v>11.856760957003756</v>
      </c>
      <c r="N196" s="22">
        <f t="shared" si="25"/>
        <v>14.359414347093987</v>
      </c>
      <c r="O196" s="22">
        <f t="shared" si="26"/>
        <v>4.0585652906013792E-2</v>
      </c>
      <c r="P196" s="22">
        <f t="shared" si="27"/>
        <v>0.2826414220314451</v>
      </c>
      <c r="Q196" s="22">
        <f t="shared" si="28"/>
        <v>1</v>
      </c>
      <c r="R196" s="29" t="str">
        <f t="shared" si="29"/>
        <v>Within screening tolerance</v>
      </c>
      <c r="S196" s="29" t="str">
        <f t="shared" si="30"/>
        <v/>
      </c>
      <c r="T196" s="22">
        <v>5.5</v>
      </c>
      <c r="U196" s="29" t="s">
        <v>4573</v>
      </c>
      <c r="V196" s="29" t="str">
        <f t="shared" si="31"/>
        <v>No geometric exceedance</v>
      </c>
      <c r="W196" s="30">
        <v>35.817</v>
      </c>
      <c r="X196" s="30">
        <v>-120.36499999999999</v>
      </c>
      <c r="Y196" s="30">
        <v>8.1</v>
      </c>
      <c r="Z196" s="30">
        <v>14.35941434709404</v>
      </c>
      <c r="AA196" s="29" t="s">
        <v>167</v>
      </c>
      <c r="AB196" s="29" t="s">
        <v>4574</v>
      </c>
      <c r="AC196" s="39"/>
      <c r="AD196" s="39"/>
    </row>
    <row r="197" spans="1:30" ht="58" customHeight="1">
      <c r="A197" s="1" t="s">
        <v>1262</v>
      </c>
      <c r="B197" s="1">
        <v>197</v>
      </c>
      <c r="C197" s="1" t="s">
        <v>3495</v>
      </c>
      <c r="D197" s="29" t="s">
        <v>547</v>
      </c>
      <c r="E197" s="29" t="s">
        <v>941</v>
      </c>
      <c r="F197" s="1" t="s">
        <v>947</v>
      </c>
      <c r="G197" s="30">
        <v>35.723999999999997</v>
      </c>
      <c r="H197" s="30">
        <v>-120.294</v>
      </c>
      <c r="I197" s="30">
        <v>35.817</v>
      </c>
      <c r="J197" s="30">
        <v>-120.36499999999999</v>
      </c>
      <c r="K197" s="30">
        <v>8.1</v>
      </c>
      <c r="L197" s="22">
        <v>14.6</v>
      </c>
      <c r="M197" s="22">
        <f t="shared" si="24"/>
        <v>12.164315227302492</v>
      </c>
      <c r="N197" s="22">
        <f t="shared" si="25"/>
        <v>14.614395811978792</v>
      </c>
      <c r="O197" s="22">
        <f t="shared" si="26"/>
        <v>-1.4395811978792139E-2</v>
      </c>
      <c r="P197" s="22">
        <f t="shared" si="27"/>
        <v>-9.8504325214679833E-2</v>
      </c>
      <c r="Q197" s="22">
        <f t="shared" si="28"/>
        <v>1</v>
      </c>
      <c r="R197" s="29" t="str">
        <f t="shared" si="29"/>
        <v>Within screening tolerance</v>
      </c>
      <c r="S197" s="29" t="str">
        <f t="shared" si="30"/>
        <v/>
      </c>
      <c r="T197" s="22">
        <v>3.6</v>
      </c>
      <c r="U197" s="29" t="s">
        <v>4573</v>
      </c>
      <c r="V197" s="29" t="str">
        <f t="shared" si="31"/>
        <v>No geometric exceedance</v>
      </c>
      <c r="W197" s="30">
        <v>35.817</v>
      </c>
      <c r="X197" s="30">
        <v>-120.36499999999999</v>
      </c>
      <c r="Y197" s="30">
        <v>8.1</v>
      </c>
      <c r="Z197" s="30">
        <v>14.614395811978961</v>
      </c>
      <c r="AA197" s="29" t="s">
        <v>167</v>
      </c>
      <c r="AB197" s="29" t="s">
        <v>4574</v>
      </c>
      <c r="AC197" s="39"/>
      <c r="AD197" s="39"/>
    </row>
    <row r="198" spans="1:30" ht="58" customHeight="1">
      <c r="A198" s="1" t="s">
        <v>1262</v>
      </c>
      <c r="B198" s="1">
        <v>198</v>
      </c>
      <c r="C198" s="1" t="s">
        <v>3497</v>
      </c>
      <c r="D198" s="29" t="s">
        <v>547</v>
      </c>
      <c r="E198" s="29" t="s">
        <v>941</v>
      </c>
      <c r="F198" s="1" t="s">
        <v>948</v>
      </c>
      <c r="G198" s="30">
        <v>35.718000000000004</v>
      </c>
      <c r="H198" s="30">
        <v>-120.304</v>
      </c>
      <c r="I198" s="30">
        <v>35.817</v>
      </c>
      <c r="J198" s="30">
        <v>-120.36499999999999</v>
      </c>
      <c r="K198" s="30">
        <v>8.1</v>
      </c>
      <c r="L198" s="22">
        <v>14.7</v>
      </c>
      <c r="M198" s="22">
        <f t="shared" si="24"/>
        <v>12.307407803119258</v>
      </c>
      <c r="N198" s="22">
        <f t="shared" si="25"/>
        <v>14.733712595007436</v>
      </c>
      <c r="O198" s="22">
        <f t="shared" si="26"/>
        <v>-3.3712595007436619E-2</v>
      </c>
      <c r="P198" s="22">
        <f t="shared" si="27"/>
        <v>-0.22881262811424893</v>
      </c>
      <c r="Q198" s="22">
        <f t="shared" si="28"/>
        <v>1</v>
      </c>
      <c r="R198" s="29" t="str">
        <f t="shared" si="29"/>
        <v>Within screening tolerance</v>
      </c>
      <c r="S198" s="29" t="str">
        <f t="shared" si="30"/>
        <v/>
      </c>
      <c r="T198" s="22">
        <v>4.2</v>
      </c>
      <c r="U198" s="29" t="s">
        <v>4573</v>
      </c>
      <c r="V198" s="29" t="str">
        <f t="shared" si="31"/>
        <v>No geometric exceedance</v>
      </c>
      <c r="W198" s="30">
        <v>35.817</v>
      </c>
      <c r="X198" s="30">
        <v>-120.36499999999999</v>
      </c>
      <c r="Y198" s="30">
        <v>8.1</v>
      </c>
      <c r="Z198" s="30">
        <v>14.733712595007415</v>
      </c>
      <c r="AA198" s="29" t="s">
        <v>167</v>
      </c>
      <c r="AB198" s="29" t="s">
        <v>4574</v>
      </c>
      <c r="AC198" s="39"/>
      <c r="AD198" s="39"/>
    </row>
    <row r="199" spans="1:30" ht="58" customHeight="1">
      <c r="A199" s="1" t="s">
        <v>1262</v>
      </c>
      <c r="B199" s="1">
        <v>199</v>
      </c>
      <c r="C199" s="1" t="s">
        <v>3499</v>
      </c>
      <c r="D199" s="29" t="s">
        <v>547</v>
      </c>
      <c r="E199" s="29" t="s">
        <v>941</v>
      </c>
      <c r="F199" s="1" t="s">
        <v>949</v>
      </c>
      <c r="G199" s="30">
        <v>35.758000000000003</v>
      </c>
      <c r="H199" s="30">
        <v>-120.307</v>
      </c>
      <c r="I199" s="30">
        <v>35.817</v>
      </c>
      <c r="J199" s="30">
        <v>-120.36499999999999</v>
      </c>
      <c r="K199" s="30">
        <v>8.1</v>
      </c>
      <c r="L199" s="22">
        <v>11.7</v>
      </c>
      <c r="M199" s="22">
        <f t="shared" si="24"/>
        <v>8.3910681852619557</v>
      </c>
      <c r="N199" s="22">
        <f t="shared" si="25"/>
        <v>11.662762335300988</v>
      </c>
      <c r="O199" s="22">
        <f t="shared" si="26"/>
        <v>3.7237664699011574E-2</v>
      </c>
      <c r="P199" s="22">
        <f t="shared" si="27"/>
        <v>0.31928683470038799</v>
      </c>
      <c r="Q199" s="22">
        <f t="shared" si="28"/>
        <v>1</v>
      </c>
      <c r="R199" s="29" t="str">
        <f t="shared" si="29"/>
        <v>Within screening tolerance</v>
      </c>
      <c r="S199" s="29" t="str">
        <f t="shared" si="30"/>
        <v/>
      </c>
      <c r="T199" s="22">
        <v>2.5</v>
      </c>
      <c r="U199" s="29" t="s">
        <v>4573</v>
      </c>
      <c r="V199" s="29" t="str">
        <f t="shared" si="31"/>
        <v>No geometric exceedance</v>
      </c>
      <c r="W199" s="30">
        <v>35.817</v>
      </c>
      <c r="X199" s="30">
        <v>-120.36499999999999</v>
      </c>
      <c r="Y199" s="30">
        <v>8.1</v>
      </c>
      <c r="Z199" s="30">
        <v>11.662762335301075</v>
      </c>
      <c r="AA199" s="29" t="s">
        <v>167</v>
      </c>
      <c r="AB199" s="29" t="s">
        <v>4574</v>
      </c>
      <c r="AC199" s="39"/>
      <c r="AD199" s="39"/>
    </row>
    <row r="200" spans="1:30" ht="58" customHeight="1">
      <c r="A200" s="1" t="s">
        <v>1262</v>
      </c>
      <c r="B200" s="1">
        <v>200</v>
      </c>
      <c r="C200" s="1" t="s">
        <v>3501</v>
      </c>
      <c r="D200" s="29" t="s">
        <v>547</v>
      </c>
      <c r="E200" s="29" t="s">
        <v>941</v>
      </c>
      <c r="F200" s="1" t="s">
        <v>950</v>
      </c>
      <c r="G200" s="30">
        <v>35.878999999999998</v>
      </c>
      <c r="H200" s="30">
        <v>-120.44499999999999</v>
      </c>
      <c r="I200" s="30">
        <v>35.817</v>
      </c>
      <c r="J200" s="30">
        <v>-120.36499999999999</v>
      </c>
      <c r="K200" s="30">
        <v>8.1</v>
      </c>
      <c r="L200" s="22">
        <v>12.9</v>
      </c>
      <c r="M200" s="22">
        <f t="shared" si="24"/>
        <v>9.9759801617917443</v>
      </c>
      <c r="N200" s="22">
        <f t="shared" si="25"/>
        <v>12.850298836543157</v>
      </c>
      <c r="O200" s="22">
        <f t="shared" si="26"/>
        <v>4.9701163456843389E-2</v>
      </c>
      <c r="P200" s="22">
        <f t="shared" si="27"/>
        <v>0.38677048751197318</v>
      </c>
      <c r="Q200" s="22">
        <f t="shared" si="28"/>
        <v>1</v>
      </c>
      <c r="R200" s="29" t="str">
        <f t="shared" si="29"/>
        <v>Within screening tolerance</v>
      </c>
      <c r="S200" s="29" t="str">
        <f t="shared" si="30"/>
        <v/>
      </c>
      <c r="T200" s="22">
        <v>2.9</v>
      </c>
      <c r="U200" s="29" t="s">
        <v>4573</v>
      </c>
      <c r="V200" s="29" t="str">
        <f t="shared" si="31"/>
        <v>No geometric exceedance</v>
      </c>
      <c r="W200" s="30">
        <v>35.817</v>
      </c>
      <c r="X200" s="30">
        <v>-120.36499999999999</v>
      </c>
      <c r="Y200" s="30">
        <v>8.1</v>
      </c>
      <c r="Z200" s="30">
        <v>12.850298836543145</v>
      </c>
      <c r="AA200" s="29" t="s">
        <v>167</v>
      </c>
      <c r="AB200" s="29" t="s">
        <v>4574</v>
      </c>
      <c r="AC200" s="39"/>
      <c r="AD200" s="39"/>
    </row>
    <row r="201" spans="1:30" ht="58" customHeight="1">
      <c r="A201" s="1" t="s">
        <v>1262</v>
      </c>
      <c r="B201" s="1">
        <v>201</v>
      </c>
      <c r="C201" s="1" t="s">
        <v>3503</v>
      </c>
      <c r="D201" s="29" t="s">
        <v>547</v>
      </c>
      <c r="E201" s="29" t="s">
        <v>941</v>
      </c>
      <c r="F201" s="1" t="s">
        <v>951</v>
      </c>
      <c r="G201" s="30">
        <v>35.899000000000001</v>
      </c>
      <c r="H201" s="30">
        <v>-120.43300000000001</v>
      </c>
      <c r="I201" s="30">
        <v>35.817</v>
      </c>
      <c r="J201" s="30">
        <v>-120.36499999999999</v>
      </c>
      <c r="K201" s="30">
        <v>8.1</v>
      </c>
      <c r="L201" s="22">
        <v>13.7</v>
      </c>
      <c r="M201" s="22">
        <f t="shared" si="24"/>
        <v>10.986000283267874</v>
      </c>
      <c r="N201" s="22">
        <f t="shared" si="25"/>
        <v>13.649256471469858</v>
      </c>
      <c r="O201" s="22">
        <f t="shared" si="26"/>
        <v>5.0743528530141191E-2</v>
      </c>
      <c r="P201" s="22">
        <f t="shared" si="27"/>
        <v>0.37176771230145061</v>
      </c>
      <c r="Q201" s="22">
        <f t="shared" si="28"/>
        <v>1</v>
      </c>
      <c r="R201" s="29" t="str">
        <f t="shared" si="29"/>
        <v>Within screening tolerance</v>
      </c>
      <c r="S201" s="29" t="str">
        <f t="shared" si="30"/>
        <v/>
      </c>
      <c r="T201" s="22">
        <v>2.6</v>
      </c>
      <c r="U201" s="29" t="s">
        <v>4573</v>
      </c>
      <c r="V201" s="29" t="str">
        <f t="shared" si="31"/>
        <v>No geometric exceedance</v>
      </c>
      <c r="W201" s="30">
        <v>35.817</v>
      </c>
      <c r="X201" s="30">
        <v>-120.36499999999999</v>
      </c>
      <c r="Y201" s="30">
        <v>8.1</v>
      </c>
      <c r="Z201" s="30">
        <v>13.649256471469993</v>
      </c>
      <c r="AA201" s="29" t="s">
        <v>167</v>
      </c>
      <c r="AB201" s="29" t="s">
        <v>4574</v>
      </c>
      <c r="AC201" s="39"/>
      <c r="AD201" s="39"/>
    </row>
    <row r="202" spans="1:30" ht="58" customHeight="1">
      <c r="A202" s="1" t="s">
        <v>1262</v>
      </c>
      <c r="B202" s="1">
        <v>202</v>
      </c>
      <c r="C202" s="1" t="s">
        <v>3505</v>
      </c>
      <c r="D202" s="29" t="s">
        <v>547</v>
      </c>
      <c r="E202" s="29" t="s">
        <v>941</v>
      </c>
      <c r="F202" s="1" t="s">
        <v>952</v>
      </c>
      <c r="G202" s="30">
        <v>35.854999999999997</v>
      </c>
      <c r="H202" s="30">
        <v>-120.28100000000001</v>
      </c>
      <c r="I202" s="30">
        <v>35.817</v>
      </c>
      <c r="J202" s="30">
        <v>-120.36499999999999</v>
      </c>
      <c r="K202" s="30">
        <v>8.1</v>
      </c>
      <c r="L202" s="22">
        <v>11.9</v>
      </c>
      <c r="M202" s="22">
        <f t="shared" si="24"/>
        <v>8.6713518594106258</v>
      </c>
      <c r="N202" s="22">
        <f t="shared" si="25"/>
        <v>11.866016310021832</v>
      </c>
      <c r="O202" s="22">
        <f t="shared" si="26"/>
        <v>3.398368997816803E-2</v>
      </c>
      <c r="P202" s="22">
        <f t="shared" si="27"/>
        <v>0.28639510590817235</v>
      </c>
      <c r="Q202" s="22">
        <f t="shared" si="28"/>
        <v>1</v>
      </c>
      <c r="R202" s="29" t="str">
        <f t="shared" si="29"/>
        <v>Within screening tolerance</v>
      </c>
      <c r="S202" s="29" t="str">
        <f t="shared" si="30"/>
        <v/>
      </c>
      <c r="T202" s="22">
        <v>8.8000000000000007</v>
      </c>
      <c r="U202" s="29" t="s">
        <v>4573</v>
      </c>
      <c r="V202" s="29" t="str">
        <f t="shared" si="31"/>
        <v>No geometric exceedance</v>
      </c>
      <c r="W202" s="30">
        <v>35.817</v>
      </c>
      <c r="X202" s="30">
        <v>-120.36499999999999</v>
      </c>
      <c r="Y202" s="30">
        <v>8.1</v>
      </c>
      <c r="Z202" s="30">
        <v>11.866016310021818</v>
      </c>
      <c r="AA202" s="29" t="s">
        <v>167</v>
      </c>
      <c r="AB202" s="29" t="s">
        <v>4574</v>
      </c>
      <c r="AC202" s="39"/>
      <c r="AD202" s="39"/>
    </row>
    <row r="203" spans="1:30" ht="58" customHeight="1">
      <c r="A203" s="1" t="s">
        <v>1262</v>
      </c>
      <c r="B203" s="1">
        <v>203</v>
      </c>
      <c r="C203" s="1" t="s">
        <v>3508</v>
      </c>
      <c r="D203" s="29" t="s">
        <v>547</v>
      </c>
      <c r="E203" s="29" t="s">
        <v>941</v>
      </c>
      <c r="F203" s="1" t="s">
        <v>953</v>
      </c>
      <c r="G203" s="30">
        <v>35.787999999999997</v>
      </c>
      <c r="H203" s="30">
        <v>-120.294</v>
      </c>
      <c r="I203" s="30">
        <v>35.817</v>
      </c>
      <c r="J203" s="30">
        <v>-120.36499999999999</v>
      </c>
      <c r="K203" s="30">
        <v>8.1</v>
      </c>
      <c r="L203" s="22">
        <v>10.8</v>
      </c>
      <c r="M203" s="22">
        <f t="shared" si="24"/>
        <v>7.1691710783483238</v>
      </c>
      <c r="N203" s="22">
        <f t="shared" si="25"/>
        <v>10.816978041515387</v>
      </c>
      <c r="O203" s="22">
        <f t="shared" si="26"/>
        <v>-1.6978041515386622E-2</v>
      </c>
      <c r="P203" s="22">
        <f t="shared" si="27"/>
        <v>-0.15695734474291406</v>
      </c>
      <c r="Q203" s="22">
        <f t="shared" si="28"/>
        <v>1</v>
      </c>
      <c r="R203" s="29" t="str">
        <f t="shared" si="29"/>
        <v>Within screening tolerance</v>
      </c>
      <c r="S203" s="29" t="str">
        <f t="shared" si="30"/>
        <v/>
      </c>
      <c r="T203" s="22">
        <v>3.8</v>
      </c>
      <c r="U203" s="29" t="s">
        <v>4573</v>
      </c>
      <c r="V203" s="29" t="str">
        <f t="shared" si="31"/>
        <v>No geometric exceedance</v>
      </c>
      <c r="W203" s="30">
        <v>35.817</v>
      </c>
      <c r="X203" s="30">
        <v>-120.36499999999999</v>
      </c>
      <c r="Y203" s="30">
        <v>8.1</v>
      </c>
      <c r="Z203" s="30">
        <v>10.816978041515299</v>
      </c>
      <c r="AA203" s="29" t="s">
        <v>167</v>
      </c>
      <c r="AB203" s="29" t="s">
        <v>4574</v>
      </c>
      <c r="AC203" s="39"/>
      <c r="AD203" s="39"/>
    </row>
    <row r="204" spans="1:30" ht="58" customHeight="1">
      <c r="A204" s="1" t="s">
        <v>1262</v>
      </c>
      <c r="B204" s="1">
        <v>204</v>
      </c>
      <c r="C204" s="1" t="s">
        <v>3510</v>
      </c>
      <c r="D204" s="29" t="s">
        <v>581</v>
      </c>
      <c r="E204" s="29" t="s">
        <v>954</v>
      </c>
      <c r="F204" s="1" t="s">
        <v>955</v>
      </c>
      <c r="G204" s="30">
        <v>37.273600000000002</v>
      </c>
      <c r="H204" s="30">
        <v>138.39439999999999</v>
      </c>
      <c r="I204" s="30">
        <v>37.538200000000003</v>
      </c>
      <c r="J204" s="30">
        <v>138.6174</v>
      </c>
      <c r="K204" s="30">
        <v>9</v>
      </c>
      <c r="L204" s="22">
        <v>36.6</v>
      </c>
      <c r="M204" s="22">
        <f t="shared" si="24"/>
        <v>35.406768230988312</v>
      </c>
      <c r="N204" s="22">
        <f t="shared" si="25"/>
        <v>36.532714607087762</v>
      </c>
      <c r="O204" s="22">
        <f t="shared" si="26"/>
        <v>6.7285392912239672E-2</v>
      </c>
      <c r="P204" s="22">
        <f t="shared" si="27"/>
        <v>0.18417846479764616</v>
      </c>
      <c r="Q204" s="22">
        <f t="shared" si="28"/>
        <v>1.8266357303543881</v>
      </c>
      <c r="R204" s="29" t="str">
        <f t="shared" si="29"/>
        <v>Within screening tolerance</v>
      </c>
      <c r="S204" s="29" t="str">
        <f t="shared" si="30"/>
        <v/>
      </c>
      <c r="T204" s="22">
        <v>11.9</v>
      </c>
      <c r="U204" s="29" t="s">
        <v>4573</v>
      </c>
      <c r="V204" s="29" t="str">
        <f t="shared" si="31"/>
        <v>No geometric exceedance</v>
      </c>
      <c r="W204" s="30">
        <v>37.538200000000003</v>
      </c>
      <c r="X204" s="30">
        <v>138.6174</v>
      </c>
      <c r="Y204" s="30">
        <v>9</v>
      </c>
      <c r="Z204" s="30">
        <v>36.532714607088067</v>
      </c>
      <c r="AA204" s="29" t="s">
        <v>167</v>
      </c>
      <c r="AB204" s="29" t="s">
        <v>4574</v>
      </c>
      <c r="AC204" s="39"/>
      <c r="AD204" s="39"/>
    </row>
    <row r="205" spans="1:30" ht="58" customHeight="1">
      <c r="A205" s="1" t="s">
        <v>1262</v>
      </c>
      <c r="B205" s="1">
        <v>205</v>
      </c>
      <c r="C205" s="1" t="s">
        <v>3512</v>
      </c>
      <c r="D205" s="29" t="s">
        <v>581</v>
      </c>
      <c r="E205" s="29" t="s">
        <v>954</v>
      </c>
      <c r="F205" s="1" t="s">
        <v>956</v>
      </c>
      <c r="G205" s="30">
        <v>37.220300000000002</v>
      </c>
      <c r="H205" s="30">
        <v>138.40809999999999</v>
      </c>
      <c r="I205" s="30">
        <v>37.538200000000003</v>
      </c>
      <c r="J205" s="30">
        <v>138.6174</v>
      </c>
      <c r="K205" s="30">
        <v>9</v>
      </c>
      <c r="L205" s="22">
        <v>40.9</v>
      </c>
      <c r="M205" s="22">
        <f t="shared" si="24"/>
        <v>39.89427746743015</v>
      </c>
      <c r="N205" s="22">
        <f t="shared" si="25"/>
        <v>40.896862650432062</v>
      </c>
      <c r="O205" s="22">
        <f t="shared" si="26"/>
        <v>3.1373495679360985E-3</v>
      </c>
      <c r="P205" s="22">
        <f t="shared" si="27"/>
        <v>7.671369793699697E-3</v>
      </c>
      <c r="Q205" s="22">
        <f t="shared" si="28"/>
        <v>2.0448431325216032</v>
      </c>
      <c r="R205" s="29" t="str">
        <f t="shared" si="29"/>
        <v>Within screening tolerance</v>
      </c>
      <c r="S205" s="29" t="str">
        <f t="shared" si="30"/>
        <v/>
      </c>
      <c r="T205" s="22">
        <v>16.899999999999999</v>
      </c>
      <c r="U205" s="29" t="s">
        <v>4573</v>
      </c>
      <c r="V205" s="29" t="str">
        <f t="shared" si="31"/>
        <v>No geometric exceedance</v>
      </c>
      <c r="W205" s="30">
        <v>37.538200000000003</v>
      </c>
      <c r="X205" s="30">
        <v>138.6174</v>
      </c>
      <c r="Y205" s="30">
        <v>9</v>
      </c>
      <c r="Z205" s="30">
        <v>40.896862650432226</v>
      </c>
      <c r="AA205" s="29" t="s">
        <v>167</v>
      </c>
      <c r="AB205" s="29" t="s">
        <v>4574</v>
      </c>
      <c r="AC205" s="39"/>
      <c r="AD205" s="39"/>
    </row>
    <row r="206" spans="1:30" ht="58" customHeight="1">
      <c r="A206" s="1" t="s">
        <v>1262</v>
      </c>
      <c r="B206" s="1">
        <v>206</v>
      </c>
      <c r="C206" s="1" t="s">
        <v>3514</v>
      </c>
      <c r="D206" s="29" t="s">
        <v>581</v>
      </c>
      <c r="E206" s="29" t="s">
        <v>954</v>
      </c>
      <c r="F206" s="1" t="s">
        <v>957</v>
      </c>
      <c r="G206" s="30">
        <v>37.368600000000001</v>
      </c>
      <c r="H206" s="30">
        <v>138.56190000000001</v>
      </c>
      <c r="I206" s="30">
        <v>37.538200000000003</v>
      </c>
      <c r="J206" s="30">
        <v>138.6174</v>
      </c>
      <c r="K206" s="30">
        <v>9</v>
      </c>
      <c r="L206" s="22">
        <v>21.5</v>
      </c>
      <c r="M206" s="22">
        <f t="shared" si="24"/>
        <v>19.484611216031158</v>
      </c>
      <c r="N206" s="22">
        <f t="shared" si="25"/>
        <v>21.462760172910826</v>
      </c>
      <c r="O206" s="22">
        <f t="shared" si="26"/>
        <v>3.7239827089173616E-2</v>
      </c>
      <c r="P206" s="22">
        <f t="shared" si="27"/>
        <v>0.17350903047491431</v>
      </c>
      <c r="Q206" s="22">
        <f t="shared" si="28"/>
        <v>1.0731380086455413</v>
      </c>
      <c r="R206" s="29" t="str">
        <f t="shared" si="29"/>
        <v>Within screening tolerance</v>
      </c>
      <c r="S206" s="29" t="str">
        <f t="shared" si="30"/>
        <v/>
      </c>
      <c r="T206" s="22">
        <v>11.1</v>
      </c>
      <c r="U206" s="29" t="s">
        <v>4573</v>
      </c>
      <c r="V206" s="29" t="str">
        <f t="shared" si="31"/>
        <v>No geometric exceedance</v>
      </c>
      <c r="W206" s="30">
        <v>37.538200000000003</v>
      </c>
      <c r="X206" s="30">
        <v>138.6174</v>
      </c>
      <c r="Y206" s="30">
        <v>9</v>
      </c>
      <c r="Z206" s="30">
        <v>21.462760172911</v>
      </c>
      <c r="AA206" s="29" t="s">
        <v>167</v>
      </c>
      <c r="AB206" s="29" t="s">
        <v>4574</v>
      </c>
      <c r="AC206" s="39"/>
      <c r="AD206" s="39"/>
    </row>
    <row r="207" spans="1:30" ht="58" customHeight="1">
      <c r="A207" s="1" t="s">
        <v>1262</v>
      </c>
      <c r="B207" s="1">
        <v>207</v>
      </c>
      <c r="C207" s="1" t="s">
        <v>3516</v>
      </c>
      <c r="D207" s="29" t="s">
        <v>581</v>
      </c>
      <c r="E207" s="29" t="s">
        <v>954</v>
      </c>
      <c r="F207" s="1" t="s">
        <v>958</v>
      </c>
      <c r="G207" s="30">
        <v>37.302199999999999</v>
      </c>
      <c r="H207" s="30">
        <v>138.7122</v>
      </c>
      <c r="I207" s="30">
        <v>37.538200000000003</v>
      </c>
      <c r="J207" s="30">
        <v>138.6174</v>
      </c>
      <c r="K207" s="30">
        <v>9</v>
      </c>
      <c r="L207" s="22">
        <v>29</v>
      </c>
      <c r="M207" s="22">
        <f t="shared" si="24"/>
        <v>27.545071098651924</v>
      </c>
      <c r="N207" s="22">
        <f t="shared" si="25"/>
        <v>28.978111426209082</v>
      </c>
      <c r="O207" s="22">
        <f t="shared" si="26"/>
        <v>2.1888573790917576E-2</v>
      </c>
      <c r="P207" s="22">
        <f t="shared" si="27"/>
        <v>7.5534852734124636E-2</v>
      </c>
      <c r="Q207" s="22">
        <f t="shared" si="28"/>
        <v>1.4489055713104542</v>
      </c>
      <c r="R207" s="29" t="str">
        <f t="shared" si="29"/>
        <v>Within screening tolerance</v>
      </c>
      <c r="S207" s="29" t="str">
        <f t="shared" si="30"/>
        <v/>
      </c>
      <c r="T207" s="22">
        <v>20</v>
      </c>
      <c r="U207" s="29" t="s">
        <v>4573</v>
      </c>
      <c r="V207" s="29" t="str">
        <f t="shared" si="31"/>
        <v>No geometric exceedance</v>
      </c>
      <c r="W207" s="30">
        <v>37.538200000000003</v>
      </c>
      <c r="X207" s="30">
        <v>138.6174</v>
      </c>
      <c r="Y207" s="30">
        <v>9</v>
      </c>
      <c r="Z207" s="30">
        <v>28.978111426209491</v>
      </c>
      <c r="AA207" s="29" t="s">
        <v>167</v>
      </c>
      <c r="AB207" s="29" t="s">
        <v>4574</v>
      </c>
      <c r="AC207" s="39"/>
      <c r="AD207" s="39"/>
    </row>
    <row r="208" spans="1:30" ht="58" customHeight="1">
      <c r="A208" s="1" t="s">
        <v>1262</v>
      </c>
      <c r="B208" s="1">
        <v>208</v>
      </c>
      <c r="C208" s="1" t="s">
        <v>3518</v>
      </c>
      <c r="D208" s="29" t="s">
        <v>581</v>
      </c>
      <c r="E208" s="29" t="s">
        <v>954</v>
      </c>
      <c r="F208" s="1" t="s">
        <v>959</v>
      </c>
      <c r="G208" s="30">
        <v>37.418900000000001</v>
      </c>
      <c r="H208" s="30">
        <v>138.6258</v>
      </c>
      <c r="I208" s="30">
        <v>37.538200000000003</v>
      </c>
      <c r="J208" s="30">
        <v>138.6174</v>
      </c>
      <c r="K208" s="30">
        <v>9</v>
      </c>
      <c r="L208" s="22">
        <v>16.100000000000001</v>
      </c>
      <c r="M208" s="22">
        <f t="shared" si="24"/>
        <v>13.286247431898044</v>
      </c>
      <c r="N208" s="22">
        <f t="shared" si="25"/>
        <v>16.047565884632391</v>
      </c>
      <c r="O208" s="22">
        <f t="shared" si="26"/>
        <v>5.2434115367610445E-2</v>
      </c>
      <c r="P208" s="22">
        <f t="shared" si="27"/>
        <v>0.32674186069441757</v>
      </c>
      <c r="Q208" s="22">
        <f t="shared" si="28"/>
        <v>1</v>
      </c>
      <c r="R208" s="29" t="str">
        <f t="shared" si="29"/>
        <v>Within screening tolerance</v>
      </c>
      <c r="S208" s="29" t="str">
        <f t="shared" si="30"/>
        <v/>
      </c>
      <c r="T208" s="22">
        <v>12</v>
      </c>
      <c r="U208" s="29" t="s">
        <v>4573</v>
      </c>
      <c r="V208" s="29" t="str">
        <f t="shared" si="31"/>
        <v>No geometric exceedance</v>
      </c>
      <c r="W208" s="30">
        <v>37.538200000000003</v>
      </c>
      <c r="X208" s="30">
        <v>138.6174</v>
      </c>
      <c r="Y208" s="30">
        <v>9</v>
      </c>
      <c r="Z208" s="30">
        <v>16.047565884632565</v>
      </c>
      <c r="AA208" s="29" t="s">
        <v>167</v>
      </c>
      <c r="AB208" s="29" t="s">
        <v>4574</v>
      </c>
      <c r="AC208" s="39"/>
      <c r="AD208" s="39"/>
    </row>
    <row r="209" spans="1:30" ht="58" customHeight="1">
      <c r="A209" s="1" t="s">
        <v>1262</v>
      </c>
      <c r="B209" s="1">
        <v>209</v>
      </c>
      <c r="C209" s="1" t="s">
        <v>3520</v>
      </c>
      <c r="D209" s="29" t="s">
        <v>581</v>
      </c>
      <c r="E209" s="29" t="s">
        <v>954</v>
      </c>
      <c r="F209" s="1" t="s">
        <v>960</v>
      </c>
      <c r="G209" s="30">
        <v>37.6233</v>
      </c>
      <c r="H209" s="30">
        <v>138.84280000000001</v>
      </c>
      <c r="I209" s="30">
        <v>37.538200000000003</v>
      </c>
      <c r="J209" s="30">
        <v>138.6174</v>
      </c>
      <c r="K209" s="30">
        <v>9</v>
      </c>
      <c r="L209" s="22">
        <v>23.8</v>
      </c>
      <c r="M209" s="22">
        <f t="shared" si="24"/>
        <v>22.001438896282224</v>
      </c>
      <c r="N209" s="22">
        <f t="shared" si="25"/>
        <v>23.771060420327075</v>
      </c>
      <c r="O209" s="22">
        <f t="shared" si="26"/>
        <v>2.893957967292593E-2</v>
      </c>
      <c r="P209" s="22">
        <f t="shared" si="27"/>
        <v>0.1217429057063822</v>
      </c>
      <c r="Q209" s="22">
        <f t="shared" si="28"/>
        <v>1.1885530210163537</v>
      </c>
      <c r="R209" s="29" t="str">
        <f t="shared" si="29"/>
        <v>Within screening tolerance</v>
      </c>
      <c r="S209" s="29" t="str">
        <f t="shared" si="30"/>
        <v/>
      </c>
      <c r="T209" s="22">
        <v>19</v>
      </c>
      <c r="U209" s="29" t="s">
        <v>4573</v>
      </c>
      <c r="V209" s="29" t="str">
        <f t="shared" si="31"/>
        <v>No geometric exceedance</v>
      </c>
      <c r="W209" s="30">
        <v>37.538200000000003</v>
      </c>
      <c r="X209" s="30">
        <v>138.6174</v>
      </c>
      <c r="Y209" s="30">
        <v>9</v>
      </c>
      <c r="Z209" s="30">
        <v>23.771060420327011</v>
      </c>
      <c r="AA209" s="29" t="s">
        <v>167</v>
      </c>
      <c r="AB209" s="29" t="s">
        <v>4574</v>
      </c>
      <c r="AC209" s="39"/>
      <c r="AD209" s="39"/>
    </row>
    <row r="210" spans="1:30" ht="58" customHeight="1">
      <c r="A210" s="1" t="s">
        <v>1262</v>
      </c>
      <c r="B210" s="1">
        <v>210</v>
      </c>
      <c r="C210" s="1" t="s">
        <v>3522</v>
      </c>
      <c r="D210" s="29" t="s">
        <v>581</v>
      </c>
      <c r="E210" s="29" t="s">
        <v>954</v>
      </c>
      <c r="F210" s="1" t="s">
        <v>961</v>
      </c>
      <c r="G210" s="30">
        <v>37.104999999999997</v>
      </c>
      <c r="H210" s="30">
        <v>138.25</v>
      </c>
      <c r="I210" s="30">
        <v>37.538200000000003</v>
      </c>
      <c r="J210" s="30">
        <v>138.6174</v>
      </c>
      <c r="K210" s="30">
        <v>9</v>
      </c>
      <c r="L210" s="22">
        <v>58.8</v>
      </c>
      <c r="M210" s="22">
        <f t="shared" si="24"/>
        <v>58.101459203321618</v>
      </c>
      <c r="N210" s="22">
        <f t="shared" si="25"/>
        <v>58.794383758614615</v>
      </c>
      <c r="O210" s="22">
        <f t="shared" si="26"/>
        <v>5.6162413853826365E-3</v>
      </c>
      <c r="P210" s="22">
        <f t="shared" si="27"/>
        <v>9.5523433129949924E-3</v>
      </c>
      <c r="Q210" s="22">
        <f t="shared" si="28"/>
        <v>2.9397191879307307</v>
      </c>
      <c r="R210" s="29" t="str">
        <f t="shared" si="29"/>
        <v>Within screening tolerance</v>
      </c>
      <c r="S210" s="29" t="str">
        <f t="shared" si="30"/>
        <v/>
      </c>
      <c r="T210" s="22">
        <v>32.9</v>
      </c>
      <c r="U210" s="29" t="s">
        <v>4573</v>
      </c>
      <c r="V210" s="29" t="str">
        <f t="shared" si="31"/>
        <v>No geometric exceedance</v>
      </c>
      <c r="W210" s="30">
        <v>37.538200000000003</v>
      </c>
      <c r="X210" s="30">
        <v>138.6174</v>
      </c>
      <c r="Y210" s="30">
        <v>9</v>
      </c>
      <c r="Z210" s="30">
        <v>58.794383758615119</v>
      </c>
      <c r="AA210" s="29" t="s">
        <v>167</v>
      </c>
      <c r="AB210" s="29" t="s">
        <v>4574</v>
      </c>
      <c r="AC210" s="39"/>
      <c r="AD210" s="39"/>
    </row>
    <row r="211" spans="1:30" ht="58" customHeight="1">
      <c r="A211" s="1" t="s">
        <v>1262</v>
      </c>
      <c r="B211" s="1">
        <v>211</v>
      </c>
      <c r="C211" s="1" t="s">
        <v>3524</v>
      </c>
      <c r="D211" s="29" t="s">
        <v>581</v>
      </c>
      <c r="E211" s="29" t="s">
        <v>954</v>
      </c>
      <c r="F211" s="1" t="s">
        <v>962</v>
      </c>
      <c r="G211" s="30">
        <v>36.764200000000002</v>
      </c>
      <c r="H211" s="30">
        <v>138.255</v>
      </c>
      <c r="I211" s="30">
        <v>37.538200000000003</v>
      </c>
      <c r="J211" s="30">
        <v>138.6174</v>
      </c>
      <c r="K211" s="30">
        <v>9</v>
      </c>
      <c r="L211" s="22">
        <v>92.4</v>
      </c>
      <c r="M211" s="22">
        <f t="shared" si="24"/>
        <v>91.862500231946001</v>
      </c>
      <c r="N211" s="22">
        <f t="shared" si="25"/>
        <v>92.302323637405138</v>
      </c>
      <c r="O211" s="22">
        <f t="shared" si="26"/>
        <v>9.7676362594867783E-2</v>
      </c>
      <c r="P211" s="22">
        <f t="shared" si="27"/>
        <v>0.10582221416068971</v>
      </c>
      <c r="Q211" s="22">
        <f t="shared" si="28"/>
        <v>4.6151161818702571</v>
      </c>
      <c r="R211" s="29" t="str">
        <f t="shared" si="29"/>
        <v>Within screening tolerance</v>
      </c>
      <c r="S211" s="29" t="str">
        <f t="shared" si="30"/>
        <v/>
      </c>
      <c r="T211" s="22">
        <v>66.400000000000006</v>
      </c>
      <c r="U211" s="29" t="s">
        <v>4573</v>
      </c>
      <c r="V211" s="29" t="str">
        <f t="shared" si="31"/>
        <v>No geometric exceedance</v>
      </c>
      <c r="W211" s="30">
        <v>37.538200000000003</v>
      </c>
      <c r="X211" s="30">
        <v>138.6174</v>
      </c>
      <c r="Y211" s="30">
        <v>9</v>
      </c>
      <c r="Z211" s="30">
        <v>92.302323637405578</v>
      </c>
      <c r="AA211" s="29" t="s">
        <v>167</v>
      </c>
      <c r="AB211" s="29" t="s">
        <v>4574</v>
      </c>
      <c r="AC211" s="39"/>
      <c r="AD211" s="39"/>
    </row>
    <row r="212" spans="1:30" ht="58" customHeight="1">
      <c r="A212" s="1" t="s">
        <v>1262</v>
      </c>
      <c r="B212" s="1">
        <v>212</v>
      </c>
      <c r="C212" s="1" t="s">
        <v>3526</v>
      </c>
      <c r="D212" s="29" t="s">
        <v>581</v>
      </c>
      <c r="E212" s="29" t="s">
        <v>954</v>
      </c>
      <c r="F212" s="1" t="s">
        <v>963</v>
      </c>
      <c r="G212" s="30">
        <v>37.426699999999997</v>
      </c>
      <c r="H212" s="30">
        <v>138.60830000000001</v>
      </c>
      <c r="I212" s="30">
        <v>37.538200000000003</v>
      </c>
      <c r="J212" s="30">
        <v>138.6174</v>
      </c>
      <c r="K212" s="30">
        <v>9</v>
      </c>
      <c r="L212" s="22">
        <v>16.3</v>
      </c>
      <c r="M212" s="22">
        <f t="shared" si="24"/>
        <v>12.424208702833075</v>
      </c>
      <c r="N212" s="22">
        <f t="shared" si="25"/>
        <v>15.341478478020074</v>
      </c>
      <c r="O212" s="22">
        <f t="shared" si="26"/>
        <v>0.95852152197992702</v>
      </c>
      <c r="P212" s="22">
        <f t="shared" si="27"/>
        <v>6.2479083965291391</v>
      </c>
      <c r="Q212" s="22">
        <f t="shared" si="28"/>
        <v>1</v>
      </c>
      <c r="R212" s="29" t="str">
        <f t="shared" si="29"/>
        <v>Within screening tolerance</v>
      </c>
      <c r="S212" s="29" t="str">
        <f t="shared" si="30"/>
        <v/>
      </c>
      <c r="T212" s="22">
        <v>11</v>
      </c>
      <c r="U212" s="29" t="s">
        <v>4573</v>
      </c>
      <c r="V212" s="29" t="str">
        <f t="shared" si="31"/>
        <v>No geometric exceedance</v>
      </c>
      <c r="W212" s="30">
        <v>37.538200000000003</v>
      </c>
      <c r="X212" s="30">
        <v>138.6174</v>
      </c>
      <c r="Y212" s="30">
        <v>9</v>
      </c>
      <c r="Z212" s="30">
        <v>15.341478478020232</v>
      </c>
      <c r="AA212" s="29" t="s">
        <v>167</v>
      </c>
      <c r="AB212" s="29" t="s">
        <v>4574</v>
      </c>
      <c r="AC212" s="39"/>
      <c r="AD212" s="39"/>
    </row>
    <row r="213" spans="1:30" ht="58" customHeight="1">
      <c r="A213" s="1" t="s">
        <v>1262</v>
      </c>
      <c r="B213" s="1">
        <v>213</v>
      </c>
      <c r="C213" s="1" t="s">
        <v>3528</v>
      </c>
      <c r="D213" s="29" t="s">
        <v>581</v>
      </c>
      <c r="E213" s="29" t="s">
        <v>954</v>
      </c>
      <c r="F213" s="1" t="s">
        <v>964</v>
      </c>
      <c r="G213" s="30"/>
      <c r="H213" s="30"/>
      <c r="I213" s="30">
        <v>37.538200000000003</v>
      </c>
      <c r="J213" s="30">
        <v>138.6174</v>
      </c>
      <c r="K213" s="30">
        <v>9</v>
      </c>
      <c r="L213" s="22">
        <v>16.3</v>
      </c>
      <c r="M213" s="22" t="str">
        <f t="shared" si="24"/>
        <v/>
      </c>
      <c r="N213" s="22" t="str">
        <f t="shared" si="25"/>
        <v/>
      </c>
      <c r="O213" s="22" t="str">
        <f t="shared" si="26"/>
        <v/>
      </c>
      <c r="P213" s="22" t="str">
        <f t="shared" si="27"/>
        <v/>
      </c>
      <c r="Q213" s="22" t="str">
        <f t="shared" si="28"/>
        <v/>
      </c>
      <c r="R213" s="29" t="str">
        <f t="shared" si="29"/>
        <v>Missing station coordinates</v>
      </c>
      <c r="S213" s="29" t="str">
        <f t="shared" si="30"/>
        <v/>
      </c>
      <c r="T213" s="22">
        <v>11</v>
      </c>
      <c r="U213" s="29" t="s">
        <v>4573</v>
      </c>
      <c r="V213" s="29" t="str">
        <f t="shared" si="31"/>
        <v>Cannot check without coordinates</v>
      </c>
      <c r="W213" s="30">
        <v>37.538200000000003</v>
      </c>
      <c r="X213" s="30">
        <v>138.6174</v>
      </c>
      <c r="Y213" s="30">
        <v>9</v>
      </c>
      <c r="Z213" s="30"/>
      <c r="AA213" s="29" t="s">
        <v>167</v>
      </c>
      <c r="AB213" s="29" t="s">
        <v>4575</v>
      </c>
      <c r="AC213" s="39"/>
      <c r="AD213" s="39"/>
    </row>
    <row r="214" spans="1:30" ht="58" customHeight="1">
      <c r="A214" s="1" t="s">
        <v>1262</v>
      </c>
      <c r="B214" s="1">
        <v>214</v>
      </c>
      <c r="C214" s="1" t="s">
        <v>3530</v>
      </c>
      <c r="D214" s="29" t="s">
        <v>594</v>
      </c>
      <c r="E214" s="29" t="s">
        <v>595</v>
      </c>
      <c r="F214" s="1" t="s">
        <v>965</v>
      </c>
      <c r="G214" s="30">
        <v>38.966099999999997</v>
      </c>
      <c r="H214" s="30">
        <v>141.00470000000001</v>
      </c>
      <c r="I214" s="30">
        <v>39.027000000000001</v>
      </c>
      <c r="J214" s="30">
        <v>140.87799999999999</v>
      </c>
      <c r="K214" s="30">
        <v>6.5</v>
      </c>
      <c r="L214" s="22">
        <v>14.4</v>
      </c>
      <c r="M214" s="22">
        <f t="shared" si="24"/>
        <v>12.874138786835218</v>
      </c>
      <c r="N214" s="22">
        <f t="shared" si="25"/>
        <v>14.421978002434166</v>
      </c>
      <c r="O214" s="22">
        <f t="shared" si="26"/>
        <v>-2.1978002434165589E-2</v>
      </c>
      <c r="P214" s="22">
        <f t="shared" si="27"/>
        <v>-0.15239242793503155</v>
      </c>
      <c r="Q214" s="22">
        <f t="shared" si="28"/>
        <v>1</v>
      </c>
      <c r="R214" s="29" t="str">
        <f t="shared" si="29"/>
        <v>Within screening tolerance</v>
      </c>
      <c r="S214" s="29" t="str">
        <f t="shared" si="30"/>
        <v/>
      </c>
      <c r="T214" s="22">
        <v>6</v>
      </c>
      <c r="U214" s="29" t="s">
        <v>4573</v>
      </c>
      <c r="V214" s="29" t="str">
        <f t="shared" si="31"/>
        <v>No geometric exceedance</v>
      </c>
      <c r="W214" s="30">
        <v>39.027000000000001</v>
      </c>
      <c r="X214" s="30">
        <v>140.87799999999999</v>
      </c>
      <c r="Y214" s="30">
        <v>6.5</v>
      </c>
      <c r="Z214" s="30">
        <v>14.421978002434253</v>
      </c>
      <c r="AA214" s="29" t="s">
        <v>167</v>
      </c>
      <c r="AB214" s="29" t="s">
        <v>4574</v>
      </c>
      <c r="AC214" s="39"/>
      <c r="AD214" s="39"/>
    </row>
    <row r="215" spans="1:30" ht="58" customHeight="1">
      <c r="A215" s="1" t="s">
        <v>1262</v>
      </c>
      <c r="B215" s="1">
        <v>215</v>
      </c>
      <c r="C215" s="1" t="s">
        <v>3532</v>
      </c>
      <c r="D215" s="29" t="s">
        <v>594</v>
      </c>
      <c r="E215" s="29" t="s">
        <v>595</v>
      </c>
      <c r="F215" s="1" t="s">
        <v>966</v>
      </c>
      <c r="G215" s="30">
        <v>38.755000000000003</v>
      </c>
      <c r="H215" s="30">
        <v>140.52279999999999</v>
      </c>
      <c r="I215" s="30">
        <v>39.027000000000001</v>
      </c>
      <c r="J215" s="30">
        <v>140.87799999999999</v>
      </c>
      <c r="K215" s="30">
        <v>6.5</v>
      </c>
      <c r="L215" s="22">
        <v>43.6</v>
      </c>
      <c r="M215" s="22">
        <f t="shared" si="24"/>
        <v>43.125498628441193</v>
      </c>
      <c r="N215" s="22">
        <f t="shared" si="25"/>
        <v>43.612597170447017</v>
      </c>
      <c r="O215" s="22">
        <f t="shared" si="26"/>
        <v>-1.2597170447016026E-2</v>
      </c>
      <c r="P215" s="22">
        <f t="shared" si="27"/>
        <v>-2.888424736042132E-2</v>
      </c>
      <c r="Q215" s="22">
        <f t="shared" si="28"/>
        <v>2.1806298585223511</v>
      </c>
      <c r="R215" s="29" t="str">
        <f t="shared" si="29"/>
        <v>Within screening tolerance</v>
      </c>
      <c r="S215" s="29" t="str">
        <f t="shared" si="30"/>
        <v/>
      </c>
      <c r="T215" s="22">
        <v>24.1</v>
      </c>
      <c r="U215" s="29" t="s">
        <v>4573</v>
      </c>
      <c r="V215" s="29" t="str">
        <f t="shared" si="31"/>
        <v>No geometric exceedance</v>
      </c>
      <c r="W215" s="30">
        <v>39.027000000000001</v>
      </c>
      <c r="X215" s="30">
        <v>140.87799999999999</v>
      </c>
      <c r="Y215" s="30">
        <v>6.5</v>
      </c>
      <c r="Z215" s="30">
        <v>43.612597170447408</v>
      </c>
      <c r="AA215" s="29" t="s">
        <v>167</v>
      </c>
      <c r="AB215" s="29" t="s">
        <v>4574</v>
      </c>
      <c r="AC215" s="39"/>
      <c r="AD215" s="39"/>
    </row>
    <row r="216" spans="1:30" ht="58" customHeight="1">
      <c r="A216" s="1" t="s">
        <v>1262</v>
      </c>
      <c r="B216" s="1">
        <v>216</v>
      </c>
      <c r="C216" s="1" t="s">
        <v>3534</v>
      </c>
      <c r="D216" s="29" t="s">
        <v>217</v>
      </c>
      <c r="E216" s="29" t="s">
        <v>967</v>
      </c>
      <c r="F216" s="1" t="s">
        <v>968</v>
      </c>
      <c r="G216" s="30">
        <v>31.3</v>
      </c>
      <c r="H216" s="30">
        <v>104.5</v>
      </c>
      <c r="I216" s="30">
        <v>30.986000000000001</v>
      </c>
      <c r="J216" s="30">
        <v>103.364</v>
      </c>
      <c r="K216" s="30">
        <v>10.039999999999999</v>
      </c>
      <c r="L216" s="22">
        <v>111.4</v>
      </c>
      <c r="M216" s="22">
        <f t="shared" si="24"/>
        <v>113.60991647233556</v>
      </c>
      <c r="N216" s="22">
        <f t="shared" si="25"/>
        <v>114.05268397039616</v>
      </c>
      <c r="O216" s="22">
        <f t="shared" si="26"/>
        <v>-2.6526839703961542</v>
      </c>
      <c r="P216" s="22">
        <f t="shared" si="27"/>
        <v>-2.3258408991801476</v>
      </c>
      <c r="Q216" s="22">
        <f t="shared" si="28"/>
        <v>5.7026341985198084</v>
      </c>
      <c r="R216" s="29" t="str">
        <f t="shared" si="29"/>
        <v>Within screening tolerance</v>
      </c>
      <c r="S216" s="29" t="str">
        <f t="shared" si="30"/>
        <v/>
      </c>
      <c r="T216" s="22">
        <v>30.5</v>
      </c>
      <c r="U216" s="29" t="s">
        <v>4573</v>
      </c>
      <c r="V216" s="29" t="str">
        <f t="shared" si="31"/>
        <v>No geometric exceedance</v>
      </c>
      <c r="W216" s="30">
        <v>30.986000000000001</v>
      </c>
      <c r="X216" s="30">
        <v>103.364</v>
      </c>
      <c r="Y216" s="30">
        <v>10.039999999999999</v>
      </c>
      <c r="Z216" s="30">
        <v>114.05268397039603</v>
      </c>
      <c r="AA216" s="29" t="s">
        <v>167</v>
      </c>
      <c r="AB216" s="29" t="s">
        <v>4574</v>
      </c>
      <c r="AC216" s="39"/>
      <c r="AD216" s="39"/>
    </row>
    <row r="217" spans="1:30" ht="58" customHeight="1">
      <c r="A217" s="1" t="s">
        <v>1262</v>
      </c>
      <c r="B217" s="1">
        <v>217</v>
      </c>
      <c r="C217" s="1" t="s">
        <v>3536</v>
      </c>
      <c r="D217" s="29" t="s">
        <v>217</v>
      </c>
      <c r="E217" s="29" t="s">
        <v>967</v>
      </c>
      <c r="F217" s="1" t="s">
        <v>970</v>
      </c>
      <c r="G217" s="30">
        <v>31.5</v>
      </c>
      <c r="H217" s="30">
        <v>104.1</v>
      </c>
      <c r="I217" s="30">
        <v>30.986000000000001</v>
      </c>
      <c r="J217" s="30">
        <v>103.364</v>
      </c>
      <c r="K217" s="30">
        <v>10.039999999999999</v>
      </c>
      <c r="L217" s="22">
        <v>90.3</v>
      </c>
      <c r="M217" s="22">
        <f t="shared" si="24"/>
        <v>90.346089013860919</v>
      </c>
      <c r="N217" s="22">
        <f t="shared" si="25"/>
        <v>90.902240897023432</v>
      </c>
      <c r="O217" s="22">
        <f t="shared" si="26"/>
        <v>-0.6022408970234352</v>
      </c>
      <c r="P217" s="22">
        <f t="shared" si="27"/>
        <v>-0.66251490731198837</v>
      </c>
      <c r="Q217" s="22">
        <f t="shared" si="28"/>
        <v>4.5451120448511722</v>
      </c>
      <c r="R217" s="29" t="str">
        <f t="shared" si="29"/>
        <v>Within screening tolerance</v>
      </c>
      <c r="S217" s="29" t="str">
        <f t="shared" si="30"/>
        <v/>
      </c>
      <c r="T217" s="22">
        <v>6.6</v>
      </c>
      <c r="U217" s="29" t="s">
        <v>4573</v>
      </c>
      <c r="V217" s="29" t="str">
        <f t="shared" si="31"/>
        <v>No geometric exceedance</v>
      </c>
      <c r="W217" s="30">
        <v>30.986000000000001</v>
      </c>
      <c r="X217" s="30">
        <v>103.364</v>
      </c>
      <c r="Y217" s="30">
        <v>10.039999999999999</v>
      </c>
      <c r="Z217" s="30">
        <v>90.902240897023219</v>
      </c>
      <c r="AA217" s="29" t="s">
        <v>167</v>
      </c>
      <c r="AB217" s="29" t="s">
        <v>4574</v>
      </c>
      <c r="AC217" s="39"/>
      <c r="AD217" s="39"/>
    </row>
    <row r="218" spans="1:30" ht="58" customHeight="1">
      <c r="A218" s="1" t="s">
        <v>1262</v>
      </c>
      <c r="B218" s="1">
        <v>218</v>
      </c>
      <c r="C218" s="1" t="s">
        <v>3538</v>
      </c>
      <c r="D218" s="29" t="s">
        <v>608</v>
      </c>
      <c r="E218" s="29" t="s">
        <v>971</v>
      </c>
      <c r="F218" s="1" t="s">
        <v>972</v>
      </c>
      <c r="G218" s="30">
        <v>42.377000000000002</v>
      </c>
      <c r="H218" s="30">
        <v>13.343999999999999</v>
      </c>
      <c r="I218" s="30">
        <v>42.3476</v>
      </c>
      <c r="J218" s="30">
        <v>13.38</v>
      </c>
      <c r="K218" s="30">
        <v>9.27</v>
      </c>
      <c r="L218" s="22">
        <v>10.3</v>
      </c>
      <c r="M218" s="22">
        <f t="shared" si="24"/>
        <v>4.4086215857598683</v>
      </c>
      <c r="N218" s="22">
        <f t="shared" si="25"/>
        <v>10.264932746317816</v>
      </c>
      <c r="O218" s="22">
        <f t="shared" si="26"/>
        <v>3.5067253682184329E-2</v>
      </c>
      <c r="P218" s="22">
        <f t="shared" si="27"/>
        <v>0.34162185519202232</v>
      </c>
      <c r="Q218" s="22">
        <f t="shared" si="28"/>
        <v>1</v>
      </c>
      <c r="R218" s="29" t="str">
        <f t="shared" si="29"/>
        <v>Within screening tolerance</v>
      </c>
      <c r="S218" s="29" t="str">
        <f t="shared" si="30"/>
        <v/>
      </c>
      <c r="T218" s="22">
        <v>6.3</v>
      </c>
      <c r="U218" s="29" t="s">
        <v>4573</v>
      </c>
      <c r="V218" s="29" t="str">
        <f t="shared" si="31"/>
        <v>No geometric exceedance</v>
      </c>
      <c r="W218" s="30">
        <v>42.3476</v>
      </c>
      <c r="X218" s="30">
        <v>13.38</v>
      </c>
      <c r="Y218" s="30">
        <v>9.27</v>
      </c>
      <c r="Z218" s="30">
        <v>10.264932746317896</v>
      </c>
      <c r="AA218" s="29" t="s">
        <v>167</v>
      </c>
      <c r="AB218" s="29" t="s">
        <v>4574</v>
      </c>
      <c r="AC218" s="39"/>
      <c r="AD218" s="39"/>
    </row>
    <row r="219" spans="1:30" ht="58" customHeight="1">
      <c r="A219" s="1" t="s">
        <v>1262</v>
      </c>
      <c r="B219" s="1">
        <v>219</v>
      </c>
      <c r="C219" s="1" t="s">
        <v>3540</v>
      </c>
      <c r="D219" s="29" t="s">
        <v>608</v>
      </c>
      <c r="E219" s="29" t="s">
        <v>971</v>
      </c>
      <c r="F219" s="1" t="s">
        <v>973</v>
      </c>
      <c r="G219" s="30">
        <v>42.375999999999998</v>
      </c>
      <c r="H219" s="30">
        <v>13.339</v>
      </c>
      <c r="I219" s="30">
        <v>42.3476</v>
      </c>
      <c r="J219" s="30">
        <v>13.38</v>
      </c>
      <c r="K219" s="30">
        <v>9.27</v>
      </c>
      <c r="L219" s="22">
        <v>10.4</v>
      </c>
      <c r="M219" s="22">
        <f t="shared" si="24"/>
        <v>4.6174055374984748</v>
      </c>
      <c r="N219" s="22">
        <f t="shared" si="25"/>
        <v>10.356318549451903</v>
      </c>
      <c r="O219" s="22">
        <f t="shared" si="26"/>
        <v>4.36814505480978E-2</v>
      </c>
      <c r="P219" s="22">
        <f t="shared" si="27"/>
        <v>0.42178550552995103</v>
      </c>
      <c r="Q219" s="22">
        <f t="shared" si="28"/>
        <v>1</v>
      </c>
      <c r="R219" s="29" t="str">
        <f t="shared" si="29"/>
        <v>Within screening tolerance</v>
      </c>
      <c r="S219" s="29" t="str">
        <f t="shared" si="30"/>
        <v/>
      </c>
      <c r="T219" s="22">
        <v>6.5</v>
      </c>
      <c r="U219" s="29" t="s">
        <v>4573</v>
      </c>
      <c r="V219" s="29" t="str">
        <f t="shared" si="31"/>
        <v>No geometric exceedance</v>
      </c>
      <c r="W219" s="30">
        <v>42.3476</v>
      </c>
      <c r="X219" s="30">
        <v>13.38</v>
      </c>
      <c r="Y219" s="30">
        <v>9.27</v>
      </c>
      <c r="Z219" s="30">
        <v>10.356318549452014</v>
      </c>
      <c r="AA219" s="29" t="s">
        <v>167</v>
      </c>
      <c r="AB219" s="29" t="s">
        <v>4574</v>
      </c>
      <c r="AC219" s="39"/>
      <c r="AD219" s="39"/>
    </row>
    <row r="220" spans="1:30" ht="58" customHeight="1">
      <c r="A220" s="1" t="s">
        <v>1262</v>
      </c>
      <c r="B220" s="1">
        <v>220</v>
      </c>
      <c r="C220" s="1" t="s">
        <v>3542</v>
      </c>
      <c r="D220" s="29" t="s">
        <v>608</v>
      </c>
      <c r="E220" s="29" t="s">
        <v>971</v>
      </c>
      <c r="F220" s="1" t="s">
        <v>974</v>
      </c>
      <c r="G220" s="30">
        <v>42.344999999999999</v>
      </c>
      <c r="H220" s="30">
        <v>13.401</v>
      </c>
      <c r="I220" s="30">
        <v>42.3476</v>
      </c>
      <c r="J220" s="30">
        <v>13.38</v>
      </c>
      <c r="K220" s="30">
        <v>9.27</v>
      </c>
      <c r="L220" s="22">
        <v>9.4</v>
      </c>
      <c r="M220" s="22">
        <f t="shared" si="24"/>
        <v>1.7498848087704739</v>
      </c>
      <c r="N220" s="22">
        <f t="shared" si="25"/>
        <v>9.4337159615904103</v>
      </c>
      <c r="O220" s="22">
        <f t="shared" si="26"/>
        <v>-3.3715961590409904E-2</v>
      </c>
      <c r="P220" s="22">
        <f t="shared" si="27"/>
        <v>-0.35739852384452969</v>
      </c>
      <c r="Q220" s="22">
        <f t="shared" si="28"/>
        <v>1</v>
      </c>
      <c r="R220" s="29" t="str">
        <f t="shared" si="29"/>
        <v>Within screening tolerance</v>
      </c>
      <c r="S220" s="29" t="str">
        <f t="shared" si="30"/>
        <v/>
      </c>
      <c r="T220" s="22">
        <v>5.4</v>
      </c>
      <c r="U220" s="29" t="s">
        <v>4573</v>
      </c>
      <c r="V220" s="29" t="str">
        <f t="shared" si="31"/>
        <v>No geometric exceedance</v>
      </c>
      <c r="W220" s="30">
        <v>42.3476</v>
      </c>
      <c r="X220" s="30">
        <v>13.38</v>
      </c>
      <c r="Y220" s="30">
        <v>9.27</v>
      </c>
      <c r="Z220" s="30">
        <v>9.4337159615904085</v>
      </c>
      <c r="AA220" s="29" t="s">
        <v>167</v>
      </c>
      <c r="AB220" s="29" t="s">
        <v>4574</v>
      </c>
      <c r="AC220" s="39"/>
      <c r="AD220" s="39"/>
    </row>
    <row r="221" spans="1:30" ht="58" customHeight="1">
      <c r="A221" s="1" t="s">
        <v>1262</v>
      </c>
      <c r="B221" s="1">
        <v>221</v>
      </c>
      <c r="C221" s="1" t="s">
        <v>3544</v>
      </c>
      <c r="D221" s="29" t="s">
        <v>620</v>
      </c>
      <c r="E221" s="29" t="s">
        <v>975</v>
      </c>
      <c r="F221" s="1" t="s">
        <v>976</v>
      </c>
      <c r="G221" s="30">
        <v>-43.530999999999999</v>
      </c>
      <c r="H221" s="30">
        <v>172.61969999999999</v>
      </c>
      <c r="I221" s="30">
        <v>-43.615000000000002</v>
      </c>
      <c r="J221" s="30">
        <v>172.04900000000001</v>
      </c>
      <c r="K221" s="30">
        <v>10.9</v>
      </c>
      <c r="L221" s="22">
        <v>48.2</v>
      </c>
      <c r="M221" s="22">
        <f t="shared" si="24"/>
        <v>46.914891231435924</v>
      </c>
      <c r="N221" s="22">
        <f t="shared" si="25"/>
        <v>48.16447881226852</v>
      </c>
      <c r="O221" s="22">
        <f t="shared" si="26"/>
        <v>3.5521187731482939E-2</v>
      </c>
      <c r="P221" s="22">
        <f t="shared" si="27"/>
        <v>7.3749760419778349E-2</v>
      </c>
      <c r="Q221" s="22">
        <f t="shared" si="28"/>
        <v>2.4082239406134263</v>
      </c>
      <c r="R221" s="29" t="str">
        <f t="shared" si="29"/>
        <v>Within screening tolerance</v>
      </c>
      <c r="S221" s="29" t="str">
        <f t="shared" si="30"/>
        <v/>
      </c>
      <c r="T221" s="22">
        <v>18.100000000000001</v>
      </c>
      <c r="U221" s="29" t="s">
        <v>4573</v>
      </c>
      <c r="V221" s="29" t="str">
        <f t="shared" si="31"/>
        <v>No geometric exceedance</v>
      </c>
      <c r="W221" s="30">
        <v>-43.615000000000002</v>
      </c>
      <c r="X221" s="30">
        <v>172.04900000000001</v>
      </c>
      <c r="Y221" s="30">
        <v>10.9</v>
      </c>
      <c r="Z221" s="30">
        <v>48.164478812268534</v>
      </c>
      <c r="AA221" s="29" t="s">
        <v>167</v>
      </c>
      <c r="AB221" s="29" t="s">
        <v>4574</v>
      </c>
      <c r="AC221" s="39"/>
      <c r="AD221" s="39"/>
    </row>
    <row r="222" spans="1:30" ht="58" customHeight="1">
      <c r="A222" s="1" t="s">
        <v>1262</v>
      </c>
      <c r="B222" s="1">
        <v>222</v>
      </c>
      <c r="C222" s="1" t="s">
        <v>3547</v>
      </c>
      <c r="D222" s="29" t="s">
        <v>620</v>
      </c>
      <c r="E222" s="29" t="s">
        <v>975</v>
      </c>
      <c r="F222" s="1" t="s">
        <v>977</v>
      </c>
      <c r="G222" s="30">
        <v>-43.669199999999996</v>
      </c>
      <c r="H222" s="30">
        <v>172.1978</v>
      </c>
      <c r="I222" s="30">
        <v>-43.615000000000002</v>
      </c>
      <c r="J222" s="30">
        <v>172.04900000000001</v>
      </c>
      <c r="K222" s="30">
        <v>10.9</v>
      </c>
      <c r="L222" s="22">
        <v>17.3</v>
      </c>
      <c r="M222" s="22">
        <f t="shared" si="24"/>
        <v>13.404826494271717</v>
      </c>
      <c r="N222" s="22">
        <f t="shared" si="25"/>
        <v>17.277134407694149</v>
      </c>
      <c r="O222" s="22">
        <f t="shared" si="26"/>
        <v>2.2865592305851834E-2</v>
      </c>
      <c r="P222" s="22">
        <f t="shared" si="27"/>
        <v>0.13234597686332136</v>
      </c>
      <c r="Q222" s="22">
        <f t="shared" si="28"/>
        <v>1</v>
      </c>
      <c r="R222" s="29" t="str">
        <f t="shared" si="29"/>
        <v>Within screening tolerance</v>
      </c>
      <c r="S222" s="29" t="str">
        <f t="shared" si="30"/>
        <v/>
      </c>
      <c r="T222" s="22">
        <v>8.5</v>
      </c>
      <c r="U222" s="29" t="s">
        <v>4573</v>
      </c>
      <c r="V222" s="29" t="str">
        <f t="shared" si="31"/>
        <v>No geometric exceedance</v>
      </c>
      <c r="W222" s="30">
        <v>-43.615000000000002</v>
      </c>
      <c r="X222" s="30">
        <v>172.04900000000001</v>
      </c>
      <c r="Y222" s="30">
        <v>10.9</v>
      </c>
      <c r="Z222" s="30">
        <v>17.277134407694163</v>
      </c>
      <c r="AA222" s="29" t="s">
        <v>167</v>
      </c>
      <c r="AB222" s="29" t="s">
        <v>4574</v>
      </c>
      <c r="AC222" s="39"/>
      <c r="AD222" s="39"/>
    </row>
    <row r="223" spans="1:30" ht="58" customHeight="1">
      <c r="A223" s="1" t="s">
        <v>1262</v>
      </c>
      <c r="B223" s="1">
        <v>223</v>
      </c>
      <c r="C223" s="1" t="s">
        <v>3549</v>
      </c>
      <c r="D223" s="29" t="s">
        <v>620</v>
      </c>
      <c r="E223" s="29" t="s">
        <v>975</v>
      </c>
      <c r="F223" s="1" t="s">
        <v>978</v>
      </c>
      <c r="G223" s="30">
        <v>-43.588000000000001</v>
      </c>
      <c r="H223" s="30">
        <v>172.08930000000001</v>
      </c>
      <c r="I223" s="30">
        <v>-43.615000000000002</v>
      </c>
      <c r="J223" s="30">
        <v>172.04900000000001</v>
      </c>
      <c r="K223" s="30">
        <v>10.9</v>
      </c>
      <c r="L223" s="22">
        <v>11.8</v>
      </c>
      <c r="M223" s="22">
        <f t="shared" si="24"/>
        <v>4.4208488838255429</v>
      </c>
      <c r="N223" s="22">
        <f t="shared" si="25"/>
        <v>11.762393670236579</v>
      </c>
      <c r="O223" s="22">
        <f t="shared" si="26"/>
        <v>3.7606329763422153E-2</v>
      </c>
      <c r="P223" s="22">
        <f t="shared" si="27"/>
        <v>0.31971663946753254</v>
      </c>
      <c r="Q223" s="22">
        <f t="shared" si="28"/>
        <v>1</v>
      </c>
      <c r="R223" s="29" t="str">
        <f t="shared" si="29"/>
        <v>Within screening tolerance</v>
      </c>
      <c r="S223" s="29" t="str">
        <f t="shared" si="30"/>
        <v/>
      </c>
      <c r="T223" s="22">
        <v>1.2</v>
      </c>
      <c r="U223" s="29" t="s">
        <v>4573</v>
      </c>
      <c r="V223" s="29" t="str">
        <f t="shared" si="31"/>
        <v>No geometric exceedance</v>
      </c>
      <c r="W223" s="30">
        <v>-43.615000000000002</v>
      </c>
      <c r="X223" s="30">
        <v>172.04900000000001</v>
      </c>
      <c r="Y223" s="30">
        <v>10.9</v>
      </c>
      <c r="Z223" s="30">
        <v>11.762393670236539</v>
      </c>
      <c r="AA223" s="29" t="s">
        <v>167</v>
      </c>
      <c r="AB223" s="29" t="s">
        <v>4574</v>
      </c>
      <c r="AC223" s="39"/>
      <c r="AD223" s="39"/>
    </row>
    <row r="224" spans="1:30" ht="58" customHeight="1">
      <c r="A224" s="1" t="s">
        <v>1262</v>
      </c>
      <c r="B224" s="1">
        <v>224</v>
      </c>
      <c r="C224" s="1" t="s">
        <v>3551</v>
      </c>
      <c r="D224" s="29" t="s">
        <v>620</v>
      </c>
      <c r="E224" s="29" t="s">
        <v>975</v>
      </c>
      <c r="F224" s="1" t="s">
        <v>979</v>
      </c>
      <c r="G224" s="30">
        <v>-43.5413</v>
      </c>
      <c r="H224" s="30">
        <v>171.9598</v>
      </c>
      <c r="I224" s="30">
        <v>-43.615000000000002</v>
      </c>
      <c r="J224" s="30">
        <v>172.04900000000001</v>
      </c>
      <c r="K224" s="30">
        <v>10.9</v>
      </c>
      <c r="L224" s="22">
        <v>15.4</v>
      </c>
      <c r="M224" s="22">
        <f t="shared" si="24"/>
        <v>10.899019107833944</v>
      </c>
      <c r="N224" s="22">
        <f t="shared" si="25"/>
        <v>15.414234249969391</v>
      </c>
      <c r="O224" s="22">
        <f t="shared" si="26"/>
        <v>-1.4234249969391044E-2</v>
      </c>
      <c r="P224" s="22">
        <f t="shared" si="27"/>
        <v>-9.2344840091030209E-2</v>
      </c>
      <c r="Q224" s="22">
        <f t="shared" si="28"/>
        <v>1</v>
      </c>
      <c r="R224" s="29" t="str">
        <f t="shared" si="29"/>
        <v>Within screening tolerance</v>
      </c>
      <c r="S224" s="29" t="str">
        <f t="shared" si="30"/>
        <v/>
      </c>
      <c r="T224" s="22">
        <v>7.3</v>
      </c>
      <c r="U224" s="29" t="s">
        <v>4573</v>
      </c>
      <c r="V224" s="29" t="str">
        <f t="shared" si="31"/>
        <v>No geometric exceedance</v>
      </c>
      <c r="W224" s="30">
        <v>-43.615000000000002</v>
      </c>
      <c r="X224" s="30">
        <v>172.04900000000001</v>
      </c>
      <c r="Y224" s="30">
        <v>10.9</v>
      </c>
      <c r="Z224" s="30">
        <v>15.414234249969329</v>
      </c>
      <c r="AA224" s="29" t="s">
        <v>167</v>
      </c>
      <c r="AB224" s="29" t="s">
        <v>4574</v>
      </c>
      <c r="AC224" s="39"/>
      <c r="AD224" s="39"/>
    </row>
    <row r="225" spans="1:30" ht="58" customHeight="1">
      <c r="A225" s="1" t="s">
        <v>1262</v>
      </c>
      <c r="B225" s="1">
        <v>225</v>
      </c>
      <c r="C225" s="1" t="s">
        <v>3553</v>
      </c>
      <c r="D225" s="29" t="s">
        <v>620</v>
      </c>
      <c r="E225" s="29" t="s">
        <v>975</v>
      </c>
      <c r="F225" s="1" t="s">
        <v>980</v>
      </c>
      <c r="G225" s="30">
        <v>-43.6248</v>
      </c>
      <c r="H225" s="30">
        <v>172.46789999999999</v>
      </c>
      <c r="I225" s="30">
        <v>-43.615000000000002</v>
      </c>
      <c r="J225" s="30">
        <v>172.04900000000001</v>
      </c>
      <c r="K225" s="30">
        <v>10.9</v>
      </c>
      <c r="L225" s="22">
        <v>35.5</v>
      </c>
      <c r="M225" s="22">
        <f t="shared" si="24"/>
        <v>33.738011233205853</v>
      </c>
      <c r="N225" s="22">
        <f t="shared" si="25"/>
        <v>35.455089930388333</v>
      </c>
      <c r="O225" s="22">
        <f t="shared" si="26"/>
        <v>4.4910069611667325E-2</v>
      </c>
      <c r="P225" s="22">
        <f t="shared" si="27"/>
        <v>0.12666748187592436</v>
      </c>
      <c r="Q225" s="22">
        <f t="shared" si="28"/>
        <v>1.7727544965194166</v>
      </c>
      <c r="R225" s="29" t="str">
        <f t="shared" si="29"/>
        <v>Within screening tolerance</v>
      </c>
      <c r="S225" s="29" t="str">
        <f t="shared" si="30"/>
        <v/>
      </c>
      <c r="T225" s="22">
        <v>7.1</v>
      </c>
      <c r="U225" s="29" t="s">
        <v>4573</v>
      </c>
      <c r="V225" s="29" t="str">
        <f t="shared" si="31"/>
        <v>No geometric exceedance</v>
      </c>
      <c r="W225" s="30">
        <v>-43.615000000000002</v>
      </c>
      <c r="X225" s="30">
        <v>172.04900000000001</v>
      </c>
      <c r="Y225" s="30">
        <v>10.9</v>
      </c>
      <c r="Z225" s="30">
        <v>35.455089930388326</v>
      </c>
      <c r="AA225" s="29" t="s">
        <v>167</v>
      </c>
      <c r="AB225" s="29" t="s">
        <v>4574</v>
      </c>
      <c r="AC225" s="39"/>
      <c r="AD225" s="39"/>
    </row>
    <row r="226" spans="1:30" ht="58" customHeight="1">
      <c r="A226" s="1" t="s">
        <v>1262</v>
      </c>
      <c r="B226" s="1">
        <v>226</v>
      </c>
      <c r="C226" s="1" t="s">
        <v>3555</v>
      </c>
      <c r="D226" s="29" t="s">
        <v>620</v>
      </c>
      <c r="E226" s="29" t="s">
        <v>975</v>
      </c>
      <c r="F226" s="1" t="s">
        <v>981</v>
      </c>
      <c r="G226" s="30">
        <v>-43.605600000000003</v>
      </c>
      <c r="H226" s="30">
        <v>172.72229999999999</v>
      </c>
      <c r="I226" s="30">
        <v>-43.615000000000002</v>
      </c>
      <c r="J226" s="30">
        <v>172.04900000000001</v>
      </c>
      <c r="K226" s="30">
        <v>10.9</v>
      </c>
      <c r="L226" s="22">
        <v>55.3</v>
      </c>
      <c r="M226" s="22">
        <f t="shared" si="24"/>
        <v>54.217613968080343</v>
      </c>
      <c r="N226" s="22">
        <f t="shared" si="25"/>
        <v>55.30243814147601</v>
      </c>
      <c r="O226" s="22">
        <f t="shared" si="26"/>
        <v>-2.438141476012845E-3</v>
      </c>
      <c r="P226" s="22">
        <f t="shared" si="27"/>
        <v>-4.4087413827497693E-3</v>
      </c>
      <c r="Q226" s="22">
        <f t="shared" si="28"/>
        <v>2.7651219070738007</v>
      </c>
      <c r="R226" s="29" t="str">
        <f t="shared" si="29"/>
        <v>Within screening tolerance</v>
      </c>
      <c r="S226" s="29" t="str">
        <f t="shared" si="30"/>
        <v/>
      </c>
      <c r="T226" s="22">
        <v>25.7</v>
      </c>
      <c r="U226" s="29" t="s">
        <v>4573</v>
      </c>
      <c r="V226" s="29" t="str">
        <f t="shared" si="31"/>
        <v>No geometric exceedance</v>
      </c>
      <c r="W226" s="30">
        <v>-43.615000000000002</v>
      </c>
      <c r="X226" s="30">
        <v>172.04900000000001</v>
      </c>
      <c r="Y226" s="30">
        <v>10.9</v>
      </c>
      <c r="Z226" s="30">
        <v>55.30243814147601</v>
      </c>
      <c r="AA226" s="29" t="s">
        <v>167</v>
      </c>
      <c r="AB226" s="29" t="s">
        <v>4574</v>
      </c>
      <c r="AC226" s="39"/>
      <c r="AD226" s="39"/>
    </row>
    <row r="227" spans="1:30" ht="58" customHeight="1">
      <c r="A227" s="1" t="s">
        <v>1262</v>
      </c>
      <c r="B227" s="1">
        <v>227</v>
      </c>
      <c r="C227" s="1" t="s">
        <v>3557</v>
      </c>
      <c r="D227" s="29" t="s">
        <v>620</v>
      </c>
      <c r="E227" s="29" t="s">
        <v>975</v>
      </c>
      <c r="F227" s="1" t="s">
        <v>982</v>
      </c>
      <c r="G227" s="30">
        <v>-43.497100000000003</v>
      </c>
      <c r="H227" s="30">
        <v>172.71789999999999</v>
      </c>
      <c r="I227" s="30">
        <v>-43.615000000000002</v>
      </c>
      <c r="J227" s="30">
        <v>172.04900000000001</v>
      </c>
      <c r="K227" s="30">
        <v>10.9</v>
      </c>
      <c r="L227" s="22">
        <v>56.6</v>
      </c>
      <c r="M227" s="22">
        <f t="shared" si="24"/>
        <v>55.473184659143357</v>
      </c>
      <c r="N227" s="22">
        <f t="shared" si="25"/>
        <v>56.533920934492222</v>
      </c>
      <c r="O227" s="22">
        <f t="shared" si="26"/>
        <v>6.6079065507778978E-2</v>
      </c>
      <c r="P227" s="22">
        <f t="shared" si="27"/>
        <v>0.11688392458104407</v>
      </c>
      <c r="Q227" s="22">
        <f t="shared" si="28"/>
        <v>2.8266960467246114</v>
      </c>
      <c r="R227" s="29" t="str">
        <f t="shared" si="29"/>
        <v>Within screening tolerance</v>
      </c>
      <c r="S227" s="29" t="str">
        <f t="shared" si="30"/>
        <v/>
      </c>
      <c r="T227" s="22">
        <v>26.8</v>
      </c>
      <c r="U227" s="29" t="s">
        <v>4573</v>
      </c>
      <c r="V227" s="29" t="str">
        <f t="shared" si="31"/>
        <v>No geometric exceedance</v>
      </c>
      <c r="W227" s="30">
        <v>-43.615000000000002</v>
      </c>
      <c r="X227" s="30">
        <v>172.04900000000001</v>
      </c>
      <c r="Y227" s="30">
        <v>10.9</v>
      </c>
      <c r="Z227" s="30">
        <v>56.533920934492173</v>
      </c>
      <c r="AA227" s="29" t="s">
        <v>167</v>
      </c>
      <c r="AB227" s="29" t="s">
        <v>4574</v>
      </c>
      <c r="AC227" s="39"/>
      <c r="AD227" s="39"/>
    </row>
    <row r="228" spans="1:30" ht="58" customHeight="1">
      <c r="A228" s="1" t="s">
        <v>1262</v>
      </c>
      <c r="B228" s="1">
        <v>228</v>
      </c>
      <c r="C228" s="1" t="s">
        <v>3559</v>
      </c>
      <c r="D228" s="29" t="s">
        <v>620</v>
      </c>
      <c r="E228" s="29" t="s">
        <v>975</v>
      </c>
      <c r="F228" s="1" t="s">
        <v>983</v>
      </c>
      <c r="G228" s="30">
        <v>-43.523600000000002</v>
      </c>
      <c r="H228" s="30">
        <v>172.63499999999999</v>
      </c>
      <c r="I228" s="30">
        <v>-43.615000000000002</v>
      </c>
      <c r="J228" s="30">
        <v>172.04900000000001</v>
      </c>
      <c r="K228" s="30">
        <v>10.9</v>
      </c>
      <c r="L228" s="22">
        <v>49.5</v>
      </c>
      <c r="M228" s="22">
        <f t="shared" si="24"/>
        <v>48.292694247869541</v>
      </c>
      <c r="N228" s="22">
        <f t="shared" si="25"/>
        <v>49.507517789909564</v>
      </c>
      <c r="O228" s="22">
        <f t="shared" si="26"/>
        <v>-7.5177899095635325E-3</v>
      </c>
      <c r="P228" s="22">
        <f t="shared" si="27"/>
        <v>-1.5185148125313163E-2</v>
      </c>
      <c r="Q228" s="22">
        <f t="shared" si="28"/>
        <v>2.4753758894954783</v>
      </c>
      <c r="R228" s="29" t="str">
        <f t="shared" si="29"/>
        <v>Within screening tolerance</v>
      </c>
      <c r="S228" s="29" t="str">
        <f t="shared" si="30"/>
        <v/>
      </c>
      <c r="T228" s="22">
        <v>19.5</v>
      </c>
      <c r="U228" s="29" t="s">
        <v>4573</v>
      </c>
      <c r="V228" s="29" t="str">
        <f t="shared" si="31"/>
        <v>No geometric exceedance</v>
      </c>
      <c r="W228" s="30">
        <v>-43.615000000000002</v>
      </c>
      <c r="X228" s="30">
        <v>172.04900000000001</v>
      </c>
      <c r="Y228" s="30">
        <v>10.9</v>
      </c>
      <c r="Z228" s="30">
        <v>49.507517789909599</v>
      </c>
      <c r="AA228" s="29" t="s">
        <v>167</v>
      </c>
      <c r="AB228" s="29" t="s">
        <v>4574</v>
      </c>
      <c r="AC228" s="39"/>
      <c r="AD228" s="39"/>
    </row>
    <row r="229" spans="1:30" ht="58" customHeight="1">
      <c r="A229" s="1" t="s">
        <v>1262</v>
      </c>
      <c r="B229" s="1">
        <v>229</v>
      </c>
      <c r="C229" s="1" t="s">
        <v>3561</v>
      </c>
      <c r="D229" s="29" t="s">
        <v>620</v>
      </c>
      <c r="E229" s="29" t="s">
        <v>975</v>
      </c>
      <c r="F229" s="1" t="s">
        <v>984</v>
      </c>
      <c r="G229" s="30">
        <v>-43.536200000000001</v>
      </c>
      <c r="H229" s="30">
        <v>172.56440000000001</v>
      </c>
      <c r="I229" s="30">
        <v>-43.615000000000002</v>
      </c>
      <c r="J229" s="30">
        <v>172.04900000000001</v>
      </c>
      <c r="K229" s="30">
        <v>10.9</v>
      </c>
      <c r="L229" s="22">
        <v>43.8</v>
      </c>
      <c r="M229" s="22">
        <f t="shared" si="24"/>
        <v>42.433451953723349</v>
      </c>
      <c r="N229" s="22">
        <f t="shared" si="25"/>
        <v>43.811047062458435</v>
      </c>
      <c r="O229" s="22">
        <f t="shared" si="26"/>
        <v>-1.1047062458438006E-2</v>
      </c>
      <c r="P229" s="22">
        <f t="shared" si="27"/>
        <v>-2.5215244097428119E-2</v>
      </c>
      <c r="Q229" s="22">
        <f t="shared" si="28"/>
        <v>2.1905523531229218</v>
      </c>
      <c r="R229" s="29" t="str">
        <f t="shared" si="29"/>
        <v>Within screening tolerance</v>
      </c>
      <c r="S229" s="29" t="str">
        <f t="shared" si="30"/>
        <v/>
      </c>
      <c r="T229" s="22">
        <v>13.6</v>
      </c>
      <c r="U229" s="29" t="s">
        <v>4573</v>
      </c>
      <c r="V229" s="29" t="str">
        <f t="shared" si="31"/>
        <v>No geometric exceedance</v>
      </c>
      <c r="W229" s="30">
        <v>-43.615000000000002</v>
      </c>
      <c r="X229" s="30">
        <v>172.04900000000001</v>
      </c>
      <c r="Y229" s="30">
        <v>10.9</v>
      </c>
      <c r="Z229" s="30">
        <v>43.811047062458456</v>
      </c>
      <c r="AA229" s="29" t="s">
        <v>167</v>
      </c>
      <c r="AB229" s="29" t="s">
        <v>4574</v>
      </c>
      <c r="AC229" s="39"/>
      <c r="AD229" s="39"/>
    </row>
    <row r="230" spans="1:30" ht="58" customHeight="1">
      <c r="A230" s="1" t="s">
        <v>1262</v>
      </c>
      <c r="B230" s="1">
        <v>230</v>
      </c>
      <c r="C230" s="1" t="s">
        <v>3563</v>
      </c>
      <c r="D230" s="29" t="s">
        <v>620</v>
      </c>
      <c r="E230" s="29" t="s">
        <v>975</v>
      </c>
      <c r="F230" s="1" t="s">
        <v>985</v>
      </c>
      <c r="G230" s="30">
        <v>-43.594499999999996</v>
      </c>
      <c r="H230" s="30">
        <v>172.381</v>
      </c>
      <c r="I230" s="30">
        <v>-43.615000000000002</v>
      </c>
      <c r="J230" s="30">
        <v>172.04900000000001</v>
      </c>
      <c r="K230" s="30">
        <v>10.9</v>
      </c>
      <c r="L230" s="22">
        <v>29</v>
      </c>
      <c r="M230" s="22">
        <f t="shared" si="24"/>
        <v>26.828930751244105</v>
      </c>
      <c r="N230" s="22">
        <f t="shared" si="25"/>
        <v>28.95861746104347</v>
      </c>
      <c r="O230" s="22">
        <f t="shared" si="26"/>
        <v>4.1382538956529658E-2</v>
      </c>
      <c r="P230" s="22">
        <f t="shared" si="27"/>
        <v>0.1429023295473254</v>
      </c>
      <c r="Q230" s="22">
        <f t="shared" si="28"/>
        <v>1.4479308730521736</v>
      </c>
      <c r="R230" s="29" t="str">
        <f t="shared" si="29"/>
        <v>Within screening tolerance</v>
      </c>
      <c r="S230" s="29" t="str">
        <f t="shared" si="30"/>
        <v/>
      </c>
      <c r="T230" s="22">
        <v>1.5</v>
      </c>
      <c r="U230" s="29" t="s">
        <v>4573</v>
      </c>
      <c r="V230" s="29" t="str">
        <f t="shared" si="31"/>
        <v>No geometric exceedance</v>
      </c>
      <c r="W230" s="30">
        <v>-43.615000000000002</v>
      </c>
      <c r="X230" s="30">
        <v>172.04900000000001</v>
      </c>
      <c r="Y230" s="30">
        <v>10.9</v>
      </c>
      <c r="Z230" s="30">
        <v>28.958617461043449</v>
      </c>
      <c r="AA230" s="29" t="s">
        <v>167</v>
      </c>
      <c r="AB230" s="29" t="s">
        <v>4574</v>
      </c>
      <c r="AC230" s="39"/>
      <c r="AD230" s="39"/>
    </row>
    <row r="231" spans="1:30" ht="58" customHeight="1">
      <c r="A231" s="1" t="s">
        <v>1262</v>
      </c>
      <c r="B231" s="1">
        <v>231</v>
      </c>
      <c r="C231" s="1" t="s">
        <v>3565</v>
      </c>
      <c r="D231" s="29" t="s">
        <v>620</v>
      </c>
      <c r="E231" s="29" t="s">
        <v>975</v>
      </c>
      <c r="F231" s="1" t="s">
        <v>986</v>
      </c>
      <c r="G231" s="30">
        <v>-43.505299999999998</v>
      </c>
      <c r="H231" s="30">
        <v>172.6634</v>
      </c>
      <c r="I231" s="30">
        <v>-43.615000000000002</v>
      </c>
      <c r="J231" s="30">
        <v>172.04900000000001</v>
      </c>
      <c r="K231" s="30">
        <v>10.9</v>
      </c>
      <c r="L231" s="22">
        <v>52.2</v>
      </c>
      <c r="M231" s="22">
        <f t="shared" si="24"/>
        <v>50.98732433459584</v>
      </c>
      <c r="N231" s="22">
        <f t="shared" si="25"/>
        <v>52.139402018063741</v>
      </c>
      <c r="O231" s="22">
        <f t="shared" si="26"/>
        <v>6.0597981936261647E-2</v>
      </c>
      <c r="P231" s="22">
        <f t="shared" si="27"/>
        <v>0.11622300906954672</v>
      </c>
      <c r="Q231" s="22">
        <f t="shared" si="28"/>
        <v>2.6069701009031871</v>
      </c>
      <c r="R231" s="29" t="str">
        <f t="shared" si="29"/>
        <v>Within screening tolerance</v>
      </c>
      <c r="S231" s="29" t="str">
        <f t="shared" si="30"/>
        <v/>
      </c>
      <c r="T231" s="22">
        <v>22.3</v>
      </c>
      <c r="U231" s="29" t="s">
        <v>4573</v>
      </c>
      <c r="V231" s="29" t="str">
        <f t="shared" si="31"/>
        <v>No geometric exceedance</v>
      </c>
      <c r="W231" s="30">
        <v>-43.615000000000002</v>
      </c>
      <c r="X231" s="30">
        <v>172.04900000000001</v>
      </c>
      <c r="Y231" s="30">
        <v>10.9</v>
      </c>
      <c r="Z231" s="30">
        <v>52.139402018063727</v>
      </c>
      <c r="AA231" s="29" t="s">
        <v>167</v>
      </c>
      <c r="AB231" s="29" t="s">
        <v>4574</v>
      </c>
      <c r="AC231" s="39"/>
      <c r="AD231" s="39"/>
    </row>
    <row r="232" spans="1:30" ht="58" customHeight="1">
      <c r="A232" s="1" t="s">
        <v>1262</v>
      </c>
      <c r="B232" s="1">
        <v>232</v>
      </c>
      <c r="C232" s="1" t="s">
        <v>3567</v>
      </c>
      <c r="D232" s="29" t="s">
        <v>620</v>
      </c>
      <c r="E232" s="29" t="s">
        <v>975</v>
      </c>
      <c r="F232" s="1" t="s">
        <v>987</v>
      </c>
      <c r="G232" s="30">
        <v>-43.467500000000001</v>
      </c>
      <c r="H232" s="30">
        <v>172.6139</v>
      </c>
      <c r="I232" s="30">
        <v>-43.615000000000002</v>
      </c>
      <c r="J232" s="30">
        <v>172.04900000000001</v>
      </c>
      <c r="K232" s="30">
        <v>10.9</v>
      </c>
      <c r="L232" s="22">
        <v>49.6</v>
      </c>
      <c r="M232" s="22">
        <f t="shared" si="24"/>
        <v>48.396286670696597</v>
      </c>
      <c r="N232" s="22">
        <f t="shared" si="25"/>
        <v>49.608573487979321</v>
      </c>
      <c r="O232" s="22">
        <f t="shared" si="26"/>
        <v>-8.5734879793193386E-3</v>
      </c>
      <c r="P232" s="22">
        <f t="shared" si="27"/>
        <v>-1.7282270737732027E-2</v>
      </c>
      <c r="Q232" s="22">
        <f t="shared" si="28"/>
        <v>2.4804286743989663</v>
      </c>
      <c r="R232" s="29" t="str">
        <f t="shared" si="29"/>
        <v>Within screening tolerance</v>
      </c>
      <c r="S232" s="29" t="str">
        <f t="shared" si="30"/>
        <v/>
      </c>
      <c r="T232" s="22">
        <v>20.9</v>
      </c>
      <c r="U232" s="29" t="s">
        <v>4573</v>
      </c>
      <c r="V232" s="29" t="str">
        <f t="shared" si="31"/>
        <v>No geometric exceedance</v>
      </c>
      <c r="W232" s="30">
        <v>-43.615000000000002</v>
      </c>
      <c r="X232" s="30">
        <v>172.04900000000001</v>
      </c>
      <c r="Y232" s="30">
        <v>10.9</v>
      </c>
      <c r="Z232" s="30">
        <v>49.60857348797942</v>
      </c>
      <c r="AA232" s="29" t="s">
        <v>167</v>
      </c>
      <c r="AB232" s="29" t="s">
        <v>4574</v>
      </c>
      <c r="AC232" s="39"/>
      <c r="AD232" s="39"/>
    </row>
    <row r="233" spans="1:30" ht="58" customHeight="1">
      <c r="A233" s="1" t="s">
        <v>1262</v>
      </c>
      <c r="B233" s="1">
        <v>233</v>
      </c>
      <c r="C233" s="1" t="s">
        <v>3569</v>
      </c>
      <c r="D233" s="29" t="s">
        <v>620</v>
      </c>
      <c r="E233" s="29" t="s">
        <v>975</v>
      </c>
      <c r="F233" s="1" t="s">
        <v>988</v>
      </c>
      <c r="G233" s="30">
        <v>-43.551699999999997</v>
      </c>
      <c r="H233" s="30">
        <v>172.4718</v>
      </c>
      <c r="I233" s="30">
        <v>-43.615000000000002</v>
      </c>
      <c r="J233" s="30">
        <v>172.04900000000001</v>
      </c>
      <c r="K233" s="30">
        <v>10.9</v>
      </c>
      <c r="L233" s="22">
        <v>36.5</v>
      </c>
      <c r="M233" s="22">
        <f t="shared" si="24"/>
        <v>34.774805810424752</v>
      </c>
      <c r="N233" s="22">
        <f t="shared" si="25"/>
        <v>36.443066818707109</v>
      </c>
      <c r="O233" s="22">
        <f t="shared" si="26"/>
        <v>5.6933181292890822E-2</v>
      </c>
      <c r="P233" s="22">
        <f t="shared" si="27"/>
        <v>0.15622500042632428</v>
      </c>
      <c r="Q233" s="22">
        <f t="shared" si="28"/>
        <v>1.8221533409353556</v>
      </c>
      <c r="R233" s="29" t="str">
        <f t="shared" si="29"/>
        <v>Within screening tolerance</v>
      </c>
      <c r="S233" s="29" t="str">
        <f t="shared" si="30"/>
        <v/>
      </c>
      <c r="T233" s="22">
        <v>6.1</v>
      </c>
      <c r="U233" s="29" t="s">
        <v>4573</v>
      </c>
      <c r="V233" s="29" t="str">
        <f t="shared" si="31"/>
        <v>No geometric exceedance</v>
      </c>
      <c r="W233" s="30">
        <v>-43.615000000000002</v>
      </c>
      <c r="X233" s="30">
        <v>172.04900000000001</v>
      </c>
      <c r="Y233" s="30">
        <v>10.9</v>
      </c>
      <c r="Z233" s="30">
        <v>36.443066818707081</v>
      </c>
      <c r="AA233" s="29" t="s">
        <v>167</v>
      </c>
      <c r="AB233" s="29" t="s">
        <v>4574</v>
      </c>
      <c r="AC233" s="39"/>
      <c r="AD233" s="39"/>
    </row>
    <row r="234" spans="1:30" ht="58" customHeight="1">
      <c r="A234" s="1" t="s">
        <v>1262</v>
      </c>
      <c r="B234" s="1">
        <v>234</v>
      </c>
      <c r="C234" s="1" t="s">
        <v>3571</v>
      </c>
      <c r="D234" s="29" t="s">
        <v>626</v>
      </c>
      <c r="E234" s="29" t="s">
        <v>989</v>
      </c>
      <c r="F234" s="1" t="s">
        <v>990</v>
      </c>
      <c r="G234" s="30">
        <v>32.549500000000002</v>
      </c>
      <c r="H234" s="30">
        <v>-115.23569999999999</v>
      </c>
      <c r="I234" s="30">
        <v>32.299999999999997</v>
      </c>
      <c r="J234" s="30">
        <v>-115.267</v>
      </c>
      <c r="K234" s="30">
        <v>5.45</v>
      </c>
      <c r="L234" s="22">
        <v>28.4</v>
      </c>
      <c r="M234" s="22">
        <f t="shared" si="24"/>
        <v>27.898245445862877</v>
      </c>
      <c r="N234" s="22">
        <f t="shared" si="25"/>
        <v>28.425597600712088</v>
      </c>
      <c r="O234" s="22">
        <f t="shared" si="26"/>
        <v>-2.5597600712089275E-2</v>
      </c>
      <c r="P234" s="22">
        <f t="shared" si="27"/>
        <v>-9.0051231540152502E-2</v>
      </c>
      <c r="Q234" s="22">
        <f t="shared" si="28"/>
        <v>1.4212798800356046</v>
      </c>
      <c r="R234" s="29" t="str">
        <f t="shared" si="29"/>
        <v>Within screening tolerance</v>
      </c>
      <c r="S234" s="29" t="str">
        <f t="shared" si="30"/>
        <v/>
      </c>
      <c r="T234" s="22">
        <v>26.6</v>
      </c>
      <c r="U234" s="29" t="s">
        <v>4573</v>
      </c>
      <c r="V234" s="29" t="str">
        <f t="shared" si="31"/>
        <v>No geometric exceedance</v>
      </c>
      <c r="W234" s="30">
        <v>32.299999999999997</v>
      </c>
      <c r="X234" s="30">
        <v>-115.267</v>
      </c>
      <c r="Y234" s="30">
        <v>5.45</v>
      </c>
      <c r="Z234" s="30">
        <v>28.425597600712106</v>
      </c>
      <c r="AA234" s="29" t="s">
        <v>167</v>
      </c>
      <c r="AB234" s="29" t="s">
        <v>4574</v>
      </c>
      <c r="AC234" s="39"/>
      <c r="AD234" s="39"/>
    </row>
    <row r="235" spans="1:30" ht="58" customHeight="1">
      <c r="A235" s="1" t="s">
        <v>1262</v>
      </c>
      <c r="B235" s="1">
        <v>235</v>
      </c>
      <c r="C235" s="1" t="s">
        <v>3573</v>
      </c>
      <c r="D235" s="29" t="s">
        <v>626</v>
      </c>
      <c r="E235" s="29" t="s">
        <v>989</v>
      </c>
      <c r="F235" s="1" t="s">
        <v>991</v>
      </c>
      <c r="G235" s="30">
        <v>32.718000000000004</v>
      </c>
      <c r="H235" s="30">
        <v>-115.637</v>
      </c>
      <c r="I235" s="30">
        <v>32.299999999999997</v>
      </c>
      <c r="J235" s="30">
        <v>-115.267</v>
      </c>
      <c r="K235" s="30">
        <v>5.45</v>
      </c>
      <c r="L235" s="22">
        <v>58.3</v>
      </c>
      <c r="M235" s="22">
        <f t="shared" si="24"/>
        <v>58.000884664970528</v>
      </c>
      <c r="N235" s="22">
        <f t="shared" si="25"/>
        <v>58.256374088327988</v>
      </c>
      <c r="O235" s="22">
        <f t="shared" si="26"/>
        <v>4.3625911672009465E-2</v>
      </c>
      <c r="P235" s="22">
        <f t="shared" si="27"/>
        <v>7.4886074450607076E-2</v>
      </c>
      <c r="Q235" s="22">
        <f t="shared" si="28"/>
        <v>2.9128187044163996</v>
      </c>
      <c r="R235" s="29" t="str">
        <f t="shared" si="29"/>
        <v>Within screening tolerance</v>
      </c>
      <c r="S235" s="29" t="str">
        <f t="shared" si="30"/>
        <v/>
      </c>
      <c r="T235" s="22">
        <v>11.3</v>
      </c>
      <c r="U235" s="29" t="s">
        <v>4573</v>
      </c>
      <c r="V235" s="29" t="str">
        <f t="shared" si="31"/>
        <v>No geometric exceedance</v>
      </c>
      <c r="W235" s="30">
        <v>32.299999999999997</v>
      </c>
      <c r="X235" s="30">
        <v>-115.267</v>
      </c>
      <c r="Y235" s="30">
        <v>5.45</v>
      </c>
      <c r="Z235" s="30">
        <v>58.256374088328393</v>
      </c>
      <c r="AA235" s="29" t="s">
        <v>167</v>
      </c>
      <c r="AB235" s="29" t="s">
        <v>4574</v>
      </c>
      <c r="AC235" s="39"/>
      <c r="AD235" s="39"/>
    </row>
    <row r="236" spans="1:30" ht="58" customHeight="1">
      <c r="A236" s="1" t="s">
        <v>1262</v>
      </c>
      <c r="B236" s="1">
        <v>236</v>
      </c>
      <c r="C236" s="1" t="s">
        <v>3575</v>
      </c>
      <c r="D236" s="29" t="s">
        <v>626</v>
      </c>
      <c r="E236" s="29" t="s">
        <v>989</v>
      </c>
      <c r="F236" s="1" t="s">
        <v>992</v>
      </c>
      <c r="G236" s="30">
        <v>32.759039999999999</v>
      </c>
      <c r="H236" s="30">
        <v>-115.7316</v>
      </c>
      <c r="I236" s="30">
        <v>32.299999999999997</v>
      </c>
      <c r="J236" s="30">
        <v>-115.267</v>
      </c>
      <c r="K236" s="30">
        <v>5.45</v>
      </c>
      <c r="L236" s="22">
        <v>67.400000000000006</v>
      </c>
      <c r="M236" s="22">
        <f t="shared" si="24"/>
        <v>67.100694633240963</v>
      </c>
      <c r="N236" s="22">
        <f t="shared" si="25"/>
        <v>67.321658626800428</v>
      </c>
      <c r="O236" s="22">
        <f t="shared" si="26"/>
        <v>7.8341373199577902E-2</v>
      </c>
      <c r="P236" s="22">
        <f t="shared" si="27"/>
        <v>0.11636875085604409</v>
      </c>
      <c r="Q236" s="22">
        <f t="shared" si="28"/>
        <v>3.3660829313400216</v>
      </c>
      <c r="R236" s="29" t="str">
        <f t="shared" si="29"/>
        <v>Within screening tolerance</v>
      </c>
      <c r="S236" s="29" t="str">
        <f t="shared" si="30"/>
        <v/>
      </c>
      <c r="T236" s="22">
        <v>11.4</v>
      </c>
      <c r="U236" s="29" t="s">
        <v>4573</v>
      </c>
      <c r="V236" s="29" t="str">
        <f t="shared" si="31"/>
        <v>No geometric exceedance</v>
      </c>
      <c r="W236" s="30">
        <v>32.299999999999997</v>
      </c>
      <c r="X236" s="30">
        <v>-115.267</v>
      </c>
      <c r="Y236" s="30">
        <v>5.45</v>
      </c>
      <c r="Z236" s="30">
        <v>67.321658626800712</v>
      </c>
      <c r="AA236" s="29" t="s">
        <v>167</v>
      </c>
      <c r="AB236" s="29" t="s">
        <v>4574</v>
      </c>
      <c r="AC236" s="39"/>
      <c r="AD236" s="39"/>
    </row>
    <row r="237" spans="1:30" ht="58" customHeight="1">
      <c r="A237" s="1" t="s">
        <v>1262</v>
      </c>
      <c r="B237" s="1">
        <v>237</v>
      </c>
      <c r="C237" s="1" t="s">
        <v>3577</v>
      </c>
      <c r="D237" s="29" t="s">
        <v>638</v>
      </c>
      <c r="E237" s="29" t="s">
        <v>993</v>
      </c>
      <c r="F237" s="1" t="s">
        <v>994</v>
      </c>
      <c r="G237" s="30">
        <v>-43.539499999999997</v>
      </c>
      <c r="H237" s="30">
        <v>172.6464</v>
      </c>
      <c r="I237" s="30">
        <v>-43.570999999999998</v>
      </c>
      <c r="J237" s="30">
        <v>172.703</v>
      </c>
      <c r="K237" s="30">
        <v>6</v>
      </c>
      <c r="L237" s="22">
        <v>8.3000000000000007</v>
      </c>
      <c r="M237" s="22">
        <f t="shared" si="24"/>
        <v>5.7508048512263672</v>
      </c>
      <c r="N237" s="22">
        <f t="shared" si="25"/>
        <v>8.3109419704921965</v>
      </c>
      <c r="O237" s="22">
        <f t="shared" si="26"/>
        <v>-1.0941970492195807E-2</v>
      </c>
      <c r="P237" s="22">
        <f t="shared" si="27"/>
        <v>-0.13165740455227598</v>
      </c>
      <c r="Q237" s="22">
        <f t="shared" si="28"/>
        <v>1</v>
      </c>
      <c r="R237" s="29" t="str">
        <f t="shared" si="29"/>
        <v>Within screening tolerance</v>
      </c>
      <c r="S237" s="29" t="str">
        <f t="shared" si="30"/>
        <v/>
      </c>
      <c r="T237" s="22">
        <v>3.3</v>
      </c>
      <c r="U237" s="29" t="s">
        <v>4573</v>
      </c>
      <c r="V237" s="29" t="str">
        <f t="shared" si="31"/>
        <v>No geometric exceedance</v>
      </c>
      <c r="W237" s="30">
        <v>-43.570999999999998</v>
      </c>
      <c r="X237" s="30">
        <v>172.703</v>
      </c>
      <c r="Y237" s="30">
        <v>6</v>
      </c>
      <c r="Z237" s="30">
        <v>8.3109419704921699</v>
      </c>
      <c r="AA237" s="29" t="s">
        <v>167</v>
      </c>
      <c r="AB237" s="29" t="s">
        <v>4574</v>
      </c>
      <c r="AC237" s="39"/>
      <c r="AD237" s="39"/>
    </row>
    <row r="238" spans="1:30" ht="58" customHeight="1">
      <c r="A238" s="1" t="s">
        <v>1262</v>
      </c>
      <c r="B238" s="1">
        <v>238</v>
      </c>
      <c r="C238" s="1" t="s">
        <v>3579</v>
      </c>
      <c r="D238" s="29" t="s">
        <v>638</v>
      </c>
      <c r="E238" s="29" t="s">
        <v>993</v>
      </c>
      <c r="F238" s="1" t="s">
        <v>995</v>
      </c>
      <c r="G238" s="30">
        <v>-43.535499999999999</v>
      </c>
      <c r="H238" s="30">
        <v>172.62610000000001</v>
      </c>
      <c r="I238" s="30">
        <v>-43.570999999999998</v>
      </c>
      <c r="J238" s="30">
        <v>172.703</v>
      </c>
      <c r="K238" s="30">
        <v>6</v>
      </c>
      <c r="L238" s="22">
        <v>9.5</v>
      </c>
      <c r="M238" s="22">
        <f t="shared" si="24"/>
        <v>7.3475474277368562</v>
      </c>
      <c r="N238" s="22">
        <f t="shared" si="25"/>
        <v>9.4861189747357955</v>
      </c>
      <c r="O238" s="22">
        <f t="shared" si="26"/>
        <v>1.3881025264204538E-2</v>
      </c>
      <c r="P238" s="22">
        <f t="shared" si="27"/>
        <v>0.1463298668419995</v>
      </c>
      <c r="Q238" s="22">
        <f t="shared" si="28"/>
        <v>1</v>
      </c>
      <c r="R238" s="29" t="str">
        <f t="shared" si="29"/>
        <v>Within screening tolerance</v>
      </c>
      <c r="S238" s="29" t="str">
        <f t="shared" si="30"/>
        <v/>
      </c>
      <c r="T238" s="22">
        <v>4.8</v>
      </c>
      <c r="U238" s="29" t="s">
        <v>4573</v>
      </c>
      <c r="V238" s="29" t="str">
        <f t="shared" si="31"/>
        <v>No geometric exceedance</v>
      </c>
      <c r="W238" s="30">
        <v>-43.570999999999998</v>
      </c>
      <c r="X238" s="30">
        <v>172.703</v>
      </c>
      <c r="Y238" s="30">
        <v>6</v>
      </c>
      <c r="Z238" s="30">
        <v>9.4861189747356818</v>
      </c>
      <c r="AA238" s="29" t="s">
        <v>167</v>
      </c>
      <c r="AB238" s="29" t="s">
        <v>4574</v>
      </c>
      <c r="AC238" s="39"/>
      <c r="AD238" s="39"/>
    </row>
    <row r="239" spans="1:30" ht="58" customHeight="1">
      <c r="A239" s="1" t="s">
        <v>1262</v>
      </c>
      <c r="B239" s="1">
        <v>239</v>
      </c>
      <c r="C239" s="1" t="s">
        <v>3581</v>
      </c>
      <c r="D239" s="29" t="s">
        <v>638</v>
      </c>
      <c r="E239" s="29" t="s">
        <v>993</v>
      </c>
      <c r="F239" s="1" t="s">
        <v>996</v>
      </c>
      <c r="G239" s="30">
        <v>-43.567300000000003</v>
      </c>
      <c r="H239" s="30">
        <v>172.6241</v>
      </c>
      <c r="I239" s="30">
        <v>-43.570999999999998</v>
      </c>
      <c r="J239" s="30">
        <v>172.703</v>
      </c>
      <c r="K239" s="30">
        <v>6</v>
      </c>
      <c r="L239" s="22">
        <v>8.8000000000000007</v>
      </c>
      <c r="M239" s="22">
        <f t="shared" si="24"/>
        <v>6.3699191351803588</v>
      </c>
      <c r="N239" s="22">
        <f t="shared" si="25"/>
        <v>8.7507639545777316</v>
      </c>
      <c r="O239" s="22">
        <f t="shared" si="26"/>
        <v>4.9236045422269115E-2</v>
      </c>
      <c r="P239" s="22">
        <f t="shared" si="27"/>
        <v>0.56264853763439215</v>
      </c>
      <c r="Q239" s="22">
        <f t="shared" si="28"/>
        <v>1</v>
      </c>
      <c r="R239" s="29" t="str">
        <f t="shared" si="29"/>
        <v>Within screening tolerance</v>
      </c>
      <c r="S239" s="29" t="str">
        <f t="shared" si="30"/>
        <v/>
      </c>
      <c r="T239" s="22">
        <v>4.5</v>
      </c>
      <c r="U239" s="29" t="s">
        <v>4573</v>
      </c>
      <c r="V239" s="29" t="str">
        <f t="shared" si="31"/>
        <v>No geometric exceedance</v>
      </c>
      <c r="W239" s="30">
        <v>-43.570999999999998</v>
      </c>
      <c r="X239" s="30">
        <v>172.703</v>
      </c>
      <c r="Y239" s="30">
        <v>6</v>
      </c>
      <c r="Z239" s="30">
        <v>8.7507639545777209</v>
      </c>
      <c r="AA239" s="29" t="s">
        <v>167</v>
      </c>
      <c r="AB239" s="29" t="s">
        <v>4574</v>
      </c>
      <c r="AC239" s="39"/>
      <c r="AD239" s="39"/>
    </row>
    <row r="240" spans="1:30" ht="58" customHeight="1">
      <c r="A240" s="1" t="s">
        <v>1262</v>
      </c>
      <c r="B240" s="1">
        <v>240</v>
      </c>
      <c r="C240" s="1" t="s">
        <v>3583</v>
      </c>
      <c r="D240" s="29" t="s">
        <v>638</v>
      </c>
      <c r="E240" s="29" t="s">
        <v>993</v>
      </c>
      <c r="F240" s="1" t="s">
        <v>997</v>
      </c>
      <c r="G240" s="30">
        <v>-43.501600000000003</v>
      </c>
      <c r="H240" s="30">
        <v>172.7022</v>
      </c>
      <c r="I240" s="30">
        <v>-43.570999999999998</v>
      </c>
      <c r="J240" s="30">
        <v>172.703</v>
      </c>
      <c r="K240" s="30">
        <v>6</v>
      </c>
      <c r="L240" s="22">
        <v>9.8000000000000007</v>
      </c>
      <c r="M240" s="22">
        <f t="shared" si="24"/>
        <v>7.7171973537853349</v>
      </c>
      <c r="N240" s="22">
        <f t="shared" si="25"/>
        <v>9.7752306876754265</v>
      </c>
      <c r="O240" s="22">
        <f t="shared" si="26"/>
        <v>2.4769312324574244E-2</v>
      </c>
      <c r="P240" s="22">
        <f t="shared" si="27"/>
        <v>0.25338851957533132</v>
      </c>
      <c r="Q240" s="22">
        <f t="shared" si="28"/>
        <v>1</v>
      </c>
      <c r="R240" s="29" t="str">
        <f t="shared" si="29"/>
        <v>Within screening tolerance</v>
      </c>
      <c r="S240" s="29" t="str">
        <f t="shared" si="30"/>
        <v/>
      </c>
      <c r="T240" s="22">
        <v>4.3</v>
      </c>
      <c r="U240" s="29" t="s">
        <v>4573</v>
      </c>
      <c r="V240" s="29" t="str">
        <f t="shared" si="31"/>
        <v>No geometric exceedance</v>
      </c>
      <c r="W240" s="30">
        <v>-43.570999999999998</v>
      </c>
      <c r="X240" s="30">
        <v>172.703</v>
      </c>
      <c r="Y240" s="30">
        <v>6</v>
      </c>
      <c r="Z240" s="30">
        <v>9.7752306876755437</v>
      </c>
      <c r="AA240" s="29" t="s">
        <v>167</v>
      </c>
      <c r="AB240" s="29" t="s">
        <v>4574</v>
      </c>
      <c r="AC240" s="39"/>
      <c r="AD240" s="39"/>
    </row>
    <row r="241" spans="1:30" ht="58" customHeight="1">
      <c r="A241" s="1" t="s">
        <v>1262</v>
      </c>
      <c r="B241" s="1">
        <v>241</v>
      </c>
      <c r="C241" s="1" t="s">
        <v>3585</v>
      </c>
      <c r="D241" s="29" t="s">
        <v>638</v>
      </c>
      <c r="E241" s="29" t="s">
        <v>993</v>
      </c>
      <c r="F241" s="1" t="s">
        <v>998</v>
      </c>
      <c r="G241" s="30">
        <v>-43.527000000000001</v>
      </c>
      <c r="H241" s="30">
        <v>172.70169999999999</v>
      </c>
      <c r="I241" s="30">
        <v>-43.570999999999998</v>
      </c>
      <c r="J241" s="30">
        <v>172.703</v>
      </c>
      <c r="K241" s="30">
        <v>6</v>
      </c>
      <c r="L241" s="22">
        <v>7.7</v>
      </c>
      <c r="M241" s="22">
        <f t="shared" si="24"/>
        <v>4.8936984241143628</v>
      </c>
      <c r="N241" s="22">
        <f t="shared" si="25"/>
        <v>7.7426277365103511</v>
      </c>
      <c r="O241" s="22">
        <f t="shared" si="26"/>
        <v>-4.26277365103509E-2</v>
      </c>
      <c r="P241" s="22">
        <f t="shared" si="27"/>
        <v>-0.55055903449083399</v>
      </c>
      <c r="Q241" s="22">
        <f t="shared" si="28"/>
        <v>1</v>
      </c>
      <c r="R241" s="29" t="str">
        <f t="shared" si="29"/>
        <v>Within screening tolerance</v>
      </c>
      <c r="S241" s="29" t="str">
        <f t="shared" si="30"/>
        <v/>
      </c>
      <c r="T241" s="22">
        <v>2</v>
      </c>
      <c r="U241" s="29" t="s">
        <v>4573</v>
      </c>
      <c r="V241" s="29" t="str">
        <f t="shared" si="31"/>
        <v>No geometric exceedance</v>
      </c>
      <c r="W241" s="30">
        <v>-43.570999999999998</v>
      </c>
      <c r="X241" s="30">
        <v>172.703</v>
      </c>
      <c r="Y241" s="30">
        <v>6</v>
      </c>
      <c r="Z241" s="30">
        <v>7.7426277365101068</v>
      </c>
      <c r="AA241" s="29" t="s">
        <v>167</v>
      </c>
      <c r="AB241" s="29" t="s">
        <v>4574</v>
      </c>
      <c r="AC241" s="39"/>
      <c r="AD241" s="39"/>
    </row>
    <row r="242" spans="1:30" ht="58" customHeight="1">
      <c r="A242" s="1" t="s">
        <v>1262</v>
      </c>
      <c r="B242" s="1">
        <v>242</v>
      </c>
      <c r="C242" s="1" t="s">
        <v>3587</v>
      </c>
      <c r="D242" s="29" t="s">
        <v>638</v>
      </c>
      <c r="E242" s="29" t="s">
        <v>993</v>
      </c>
      <c r="F242" s="1" t="s">
        <v>983</v>
      </c>
      <c r="G242" s="30">
        <v>-43.523600000000002</v>
      </c>
      <c r="H242" s="30">
        <v>172.63499999999999</v>
      </c>
      <c r="I242" s="30">
        <v>-43.570999999999998</v>
      </c>
      <c r="J242" s="30">
        <v>172.703</v>
      </c>
      <c r="K242" s="30">
        <v>6</v>
      </c>
      <c r="L242" s="22">
        <v>9.6999999999999993</v>
      </c>
      <c r="M242" s="22">
        <f t="shared" si="24"/>
        <v>7.6036094557645528</v>
      </c>
      <c r="N242" s="22">
        <f t="shared" si="25"/>
        <v>9.685808007378224</v>
      </c>
      <c r="O242" s="22">
        <f t="shared" si="26"/>
        <v>1.4191992621775285E-2</v>
      </c>
      <c r="P242" s="22">
        <f t="shared" si="27"/>
        <v>0.14652357976706173</v>
      </c>
      <c r="Q242" s="22">
        <f t="shared" si="28"/>
        <v>1</v>
      </c>
      <c r="R242" s="29" t="str">
        <f t="shared" si="29"/>
        <v>Within screening tolerance</v>
      </c>
      <c r="S242" s="29" t="str">
        <f t="shared" si="30"/>
        <v/>
      </c>
      <c r="T242" s="22">
        <v>5.0999999999999996</v>
      </c>
      <c r="U242" s="29" t="s">
        <v>4573</v>
      </c>
      <c r="V242" s="29" t="str">
        <f t="shared" si="31"/>
        <v>No geometric exceedance</v>
      </c>
      <c r="W242" s="30">
        <v>-43.570999999999998</v>
      </c>
      <c r="X242" s="30">
        <v>172.703</v>
      </c>
      <c r="Y242" s="30">
        <v>6</v>
      </c>
      <c r="Z242" s="30">
        <v>9.6858080073782187</v>
      </c>
      <c r="AA242" s="29" t="s">
        <v>167</v>
      </c>
      <c r="AB242" s="29" t="s">
        <v>4574</v>
      </c>
      <c r="AC242" s="39"/>
      <c r="AD242" s="39"/>
    </row>
    <row r="243" spans="1:30" ht="58" customHeight="1">
      <c r="A243" s="1" t="s">
        <v>1262</v>
      </c>
      <c r="B243" s="1">
        <v>243</v>
      </c>
      <c r="C243" s="1" t="s">
        <v>3590</v>
      </c>
      <c r="D243" s="29" t="s">
        <v>638</v>
      </c>
      <c r="E243" s="29" t="s">
        <v>993</v>
      </c>
      <c r="F243" s="1" t="s">
        <v>986</v>
      </c>
      <c r="G243" s="30">
        <v>-43.505299999999998</v>
      </c>
      <c r="H243" s="30">
        <v>172.6634</v>
      </c>
      <c r="I243" s="30">
        <v>-43.570999999999998</v>
      </c>
      <c r="J243" s="30">
        <v>172.703</v>
      </c>
      <c r="K243" s="30">
        <v>6</v>
      </c>
      <c r="L243" s="22">
        <v>10</v>
      </c>
      <c r="M243" s="22">
        <f t="shared" si="24"/>
        <v>7.9724222656637718</v>
      </c>
      <c r="N243" s="22">
        <f t="shared" si="25"/>
        <v>9.9779515323563022</v>
      </c>
      <c r="O243" s="22">
        <f t="shared" si="26"/>
        <v>2.2048467643697833E-2</v>
      </c>
      <c r="P243" s="22">
        <f t="shared" si="27"/>
        <v>0.22097188558392475</v>
      </c>
      <c r="Q243" s="22">
        <f t="shared" si="28"/>
        <v>1</v>
      </c>
      <c r="R243" s="29" t="str">
        <f t="shared" si="29"/>
        <v>Within screening tolerance</v>
      </c>
      <c r="S243" s="29" t="str">
        <f t="shared" si="30"/>
        <v/>
      </c>
      <c r="T243" s="22">
        <v>5.6</v>
      </c>
      <c r="U243" s="29" t="s">
        <v>4573</v>
      </c>
      <c r="V243" s="29" t="str">
        <f t="shared" si="31"/>
        <v>No geometric exceedance</v>
      </c>
      <c r="W243" s="30">
        <v>-43.570999999999998</v>
      </c>
      <c r="X243" s="30">
        <v>172.703</v>
      </c>
      <c r="Y243" s="30">
        <v>6</v>
      </c>
      <c r="Z243" s="30">
        <v>9.9779515323560588</v>
      </c>
      <c r="AA243" s="29" t="s">
        <v>167</v>
      </c>
      <c r="AB243" s="29" t="s">
        <v>4574</v>
      </c>
      <c r="AC243" s="39"/>
      <c r="AD243" s="39"/>
    </row>
    <row r="244" spans="1:30" ht="58" customHeight="1">
      <c r="A244" s="1" t="s">
        <v>1262</v>
      </c>
      <c r="B244" s="1">
        <v>244</v>
      </c>
      <c r="C244" s="1" t="s">
        <v>3593</v>
      </c>
      <c r="D244" s="29" t="s">
        <v>638</v>
      </c>
      <c r="E244" s="29" t="s">
        <v>993</v>
      </c>
      <c r="F244" s="1" t="s">
        <v>981</v>
      </c>
      <c r="G244" s="30">
        <v>-43.605600000000003</v>
      </c>
      <c r="H244" s="30">
        <v>172.72229999999999</v>
      </c>
      <c r="I244" s="30">
        <v>-43.570999999999998</v>
      </c>
      <c r="J244" s="30">
        <v>172.703</v>
      </c>
      <c r="K244" s="30">
        <v>6</v>
      </c>
      <c r="L244" s="22">
        <v>7.3</v>
      </c>
      <c r="M244" s="22">
        <f t="shared" si="24"/>
        <v>4.1494915983770086</v>
      </c>
      <c r="N244" s="22">
        <f t="shared" si="25"/>
        <v>7.2950860532965187</v>
      </c>
      <c r="O244" s="22">
        <f t="shared" si="26"/>
        <v>4.9139467034811091E-3</v>
      </c>
      <c r="P244" s="22">
        <f t="shared" si="27"/>
        <v>6.7359681127552765E-2</v>
      </c>
      <c r="Q244" s="22">
        <f t="shared" si="28"/>
        <v>1</v>
      </c>
      <c r="R244" s="29" t="str">
        <f t="shared" si="29"/>
        <v>Within screening tolerance</v>
      </c>
      <c r="S244" s="29" t="str">
        <f t="shared" si="30"/>
        <v/>
      </c>
      <c r="T244" s="22">
        <v>6.1</v>
      </c>
      <c r="U244" s="29" t="s">
        <v>4573</v>
      </c>
      <c r="V244" s="29" t="str">
        <f t="shared" si="31"/>
        <v>No geometric exceedance</v>
      </c>
      <c r="W244" s="30">
        <v>-43.570999999999998</v>
      </c>
      <c r="X244" s="30">
        <v>172.703</v>
      </c>
      <c r="Y244" s="30">
        <v>6</v>
      </c>
      <c r="Z244" s="30">
        <v>7.2950860532966288</v>
      </c>
      <c r="AA244" s="29" t="s">
        <v>167</v>
      </c>
      <c r="AB244" s="29" t="s">
        <v>4574</v>
      </c>
      <c r="AC244" s="39"/>
      <c r="AD244" s="39"/>
    </row>
    <row r="245" spans="1:30" ht="58" customHeight="1">
      <c r="A245" s="1" t="s">
        <v>1263</v>
      </c>
      <c r="B245" s="1">
        <v>2</v>
      </c>
      <c r="C245" s="1" t="s">
        <v>3596</v>
      </c>
      <c r="D245" s="29" t="s">
        <v>262</v>
      </c>
      <c r="E245" s="29" t="s">
        <v>1027</v>
      </c>
      <c r="F245" s="1" t="s">
        <v>733</v>
      </c>
      <c r="G245" s="30">
        <v>34.334000000000003</v>
      </c>
      <c r="H245" s="30">
        <v>-118.396</v>
      </c>
      <c r="I245" s="30">
        <v>34.44</v>
      </c>
      <c r="J245" s="30">
        <v>-118.41</v>
      </c>
      <c r="K245" s="30">
        <v>13</v>
      </c>
      <c r="L245" s="22"/>
      <c r="M245" s="22">
        <f t="shared" si="24"/>
        <v>11.85646666642994</v>
      </c>
      <c r="N245" s="22">
        <f t="shared" si="25"/>
        <v>17.594766318771168</v>
      </c>
      <c r="O245" s="22" t="str">
        <f t="shared" si="26"/>
        <v/>
      </c>
      <c r="P245" s="22" t="str">
        <f t="shared" si="27"/>
        <v/>
      </c>
      <c r="Q245" s="22">
        <f t="shared" si="28"/>
        <v>1</v>
      </c>
      <c r="R245" s="29" t="str">
        <f t="shared" si="29"/>
        <v>No original Rhyp to compare</v>
      </c>
      <c r="S245" s="29" t="str">
        <f t="shared" si="30"/>
        <v/>
      </c>
      <c r="T245" s="22">
        <v>0.9</v>
      </c>
      <c r="U245" s="29" t="s">
        <v>4576</v>
      </c>
      <c r="V245" s="29" t="str">
        <f t="shared" si="31"/>
        <v>No geometric exceedance</v>
      </c>
      <c r="W245" s="30">
        <v>34.44</v>
      </c>
      <c r="X245" s="30">
        <v>-118.41</v>
      </c>
      <c r="Y245" s="30">
        <v>13</v>
      </c>
      <c r="Z245" s="30">
        <v>17.594766318771367</v>
      </c>
      <c r="AA245" s="29" t="s">
        <v>2812</v>
      </c>
      <c r="AB245" s="29"/>
      <c r="AC245" s="39"/>
      <c r="AD245" s="39"/>
    </row>
    <row r="246" spans="1:30" ht="58" customHeight="1">
      <c r="A246" s="1" t="s">
        <v>1263</v>
      </c>
      <c r="B246" s="1">
        <v>3</v>
      </c>
      <c r="C246" s="1" t="s">
        <v>3601</v>
      </c>
      <c r="D246" s="29" t="s">
        <v>269</v>
      </c>
      <c r="E246" s="29" t="s">
        <v>1030</v>
      </c>
      <c r="F246" s="1" t="s">
        <v>736</v>
      </c>
      <c r="G246" s="30">
        <v>33.58</v>
      </c>
      <c r="H246" s="30">
        <v>56.92</v>
      </c>
      <c r="I246" s="30">
        <v>33.215000000000003</v>
      </c>
      <c r="J246" s="30">
        <v>57.323</v>
      </c>
      <c r="K246" s="30">
        <v>5.75</v>
      </c>
      <c r="L246" s="22"/>
      <c r="M246" s="22">
        <f t="shared" si="24"/>
        <v>55.198492770598534</v>
      </c>
      <c r="N246" s="22">
        <f t="shared" si="25"/>
        <v>55.497172037373389</v>
      </c>
      <c r="O246" s="22" t="str">
        <f t="shared" si="26"/>
        <v/>
      </c>
      <c r="P246" s="22" t="str">
        <f t="shared" si="27"/>
        <v/>
      </c>
      <c r="Q246" s="22">
        <f t="shared" si="28"/>
        <v>2.7748586018686696</v>
      </c>
      <c r="R246" s="29" t="str">
        <f t="shared" si="29"/>
        <v>No original Rhyp to compare</v>
      </c>
      <c r="S246" s="29" t="str">
        <f t="shared" si="30"/>
        <v/>
      </c>
      <c r="T246" s="22">
        <v>2.0499999999999998</v>
      </c>
      <c r="U246" s="29" t="s">
        <v>4576</v>
      </c>
      <c r="V246" s="29" t="str">
        <f t="shared" si="31"/>
        <v>No geometric exceedance</v>
      </c>
      <c r="W246" s="30">
        <v>33.215000000000003</v>
      </c>
      <c r="X246" s="30">
        <v>57.323</v>
      </c>
      <c r="Y246" s="30">
        <v>5.75</v>
      </c>
      <c r="Z246" s="30">
        <v>55.49717203737351</v>
      </c>
      <c r="AA246" s="29" t="s">
        <v>2812</v>
      </c>
      <c r="AB246" s="29"/>
      <c r="AC246" s="39"/>
      <c r="AD246" s="39"/>
    </row>
    <row r="247" spans="1:30" ht="58" customHeight="1">
      <c r="A247" s="1" t="s">
        <v>1263</v>
      </c>
      <c r="B247" s="1">
        <v>4</v>
      </c>
      <c r="C247" s="1" t="s">
        <v>3603</v>
      </c>
      <c r="D247" s="29" t="s">
        <v>277</v>
      </c>
      <c r="E247" s="29" t="s">
        <v>1031</v>
      </c>
      <c r="F247" s="1" t="s">
        <v>1033</v>
      </c>
      <c r="G247" s="30">
        <v>36.981999999999999</v>
      </c>
      <c r="H247" s="30">
        <v>-121.556</v>
      </c>
      <c r="I247" s="30">
        <v>37.064999999999998</v>
      </c>
      <c r="J247" s="30">
        <v>-121.49</v>
      </c>
      <c r="K247" s="30">
        <v>8</v>
      </c>
      <c r="L247" s="22"/>
      <c r="M247" s="22">
        <f t="shared" si="24"/>
        <v>10.932004742651273</v>
      </c>
      <c r="N247" s="22">
        <f t="shared" si="25"/>
        <v>13.546539325353539</v>
      </c>
      <c r="O247" s="22" t="str">
        <f t="shared" si="26"/>
        <v/>
      </c>
      <c r="P247" s="22" t="str">
        <f t="shared" si="27"/>
        <v/>
      </c>
      <c r="Q247" s="22">
        <f t="shared" si="28"/>
        <v>1</v>
      </c>
      <c r="R247" s="29" t="str">
        <f t="shared" si="29"/>
        <v>No original Rhyp to compare</v>
      </c>
      <c r="S247" s="29" t="str">
        <f t="shared" si="30"/>
        <v/>
      </c>
      <c r="T247" s="22">
        <v>9.02</v>
      </c>
      <c r="U247" s="29" t="s">
        <v>4576</v>
      </c>
      <c r="V247" s="29" t="str">
        <f t="shared" si="31"/>
        <v>No geometric exceedance</v>
      </c>
      <c r="W247" s="30">
        <v>37.064999999999998</v>
      </c>
      <c r="X247" s="30">
        <v>-121.49</v>
      </c>
      <c r="Y247" s="30">
        <v>8</v>
      </c>
      <c r="Z247" s="30">
        <v>13.546539325353656</v>
      </c>
      <c r="AA247" s="29" t="s">
        <v>2812</v>
      </c>
      <c r="AB247" s="29"/>
      <c r="AC247" s="39"/>
      <c r="AD247" s="39"/>
    </row>
    <row r="248" spans="1:30" ht="58" customHeight="1">
      <c r="A248" s="1" t="s">
        <v>1263</v>
      </c>
      <c r="B248" s="1">
        <v>5</v>
      </c>
      <c r="C248" s="1" t="s">
        <v>3605</v>
      </c>
      <c r="D248" s="29" t="s">
        <v>277</v>
      </c>
      <c r="E248" s="29" t="s">
        <v>1031</v>
      </c>
      <c r="F248" s="1" t="s">
        <v>1034</v>
      </c>
      <c r="G248" s="30">
        <v>36.987000000000002</v>
      </c>
      <c r="H248" s="30">
        <v>-121.536</v>
      </c>
      <c r="I248" s="30">
        <v>37.064999999999998</v>
      </c>
      <c r="J248" s="30">
        <v>-121.49</v>
      </c>
      <c r="K248" s="30">
        <v>8</v>
      </c>
      <c r="L248" s="22"/>
      <c r="M248" s="22">
        <f t="shared" si="24"/>
        <v>9.5864606119263467</v>
      </c>
      <c r="N248" s="22">
        <f t="shared" si="25"/>
        <v>12.486001243953776</v>
      </c>
      <c r="O248" s="22" t="str">
        <f t="shared" si="26"/>
        <v/>
      </c>
      <c r="P248" s="22" t="str">
        <f t="shared" si="27"/>
        <v/>
      </c>
      <c r="Q248" s="22">
        <f t="shared" si="28"/>
        <v>1</v>
      </c>
      <c r="R248" s="29" t="str">
        <f t="shared" si="29"/>
        <v>No original Rhyp to compare</v>
      </c>
      <c r="S248" s="29" t="str">
        <f t="shared" si="30"/>
        <v/>
      </c>
      <c r="T248" s="22">
        <v>7.42</v>
      </c>
      <c r="U248" s="29" t="s">
        <v>4576</v>
      </c>
      <c r="V248" s="29" t="str">
        <f t="shared" si="31"/>
        <v>No geometric exceedance</v>
      </c>
      <c r="W248" s="30">
        <v>37.064999999999998</v>
      </c>
      <c r="X248" s="30">
        <v>-121.49</v>
      </c>
      <c r="Y248" s="30">
        <v>8</v>
      </c>
      <c r="Z248" s="30">
        <v>12.486001243953625</v>
      </c>
      <c r="AA248" s="29" t="s">
        <v>2812</v>
      </c>
      <c r="AB248" s="29"/>
      <c r="AC248" s="39"/>
      <c r="AD248" s="39"/>
    </row>
    <row r="249" spans="1:30" ht="58" customHeight="1">
      <c r="A249" s="1" t="s">
        <v>1263</v>
      </c>
      <c r="B249" s="1">
        <v>6</v>
      </c>
      <c r="C249" s="1" t="s">
        <v>3607</v>
      </c>
      <c r="D249" s="29" t="s">
        <v>277</v>
      </c>
      <c r="E249" s="29" t="s">
        <v>1031</v>
      </c>
      <c r="F249" s="1" t="s">
        <v>1035</v>
      </c>
      <c r="G249" s="30">
        <v>37.000999999999998</v>
      </c>
      <c r="H249" s="30">
        <v>-121.52200000000001</v>
      </c>
      <c r="I249" s="30">
        <v>37.064999999999998</v>
      </c>
      <c r="J249" s="30">
        <v>-121.49</v>
      </c>
      <c r="K249" s="30">
        <v>8</v>
      </c>
      <c r="L249" s="22"/>
      <c r="M249" s="22">
        <f t="shared" si="24"/>
        <v>7.6624190041585578</v>
      </c>
      <c r="N249" s="22">
        <f t="shared" si="25"/>
        <v>11.077574869766858</v>
      </c>
      <c r="O249" s="22" t="str">
        <f t="shared" si="26"/>
        <v/>
      </c>
      <c r="P249" s="22" t="str">
        <f t="shared" si="27"/>
        <v/>
      </c>
      <c r="Q249" s="22">
        <f t="shared" si="28"/>
        <v>1</v>
      </c>
      <c r="R249" s="29" t="str">
        <f t="shared" si="29"/>
        <v>No original Rhyp to compare</v>
      </c>
      <c r="S249" s="29" t="str">
        <f t="shared" si="30"/>
        <v/>
      </c>
      <c r="T249" s="22">
        <v>5.7</v>
      </c>
      <c r="U249" s="29" t="s">
        <v>4576</v>
      </c>
      <c r="V249" s="29" t="str">
        <f t="shared" si="31"/>
        <v>No geometric exceedance</v>
      </c>
      <c r="W249" s="30">
        <v>37.064999999999998</v>
      </c>
      <c r="X249" s="30">
        <v>-121.49</v>
      </c>
      <c r="Y249" s="30">
        <v>8</v>
      </c>
      <c r="Z249" s="30">
        <v>11.077574869766751</v>
      </c>
      <c r="AA249" s="29" t="s">
        <v>2812</v>
      </c>
      <c r="AB249" s="29"/>
      <c r="AC249" s="39"/>
      <c r="AD249" s="39"/>
    </row>
    <row r="250" spans="1:30" ht="58" customHeight="1">
      <c r="A250" s="1" t="s">
        <v>1263</v>
      </c>
      <c r="B250" s="1">
        <v>7</v>
      </c>
      <c r="C250" s="1" t="s">
        <v>3609</v>
      </c>
      <c r="D250" s="29" t="s">
        <v>277</v>
      </c>
      <c r="E250" s="29" t="s">
        <v>1031</v>
      </c>
      <c r="F250" s="1" t="s">
        <v>1036</v>
      </c>
      <c r="G250" s="30">
        <v>37.026000000000003</v>
      </c>
      <c r="H250" s="30">
        <v>-121.48399999999999</v>
      </c>
      <c r="I250" s="30">
        <v>37.064999999999998</v>
      </c>
      <c r="J250" s="30">
        <v>-121.49</v>
      </c>
      <c r="K250" s="30">
        <v>8</v>
      </c>
      <c r="L250" s="22"/>
      <c r="M250" s="22">
        <f t="shared" si="24"/>
        <v>4.3691739521803106</v>
      </c>
      <c r="N250" s="22">
        <f t="shared" si="25"/>
        <v>9.115354135984564</v>
      </c>
      <c r="O250" s="22" t="str">
        <f t="shared" si="26"/>
        <v/>
      </c>
      <c r="P250" s="22" t="str">
        <f t="shared" si="27"/>
        <v/>
      </c>
      <c r="Q250" s="22">
        <f t="shared" si="28"/>
        <v>1</v>
      </c>
      <c r="R250" s="29" t="str">
        <f t="shared" si="29"/>
        <v>No original Rhyp to compare</v>
      </c>
      <c r="S250" s="29" t="str">
        <f t="shared" si="30"/>
        <v/>
      </c>
      <c r="T250" s="22">
        <v>3.11</v>
      </c>
      <c r="U250" s="29" t="s">
        <v>4576</v>
      </c>
      <c r="V250" s="29" t="str">
        <f t="shared" si="31"/>
        <v>No geometric exceedance</v>
      </c>
      <c r="W250" s="30">
        <v>37.064999999999998</v>
      </c>
      <c r="X250" s="30">
        <v>-121.49</v>
      </c>
      <c r="Y250" s="30">
        <v>8</v>
      </c>
      <c r="Z250" s="30">
        <v>9.1153541359845338</v>
      </c>
      <c r="AA250" s="29" t="s">
        <v>2812</v>
      </c>
      <c r="AB250" s="29"/>
      <c r="AC250" s="39"/>
      <c r="AD250" s="39"/>
    </row>
    <row r="251" spans="1:30" ht="58" customHeight="1">
      <c r="A251" s="1" t="s">
        <v>1263</v>
      </c>
      <c r="B251" s="1">
        <v>8</v>
      </c>
      <c r="C251" s="1" t="s">
        <v>3611</v>
      </c>
      <c r="D251" s="29" t="s">
        <v>285</v>
      </c>
      <c r="E251" s="29" t="s">
        <v>1037</v>
      </c>
      <c r="F251" s="1" t="s">
        <v>746</v>
      </c>
      <c r="G251" s="30">
        <v>32.621000000000002</v>
      </c>
      <c r="H251" s="30">
        <v>-115.301</v>
      </c>
      <c r="I251" s="30">
        <v>32.643999999999998</v>
      </c>
      <c r="J251" s="30">
        <v>-115.307</v>
      </c>
      <c r="K251" s="30">
        <v>9.9600000000000009</v>
      </c>
      <c r="L251" s="22"/>
      <c r="M251" s="22">
        <f t="shared" si="24"/>
        <v>2.6184731220717881</v>
      </c>
      <c r="N251" s="22">
        <f t="shared" si="25"/>
        <v>10.298446557176106</v>
      </c>
      <c r="O251" s="22" t="str">
        <f t="shared" si="26"/>
        <v/>
      </c>
      <c r="P251" s="22" t="str">
        <f t="shared" si="27"/>
        <v/>
      </c>
      <c r="Q251" s="22">
        <f t="shared" si="28"/>
        <v>1</v>
      </c>
      <c r="R251" s="29" t="str">
        <f t="shared" si="29"/>
        <v>No original Rhyp to compare</v>
      </c>
      <c r="S251" s="29" t="str">
        <f t="shared" si="30"/>
        <v/>
      </c>
      <c r="T251" s="22">
        <v>0.65</v>
      </c>
      <c r="U251" s="29" t="s">
        <v>4576</v>
      </c>
      <c r="V251" s="29" t="str">
        <f t="shared" si="31"/>
        <v>No geometric exceedance</v>
      </c>
      <c r="W251" s="30">
        <v>32.643999999999998</v>
      </c>
      <c r="X251" s="30">
        <v>-115.307</v>
      </c>
      <c r="Y251" s="30">
        <v>9.9600000000000009</v>
      </c>
      <c r="Z251" s="30">
        <v>10.298446557176138</v>
      </c>
      <c r="AA251" s="29" t="s">
        <v>2812</v>
      </c>
      <c r="AB251" s="29"/>
      <c r="AC251" s="39"/>
      <c r="AD251" s="39"/>
    </row>
    <row r="252" spans="1:30" ht="58" customHeight="1">
      <c r="A252" s="1" t="s">
        <v>1263</v>
      </c>
      <c r="B252" s="1">
        <v>9</v>
      </c>
      <c r="C252" s="1" t="s">
        <v>3613</v>
      </c>
      <c r="D252" s="29" t="s">
        <v>285</v>
      </c>
      <c r="E252" s="29" t="s">
        <v>1037</v>
      </c>
      <c r="F252" s="1" t="s">
        <v>747</v>
      </c>
      <c r="G252" s="30">
        <v>32.991</v>
      </c>
      <c r="H252" s="30">
        <v>-115.51300000000001</v>
      </c>
      <c r="I252" s="30">
        <v>32.643999999999998</v>
      </c>
      <c r="J252" s="30">
        <v>-115.307</v>
      </c>
      <c r="K252" s="30">
        <v>9.9600000000000009</v>
      </c>
      <c r="L252" s="22"/>
      <c r="M252" s="22">
        <f t="shared" si="24"/>
        <v>43.120158020375484</v>
      </c>
      <c r="N252" s="22">
        <f t="shared" si="25"/>
        <v>44.255503925524927</v>
      </c>
      <c r="O252" s="22" t="str">
        <f t="shared" si="26"/>
        <v/>
      </c>
      <c r="P252" s="22" t="str">
        <f t="shared" si="27"/>
        <v/>
      </c>
      <c r="Q252" s="22">
        <f t="shared" si="28"/>
        <v>2.2127751962762465</v>
      </c>
      <c r="R252" s="29" t="str">
        <f t="shared" si="29"/>
        <v>No original Rhyp to compare</v>
      </c>
      <c r="S252" s="29" t="str">
        <f t="shared" si="30"/>
        <v/>
      </c>
      <c r="T252" s="22">
        <v>10.42</v>
      </c>
      <c r="U252" s="29" t="s">
        <v>4576</v>
      </c>
      <c r="V252" s="29" t="str">
        <f t="shared" si="31"/>
        <v>No geometric exceedance</v>
      </c>
      <c r="W252" s="30">
        <v>32.643999999999998</v>
      </c>
      <c r="X252" s="30">
        <v>-115.307</v>
      </c>
      <c r="Y252" s="30">
        <v>9.9600000000000009</v>
      </c>
      <c r="Z252" s="30">
        <v>44.255503925524685</v>
      </c>
      <c r="AA252" s="29" t="s">
        <v>2812</v>
      </c>
      <c r="AB252" s="29"/>
      <c r="AC252" s="39"/>
      <c r="AD252" s="39"/>
    </row>
    <row r="253" spans="1:30" ht="58" customHeight="1">
      <c r="A253" s="1" t="s">
        <v>1263</v>
      </c>
      <c r="B253" s="1">
        <v>10</v>
      </c>
      <c r="C253" s="1" t="s">
        <v>3615</v>
      </c>
      <c r="D253" s="29" t="s">
        <v>285</v>
      </c>
      <c r="E253" s="29" t="s">
        <v>1037</v>
      </c>
      <c r="F253" s="1" t="s">
        <v>748</v>
      </c>
      <c r="G253" s="30">
        <v>32.792999999999999</v>
      </c>
      <c r="H253" s="30">
        <v>-115.562</v>
      </c>
      <c r="I253" s="30">
        <v>32.643999999999998</v>
      </c>
      <c r="J253" s="30">
        <v>-115.307</v>
      </c>
      <c r="K253" s="30">
        <v>9.9600000000000009</v>
      </c>
      <c r="L253" s="22"/>
      <c r="M253" s="22">
        <f t="shared" si="24"/>
        <v>29.044799406907764</v>
      </c>
      <c r="N253" s="22">
        <f t="shared" si="25"/>
        <v>30.705080566373859</v>
      </c>
      <c r="O253" s="22" t="str">
        <f t="shared" si="26"/>
        <v/>
      </c>
      <c r="P253" s="22" t="str">
        <f t="shared" si="27"/>
        <v/>
      </c>
      <c r="Q253" s="22">
        <f t="shared" si="28"/>
        <v>1.5352540283186931</v>
      </c>
      <c r="R253" s="29" t="str">
        <f t="shared" si="29"/>
        <v>No original Rhyp to compare</v>
      </c>
      <c r="S253" s="29" t="str">
        <f t="shared" si="30"/>
        <v/>
      </c>
      <c r="T253" s="22">
        <v>7.31</v>
      </c>
      <c r="U253" s="29" t="s">
        <v>4576</v>
      </c>
      <c r="V253" s="29" t="str">
        <f t="shared" si="31"/>
        <v>No geometric exceedance</v>
      </c>
      <c r="W253" s="30">
        <v>32.643999999999998</v>
      </c>
      <c r="X253" s="30">
        <v>-115.307</v>
      </c>
      <c r="Y253" s="30">
        <v>9.9600000000000009</v>
      </c>
      <c r="Z253" s="30">
        <v>30.70508056637378</v>
      </c>
      <c r="AA253" s="29" t="s">
        <v>2812</v>
      </c>
      <c r="AB253" s="29"/>
      <c r="AC253" s="39"/>
      <c r="AD253" s="39"/>
    </row>
    <row r="254" spans="1:30" ht="58" customHeight="1">
      <c r="A254" s="1" t="s">
        <v>1263</v>
      </c>
      <c r="B254" s="1">
        <v>11</v>
      </c>
      <c r="C254" s="1" t="s">
        <v>3617</v>
      </c>
      <c r="D254" s="29" t="s">
        <v>285</v>
      </c>
      <c r="E254" s="29" t="s">
        <v>1037</v>
      </c>
      <c r="F254" s="1" t="s">
        <v>1038</v>
      </c>
      <c r="G254" s="30">
        <v>32.773000000000003</v>
      </c>
      <c r="H254" s="30">
        <v>-115.447</v>
      </c>
      <c r="I254" s="30">
        <v>32.643999999999998</v>
      </c>
      <c r="J254" s="30">
        <v>-115.307</v>
      </c>
      <c r="K254" s="30">
        <v>9.9600000000000009</v>
      </c>
      <c r="L254" s="22"/>
      <c r="M254" s="22">
        <f t="shared" si="24"/>
        <v>19.425054376144185</v>
      </c>
      <c r="N254" s="22">
        <f t="shared" si="25"/>
        <v>21.829666454532887</v>
      </c>
      <c r="O254" s="22" t="str">
        <f t="shared" si="26"/>
        <v/>
      </c>
      <c r="P254" s="22" t="str">
        <f t="shared" si="27"/>
        <v/>
      </c>
      <c r="Q254" s="22">
        <f t="shared" si="28"/>
        <v>1.0914833227266445</v>
      </c>
      <c r="R254" s="29" t="str">
        <f t="shared" si="29"/>
        <v>No original Rhyp to compare</v>
      </c>
      <c r="S254" s="29" t="str">
        <f t="shared" si="30"/>
        <v/>
      </c>
      <c r="T254" s="22">
        <v>7.0000000000000007E-2</v>
      </c>
      <c r="U254" s="29" t="s">
        <v>4576</v>
      </c>
      <c r="V254" s="29" t="str">
        <f t="shared" si="31"/>
        <v>No geometric exceedance</v>
      </c>
      <c r="W254" s="30">
        <v>32.643999999999998</v>
      </c>
      <c r="X254" s="30">
        <v>-115.307</v>
      </c>
      <c r="Y254" s="30">
        <v>9.9600000000000009</v>
      </c>
      <c r="Z254" s="30">
        <v>21.829666454532596</v>
      </c>
      <c r="AA254" s="29" t="s">
        <v>2812</v>
      </c>
      <c r="AB254" s="29"/>
      <c r="AC254" s="39"/>
      <c r="AD254" s="39"/>
    </row>
    <row r="255" spans="1:30" ht="58" customHeight="1">
      <c r="A255" s="1" t="s">
        <v>1263</v>
      </c>
      <c r="B255" s="1">
        <v>12</v>
      </c>
      <c r="C255" s="1" t="s">
        <v>3619</v>
      </c>
      <c r="D255" s="29" t="s">
        <v>285</v>
      </c>
      <c r="E255" s="29" t="s">
        <v>1037</v>
      </c>
      <c r="F255" s="1" t="s">
        <v>1039</v>
      </c>
      <c r="G255" s="30">
        <v>32.7806</v>
      </c>
      <c r="H255" s="30">
        <v>-115.5681</v>
      </c>
      <c r="I255" s="30">
        <v>32.643999999999998</v>
      </c>
      <c r="J255" s="30">
        <v>-115.307</v>
      </c>
      <c r="K255" s="30">
        <v>9.9600000000000009</v>
      </c>
      <c r="L255" s="22"/>
      <c r="M255" s="22">
        <f t="shared" si="24"/>
        <v>28.765416224119015</v>
      </c>
      <c r="N255" s="22">
        <f t="shared" si="25"/>
        <v>30.440939054943911</v>
      </c>
      <c r="O255" s="22" t="str">
        <f t="shared" si="26"/>
        <v/>
      </c>
      <c r="P255" s="22" t="str">
        <f t="shared" si="27"/>
        <v/>
      </c>
      <c r="Q255" s="22">
        <f t="shared" si="28"/>
        <v>1.5220469527471956</v>
      </c>
      <c r="R255" s="29" t="str">
        <f t="shared" si="29"/>
        <v>No original Rhyp to compare</v>
      </c>
      <c r="S255" s="29" t="str">
        <f t="shared" si="30"/>
        <v/>
      </c>
      <c r="T255" s="22">
        <v>8.6</v>
      </c>
      <c r="U255" s="29" t="s">
        <v>4576</v>
      </c>
      <c r="V255" s="29" t="str">
        <f t="shared" si="31"/>
        <v>No geometric exceedance</v>
      </c>
      <c r="W255" s="30">
        <v>32.643999999999998</v>
      </c>
      <c r="X255" s="30">
        <v>-115.307</v>
      </c>
      <c r="Y255" s="30">
        <v>9.9600000000000009</v>
      </c>
      <c r="Z255" s="30">
        <v>30.440939054943911</v>
      </c>
      <c r="AA255" s="29" t="s">
        <v>2812</v>
      </c>
      <c r="AB255" s="29"/>
      <c r="AC255" s="39"/>
      <c r="AD255" s="39"/>
    </row>
    <row r="256" spans="1:30" ht="58" customHeight="1">
      <c r="A256" s="1" t="s">
        <v>1263</v>
      </c>
      <c r="B256" s="1">
        <v>13</v>
      </c>
      <c r="C256" s="1" t="s">
        <v>3621</v>
      </c>
      <c r="D256" s="29" t="s">
        <v>285</v>
      </c>
      <c r="E256" s="29" t="s">
        <v>1037</v>
      </c>
      <c r="F256" s="1" t="s">
        <v>1040</v>
      </c>
      <c r="G256" s="30">
        <v>32.893999999999998</v>
      </c>
      <c r="H256" s="30">
        <v>-115.38</v>
      </c>
      <c r="I256" s="30">
        <v>32.643999999999998</v>
      </c>
      <c r="J256" s="30">
        <v>-115.307</v>
      </c>
      <c r="K256" s="30">
        <v>9.9600000000000009</v>
      </c>
      <c r="L256" s="22"/>
      <c r="M256" s="22">
        <f t="shared" si="24"/>
        <v>28.624396683128875</v>
      </c>
      <c r="N256" s="22">
        <f t="shared" si="25"/>
        <v>30.307716599458946</v>
      </c>
      <c r="O256" s="22" t="str">
        <f t="shared" si="26"/>
        <v/>
      </c>
      <c r="P256" s="22" t="str">
        <f t="shared" si="27"/>
        <v/>
      </c>
      <c r="Q256" s="22">
        <f t="shared" si="28"/>
        <v>1.5153858299729475</v>
      </c>
      <c r="R256" s="29" t="str">
        <f t="shared" si="29"/>
        <v>No original Rhyp to compare</v>
      </c>
      <c r="S256" s="29" t="str">
        <f t="shared" si="30"/>
        <v/>
      </c>
      <c r="T256" s="22">
        <v>12.85</v>
      </c>
      <c r="U256" s="29" t="s">
        <v>4576</v>
      </c>
      <c r="V256" s="29" t="str">
        <f t="shared" si="31"/>
        <v>No geometric exceedance</v>
      </c>
      <c r="W256" s="30">
        <v>32.643999999999998</v>
      </c>
      <c r="X256" s="30">
        <v>-115.307</v>
      </c>
      <c r="Y256" s="30">
        <v>9.9600000000000009</v>
      </c>
      <c r="Z256" s="30">
        <v>30.307716599458658</v>
      </c>
      <c r="AA256" s="29" t="s">
        <v>2812</v>
      </c>
      <c r="AB256" s="29"/>
      <c r="AC256" s="39"/>
      <c r="AD256" s="39"/>
    </row>
    <row r="257" spans="1:30" ht="58" customHeight="1">
      <c r="A257" s="1" t="s">
        <v>1263</v>
      </c>
      <c r="B257" s="1">
        <v>14</v>
      </c>
      <c r="C257" s="1" t="s">
        <v>3623</v>
      </c>
      <c r="D257" s="29" t="s">
        <v>285</v>
      </c>
      <c r="E257" s="29" t="s">
        <v>1037</v>
      </c>
      <c r="F257" s="1" t="s">
        <v>1041</v>
      </c>
      <c r="G257" s="30">
        <v>32.863999999999997</v>
      </c>
      <c r="H257" s="30">
        <v>-115.432</v>
      </c>
      <c r="I257" s="30">
        <v>32.643999999999998</v>
      </c>
      <c r="J257" s="30">
        <v>-115.307</v>
      </c>
      <c r="K257" s="30">
        <v>9.9600000000000009</v>
      </c>
      <c r="L257" s="22"/>
      <c r="M257" s="22">
        <f t="shared" si="24"/>
        <v>27.112248003606499</v>
      </c>
      <c r="N257" s="22">
        <f t="shared" si="25"/>
        <v>28.883829244216646</v>
      </c>
      <c r="O257" s="22" t="str">
        <f t="shared" si="26"/>
        <v/>
      </c>
      <c r="P257" s="22" t="str">
        <f t="shared" si="27"/>
        <v/>
      </c>
      <c r="Q257" s="22">
        <f t="shared" si="28"/>
        <v>1.4441914622108323</v>
      </c>
      <c r="R257" s="29" t="str">
        <f t="shared" si="29"/>
        <v>No original Rhyp to compare</v>
      </c>
      <c r="S257" s="29" t="str">
        <f t="shared" si="30"/>
        <v/>
      </c>
      <c r="T257" s="22">
        <v>7.05</v>
      </c>
      <c r="U257" s="29" t="s">
        <v>4576</v>
      </c>
      <c r="V257" s="29" t="str">
        <f t="shared" si="31"/>
        <v>No geometric exceedance</v>
      </c>
      <c r="W257" s="30">
        <v>32.643999999999998</v>
      </c>
      <c r="X257" s="30">
        <v>-115.307</v>
      </c>
      <c r="Y257" s="30">
        <v>9.9600000000000009</v>
      </c>
      <c r="Z257" s="30">
        <v>28.88382924421666</v>
      </c>
      <c r="AA257" s="29" t="s">
        <v>2812</v>
      </c>
      <c r="AB257" s="29"/>
      <c r="AC257" s="39"/>
      <c r="AD257" s="39"/>
    </row>
    <row r="258" spans="1:30" ht="58" customHeight="1">
      <c r="A258" s="1" t="s">
        <v>1263</v>
      </c>
      <c r="B258" s="1">
        <v>15</v>
      </c>
      <c r="C258" s="1" t="s">
        <v>3625</v>
      </c>
      <c r="D258" s="29" t="s">
        <v>285</v>
      </c>
      <c r="E258" s="29" t="s">
        <v>1037</v>
      </c>
      <c r="F258" s="1" t="s">
        <v>1042</v>
      </c>
      <c r="G258" s="30">
        <v>32.854999999999997</v>
      </c>
      <c r="H258" s="30">
        <v>-115.46599999999999</v>
      </c>
      <c r="I258" s="30">
        <v>32.643999999999998</v>
      </c>
      <c r="J258" s="30">
        <v>-115.307</v>
      </c>
      <c r="K258" s="30">
        <v>9.9600000000000009</v>
      </c>
      <c r="L258" s="22"/>
      <c r="M258" s="22">
        <f t="shared" ref="M258:M321" si="32">IF(OR(G258="",H258="",I258="",J258="",K258=""),"",12742*ASIN(SQRT(MIN(1,SIN(RADIANS(I258-G258)/2)^2+COS(RADIANS(I258))*COS(RADIANS(G258))*SIN(RADIANS(J258-H258)/2)^2))))</f>
        <v>27.777281007840561</v>
      </c>
      <c r="N258" s="22">
        <f t="shared" ref="N258:N321" si="33">IF(M258="","",SQRT(M258^2+K258^2))</f>
        <v>29.508963726104309</v>
      </c>
      <c r="O258" s="22" t="str">
        <f t="shared" ref="O258:O321" si="34">IF(OR(L258="",N258=""),"",L258-N258)</f>
        <v/>
      </c>
      <c r="P258" s="22" t="str">
        <f t="shared" ref="P258:P321" si="35">IF(OR(L258="",N258="",N258=0),"",100*O258/N258)</f>
        <v/>
      </c>
      <c r="Q258" s="22">
        <f t="shared" ref="Q258:Q321" si="36">IF(N258="","",MAX(1,0.05*N258))</f>
        <v>1.4754481863052156</v>
      </c>
      <c r="R258" s="29" t="str">
        <f t="shared" ref="R258:R321" si="37">IF(N258="","Missing station coordinates",IF(L258="","No original Rhyp to compare",IF(ABS(O258)&gt;Q258,"Review: Rhyp mismatch","Within screening tolerance")))</f>
        <v>No original Rhyp to compare</v>
      </c>
      <c r="S258" s="29" t="str">
        <f t="shared" ref="S258:S321" si="38">IF(L258="","",IF(L258&lt;K258-1,"Rhyp below depth by &gt;1 km",IF(L258&lt;K258,"Rhyp below depth by &lt;=1 km","")))</f>
        <v/>
      </c>
      <c r="T258" s="22">
        <v>3.95</v>
      </c>
      <c r="U258" s="29" t="s">
        <v>4576</v>
      </c>
      <c r="V258" s="29" t="str">
        <f t="shared" ref="V258:V321" si="39">IF(T258="","Missing Rrup/closest distance",IF(N258="","Cannot check without coordinates",IF(T258&gt;N258+1,"Review: distance &gt; recalculated Rhyp +1 km","No geometric exceedance")))</f>
        <v>No geometric exceedance</v>
      </c>
      <c r="W258" s="30">
        <v>32.643999999999998</v>
      </c>
      <c r="X258" s="30">
        <v>-115.307</v>
      </c>
      <c r="Y258" s="30">
        <v>9.9600000000000009</v>
      </c>
      <c r="Z258" s="30">
        <v>29.508963726104177</v>
      </c>
      <c r="AA258" s="29" t="s">
        <v>2812</v>
      </c>
      <c r="AB258" s="29"/>
      <c r="AC258" s="39"/>
      <c r="AD258" s="39"/>
    </row>
    <row r="259" spans="1:30" ht="58" customHeight="1">
      <c r="A259" s="1" t="s">
        <v>1263</v>
      </c>
      <c r="B259" s="1">
        <v>16</v>
      </c>
      <c r="C259" s="1" t="s">
        <v>3627</v>
      </c>
      <c r="D259" s="29" t="s">
        <v>285</v>
      </c>
      <c r="E259" s="29" t="s">
        <v>1037</v>
      </c>
      <c r="F259" s="1" t="s">
        <v>1043</v>
      </c>
      <c r="G259" s="30">
        <v>32.838999999999999</v>
      </c>
      <c r="H259" s="30">
        <v>-115.48699999999999</v>
      </c>
      <c r="I259" s="30">
        <v>32.643999999999998</v>
      </c>
      <c r="J259" s="30">
        <v>-115.307</v>
      </c>
      <c r="K259" s="30">
        <v>9.9600000000000009</v>
      </c>
      <c r="L259" s="22"/>
      <c r="M259" s="22">
        <f t="shared" si="32"/>
        <v>27.451266292448938</v>
      </c>
      <c r="N259" s="22">
        <f t="shared" si="33"/>
        <v>29.202287942196296</v>
      </c>
      <c r="O259" s="22" t="str">
        <f t="shared" si="34"/>
        <v/>
      </c>
      <c r="P259" s="22" t="str">
        <f t="shared" si="35"/>
        <v/>
      </c>
      <c r="Q259" s="22">
        <f t="shared" si="36"/>
        <v>1.4601143971098149</v>
      </c>
      <c r="R259" s="29" t="str">
        <f t="shared" si="37"/>
        <v>No original Rhyp to compare</v>
      </c>
      <c r="S259" s="29" t="str">
        <f t="shared" si="38"/>
        <v/>
      </c>
      <c r="T259" s="22">
        <v>1.35</v>
      </c>
      <c r="U259" s="29" t="s">
        <v>4576</v>
      </c>
      <c r="V259" s="29" t="str">
        <f t="shared" si="39"/>
        <v>No geometric exceedance</v>
      </c>
      <c r="W259" s="30">
        <v>32.643999999999998</v>
      </c>
      <c r="X259" s="30">
        <v>-115.307</v>
      </c>
      <c r="Y259" s="30">
        <v>9.9600000000000009</v>
      </c>
      <c r="Z259" s="30">
        <v>29.202287942196321</v>
      </c>
      <c r="AA259" s="29" t="s">
        <v>2812</v>
      </c>
      <c r="AB259" s="29"/>
      <c r="AC259" s="39"/>
      <c r="AD259" s="39"/>
    </row>
    <row r="260" spans="1:30" ht="58" customHeight="1">
      <c r="A260" s="1" t="s">
        <v>1263</v>
      </c>
      <c r="B260" s="1">
        <v>17</v>
      </c>
      <c r="C260" s="1" t="s">
        <v>3629</v>
      </c>
      <c r="D260" s="29" t="s">
        <v>285</v>
      </c>
      <c r="E260" s="29" t="s">
        <v>1037</v>
      </c>
      <c r="F260" s="1" t="s">
        <v>1044</v>
      </c>
      <c r="G260" s="30">
        <v>32.829000000000001</v>
      </c>
      <c r="H260" s="30">
        <v>-115.504</v>
      </c>
      <c r="I260" s="30">
        <v>32.643999999999998</v>
      </c>
      <c r="J260" s="30">
        <v>-115.307</v>
      </c>
      <c r="K260" s="30">
        <v>9.9600000000000009</v>
      </c>
      <c r="L260" s="22"/>
      <c r="M260" s="22">
        <f t="shared" si="32"/>
        <v>27.616816115525431</v>
      </c>
      <c r="N260" s="22">
        <f t="shared" si="33"/>
        <v>29.357965398827371</v>
      </c>
      <c r="O260" s="22" t="str">
        <f t="shared" si="34"/>
        <v/>
      </c>
      <c r="P260" s="22" t="str">
        <f t="shared" si="35"/>
        <v/>
      </c>
      <c r="Q260" s="22">
        <f t="shared" si="36"/>
        <v>1.4678982699413687</v>
      </c>
      <c r="R260" s="29" t="str">
        <f t="shared" si="37"/>
        <v>No original Rhyp to compare</v>
      </c>
      <c r="S260" s="29" t="str">
        <f t="shared" si="38"/>
        <v/>
      </c>
      <c r="T260" s="22">
        <v>0.56000000000000005</v>
      </c>
      <c r="U260" s="29" t="s">
        <v>4576</v>
      </c>
      <c r="V260" s="29" t="str">
        <f t="shared" si="39"/>
        <v>No geometric exceedance</v>
      </c>
      <c r="W260" s="30">
        <v>32.643999999999998</v>
      </c>
      <c r="X260" s="30">
        <v>-115.307</v>
      </c>
      <c r="Y260" s="30">
        <v>9.9600000000000009</v>
      </c>
      <c r="Z260" s="30">
        <v>29.35796539882729</v>
      </c>
      <c r="AA260" s="29" t="s">
        <v>2812</v>
      </c>
      <c r="AB260" s="29"/>
      <c r="AC260" s="39"/>
      <c r="AD260" s="39"/>
    </row>
    <row r="261" spans="1:30" ht="58" customHeight="1">
      <c r="A261" s="1" t="s">
        <v>1263</v>
      </c>
      <c r="B261" s="1">
        <v>18</v>
      </c>
      <c r="C261" s="1" t="s">
        <v>3631</v>
      </c>
      <c r="D261" s="29" t="s">
        <v>285</v>
      </c>
      <c r="E261" s="29" t="s">
        <v>1037</v>
      </c>
      <c r="F261" s="1" t="s">
        <v>756</v>
      </c>
      <c r="G261" s="30">
        <v>32.795999999999999</v>
      </c>
      <c r="H261" s="30">
        <v>-115.535</v>
      </c>
      <c r="I261" s="30">
        <v>32.643999999999998</v>
      </c>
      <c r="J261" s="30">
        <v>-115.307</v>
      </c>
      <c r="K261" s="30">
        <v>9.9600000000000009</v>
      </c>
      <c r="L261" s="22"/>
      <c r="M261" s="22">
        <f t="shared" si="32"/>
        <v>27.214241340553567</v>
      </c>
      <c r="N261" s="22">
        <f t="shared" si="33"/>
        <v>28.979588191378681</v>
      </c>
      <c r="O261" s="22" t="str">
        <f t="shared" si="34"/>
        <v/>
      </c>
      <c r="P261" s="22" t="str">
        <f t="shared" si="35"/>
        <v/>
      </c>
      <c r="Q261" s="22">
        <f t="shared" si="36"/>
        <v>1.4489794095689341</v>
      </c>
      <c r="R261" s="29" t="str">
        <f t="shared" si="37"/>
        <v>No original Rhyp to compare</v>
      </c>
      <c r="S261" s="29" t="str">
        <f t="shared" si="38"/>
        <v/>
      </c>
      <c r="T261" s="22">
        <v>5.09</v>
      </c>
      <c r="U261" s="29" t="s">
        <v>4576</v>
      </c>
      <c r="V261" s="29" t="str">
        <f t="shared" si="39"/>
        <v>No geometric exceedance</v>
      </c>
      <c r="W261" s="30">
        <v>32.643999999999998</v>
      </c>
      <c r="X261" s="30">
        <v>-115.307</v>
      </c>
      <c r="Y261" s="30">
        <v>9.9600000000000009</v>
      </c>
      <c r="Z261" s="30">
        <v>28.979588191378497</v>
      </c>
      <c r="AA261" s="29" t="s">
        <v>2812</v>
      </c>
      <c r="AB261" s="29"/>
      <c r="AC261" s="39"/>
      <c r="AD261" s="39"/>
    </row>
    <row r="262" spans="1:30" ht="58" customHeight="1">
      <c r="A262" s="1" t="s">
        <v>1263</v>
      </c>
      <c r="B262" s="1">
        <v>19</v>
      </c>
      <c r="C262" s="1" t="s">
        <v>3633</v>
      </c>
      <c r="D262" s="29" t="s">
        <v>285</v>
      </c>
      <c r="E262" s="29" t="s">
        <v>1037</v>
      </c>
      <c r="F262" s="1" t="s">
        <v>757</v>
      </c>
      <c r="G262" s="30">
        <v>32.811399999999999</v>
      </c>
      <c r="H262" s="30">
        <v>-115.37860000000001</v>
      </c>
      <c r="I262" s="30">
        <v>32.643999999999998</v>
      </c>
      <c r="J262" s="30">
        <v>-115.307</v>
      </c>
      <c r="K262" s="30">
        <v>9.9600000000000009</v>
      </c>
      <c r="L262" s="22"/>
      <c r="M262" s="22">
        <f t="shared" si="32"/>
        <v>19.78233195548772</v>
      </c>
      <c r="N262" s="22">
        <f t="shared" si="33"/>
        <v>22.148188585008722</v>
      </c>
      <c r="O262" s="22" t="str">
        <f t="shared" si="34"/>
        <v/>
      </c>
      <c r="P262" s="22" t="str">
        <f t="shared" si="35"/>
        <v/>
      </c>
      <c r="Q262" s="22">
        <f t="shared" si="36"/>
        <v>1.1074094292504362</v>
      </c>
      <c r="R262" s="29" t="str">
        <f t="shared" si="37"/>
        <v>No original Rhyp to compare</v>
      </c>
      <c r="S262" s="29" t="str">
        <f t="shared" si="38"/>
        <v/>
      </c>
      <c r="T262" s="22">
        <v>7.5</v>
      </c>
      <c r="U262" s="29" t="s">
        <v>4576</v>
      </c>
      <c r="V262" s="29" t="str">
        <f t="shared" si="39"/>
        <v>No geometric exceedance</v>
      </c>
      <c r="W262" s="30">
        <v>32.643999999999998</v>
      </c>
      <c r="X262" s="30">
        <v>-115.307</v>
      </c>
      <c r="Y262" s="30">
        <v>9.9600000000000009</v>
      </c>
      <c r="Z262" s="30">
        <v>22.148188585008782</v>
      </c>
      <c r="AA262" s="29" t="s">
        <v>2812</v>
      </c>
      <c r="AB262" s="29"/>
      <c r="AC262" s="39"/>
      <c r="AD262" s="39"/>
    </row>
    <row r="263" spans="1:30" ht="58" customHeight="1">
      <c r="A263" s="1" t="s">
        <v>1263</v>
      </c>
      <c r="B263" s="1">
        <v>20</v>
      </c>
      <c r="C263" s="1" t="s">
        <v>3635</v>
      </c>
      <c r="D263" s="29" t="s">
        <v>298</v>
      </c>
      <c r="E263" s="29" t="s">
        <v>1045</v>
      </c>
      <c r="F263" s="1" t="s">
        <v>738</v>
      </c>
      <c r="G263" s="30">
        <v>42.094999999999999</v>
      </c>
      <c r="H263" s="30">
        <v>19.100999999999999</v>
      </c>
      <c r="I263" s="30">
        <v>42.04</v>
      </c>
      <c r="J263" s="30">
        <v>19.21</v>
      </c>
      <c r="K263" s="30">
        <v>7</v>
      </c>
      <c r="L263" s="22"/>
      <c r="M263" s="22">
        <f t="shared" si="32"/>
        <v>10.879232699045213</v>
      </c>
      <c r="N263" s="22">
        <f t="shared" si="33"/>
        <v>12.936680568058199</v>
      </c>
      <c r="O263" s="22" t="str">
        <f t="shared" si="34"/>
        <v/>
      </c>
      <c r="P263" s="22" t="str">
        <f t="shared" si="35"/>
        <v/>
      </c>
      <c r="Q263" s="22">
        <f t="shared" si="36"/>
        <v>1</v>
      </c>
      <c r="R263" s="29" t="str">
        <f t="shared" si="37"/>
        <v>No original Rhyp to compare</v>
      </c>
      <c r="S263" s="29" t="str">
        <f t="shared" si="38"/>
        <v/>
      </c>
      <c r="T263" s="22">
        <v>6.98</v>
      </c>
      <c r="U263" s="29" t="s">
        <v>4576</v>
      </c>
      <c r="V263" s="29" t="str">
        <f t="shared" si="39"/>
        <v>No geometric exceedance</v>
      </c>
      <c r="W263" s="30">
        <v>42.04</v>
      </c>
      <c r="X263" s="30">
        <v>19.21</v>
      </c>
      <c r="Y263" s="30">
        <v>7</v>
      </c>
      <c r="Z263" s="30">
        <v>12.936680568058367</v>
      </c>
      <c r="AA263" s="29" t="s">
        <v>2812</v>
      </c>
      <c r="AB263" s="29"/>
      <c r="AC263" s="39"/>
      <c r="AD263" s="39"/>
    </row>
    <row r="264" spans="1:30" ht="58" customHeight="1">
      <c r="A264" s="1" t="s">
        <v>1263</v>
      </c>
      <c r="B264" s="1">
        <v>21</v>
      </c>
      <c r="C264" s="1" t="s">
        <v>3637</v>
      </c>
      <c r="D264" s="29" t="s">
        <v>298</v>
      </c>
      <c r="E264" s="29" t="s">
        <v>1045</v>
      </c>
      <c r="F264" s="1" t="s">
        <v>739</v>
      </c>
      <c r="G264" s="30">
        <v>41.911000000000001</v>
      </c>
      <c r="H264" s="30">
        <v>19.248999999999999</v>
      </c>
      <c r="I264" s="30">
        <v>42.04</v>
      </c>
      <c r="J264" s="30">
        <v>19.21</v>
      </c>
      <c r="K264" s="30">
        <v>7</v>
      </c>
      <c r="L264" s="22"/>
      <c r="M264" s="22">
        <f t="shared" si="32"/>
        <v>14.701987604380474</v>
      </c>
      <c r="N264" s="22">
        <f t="shared" si="33"/>
        <v>16.28337924140309</v>
      </c>
      <c r="O264" s="22" t="str">
        <f t="shared" si="34"/>
        <v/>
      </c>
      <c r="P264" s="22" t="str">
        <f t="shared" si="35"/>
        <v/>
      </c>
      <c r="Q264" s="22">
        <f t="shared" si="36"/>
        <v>1</v>
      </c>
      <c r="R264" s="29" t="str">
        <f t="shared" si="37"/>
        <v>No original Rhyp to compare</v>
      </c>
      <c r="S264" s="29" t="str">
        <f t="shared" si="38"/>
        <v/>
      </c>
      <c r="T264" s="22">
        <v>5.76</v>
      </c>
      <c r="U264" s="29" t="s">
        <v>4576</v>
      </c>
      <c r="V264" s="29" t="str">
        <f t="shared" si="39"/>
        <v>No geometric exceedance</v>
      </c>
      <c r="W264" s="30">
        <v>42.04</v>
      </c>
      <c r="X264" s="30">
        <v>19.21</v>
      </c>
      <c r="Y264" s="30">
        <v>7</v>
      </c>
      <c r="Z264" s="30">
        <v>16.283379241402773</v>
      </c>
      <c r="AA264" s="29" t="s">
        <v>2812</v>
      </c>
      <c r="AB264" s="29"/>
      <c r="AC264" s="39"/>
      <c r="AD264" s="39"/>
    </row>
    <row r="265" spans="1:30" ht="58" customHeight="1">
      <c r="A265" s="1" t="s">
        <v>1263</v>
      </c>
      <c r="B265" s="1">
        <v>22</v>
      </c>
      <c r="C265" s="1" t="s">
        <v>3639</v>
      </c>
      <c r="D265" s="29" t="s">
        <v>305</v>
      </c>
      <c r="E265" s="29" t="s">
        <v>1046</v>
      </c>
      <c r="F265" s="1" t="s">
        <v>759</v>
      </c>
      <c r="G265" s="30">
        <v>40.820999999999998</v>
      </c>
      <c r="H265" s="30">
        <v>15.069000000000001</v>
      </c>
      <c r="I265" s="30">
        <v>40.805900000000001</v>
      </c>
      <c r="J265" s="30">
        <v>15.337199999999999</v>
      </c>
      <c r="K265" s="30">
        <v>9.5</v>
      </c>
      <c r="L265" s="22"/>
      <c r="M265" s="22">
        <f t="shared" si="32"/>
        <v>22.633251018913853</v>
      </c>
      <c r="N265" s="22">
        <f t="shared" si="33"/>
        <v>24.546161648721476</v>
      </c>
      <c r="O265" s="22" t="str">
        <f t="shared" si="34"/>
        <v/>
      </c>
      <c r="P265" s="22" t="str">
        <f t="shared" si="35"/>
        <v/>
      </c>
      <c r="Q265" s="22">
        <f t="shared" si="36"/>
        <v>1.2273080824360738</v>
      </c>
      <c r="R265" s="29" t="str">
        <f t="shared" si="37"/>
        <v>No original Rhyp to compare</v>
      </c>
      <c r="S265" s="29" t="str">
        <f t="shared" si="38"/>
        <v/>
      </c>
      <c r="T265" s="22">
        <v>8.18</v>
      </c>
      <c r="U265" s="29" t="s">
        <v>4576</v>
      </c>
      <c r="V265" s="29" t="str">
        <f t="shared" si="39"/>
        <v>No geometric exceedance</v>
      </c>
      <c r="W265" s="30">
        <v>40.805900000000001</v>
      </c>
      <c r="X265" s="30">
        <v>15.337199999999999</v>
      </c>
      <c r="Y265" s="30">
        <v>9.5</v>
      </c>
      <c r="Z265" s="30">
        <v>24.546161648721451</v>
      </c>
      <c r="AA265" s="29" t="s">
        <v>2812</v>
      </c>
      <c r="AB265" s="29"/>
      <c r="AC265" s="39"/>
      <c r="AD265" s="39"/>
    </row>
    <row r="266" spans="1:30" ht="58" customHeight="1">
      <c r="A266" s="1" t="s">
        <v>1263</v>
      </c>
      <c r="B266" s="1">
        <v>23</v>
      </c>
      <c r="C266" s="1" t="s">
        <v>3641</v>
      </c>
      <c r="D266" s="29" t="s">
        <v>305</v>
      </c>
      <c r="E266" s="29" t="s">
        <v>1046</v>
      </c>
      <c r="F266" s="1" t="s">
        <v>761</v>
      </c>
      <c r="G266" s="30">
        <v>41.0184</v>
      </c>
      <c r="H266" s="30">
        <v>15.111700000000001</v>
      </c>
      <c r="I266" s="30">
        <v>40.805900000000001</v>
      </c>
      <c r="J266" s="30">
        <v>15.337199999999999</v>
      </c>
      <c r="K266" s="30">
        <v>9.5</v>
      </c>
      <c r="L266" s="22"/>
      <c r="M266" s="22">
        <f t="shared" si="32"/>
        <v>30.288513380639429</v>
      </c>
      <c r="N266" s="22">
        <f t="shared" si="33"/>
        <v>31.74340943895557</v>
      </c>
      <c r="O266" s="22" t="str">
        <f t="shared" si="34"/>
        <v/>
      </c>
      <c r="P266" s="22" t="str">
        <f t="shared" si="35"/>
        <v/>
      </c>
      <c r="Q266" s="22">
        <f t="shared" si="36"/>
        <v>1.5871704719477786</v>
      </c>
      <c r="R266" s="29" t="str">
        <f t="shared" si="37"/>
        <v>No original Rhyp to compare</v>
      </c>
      <c r="S266" s="29" t="str">
        <f t="shared" si="38"/>
        <v/>
      </c>
      <c r="T266" s="22">
        <v>10.84</v>
      </c>
      <c r="U266" s="29" t="s">
        <v>4576</v>
      </c>
      <c r="V266" s="29" t="str">
        <f t="shared" si="39"/>
        <v>No geometric exceedance</v>
      </c>
      <c r="W266" s="30">
        <v>40.805900000000001</v>
      </c>
      <c r="X266" s="30">
        <v>15.337199999999999</v>
      </c>
      <c r="Y266" s="30">
        <v>9.5</v>
      </c>
      <c r="Z266" s="30">
        <v>31.743409438955648</v>
      </c>
      <c r="AA266" s="29" t="s">
        <v>2812</v>
      </c>
      <c r="AB266" s="29"/>
      <c r="AC266" s="39"/>
      <c r="AD266" s="39"/>
    </row>
    <row r="267" spans="1:30" ht="58" customHeight="1">
      <c r="A267" s="1" t="s">
        <v>1263</v>
      </c>
      <c r="B267" s="1">
        <v>24</v>
      </c>
      <c r="C267" s="1" t="s">
        <v>3643</v>
      </c>
      <c r="D267" s="29" t="s">
        <v>318</v>
      </c>
      <c r="E267" s="29" t="s">
        <v>1048</v>
      </c>
      <c r="F267" s="1" t="s">
        <v>764</v>
      </c>
      <c r="G267" s="30">
        <v>32.929000000000002</v>
      </c>
      <c r="H267" s="30">
        <v>-115.70099999999999</v>
      </c>
      <c r="I267" s="30">
        <v>33.1</v>
      </c>
      <c r="J267" s="30">
        <v>-115.62</v>
      </c>
      <c r="K267" s="30">
        <v>2.2999999999999998</v>
      </c>
      <c r="L267" s="22"/>
      <c r="M267" s="22">
        <f t="shared" si="32"/>
        <v>20.459345129791991</v>
      </c>
      <c r="N267" s="22">
        <f t="shared" si="33"/>
        <v>20.5882200090232</v>
      </c>
      <c r="O267" s="22" t="str">
        <f t="shared" si="34"/>
        <v/>
      </c>
      <c r="P267" s="22" t="str">
        <f t="shared" si="35"/>
        <v/>
      </c>
      <c r="Q267" s="22">
        <f t="shared" si="36"/>
        <v>1.0294110004511601</v>
      </c>
      <c r="R267" s="29" t="str">
        <f t="shared" si="37"/>
        <v>No original Rhyp to compare</v>
      </c>
      <c r="S267" s="29" t="str">
        <f t="shared" si="38"/>
        <v/>
      </c>
      <c r="T267" s="22">
        <v>16.66</v>
      </c>
      <c r="U267" s="29" t="s">
        <v>4576</v>
      </c>
      <c r="V267" s="29" t="str">
        <f t="shared" si="39"/>
        <v>No geometric exceedance</v>
      </c>
      <c r="W267" s="30">
        <v>33.1</v>
      </c>
      <c r="X267" s="30">
        <v>-115.62</v>
      </c>
      <c r="Y267" s="30">
        <v>2.2999999999999998</v>
      </c>
      <c r="Z267" s="30">
        <v>20.58822000902321</v>
      </c>
      <c r="AA267" s="29" t="s">
        <v>2812</v>
      </c>
      <c r="AB267" s="29"/>
      <c r="AC267" s="39"/>
      <c r="AD267" s="39"/>
    </row>
    <row r="268" spans="1:30" ht="58" customHeight="1">
      <c r="A268" s="1" t="s">
        <v>1263</v>
      </c>
      <c r="B268" s="1">
        <v>25</v>
      </c>
      <c r="C268" s="1" t="s">
        <v>3645</v>
      </c>
      <c r="D268" s="29" t="s">
        <v>345</v>
      </c>
      <c r="E268" s="29" t="s">
        <v>1049</v>
      </c>
      <c r="F268" s="1" t="s">
        <v>1050</v>
      </c>
      <c r="G268" s="30">
        <v>37.118000000000002</v>
      </c>
      <c r="H268" s="30">
        <v>-121.55</v>
      </c>
      <c r="I268" s="30">
        <v>37.305999999999997</v>
      </c>
      <c r="J268" s="30">
        <v>-121.69499999999999</v>
      </c>
      <c r="K268" s="30">
        <v>8.5</v>
      </c>
      <c r="L268" s="22"/>
      <c r="M268" s="22">
        <f t="shared" si="32"/>
        <v>24.533351431265121</v>
      </c>
      <c r="N268" s="22">
        <f t="shared" si="33"/>
        <v>25.964116246272631</v>
      </c>
      <c r="O268" s="22" t="str">
        <f t="shared" si="34"/>
        <v/>
      </c>
      <c r="P268" s="22" t="str">
        <f t="shared" si="35"/>
        <v/>
      </c>
      <c r="Q268" s="22">
        <f t="shared" si="36"/>
        <v>1.2982058123136317</v>
      </c>
      <c r="R268" s="29" t="str">
        <f t="shared" si="37"/>
        <v>No original Rhyp to compare</v>
      </c>
      <c r="S268" s="29" t="str">
        <f t="shared" si="38"/>
        <v/>
      </c>
      <c r="T268" s="22">
        <v>0.53</v>
      </c>
      <c r="U268" s="29" t="s">
        <v>4576</v>
      </c>
      <c r="V268" s="29" t="str">
        <f t="shared" si="39"/>
        <v>No geometric exceedance</v>
      </c>
      <c r="W268" s="30">
        <v>37.305999999999997</v>
      </c>
      <c r="X268" s="30">
        <v>-121.69499999999999</v>
      </c>
      <c r="Y268" s="30">
        <v>8.5</v>
      </c>
      <c r="Z268" s="30">
        <v>25.964116246272461</v>
      </c>
      <c r="AA268" s="29" t="s">
        <v>2812</v>
      </c>
      <c r="AB268" s="29"/>
      <c r="AC268" s="39"/>
      <c r="AD268" s="39"/>
    </row>
    <row r="269" spans="1:30" ht="58" customHeight="1">
      <c r="A269" s="1" t="s">
        <v>1263</v>
      </c>
      <c r="B269" s="1">
        <v>26</v>
      </c>
      <c r="C269" s="1" t="s">
        <v>3647</v>
      </c>
      <c r="D269" s="29" t="s">
        <v>345</v>
      </c>
      <c r="E269" s="29" t="s">
        <v>1049</v>
      </c>
      <c r="F269" s="1" t="s">
        <v>1036</v>
      </c>
      <c r="G269" s="30">
        <v>37.026000000000003</v>
      </c>
      <c r="H269" s="30">
        <v>-121.48399999999999</v>
      </c>
      <c r="I269" s="30">
        <v>37.305999999999997</v>
      </c>
      <c r="J269" s="30">
        <v>-121.69499999999999</v>
      </c>
      <c r="K269" s="30">
        <v>8.5</v>
      </c>
      <c r="L269" s="22"/>
      <c r="M269" s="22">
        <f t="shared" si="32"/>
        <v>36.31703019348447</v>
      </c>
      <c r="N269" s="22">
        <f t="shared" si="33"/>
        <v>37.298480962023945</v>
      </c>
      <c r="O269" s="22" t="str">
        <f t="shared" si="34"/>
        <v/>
      </c>
      <c r="P269" s="22" t="str">
        <f t="shared" si="35"/>
        <v/>
      </c>
      <c r="Q269" s="22">
        <f t="shared" si="36"/>
        <v>1.8649240481011973</v>
      </c>
      <c r="R269" s="29" t="str">
        <f t="shared" si="37"/>
        <v>No original Rhyp to compare</v>
      </c>
      <c r="S269" s="29" t="str">
        <f t="shared" si="38"/>
        <v/>
      </c>
      <c r="T269" s="22">
        <v>9.8699999999999992</v>
      </c>
      <c r="U269" s="29" t="s">
        <v>4576</v>
      </c>
      <c r="V269" s="29" t="str">
        <f t="shared" si="39"/>
        <v>No geometric exceedance</v>
      </c>
      <c r="W269" s="30">
        <v>37.305999999999997</v>
      </c>
      <c r="X269" s="30">
        <v>-121.69499999999999</v>
      </c>
      <c r="Y269" s="30">
        <v>8.5</v>
      </c>
      <c r="Z269" s="30">
        <v>37.298480962024072</v>
      </c>
      <c r="AA269" s="29" t="s">
        <v>2812</v>
      </c>
      <c r="AB269" s="29"/>
      <c r="AC269" s="39"/>
      <c r="AD269" s="39"/>
    </row>
    <row r="270" spans="1:30" ht="58" customHeight="1">
      <c r="A270" s="1" t="s">
        <v>1263</v>
      </c>
      <c r="B270" s="1">
        <v>27</v>
      </c>
      <c r="C270" s="1" t="s">
        <v>3650</v>
      </c>
      <c r="D270" s="29" t="s">
        <v>352</v>
      </c>
      <c r="E270" s="29" t="s">
        <v>1051</v>
      </c>
      <c r="F270" s="1" t="s">
        <v>773</v>
      </c>
      <c r="G270" s="30">
        <v>37.03</v>
      </c>
      <c r="H270" s="30">
        <v>22.12</v>
      </c>
      <c r="I270" s="30">
        <v>37.1</v>
      </c>
      <c r="J270" s="30">
        <v>22.19</v>
      </c>
      <c r="K270" s="30">
        <v>5</v>
      </c>
      <c r="L270" s="22"/>
      <c r="M270" s="22">
        <f t="shared" si="32"/>
        <v>9.9579791096119941</v>
      </c>
      <c r="N270" s="22">
        <f t="shared" si="33"/>
        <v>11.142771107200797</v>
      </c>
      <c r="O270" s="22" t="str">
        <f t="shared" si="34"/>
        <v/>
      </c>
      <c r="P270" s="22" t="str">
        <f t="shared" si="35"/>
        <v/>
      </c>
      <c r="Q270" s="22">
        <f t="shared" si="36"/>
        <v>1</v>
      </c>
      <c r="R270" s="29" t="str">
        <f t="shared" si="37"/>
        <v>No original Rhyp to compare</v>
      </c>
      <c r="S270" s="29" t="str">
        <f t="shared" si="38"/>
        <v/>
      </c>
      <c r="T270" s="22">
        <v>5.6</v>
      </c>
      <c r="U270" s="29" t="s">
        <v>4576</v>
      </c>
      <c r="V270" s="29" t="str">
        <f t="shared" si="39"/>
        <v>No geometric exceedance</v>
      </c>
      <c r="W270" s="30">
        <v>37.1</v>
      </c>
      <c r="X270" s="30">
        <v>22.19</v>
      </c>
      <c r="Y270" s="30">
        <v>5</v>
      </c>
      <c r="Z270" s="30">
        <v>11.142771107200931</v>
      </c>
      <c r="AA270" s="29" t="s">
        <v>2812</v>
      </c>
      <c r="AB270" s="29"/>
      <c r="AC270" s="39"/>
      <c r="AD270" s="39"/>
    </row>
    <row r="271" spans="1:30" ht="58" customHeight="1">
      <c r="A271" s="1" t="s">
        <v>1263</v>
      </c>
      <c r="B271" s="1">
        <v>28</v>
      </c>
      <c r="C271" s="1" t="s">
        <v>3653</v>
      </c>
      <c r="D271" s="29" t="s">
        <v>366</v>
      </c>
      <c r="E271" s="29" t="s">
        <v>1052</v>
      </c>
      <c r="F271" s="1" t="s">
        <v>805</v>
      </c>
      <c r="G271" s="30">
        <v>13.7</v>
      </c>
      <c r="H271" s="30">
        <v>-89.174999999999997</v>
      </c>
      <c r="I271" s="30">
        <v>13.632999999999999</v>
      </c>
      <c r="J271" s="30">
        <v>-89.2</v>
      </c>
      <c r="K271" s="30">
        <v>10.9</v>
      </c>
      <c r="L271" s="22"/>
      <c r="M271" s="22">
        <f t="shared" si="32"/>
        <v>7.9246262898910089</v>
      </c>
      <c r="N271" s="22">
        <f t="shared" si="33"/>
        <v>13.476264387226593</v>
      </c>
      <c r="O271" s="22" t="str">
        <f t="shared" si="34"/>
        <v/>
      </c>
      <c r="P271" s="22" t="str">
        <f t="shared" si="35"/>
        <v/>
      </c>
      <c r="Q271" s="22">
        <f t="shared" si="36"/>
        <v>1</v>
      </c>
      <c r="R271" s="29" t="str">
        <f t="shared" si="37"/>
        <v>No original Rhyp to compare</v>
      </c>
      <c r="S271" s="29" t="str">
        <f t="shared" si="38"/>
        <v/>
      </c>
      <c r="T271" s="22">
        <v>6.3</v>
      </c>
      <c r="U271" s="29" t="s">
        <v>4576</v>
      </c>
      <c r="V271" s="29" t="str">
        <f t="shared" si="39"/>
        <v>No geometric exceedance</v>
      </c>
      <c r="W271" s="30">
        <v>13.632999999999999</v>
      </c>
      <c r="X271" s="30">
        <v>-89.2</v>
      </c>
      <c r="Y271" s="30">
        <v>10.9</v>
      </c>
      <c r="Z271" s="30">
        <v>13.4762643872266</v>
      </c>
      <c r="AA271" s="29" t="s">
        <v>2812</v>
      </c>
      <c r="AB271" s="29"/>
      <c r="AC271" s="39"/>
      <c r="AD271" s="39"/>
    </row>
    <row r="272" spans="1:30" ht="58" customHeight="1">
      <c r="A272" s="1" t="s">
        <v>1263</v>
      </c>
      <c r="B272" s="1">
        <v>29</v>
      </c>
      <c r="C272" s="1" t="s">
        <v>3655</v>
      </c>
      <c r="D272" s="29" t="s">
        <v>366</v>
      </c>
      <c r="E272" s="29" t="s">
        <v>1052</v>
      </c>
      <c r="F272" s="1" t="s">
        <v>806</v>
      </c>
      <c r="G272" s="30">
        <v>13.714</v>
      </c>
      <c r="H272" s="30">
        <v>-89.171000000000006</v>
      </c>
      <c r="I272" s="30">
        <v>13.632999999999999</v>
      </c>
      <c r="J272" s="30">
        <v>-89.2</v>
      </c>
      <c r="K272" s="30">
        <v>10.9</v>
      </c>
      <c r="L272" s="22"/>
      <c r="M272" s="22">
        <f t="shared" si="32"/>
        <v>9.5362243670949276</v>
      </c>
      <c r="N272" s="22">
        <f t="shared" si="33"/>
        <v>14.482733691522988</v>
      </c>
      <c r="O272" s="22" t="str">
        <f t="shared" si="34"/>
        <v/>
      </c>
      <c r="P272" s="22" t="str">
        <f t="shared" si="35"/>
        <v/>
      </c>
      <c r="Q272" s="22">
        <f t="shared" si="36"/>
        <v>1</v>
      </c>
      <c r="R272" s="29" t="str">
        <f t="shared" si="37"/>
        <v>No original Rhyp to compare</v>
      </c>
      <c r="S272" s="29" t="str">
        <f t="shared" si="38"/>
        <v/>
      </c>
      <c r="T272" s="22">
        <v>6.99</v>
      </c>
      <c r="U272" s="29" t="s">
        <v>4576</v>
      </c>
      <c r="V272" s="29" t="str">
        <f t="shared" si="39"/>
        <v>No geometric exceedance</v>
      </c>
      <c r="W272" s="30">
        <v>13.632999999999999</v>
      </c>
      <c r="X272" s="30">
        <v>-89.2</v>
      </c>
      <c r="Y272" s="30">
        <v>10.9</v>
      </c>
      <c r="Z272" s="30">
        <v>14.482733691522924</v>
      </c>
      <c r="AA272" s="29" t="s">
        <v>2812</v>
      </c>
      <c r="AB272" s="29"/>
      <c r="AC272" s="39"/>
      <c r="AD272" s="39"/>
    </row>
    <row r="273" spans="1:30" ht="58" customHeight="1">
      <c r="A273" s="1" t="s">
        <v>1263</v>
      </c>
      <c r="B273" s="1">
        <v>30</v>
      </c>
      <c r="C273" s="1" t="s">
        <v>3657</v>
      </c>
      <c r="D273" s="29" t="s">
        <v>379</v>
      </c>
      <c r="E273" s="29" t="s">
        <v>1053</v>
      </c>
      <c r="F273" s="1" t="s">
        <v>815</v>
      </c>
      <c r="G273" s="30">
        <v>33.125</v>
      </c>
      <c r="H273" s="30">
        <v>-115.66500000000001</v>
      </c>
      <c r="I273" s="30">
        <v>33.022199999999998</v>
      </c>
      <c r="J273" s="30">
        <v>-115.8314</v>
      </c>
      <c r="K273" s="30">
        <v>9</v>
      </c>
      <c r="L273" s="22"/>
      <c r="M273" s="22">
        <f t="shared" si="32"/>
        <v>19.26300859846296</v>
      </c>
      <c r="N273" s="22">
        <f t="shared" si="33"/>
        <v>21.261784973620113</v>
      </c>
      <c r="O273" s="22" t="str">
        <f t="shared" si="34"/>
        <v/>
      </c>
      <c r="P273" s="22" t="str">
        <f t="shared" si="35"/>
        <v/>
      </c>
      <c r="Q273" s="22">
        <f t="shared" si="36"/>
        <v>1.0630892486810057</v>
      </c>
      <c r="R273" s="29" t="str">
        <f t="shared" si="37"/>
        <v>No original Rhyp to compare</v>
      </c>
      <c r="S273" s="29" t="str">
        <f t="shared" si="38"/>
        <v/>
      </c>
      <c r="T273" s="22">
        <v>18.48</v>
      </c>
      <c r="U273" s="29" t="s">
        <v>4576</v>
      </c>
      <c r="V273" s="29" t="str">
        <f t="shared" si="39"/>
        <v>No geometric exceedance</v>
      </c>
      <c r="W273" s="30">
        <v>33.022199999999998</v>
      </c>
      <c r="X273" s="30">
        <v>-115.8314</v>
      </c>
      <c r="Y273" s="30">
        <v>9</v>
      </c>
      <c r="Z273" s="30">
        <v>21.261784973620173</v>
      </c>
      <c r="AA273" s="29" t="s">
        <v>2812</v>
      </c>
      <c r="AB273" s="29"/>
      <c r="AC273" s="39"/>
      <c r="AD273" s="39"/>
    </row>
    <row r="274" spans="1:30" ht="58" customHeight="1">
      <c r="A274" s="1" t="s">
        <v>1263</v>
      </c>
      <c r="B274" s="1">
        <v>31</v>
      </c>
      <c r="C274" s="1" t="s">
        <v>3660</v>
      </c>
      <c r="D274" s="29" t="s">
        <v>379</v>
      </c>
      <c r="E274" s="29" t="s">
        <v>1053</v>
      </c>
      <c r="F274" s="1" t="s">
        <v>764</v>
      </c>
      <c r="G274" s="30">
        <v>32.929000000000002</v>
      </c>
      <c r="H274" s="30">
        <v>-115.70099999999999</v>
      </c>
      <c r="I274" s="30">
        <v>33.022199999999998</v>
      </c>
      <c r="J274" s="30">
        <v>-115.8314</v>
      </c>
      <c r="K274" s="30">
        <v>9</v>
      </c>
      <c r="L274" s="22"/>
      <c r="M274" s="22">
        <f t="shared" si="32"/>
        <v>15.980004724731435</v>
      </c>
      <c r="N274" s="22">
        <f t="shared" si="33"/>
        <v>18.340134977759543</v>
      </c>
      <c r="O274" s="22" t="str">
        <f t="shared" si="34"/>
        <v/>
      </c>
      <c r="P274" s="22" t="str">
        <f t="shared" si="35"/>
        <v/>
      </c>
      <c r="Q274" s="22">
        <f t="shared" si="36"/>
        <v>1</v>
      </c>
      <c r="R274" s="29" t="str">
        <f t="shared" si="37"/>
        <v>No original Rhyp to compare</v>
      </c>
      <c r="S274" s="29" t="str">
        <f t="shared" si="38"/>
        <v/>
      </c>
      <c r="T274" s="22">
        <v>0.95</v>
      </c>
      <c r="U274" s="29" t="s">
        <v>4576</v>
      </c>
      <c r="V274" s="29" t="str">
        <f t="shared" si="39"/>
        <v>No geometric exceedance</v>
      </c>
      <c r="W274" s="30">
        <v>33.022199999999998</v>
      </c>
      <c r="X274" s="30">
        <v>-115.8314</v>
      </c>
      <c r="Y274" s="30">
        <v>9</v>
      </c>
      <c r="Z274" s="30">
        <v>18.340134977759476</v>
      </c>
      <c r="AA274" s="29" t="s">
        <v>2812</v>
      </c>
      <c r="AB274" s="29"/>
      <c r="AC274" s="39"/>
      <c r="AD274" s="39"/>
    </row>
    <row r="275" spans="1:30" ht="58" customHeight="1">
      <c r="A275" s="1" t="s">
        <v>1263</v>
      </c>
      <c r="B275" s="1">
        <v>32</v>
      </c>
      <c r="C275" s="1" t="s">
        <v>3663</v>
      </c>
      <c r="D275" s="29" t="s">
        <v>392</v>
      </c>
      <c r="E275" s="29" t="s">
        <v>1054</v>
      </c>
      <c r="F275" s="1" t="s">
        <v>820</v>
      </c>
      <c r="G275" s="30">
        <v>37.009</v>
      </c>
      <c r="H275" s="30">
        <v>-121.569</v>
      </c>
      <c r="I275" s="30">
        <v>37.040700000000001</v>
      </c>
      <c r="J275" s="30">
        <v>-121.88290000000001</v>
      </c>
      <c r="K275" s="30">
        <v>17.48</v>
      </c>
      <c r="L275" s="22"/>
      <c r="M275" s="22">
        <f t="shared" si="32"/>
        <v>28.088566017134085</v>
      </c>
      <c r="N275" s="22">
        <f t="shared" si="33"/>
        <v>33.08349952618223</v>
      </c>
      <c r="O275" s="22" t="str">
        <f t="shared" si="34"/>
        <v/>
      </c>
      <c r="P275" s="22" t="str">
        <f t="shared" si="35"/>
        <v/>
      </c>
      <c r="Q275" s="22">
        <f t="shared" si="36"/>
        <v>1.6541749763091116</v>
      </c>
      <c r="R275" s="29" t="str">
        <f t="shared" si="37"/>
        <v>No original Rhyp to compare</v>
      </c>
      <c r="S275" s="29" t="str">
        <f t="shared" si="38"/>
        <v/>
      </c>
      <c r="T275" s="22">
        <v>10.97</v>
      </c>
      <c r="U275" s="29" t="s">
        <v>4576</v>
      </c>
      <c r="V275" s="29" t="str">
        <f t="shared" si="39"/>
        <v>No geometric exceedance</v>
      </c>
      <c r="W275" s="30">
        <v>37.040700000000001</v>
      </c>
      <c r="X275" s="30">
        <v>-121.88290000000001</v>
      </c>
      <c r="Y275" s="30">
        <v>17.48</v>
      </c>
      <c r="Z275" s="30">
        <v>33.08349952618218</v>
      </c>
      <c r="AA275" s="29" t="s">
        <v>2812</v>
      </c>
      <c r="AB275" s="29"/>
      <c r="AC275" s="39"/>
      <c r="AD275" s="39"/>
    </row>
    <row r="276" spans="1:30" ht="58" customHeight="1">
      <c r="A276" s="1" t="s">
        <v>1263</v>
      </c>
      <c r="B276" s="1">
        <v>33</v>
      </c>
      <c r="C276" s="1" t="s">
        <v>3665</v>
      </c>
      <c r="D276" s="29" t="s">
        <v>392</v>
      </c>
      <c r="E276" s="29" t="s">
        <v>1054</v>
      </c>
      <c r="F276" s="1" t="s">
        <v>1033</v>
      </c>
      <c r="G276" s="30">
        <v>36.981999999999999</v>
      </c>
      <c r="H276" s="30">
        <v>-121.556</v>
      </c>
      <c r="I276" s="30">
        <v>37.040700000000001</v>
      </c>
      <c r="J276" s="30">
        <v>-121.88290000000001</v>
      </c>
      <c r="K276" s="30">
        <v>17.48</v>
      </c>
      <c r="L276" s="22"/>
      <c r="M276" s="22">
        <f t="shared" si="32"/>
        <v>29.750589260328038</v>
      </c>
      <c r="N276" s="22">
        <f t="shared" si="33"/>
        <v>34.505767073588522</v>
      </c>
      <c r="O276" s="22" t="str">
        <f t="shared" si="34"/>
        <v/>
      </c>
      <c r="P276" s="22" t="str">
        <f t="shared" si="35"/>
        <v/>
      </c>
      <c r="Q276" s="22">
        <f t="shared" si="36"/>
        <v>1.7252883536794261</v>
      </c>
      <c r="R276" s="29" t="str">
        <f t="shared" si="37"/>
        <v>No original Rhyp to compare</v>
      </c>
      <c r="S276" s="29" t="str">
        <f t="shared" si="38"/>
        <v/>
      </c>
      <c r="T276" s="22">
        <v>11.07</v>
      </c>
      <c r="U276" s="29" t="s">
        <v>4576</v>
      </c>
      <c r="V276" s="29" t="str">
        <f t="shared" si="39"/>
        <v>No geometric exceedance</v>
      </c>
      <c r="W276" s="30">
        <v>37.040700000000001</v>
      </c>
      <c r="X276" s="30">
        <v>-121.88290000000001</v>
      </c>
      <c r="Y276" s="30">
        <v>17.48</v>
      </c>
      <c r="Z276" s="30">
        <v>34.505767073588537</v>
      </c>
      <c r="AA276" s="29" t="s">
        <v>2812</v>
      </c>
      <c r="AB276" s="29"/>
      <c r="AC276" s="39"/>
      <c r="AD276" s="39"/>
    </row>
    <row r="277" spans="1:30" ht="58" customHeight="1">
      <c r="A277" s="1" t="s">
        <v>1263</v>
      </c>
      <c r="B277" s="1">
        <v>34</v>
      </c>
      <c r="C277" s="1" t="s">
        <v>3668</v>
      </c>
      <c r="D277" s="29" t="s">
        <v>392</v>
      </c>
      <c r="E277" s="29" t="s">
        <v>1054</v>
      </c>
      <c r="F277" s="1" t="s">
        <v>1034</v>
      </c>
      <c r="G277" s="30">
        <v>36.987000000000002</v>
      </c>
      <c r="H277" s="30">
        <v>-121.536</v>
      </c>
      <c r="I277" s="30">
        <v>37.040700000000001</v>
      </c>
      <c r="J277" s="30">
        <v>-121.88290000000001</v>
      </c>
      <c r="K277" s="30">
        <v>17.48</v>
      </c>
      <c r="L277" s="22"/>
      <c r="M277" s="22">
        <f t="shared" si="32"/>
        <v>31.374013837811667</v>
      </c>
      <c r="N277" s="22">
        <f t="shared" si="33"/>
        <v>35.914887502193267</v>
      </c>
      <c r="O277" s="22" t="str">
        <f t="shared" si="34"/>
        <v/>
      </c>
      <c r="P277" s="22" t="str">
        <f t="shared" si="35"/>
        <v/>
      </c>
      <c r="Q277" s="22">
        <f t="shared" si="36"/>
        <v>1.7957443751096633</v>
      </c>
      <c r="R277" s="29" t="str">
        <f t="shared" si="37"/>
        <v>No original Rhyp to compare</v>
      </c>
      <c r="S277" s="29" t="str">
        <f t="shared" si="38"/>
        <v/>
      </c>
      <c r="T277" s="22">
        <v>12.82</v>
      </c>
      <c r="U277" s="29" t="s">
        <v>4576</v>
      </c>
      <c r="V277" s="29" t="str">
        <f t="shared" si="39"/>
        <v>No geometric exceedance</v>
      </c>
      <c r="W277" s="30">
        <v>37.040700000000001</v>
      </c>
      <c r="X277" s="30">
        <v>-121.88290000000001</v>
      </c>
      <c r="Y277" s="30">
        <v>17.48</v>
      </c>
      <c r="Z277" s="30">
        <v>35.914887502193203</v>
      </c>
      <c r="AA277" s="29" t="s">
        <v>2812</v>
      </c>
      <c r="AB277" s="29"/>
      <c r="AC277" s="39"/>
      <c r="AD277" s="39"/>
    </row>
    <row r="278" spans="1:30" ht="58" customHeight="1">
      <c r="A278" s="1" t="s">
        <v>1263</v>
      </c>
      <c r="B278" s="1">
        <v>35</v>
      </c>
      <c r="C278" s="1" t="s">
        <v>3671</v>
      </c>
      <c r="D278" s="29" t="s">
        <v>392</v>
      </c>
      <c r="E278" s="29" t="s">
        <v>1054</v>
      </c>
      <c r="F278" s="1" t="s">
        <v>827</v>
      </c>
      <c r="G278" s="30">
        <v>37.201999999999998</v>
      </c>
      <c r="H278" s="30">
        <v>-121.991</v>
      </c>
      <c r="I278" s="30">
        <v>37.040700000000001</v>
      </c>
      <c r="J278" s="30">
        <v>-121.88290000000001</v>
      </c>
      <c r="K278" s="30">
        <v>17.48</v>
      </c>
      <c r="L278" s="22"/>
      <c r="M278" s="22">
        <f t="shared" si="32"/>
        <v>20.335959464945724</v>
      </c>
      <c r="N278" s="22">
        <f t="shared" si="33"/>
        <v>26.816070692029353</v>
      </c>
      <c r="O278" s="22" t="str">
        <f t="shared" si="34"/>
        <v/>
      </c>
      <c r="P278" s="22" t="str">
        <f t="shared" si="35"/>
        <v/>
      </c>
      <c r="Q278" s="22">
        <f t="shared" si="36"/>
        <v>1.3408035346014677</v>
      </c>
      <c r="R278" s="29" t="str">
        <f t="shared" si="37"/>
        <v>No original Rhyp to compare</v>
      </c>
      <c r="S278" s="29" t="str">
        <f t="shared" si="38"/>
        <v/>
      </c>
      <c r="T278" s="22">
        <v>5.0199999999999996</v>
      </c>
      <c r="U278" s="29" t="s">
        <v>4576</v>
      </c>
      <c r="V278" s="29" t="str">
        <f t="shared" si="39"/>
        <v>No geometric exceedance</v>
      </c>
      <c r="W278" s="30">
        <v>37.040700000000001</v>
      </c>
      <c r="X278" s="30">
        <v>-121.88290000000001</v>
      </c>
      <c r="Y278" s="30">
        <v>17.48</v>
      </c>
      <c r="Z278" s="30">
        <v>26.816070692029331</v>
      </c>
      <c r="AA278" s="29" t="s">
        <v>2812</v>
      </c>
      <c r="AB278" s="29"/>
      <c r="AC278" s="39"/>
      <c r="AD278" s="39"/>
    </row>
    <row r="279" spans="1:30" ht="58" customHeight="1">
      <c r="A279" s="1" t="s">
        <v>1263</v>
      </c>
      <c r="B279" s="1">
        <v>36</v>
      </c>
      <c r="C279" s="1" t="s">
        <v>3673</v>
      </c>
      <c r="D279" s="29" t="s">
        <v>392</v>
      </c>
      <c r="E279" s="29" t="s">
        <v>1054</v>
      </c>
      <c r="F279" s="1" t="s">
        <v>824</v>
      </c>
      <c r="G279" s="30">
        <v>37.255000000000003</v>
      </c>
      <c r="H279" s="30">
        <v>-122.03100000000001</v>
      </c>
      <c r="I279" s="30">
        <v>37.040700000000001</v>
      </c>
      <c r="J279" s="30">
        <v>-121.88290000000001</v>
      </c>
      <c r="K279" s="30">
        <v>17.48</v>
      </c>
      <c r="L279" s="22"/>
      <c r="M279" s="22">
        <f t="shared" si="32"/>
        <v>27.205211402608327</v>
      </c>
      <c r="N279" s="22">
        <f t="shared" si="33"/>
        <v>32.336881845048239</v>
      </c>
      <c r="O279" s="22" t="str">
        <f t="shared" si="34"/>
        <v/>
      </c>
      <c r="P279" s="22" t="str">
        <f t="shared" si="35"/>
        <v/>
      </c>
      <c r="Q279" s="22">
        <f t="shared" si="36"/>
        <v>1.6168440922524121</v>
      </c>
      <c r="R279" s="29" t="str">
        <f t="shared" si="37"/>
        <v>No original Rhyp to compare</v>
      </c>
      <c r="S279" s="29" t="str">
        <f t="shared" si="38"/>
        <v/>
      </c>
      <c r="T279" s="22">
        <v>8.5</v>
      </c>
      <c r="U279" s="29" t="s">
        <v>4576</v>
      </c>
      <c r="V279" s="29" t="str">
        <f t="shared" si="39"/>
        <v>No geometric exceedance</v>
      </c>
      <c r="W279" s="30">
        <v>37.040700000000001</v>
      </c>
      <c r="X279" s="30">
        <v>-121.88290000000001</v>
      </c>
      <c r="Y279" s="30">
        <v>17.48</v>
      </c>
      <c r="Z279" s="30">
        <v>32.336881845048524</v>
      </c>
      <c r="AA279" s="29" t="s">
        <v>2812</v>
      </c>
      <c r="AB279" s="29"/>
      <c r="AC279" s="39"/>
      <c r="AD279" s="39"/>
    </row>
    <row r="280" spans="1:30" ht="58" customHeight="1">
      <c r="A280" s="1" t="s">
        <v>1263</v>
      </c>
      <c r="B280" s="1">
        <v>37</v>
      </c>
      <c r="C280" s="1" t="s">
        <v>3675</v>
      </c>
      <c r="D280" s="29" t="s">
        <v>392</v>
      </c>
      <c r="E280" s="29" t="s">
        <v>1054</v>
      </c>
      <c r="F280" s="1" t="s">
        <v>825</v>
      </c>
      <c r="G280" s="30">
        <v>37.262</v>
      </c>
      <c r="H280" s="30">
        <v>-122.009</v>
      </c>
      <c r="I280" s="30">
        <v>37.040700000000001</v>
      </c>
      <c r="J280" s="30">
        <v>-121.88290000000001</v>
      </c>
      <c r="K280" s="30">
        <v>17.48</v>
      </c>
      <c r="L280" s="22"/>
      <c r="M280" s="22">
        <f t="shared" si="32"/>
        <v>27.026392054378128</v>
      </c>
      <c r="N280" s="22">
        <f t="shared" si="33"/>
        <v>32.186585209943495</v>
      </c>
      <c r="O280" s="22" t="str">
        <f t="shared" si="34"/>
        <v/>
      </c>
      <c r="P280" s="22" t="str">
        <f t="shared" si="35"/>
        <v/>
      </c>
      <c r="Q280" s="22">
        <f t="shared" si="36"/>
        <v>1.6093292604971747</v>
      </c>
      <c r="R280" s="29" t="str">
        <f t="shared" si="37"/>
        <v>No original Rhyp to compare</v>
      </c>
      <c r="S280" s="29" t="str">
        <f t="shared" si="38"/>
        <v/>
      </c>
      <c r="T280" s="22">
        <v>9.31</v>
      </c>
      <c r="U280" s="29" t="s">
        <v>4576</v>
      </c>
      <c r="V280" s="29" t="str">
        <f t="shared" si="39"/>
        <v>No geometric exceedance</v>
      </c>
      <c r="W280" s="30">
        <v>37.040700000000001</v>
      </c>
      <c r="X280" s="30">
        <v>-121.88290000000001</v>
      </c>
      <c r="Y280" s="30">
        <v>17.48</v>
      </c>
      <c r="Z280" s="30">
        <v>32.186585209943502</v>
      </c>
      <c r="AA280" s="29" t="s">
        <v>2812</v>
      </c>
      <c r="AB280" s="29"/>
      <c r="AC280" s="39"/>
      <c r="AD280" s="39"/>
    </row>
    <row r="281" spans="1:30" ht="58" customHeight="1">
      <c r="A281" s="1" t="s">
        <v>1263</v>
      </c>
      <c r="B281" s="1">
        <v>38</v>
      </c>
      <c r="C281" s="1" t="s">
        <v>3677</v>
      </c>
      <c r="D281" s="29" t="s">
        <v>399</v>
      </c>
      <c r="E281" s="29" t="s">
        <v>1056</v>
      </c>
      <c r="F281" s="1" t="s">
        <v>830</v>
      </c>
      <c r="G281" s="30">
        <v>40.497599999999998</v>
      </c>
      <c r="H281" s="30">
        <v>-124.2945</v>
      </c>
      <c r="I281" s="30">
        <v>40.326999999999998</v>
      </c>
      <c r="J281" s="30">
        <v>-124.233</v>
      </c>
      <c r="K281" s="30">
        <v>9.5</v>
      </c>
      <c r="L281" s="22"/>
      <c r="M281" s="22">
        <f t="shared" si="32"/>
        <v>19.671458469914683</v>
      </c>
      <c r="N281" s="22">
        <f t="shared" si="33"/>
        <v>21.845280459027713</v>
      </c>
      <c r="O281" s="22" t="str">
        <f t="shared" si="34"/>
        <v/>
      </c>
      <c r="P281" s="22" t="str">
        <f t="shared" si="35"/>
        <v/>
      </c>
      <c r="Q281" s="22">
        <f t="shared" si="36"/>
        <v>1.0922640229513856</v>
      </c>
      <c r="R281" s="29" t="str">
        <f t="shared" si="37"/>
        <v>No original Rhyp to compare</v>
      </c>
      <c r="S281" s="29" t="str">
        <f t="shared" si="38"/>
        <v/>
      </c>
      <c r="T281" s="22">
        <v>12.24</v>
      </c>
      <c r="U281" s="29" t="s">
        <v>4576</v>
      </c>
      <c r="V281" s="29" t="str">
        <f t="shared" si="39"/>
        <v>No geometric exceedance</v>
      </c>
      <c r="W281" s="30">
        <v>40.326999999999998</v>
      </c>
      <c r="X281" s="30">
        <v>-124.233</v>
      </c>
      <c r="Y281" s="30">
        <v>9.5</v>
      </c>
      <c r="Z281" s="30">
        <v>21.845280459027865</v>
      </c>
      <c r="AA281" s="29" t="s">
        <v>2812</v>
      </c>
      <c r="AB281" s="29"/>
      <c r="AC281" s="39"/>
      <c r="AD281" s="39"/>
    </row>
    <row r="282" spans="1:30" ht="58" customHeight="1">
      <c r="A282" s="1" t="s">
        <v>1263</v>
      </c>
      <c r="B282" s="1">
        <v>39</v>
      </c>
      <c r="C282" s="1" t="s">
        <v>3679</v>
      </c>
      <c r="D282" s="29" t="s">
        <v>399</v>
      </c>
      <c r="E282" s="29" t="s">
        <v>1056</v>
      </c>
      <c r="F282" s="1" t="s">
        <v>1057</v>
      </c>
      <c r="G282" s="30">
        <v>40.563000000000002</v>
      </c>
      <c r="H282" s="30">
        <v>-124.348</v>
      </c>
      <c r="I282" s="30">
        <v>40.326999999999998</v>
      </c>
      <c r="J282" s="30">
        <v>-124.233</v>
      </c>
      <c r="K282" s="30">
        <v>9.5</v>
      </c>
      <c r="L282" s="22"/>
      <c r="M282" s="22">
        <f t="shared" si="32"/>
        <v>27.988322817882853</v>
      </c>
      <c r="N282" s="22">
        <f t="shared" si="33"/>
        <v>29.556661079323931</v>
      </c>
      <c r="O282" s="22" t="str">
        <f t="shared" si="34"/>
        <v/>
      </c>
      <c r="P282" s="22" t="str">
        <f t="shared" si="35"/>
        <v/>
      </c>
      <c r="Q282" s="22">
        <f t="shared" si="36"/>
        <v>1.4778330539661966</v>
      </c>
      <c r="R282" s="29" t="str">
        <f t="shared" si="37"/>
        <v>No original Rhyp to compare</v>
      </c>
      <c r="S282" s="29" t="str">
        <f t="shared" si="38"/>
        <v/>
      </c>
      <c r="T282" s="22">
        <v>18.309999999999999</v>
      </c>
      <c r="U282" s="29" t="s">
        <v>4576</v>
      </c>
      <c r="V282" s="29" t="str">
        <f t="shared" si="39"/>
        <v>No geometric exceedance</v>
      </c>
      <c r="W282" s="30">
        <v>40.326999999999998</v>
      </c>
      <c r="X282" s="30">
        <v>-124.233</v>
      </c>
      <c r="Y282" s="30">
        <v>9.5</v>
      </c>
      <c r="Z282" s="30">
        <v>29.556661079323696</v>
      </c>
      <c r="AA282" s="29" t="s">
        <v>2812</v>
      </c>
      <c r="AB282" s="29"/>
      <c r="AC282" s="39"/>
      <c r="AD282" s="39"/>
    </row>
    <row r="283" spans="1:30" ht="58" customHeight="1">
      <c r="A283" s="1" t="s">
        <v>1263</v>
      </c>
      <c r="B283" s="1">
        <v>40</v>
      </c>
      <c r="C283" s="1" t="s">
        <v>3681</v>
      </c>
      <c r="D283" s="29" t="s">
        <v>399</v>
      </c>
      <c r="E283" s="29" t="s">
        <v>1056</v>
      </c>
      <c r="F283" s="1" t="s">
        <v>829</v>
      </c>
      <c r="G283" s="30">
        <v>40.323999999999998</v>
      </c>
      <c r="H283" s="30">
        <v>-124.286</v>
      </c>
      <c r="I283" s="30">
        <v>40.326999999999998</v>
      </c>
      <c r="J283" s="30">
        <v>-124.233</v>
      </c>
      <c r="K283" s="30">
        <v>9.5</v>
      </c>
      <c r="L283" s="22"/>
      <c r="M283" s="22">
        <f t="shared" si="32"/>
        <v>4.5053266958833769</v>
      </c>
      <c r="N283" s="22">
        <f t="shared" si="33"/>
        <v>10.514179408619553</v>
      </c>
      <c r="O283" s="22" t="str">
        <f t="shared" si="34"/>
        <v/>
      </c>
      <c r="P283" s="22" t="str">
        <f t="shared" si="35"/>
        <v/>
      </c>
      <c r="Q283" s="22">
        <f t="shared" si="36"/>
        <v>1</v>
      </c>
      <c r="R283" s="29" t="str">
        <f t="shared" si="37"/>
        <v>No original Rhyp to compare</v>
      </c>
      <c r="S283" s="29" t="str">
        <f t="shared" si="38"/>
        <v/>
      </c>
      <c r="T283" s="22">
        <v>8.18</v>
      </c>
      <c r="U283" s="29" t="s">
        <v>4576</v>
      </c>
      <c r="V283" s="29" t="str">
        <f t="shared" si="39"/>
        <v>No geometric exceedance</v>
      </c>
      <c r="W283" s="30">
        <v>40.326999999999998</v>
      </c>
      <c r="X283" s="30">
        <v>-124.233</v>
      </c>
      <c r="Y283" s="30">
        <v>9.5</v>
      </c>
      <c r="Z283" s="30">
        <v>10.514179408619547</v>
      </c>
      <c r="AA283" s="29" t="s">
        <v>2812</v>
      </c>
      <c r="AB283" s="29"/>
      <c r="AC283" s="39"/>
      <c r="AD283" s="39"/>
    </row>
    <row r="284" spans="1:30" ht="58" customHeight="1">
      <c r="A284" s="1" t="s">
        <v>1263</v>
      </c>
      <c r="B284" s="1">
        <v>41</v>
      </c>
      <c r="C284" s="1" t="s">
        <v>3683</v>
      </c>
      <c r="D284" s="29" t="s">
        <v>412</v>
      </c>
      <c r="E284" s="29" t="s">
        <v>1058</v>
      </c>
      <c r="F284" s="1" t="s">
        <v>834</v>
      </c>
      <c r="G284" s="30">
        <v>34.887</v>
      </c>
      <c r="H284" s="30">
        <v>-117.047</v>
      </c>
      <c r="I284" s="30">
        <v>34.200000000000003</v>
      </c>
      <c r="J284" s="30">
        <v>-116.43600000000001</v>
      </c>
      <c r="K284" s="30">
        <v>7</v>
      </c>
      <c r="L284" s="22"/>
      <c r="M284" s="22">
        <f t="shared" si="32"/>
        <v>94.695380268627062</v>
      </c>
      <c r="N284" s="22">
        <f t="shared" si="33"/>
        <v>94.953752133445903</v>
      </c>
      <c r="O284" s="22" t="str">
        <f t="shared" si="34"/>
        <v/>
      </c>
      <c r="P284" s="22" t="str">
        <f t="shared" si="35"/>
        <v/>
      </c>
      <c r="Q284" s="22">
        <f t="shared" si="36"/>
        <v>4.7476876066722955</v>
      </c>
      <c r="R284" s="29" t="str">
        <f t="shared" si="37"/>
        <v>No original Rhyp to compare</v>
      </c>
      <c r="S284" s="29" t="str">
        <f t="shared" si="38"/>
        <v/>
      </c>
      <c r="T284" s="22">
        <v>34.86</v>
      </c>
      <c r="U284" s="29" t="s">
        <v>4576</v>
      </c>
      <c r="V284" s="29" t="str">
        <f t="shared" si="39"/>
        <v>No geometric exceedance</v>
      </c>
      <c r="W284" s="30">
        <v>34.200000000000003</v>
      </c>
      <c r="X284" s="30">
        <v>-116.43600000000001</v>
      </c>
      <c r="Y284" s="30">
        <v>7</v>
      </c>
      <c r="Z284" s="30">
        <v>94.953752133445846</v>
      </c>
      <c r="AA284" s="29" t="s">
        <v>2812</v>
      </c>
      <c r="AB284" s="29"/>
      <c r="AC284" s="39"/>
      <c r="AD284" s="39"/>
    </row>
    <row r="285" spans="1:30" ht="58" customHeight="1">
      <c r="A285" s="1" t="s">
        <v>1263</v>
      </c>
      <c r="B285" s="1">
        <v>42</v>
      </c>
      <c r="C285" s="1" t="s">
        <v>3685</v>
      </c>
      <c r="D285" s="29" t="s">
        <v>412</v>
      </c>
      <c r="E285" s="29" t="s">
        <v>1058</v>
      </c>
      <c r="F285" s="1" t="s">
        <v>835</v>
      </c>
      <c r="G285" s="30">
        <v>34.567999999999998</v>
      </c>
      <c r="H285" s="30">
        <v>-116.61199999999999</v>
      </c>
      <c r="I285" s="30">
        <v>34.200000000000003</v>
      </c>
      <c r="J285" s="30">
        <v>-116.43600000000001</v>
      </c>
      <c r="K285" s="30">
        <v>7</v>
      </c>
      <c r="L285" s="22"/>
      <c r="M285" s="22">
        <f t="shared" si="32"/>
        <v>43.991715575405436</v>
      </c>
      <c r="N285" s="22">
        <f t="shared" si="33"/>
        <v>44.545157304328484</v>
      </c>
      <c r="O285" s="22" t="str">
        <f t="shared" si="34"/>
        <v/>
      </c>
      <c r="P285" s="22" t="str">
        <f t="shared" si="35"/>
        <v/>
      </c>
      <c r="Q285" s="22">
        <f t="shared" si="36"/>
        <v>2.2272578652164241</v>
      </c>
      <c r="R285" s="29" t="str">
        <f t="shared" si="37"/>
        <v>No original Rhyp to compare</v>
      </c>
      <c r="S285" s="29" t="str">
        <f t="shared" si="38"/>
        <v/>
      </c>
      <c r="T285" s="22">
        <v>2.19</v>
      </c>
      <c r="U285" s="29" t="s">
        <v>4576</v>
      </c>
      <c r="V285" s="29" t="str">
        <f t="shared" si="39"/>
        <v>No geometric exceedance</v>
      </c>
      <c r="W285" s="30">
        <v>34.200000000000003</v>
      </c>
      <c r="X285" s="30">
        <v>-116.43600000000001</v>
      </c>
      <c r="Y285" s="30">
        <v>7</v>
      </c>
      <c r="Z285" s="30">
        <v>44.54515730432847</v>
      </c>
      <c r="AA285" s="29" t="s">
        <v>2812</v>
      </c>
      <c r="AB285" s="29"/>
      <c r="AC285" s="39"/>
      <c r="AD285" s="39"/>
    </row>
    <row r="286" spans="1:30" ht="58" customHeight="1">
      <c r="A286" s="1" t="s">
        <v>1263</v>
      </c>
      <c r="B286" s="1">
        <v>43</v>
      </c>
      <c r="C286" s="1" t="s">
        <v>3687</v>
      </c>
      <c r="D286" s="29" t="s">
        <v>412</v>
      </c>
      <c r="E286" s="29" t="s">
        <v>1058</v>
      </c>
      <c r="F286" s="1" t="s">
        <v>836</v>
      </c>
      <c r="G286" s="30">
        <v>34.904000000000003</v>
      </c>
      <c r="H286" s="30">
        <v>-116.82299999999999</v>
      </c>
      <c r="I286" s="30">
        <v>34.200000000000003</v>
      </c>
      <c r="J286" s="30">
        <v>-116.43600000000001</v>
      </c>
      <c r="K286" s="30">
        <v>7</v>
      </c>
      <c r="L286" s="22"/>
      <c r="M286" s="22">
        <f t="shared" si="32"/>
        <v>85.93048260696726</v>
      </c>
      <c r="N286" s="22">
        <f t="shared" si="33"/>
        <v>86.215125361309447</v>
      </c>
      <c r="O286" s="22" t="str">
        <f t="shared" si="34"/>
        <v/>
      </c>
      <c r="P286" s="22" t="str">
        <f t="shared" si="35"/>
        <v/>
      </c>
      <c r="Q286" s="22">
        <f t="shared" si="36"/>
        <v>4.3107562680654725</v>
      </c>
      <c r="R286" s="29" t="str">
        <f t="shared" si="37"/>
        <v>No original Rhyp to compare</v>
      </c>
      <c r="S286" s="29" t="str">
        <f t="shared" si="38"/>
        <v/>
      </c>
      <c r="T286" s="22">
        <v>23.62</v>
      </c>
      <c r="U286" s="29" t="s">
        <v>4576</v>
      </c>
      <c r="V286" s="29" t="str">
        <f t="shared" si="39"/>
        <v>No geometric exceedance</v>
      </c>
      <c r="W286" s="30">
        <v>34.200000000000003</v>
      </c>
      <c r="X286" s="30">
        <v>-116.43600000000001</v>
      </c>
      <c r="Y286" s="30">
        <v>7</v>
      </c>
      <c r="Z286" s="30">
        <v>86.215125361309731</v>
      </c>
      <c r="AA286" s="29" t="s">
        <v>2812</v>
      </c>
      <c r="AB286" s="29"/>
      <c r="AC286" s="39"/>
      <c r="AD286" s="39"/>
    </row>
    <row r="287" spans="1:30" ht="58" customHeight="1">
      <c r="A287" s="1" t="s">
        <v>1263</v>
      </c>
      <c r="B287" s="1">
        <v>44</v>
      </c>
      <c r="C287" s="1" t="s">
        <v>3689</v>
      </c>
      <c r="D287" s="29" t="s">
        <v>419</v>
      </c>
      <c r="E287" s="29" t="s">
        <v>1059</v>
      </c>
      <c r="F287" s="1" t="s">
        <v>1060</v>
      </c>
      <c r="G287" s="30">
        <v>34.311999999999998</v>
      </c>
      <c r="H287" s="30">
        <v>-118.496</v>
      </c>
      <c r="I287" s="30">
        <v>34.2057</v>
      </c>
      <c r="J287" s="30">
        <v>-118.5539</v>
      </c>
      <c r="K287" s="30">
        <v>17.5</v>
      </c>
      <c r="L287" s="22"/>
      <c r="M287" s="22">
        <f t="shared" si="32"/>
        <v>12.962554351033059</v>
      </c>
      <c r="N287" s="22">
        <f t="shared" si="33"/>
        <v>21.777920362226649</v>
      </c>
      <c r="O287" s="22" t="str">
        <f t="shared" si="34"/>
        <v/>
      </c>
      <c r="P287" s="22" t="str">
        <f t="shared" si="35"/>
        <v/>
      </c>
      <c r="Q287" s="22">
        <f t="shared" si="36"/>
        <v>1.0888960181113325</v>
      </c>
      <c r="R287" s="29" t="str">
        <f t="shared" si="37"/>
        <v>No original Rhyp to compare</v>
      </c>
      <c r="S287" s="29" t="str">
        <f t="shared" si="38"/>
        <v/>
      </c>
      <c r="T287" s="22">
        <v>5.43</v>
      </c>
      <c r="U287" s="29" t="s">
        <v>4576</v>
      </c>
      <c r="V287" s="29" t="str">
        <f t="shared" si="39"/>
        <v>No geometric exceedance</v>
      </c>
      <c r="W287" s="30">
        <v>34.2057</v>
      </c>
      <c r="X287" s="30">
        <v>-118.5539</v>
      </c>
      <c r="Y287" s="30">
        <v>17.5</v>
      </c>
      <c r="Z287" s="30">
        <v>21.777920362226819</v>
      </c>
      <c r="AA287" s="29" t="s">
        <v>2812</v>
      </c>
      <c r="AB287" s="29"/>
      <c r="AC287" s="39"/>
      <c r="AD287" s="39"/>
    </row>
    <row r="288" spans="1:30" ht="58" customHeight="1">
      <c r="A288" s="1" t="s">
        <v>1263</v>
      </c>
      <c r="B288" s="1">
        <v>45</v>
      </c>
      <c r="C288" s="1" t="s">
        <v>3691</v>
      </c>
      <c r="D288" s="29" t="s">
        <v>419</v>
      </c>
      <c r="E288" s="29" t="s">
        <v>1059</v>
      </c>
      <c r="F288" s="1" t="s">
        <v>1061</v>
      </c>
      <c r="G288" s="30">
        <v>34.313000000000002</v>
      </c>
      <c r="H288" s="30">
        <v>-118.498</v>
      </c>
      <c r="I288" s="30">
        <v>34.2057</v>
      </c>
      <c r="J288" s="30">
        <v>-118.5539</v>
      </c>
      <c r="K288" s="30">
        <v>17.5</v>
      </c>
      <c r="L288" s="22"/>
      <c r="M288" s="22">
        <f t="shared" si="32"/>
        <v>12.990233895852692</v>
      </c>
      <c r="N288" s="22">
        <f t="shared" si="33"/>
        <v>21.794407004297231</v>
      </c>
      <c r="O288" s="22" t="str">
        <f t="shared" si="34"/>
        <v/>
      </c>
      <c r="P288" s="22" t="str">
        <f t="shared" si="35"/>
        <v/>
      </c>
      <c r="Q288" s="22">
        <f t="shared" si="36"/>
        <v>1.0897203502148616</v>
      </c>
      <c r="R288" s="29" t="str">
        <f t="shared" si="37"/>
        <v>No original Rhyp to compare</v>
      </c>
      <c r="S288" s="29" t="str">
        <f t="shared" si="38"/>
        <v/>
      </c>
      <c r="T288" s="22">
        <v>5.43</v>
      </c>
      <c r="U288" s="29" t="s">
        <v>4576</v>
      </c>
      <c r="V288" s="29" t="str">
        <f t="shared" si="39"/>
        <v>No geometric exceedance</v>
      </c>
      <c r="W288" s="30">
        <v>34.2057</v>
      </c>
      <c r="X288" s="30">
        <v>-118.5539</v>
      </c>
      <c r="Y288" s="30">
        <v>17.5</v>
      </c>
      <c r="Z288" s="30">
        <v>21.794407004297344</v>
      </c>
      <c r="AA288" s="29" t="s">
        <v>2812</v>
      </c>
      <c r="AB288" s="29"/>
      <c r="AC288" s="39"/>
      <c r="AD288" s="39"/>
    </row>
    <row r="289" spans="1:30" ht="58" customHeight="1">
      <c r="A289" s="1" t="s">
        <v>1263</v>
      </c>
      <c r="B289" s="1">
        <v>46</v>
      </c>
      <c r="C289" s="1" t="s">
        <v>3693</v>
      </c>
      <c r="D289" s="29" t="s">
        <v>419</v>
      </c>
      <c r="E289" s="29" t="s">
        <v>1059</v>
      </c>
      <c r="F289" s="1" t="s">
        <v>841</v>
      </c>
      <c r="G289" s="30">
        <v>34.248899999999999</v>
      </c>
      <c r="H289" s="30">
        <v>-118.4789</v>
      </c>
      <c r="I289" s="30">
        <v>34.2057</v>
      </c>
      <c r="J289" s="30">
        <v>-118.5539</v>
      </c>
      <c r="K289" s="30">
        <v>17.5</v>
      </c>
      <c r="L289" s="22"/>
      <c r="M289" s="22">
        <f t="shared" si="32"/>
        <v>8.4035688230350303</v>
      </c>
      <c r="N289" s="22">
        <f t="shared" si="33"/>
        <v>19.413139080619764</v>
      </c>
      <c r="O289" s="22" t="str">
        <f t="shared" si="34"/>
        <v/>
      </c>
      <c r="P289" s="22" t="str">
        <f t="shared" si="35"/>
        <v/>
      </c>
      <c r="Q289" s="22">
        <f t="shared" si="36"/>
        <v>1</v>
      </c>
      <c r="R289" s="29" t="str">
        <f t="shared" si="37"/>
        <v>No original Rhyp to compare</v>
      </c>
      <c r="S289" s="29" t="str">
        <f t="shared" si="38"/>
        <v/>
      </c>
      <c r="T289" s="22">
        <v>8.44</v>
      </c>
      <c r="U289" s="29" t="s">
        <v>4576</v>
      </c>
      <c r="V289" s="29" t="str">
        <f t="shared" si="39"/>
        <v>No geometric exceedance</v>
      </c>
      <c r="W289" s="30">
        <v>34.2057</v>
      </c>
      <c r="X289" s="30">
        <v>-118.5539</v>
      </c>
      <c r="Y289" s="30">
        <v>17.5</v>
      </c>
      <c r="Z289" s="30">
        <v>19.413139080619921</v>
      </c>
      <c r="AA289" s="29" t="s">
        <v>2812</v>
      </c>
      <c r="AB289" s="29"/>
      <c r="AC289" s="39"/>
      <c r="AD289" s="39"/>
    </row>
    <row r="290" spans="1:30" ht="58" customHeight="1">
      <c r="A290" s="1" t="s">
        <v>1263</v>
      </c>
      <c r="B290" s="1">
        <v>47</v>
      </c>
      <c r="C290" s="1" t="s">
        <v>3695</v>
      </c>
      <c r="D290" s="29" t="s">
        <v>419</v>
      </c>
      <c r="E290" s="29" t="s">
        <v>1059</v>
      </c>
      <c r="F290" s="1" t="s">
        <v>842</v>
      </c>
      <c r="G290" s="30">
        <v>34.293999999999997</v>
      </c>
      <c r="H290" s="30">
        <v>-118.483</v>
      </c>
      <c r="I290" s="30">
        <v>34.2057</v>
      </c>
      <c r="J290" s="30">
        <v>-118.5539</v>
      </c>
      <c r="K290" s="30">
        <v>17.5</v>
      </c>
      <c r="L290" s="22"/>
      <c r="M290" s="22">
        <f t="shared" si="32"/>
        <v>11.784286764897935</v>
      </c>
      <c r="N290" s="22">
        <f t="shared" si="33"/>
        <v>21.097853316329335</v>
      </c>
      <c r="O290" s="22" t="str">
        <f t="shared" si="34"/>
        <v/>
      </c>
      <c r="P290" s="22" t="str">
        <f t="shared" si="35"/>
        <v/>
      </c>
      <c r="Q290" s="22">
        <f t="shared" si="36"/>
        <v>1.0548926658164668</v>
      </c>
      <c r="R290" s="29" t="str">
        <f t="shared" si="37"/>
        <v>No original Rhyp to compare</v>
      </c>
      <c r="S290" s="29" t="str">
        <f t="shared" si="38"/>
        <v/>
      </c>
      <c r="T290" s="22">
        <v>5.92</v>
      </c>
      <c r="U290" s="29" t="s">
        <v>4576</v>
      </c>
      <c r="V290" s="29" t="str">
        <f t="shared" si="39"/>
        <v>No geometric exceedance</v>
      </c>
      <c r="W290" s="30">
        <v>34.2057</v>
      </c>
      <c r="X290" s="30">
        <v>-118.5539</v>
      </c>
      <c r="Y290" s="30">
        <v>17.5</v>
      </c>
      <c r="Z290" s="30">
        <v>21.09785331632964</v>
      </c>
      <c r="AA290" s="29" t="s">
        <v>2812</v>
      </c>
      <c r="AB290" s="29"/>
      <c r="AC290" s="39"/>
      <c r="AD290" s="39"/>
    </row>
    <row r="291" spans="1:30" ht="58" customHeight="1">
      <c r="A291" s="1" t="s">
        <v>1263</v>
      </c>
      <c r="B291" s="1">
        <v>48</v>
      </c>
      <c r="C291" s="1" t="s">
        <v>3697</v>
      </c>
      <c r="D291" s="29" t="s">
        <v>419</v>
      </c>
      <c r="E291" s="29" t="s">
        <v>1059</v>
      </c>
      <c r="F291" s="1" t="s">
        <v>843</v>
      </c>
      <c r="G291" s="30">
        <v>34.387</v>
      </c>
      <c r="H291" s="30">
        <v>-118.533</v>
      </c>
      <c r="I291" s="30">
        <v>34.2057</v>
      </c>
      <c r="J291" s="30">
        <v>-118.5539</v>
      </c>
      <c r="K291" s="30">
        <v>17.5</v>
      </c>
      <c r="L291" s="22"/>
      <c r="M291" s="22">
        <f t="shared" si="32"/>
        <v>20.250855704652636</v>
      </c>
      <c r="N291" s="22">
        <f t="shared" si="33"/>
        <v>26.764662463230547</v>
      </c>
      <c r="O291" s="22" t="str">
        <f t="shared" si="34"/>
        <v/>
      </c>
      <c r="P291" s="22" t="str">
        <f t="shared" si="35"/>
        <v/>
      </c>
      <c r="Q291" s="22">
        <f t="shared" si="36"/>
        <v>1.3382331231615274</v>
      </c>
      <c r="R291" s="29" t="str">
        <f t="shared" si="37"/>
        <v>No original Rhyp to compare</v>
      </c>
      <c r="S291" s="29" t="str">
        <f t="shared" si="38"/>
        <v/>
      </c>
      <c r="T291" s="22">
        <v>5.92</v>
      </c>
      <c r="U291" s="29" t="s">
        <v>4576</v>
      </c>
      <c r="V291" s="29" t="str">
        <f t="shared" si="39"/>
        <v>No geometric exceedance</v>
      </c>
      <c r="W291" s="30">
        <v>34.2057</v>
      </c>
      <c r="X291" s="30">
        <v>-118.5539</v>
      </c>
      <c r="Y291" s="30">
        <v>17.5</v>
      </c>
      <c r="Z291" s="30">
        <v>26.764662463230692</v>
      </c>
      <c r="AA291" s="29" t="s">
        <v>2812</v>
      </c>
      <c r="AB291" s="29"/>
      <c r="AC291" s="39"/>
      <c r="AD291" s="39"/>
    </row>
    <row r="292" spans="1:30" ht="58" customHeight="1">
      <c r="A292" s="1" t="s">
        <v>1263</v>
      </c>
      <c r="B292" s="1">
        <v>49</v>
      </c>
      <c r="C292" s="1" t="s">
        <v>3699</v>
      </c>
      <c r="D292" s="29" t="s">
        <v>419</v>
      </c>
      <c r="E292" s="29" t="s">
        <v>1059</v>
      </c>
      <c r="F292" s="1" t="s">
        <v>844</v>
      </c>
      <c r="G292" s="30">
        <v>34.390999999999998</v>
      </c>
      <c r="H292" s="30">
        <v>-118.622</v>
      </c>
      <c r="I292" s="30">
        <v>34.2057</v>
      </c>
      <c r="J292" s="30">
        <v>-118.5539</v>
      </c>
      <c r="K292" s="30">
        <v>17.5</v>
      </c>
      <c r="L292" s="22"/>
      <c r="M292" s="22">
        <f t="shared" si="32"/>
        <v>21.533118104233623</v>
      </c>
      <c r="N292" s="22">
        <f t="shared" si="33"/>
        <v>27.747525570595908</v>
      </c>
      <c r="O292" s="22" t="str">
        <f t="shared" si="34"/>
        <v/>
      </c>
      <c r="P292" s="22" t="str">
        <f t="shared" si="35"/>
        <v/>
      </c>
      <c r="Q292" s="22">
        <f t="shared" si="36"/>
        <v>1.3873762785297954</v>
      </c>
      <c r="R292" s="29" t="str">
        <f t="shared" si="37"/>
        <v>No original Rhyp to compare</v>
      </c>
      <c r="S292" s="29" t="str">
        <f t="shared" si="38"/>
        <v/>
      </c>
      <c r="T292" s="22">
        <v>5.48</v>
      </c>
      <c r="U292" s="29" t="s">
        <v>4576</v>
      </c>
      <c r="V292" s="29" t="str">
        <f t="shared" si="39"/>
        <v>No geometric exceedance</v>
      </c>
      <c r="W292" s="30">
        <v>34.2057</v>
      </c>
      <c r="X292" s="30">
        <v>-118.5539</v>
      </c>
      <c r="Y292" s="30">
        <v>17.5</v>
      </c>
      <c r="Z292" s="30">
        <v>27.747525570596423</v>
      </c>
      <c r="AA292" s="29" t="s">
        <v>2812</v>
      </c>
      <c r="AB292" s="29"/>
      <c r="AC292" s="39"/>
      <c r="AD292" s="39"/>
    </row>
    <row r="293" spans="1:30" ht="58" customHeight="1">
      <c r="A293" s="1" t="s">
        <v>1263</v>
      </c>
      <c r="B293" s="1">
        <v>50</v>
      </c>
      <c r="C293" s="1" t="s">
        <v>3701</v>
      </c>
      <c r="D293" s="29" t="s">
        <v>419</v>
      </c>
      <c r="E293" s="29" t="s">
        <v>1059</v>
      </c>
      <c r="F293" s="1" t="s">
        <v>845</v>
      </c>
      <c r="G293" s="30">
        <v>34.334000000000003</v>
      </c>
      <c r="H293" s="30">
        <v>-118.396</v>
      </c>
      <c r="I293" s="30">
        <v>34.2057</v>
      </c>
      <c r="J293" s="30">
        <v>-118.5539</v>
      </c>
      <c r="K293" s="30">
        <v>17.5</v>
      </c>
      <c r="L293" s="22"/>
      <c r="M293" s="22">
        <f t="shared" si="32"/>
        <v>20.348342285923732</v>
      </c>
      <c r="N293" s="22">
        <f t="shared" si="33"/>
        <v>26.838499097101383</v>
      </c>
      <c r="O293" s="22" t="str">
        <f t="shared" si="34"/>
        <v/>
      </c>
      <c r="P293" s="22" t="str">
        <f t="shared" si="35"/>
        <v/>
      </c>
      <c r="Q293" s="22">
        <f t="shared" si="36"/>
        <v>1.3419249548550694</v>
      </c>
      <c r="R293" s="29" t="str">
        <f t="shared" si="37"/>
        <v>No original Rhyp to compare</v>
      </c>
      <c r="S293" s="29" t="str">
        <f t="shared" si="38"/>
        <v/>
      </c>
      <c r="T293" s="22">
        <v>7.01</v>
      </c>
      <c r="U293" s="29" t="s">
        <v>4576</v>
      </c>
      <c r="V293" s="29" t="str">
        <f t="shared" si="39"/>
        <v>No geometric exceedance</v>
      </c>
      <c r="W293" s="30">
        <v>34.2057</v>
      </c>
      <c r="X293" s="30">
        <v>-118.5539</v>
      </c>
      <c r="Y293" s="30">
        <v>17.5</v>
      </c>
      <c r="Z293" s="30">
        <v>26.838499097101593</v>
      </c>
      <c r="AA293" s="29" t="s">
        <v>2812</v>
      </c>
      <c r="AB293" s="29"/>
      <c r="AC293" s="39"/>
      <c r="AD293" s="39"/>
    </row>
    <row r="294" spans="1:30" ht="58" customHeight="1">
      <c r="A294" s="1" t="s">
        <v>1263</v>
      </c>
      <c r="B294" s="1">
        <v>51</v>
      </c>
      <c r="C294" s="1" t="s">
        <v>3703</v>
      </c>
      <c r="D294" s="29" t="s">
        <v>419</v>
      </c>
      <c r="E294" s="29" t="s">
        <v>1059</v>
      </c>
      <c r="F294" s="1" t="s">
        <v>846</v>
      </c>
      <c r="G294" s="30">
        <v>34.334000000000003</v>
      </c>
      <c r="H294" s="30">
        <v>-118.396</v>
      </c>
      <c r="I294" s="30">
        <v>34.2057</v>
      </c>
      <c r="J294" s="30">
        <v>-118.5539</v>
      </c>
      <c r="K294" s="30">
        <v>17.5</v>
      </c>
      <c r="L294" s="22"/>
      <c r="M294" s="22">
        <f t="shared" si="32"/>
        <v>20.348342285923732</v>
      </c>
      <c r="N294" s="22">
        <f t="shared" si="33"/>
        <v>26.838499097101383</v>
      </c>
      <c r="O294" s="22" t="str">
        <f t="shared" si="34"/>
        <v/>
      </c>
      <c r="P294" s="22" t="str">
        <f t="shared" si="35"/>
        <v/>
      </c>
      <c r="Q294" s="22">
        <f t="shared" si="36"/>
        <v>1.3419249548550694</v>
      </c>
      <c r="R294" s="29" t="str">
        <f t="shared" si="37"/>
        <v>No original Rhyp to compare</v>
      </c>
      <c r="S294" s="29" t="str">
        <f t="shared" si="38"/>
        <v/>
      </c>
      <c r="T294" s="22">
        <v>7.01</v>
      </c>
      <c r="U294" s="29" t="s">
        <v>4576</v>
      </c>
      <c r="V294" s="29" t="str">
        <f t="shared" si="39"/>
        <v>No geometric exceedance</v>
      </c>
      <c r="W294" s="30">
        <v>34.2057</v>
      </c>
      <c r="X294" s="30">
        <v>-118.5539</v>
      </c>
      <c r="Y294" s="30">
        <v>17.5</v>
      </c>
      <c r="Z294" s="30">
        <v>26.838499097101593</v>
      </c>
      <c r="AA294" s="29" t="s">
        <v>2812</v>
      </c>
      <c r="AB294" s="29"/>
      <c r="AC294" s="39"/>
      <c r="AD294" s="39"/>
    </row>
    <row r="295" spans="1:30" ht="58" customHeight="1">
      <c r="A295" s="1" t="s">
        <v>1263</v>
      </c>
      <c r="B295" s="1">
        <v>52</v>
      </c>
      <c r="C295" s="1" t="s">
        <v>3705</v>
      </c>
      <c r="D295" s="29" t="s">
        <v>419</v>
      </c>
      <c r="E295" s="29" t="s">
        <v>1059</v>
      </c>
      <c r="F295" s="1" t="s">
        <v>847</v>
      </c>
      <c r="G295" s="30">
        <v>34.295999999999999</v>
      </c>
      <c r="H295" s="30">
        <v>-118.375</v>
      </c>
      <c r="I295" s="30">
        <v>34.2057</v>
      </c>
      <c r="J295" s="30">
        <v>-118.5539</v>
      </c>
      <c r="K295" s="30">
        <v>17.5</v>
      </c>
      <c r="L295" s="22"/>
      <c r="M295" s="22">
        <f t="shared" si="32"/>
        <v>19.266333655520171</v>
      </c>
      <c r="N295" s="22">
        <f t="shared" si="33"/>
        <v>26.027708553113722</v>
      </c>
      <c r="O295" s="22" t="str">
        <f t="shared" si="34"/>
        <v/>
      </c>
      <c r="P295" s="22" t="str">
        <f t="shared" si="35"/>
        <v/>
      </c>
      <c r="Q295" s="22">
        <f t="shared" si="36"/>
        <v>1.3013854276556862</v>
      </c>
      <c r="R295" s="29" t="str">
        <f t="shared" si="37"/>
        <v>No original Rhyp to compare</v>
      </c>
      <c r="S295" s="29" t="str">
        <f t="shared" si="38"/>
        <v/>
      </c>
      <c r="T295" s="22">
        <v>7.26</v>
      </c>
      <c r="U295" s="29" t="s">
        <v>4576</v>
      </c>
      <c r="V295" s="29" t="str">
        <f t="shared" si="39"/>
        <v>No geometric exceedance</v>
      </c>
      <c r="W295" s="30">
        <v>34.2057</v>
      </c>
      <c r="X295" s="30">
        <v>-118.5539</v>
      </c>
      <c r="Y295" s="30">
        <v>17.5</v>
      </c>
      <c r="Z295" s="30">
        <v>26.027708553113921</v>
      </c>
      <c r="AA295" s="29" t="s">
        <v>2812</v>
      </c>
      <c r="AB295" s="29"/>
      <c r="AC295" s="39"/>
      <c r="AD295" s="39"/>
    </row>
    <row r="296" spans="1:30" ht="58" customHeight="1">
      <c r="A296" s="1" t="s">
        <v>1263</v>
      </c>
      <c r="B296" s="1">
        <v>53</v>
      </c>
      <c r="C296" s="1" t="s">
        <v>3707</v>
      </c>
      <c r="D296" s="29" t="s">
        <v>419</v>
      </c>
      <c r="E296" s="29" t="s">
        <v>1059</v>
      </c>
      <c r="F296" s="1" t="s">
        <v>848</v>
      </c>
      <c r="G296" s="30">
        <v>34.435000000000002</v>
      </c>
      <c r="H296" s="30">
        <v>-118.58199999999999</v>
      </c>
      <c r="I296" s="30">
        <v>34.2057</v>
      </c>
      <c r="J296" s="30">
        <v>-118.5539</v>
      </c>
      <c r="K296" s="30">
        <v>17.5</v>
      </c>
      <c r="L296" s="22"/>
      <c r="M296" s="22">
        <f t="shared" si="32"/>
        <v>25.627255502646996</v>
      </c>
      <c r="N296" s="22">
        <f t="shared" si="33"/>
        <v>31.032341590636545</v>
      </c>
      <c r="O296" s="22" t="str">
        <f t="shared" si="34"/>
        <v/>
      </c>
      <c r="P296" s="22" t="str">
        <f t="shared" si="35"/>
        <v/>
      </c>
      <c r="Q296" s="22">
        <f t="shared" si="36"/>
        <v>1.5516170795318274</v>
      </c>
      <c r="R296" s="29" t="str">
        <f t="shared" si="37"/>
        <v>No original Rhyp to compare</v>
      </c>
      <c r="S296" s="29" t="str">
        <f t="shared" si="38"/>
        <v/>
      </c>
      <c r="T296" s="22">
        <v>7.46</v>
      </c>
      <c r="U296" s="29" t="s">
        <v>4576</v>
      </c>
      <c r="V296" s="29" t="str">
        <f t="shared" si="39"/>
        <v>No geometric exceedance</v>
      </c>
      <c r="W296" s="30">
        <v>34.2057</v>
      </c>
      <c r="X296" s="30">
        <v>-118.5539</v>
      </c>
      <c r="Y296" s="30">
        <v>17.5</v>
      </c>
      <c r="Z296" s="30">
        <v>31.032341590636729</v>
      </c>
      <c r="AA296" s="29" t="s">
        <v>2812</v>
      </c>
      <c r="AB296" s="29"/>
      <c r="AC296" s="39"/>
      <c r="AD296" s="39"/>
    </row>
    <row r="297" spans="1:30" ht="58" customHeight="1">
      <c r="A297" s="1" t="s">
        <v>1263</v>
      </c>
      <c r="B297" s="1">
        <v>54</v>
      </c>
      <c r="C297" s="1" t="s">
        <v>3709</v>
      </c>
      <c r="D297" s="29" t="s">
        <v>419</v>
      </c>
      <c r="E297" s="29" t="s">
        <v>1059</v>
      </c>
      <c r="F297" s="1" t="s">
        <v>849</v>
      </c>
      <c r="G297" s="30">
        <v>34.280999999999999</v>
      </c>
      <c r="H297" s="30">
        <v>-118.47799999999999</v>
      </c>
      <c r="I297" s="30">
        <v>34.2057</v>
      </c>
      <c r="J297" s="30">
        <v>-118.5539</v>
      </c>
      <c r="K297" s="30">
        <v>17.5</v>
      </c>
      <c r="L297" s="22"/>
      <c r="M297" s="22">
        <f t="shared" si="32"/>
        <v>10.898684104627439</v>
      </c>
      <c r="N297" s="22">
        <f t="shared" si="33"/>
        <v>20.616287619560872</v>
      </c>
      <c r="O297" s="22" t="str">
        <f t="shared" si="34"/>
        <v/>
      </c>
      <c r="P297" s="22" t="str">
        <f t="shared" si="35"/>
        <v/>
      </c>
      <c r="Q297" s="22">
        <f t="shared" si="36"/>
        <v>1.0308143809780437</v>
      </c>
      <c r="R297" s="29" t="str">
        <f t="shared" si="37"/>
        <v>No original Rhyp to compare</v>
      </c>
      <c r="S297" s="29" t="str">
        <f t="shared" si="38"/>
        <v/>
      </c>
      <c r="T297" s="22">
        <v>6.5</v>
      </c>
      <c r="U297" s="29" t="s">
        <v>4576</v>
      </c>
      <c r="V297" s="29" t="str">
        <f t="shared" si="39"/>
        <v>No geometric exceedance</v>
      </c>
      <c r="W297" s="30">
        <v>34.2057</v>
      </c>
      <c r="X297" s="30">
        <v>-118.5539</v>
      </c>
      <c r="Y297" s="30">
        <v>17.5</v>
      </c>
      <c r="Z297" s="30">
        <v>20.616287619561145</v>
      </c>
      <c r="AA297" s="29" t="s">
        <v>2812</v>
      </c>
      <c r="AB297" s="29"/>
      <c r="AC297" s="39"/>
      <c r="AD297" s="39"/>
    </row>
    <row r="298" spans="1:30" ht="58" customHeight="1">
      <c r="A298" s="1" t="s">
        <v>1263</v>
      </c>
      <c r="B298" s="1">
        <v>55</v>
      </c>
      <c r="C298" s="1" t="s">
        <v>3711</v>
      </c>
      <c r="D298" s="29" t="s">
        <v>419</v>
      </c>
      <c r="E298" s="29" t="s">
        <v>1059</v>
      </c>
      <c r="F298" s="1" t="s">
        <v>850</v>
      </c>
      <c r="G298" s="30">
        <v>34.311</v>
      </c>
      <c r="H298" s="30">
        <v>-118.49</v>
      </c>
      <c r="I298" s="30">
        <v>34.2057</v>
      </c>
      <c r="J298" s="30">
        <v>-118.5539</v>
      </c>
      <c r="K298" s="30">
        <v>17.5</v>
      </c>
      <c r="L298" s="22"/>
      <c r="M298" s="22">
        <f t="shared" si="32"/>
        <v>13.099021972480296</v>
      </c>
      <c r="N298" s="22">
        <f t="shared" si="33"/>
        <v>21.859423062732503</v>
      </c>
      <c r="O298" s="22" t="str">
        <f t="shared" si="34"/>
        <v/>
      </c>
      <c r="P298" s="22" t="str">
        <f t="shared" si="35"/>
        <v/>
      </c>
      <c r="Q298" s="22">
        <f t="shared" si="36"/>
        <v>1.0929711531366253</v>
      </c>
      <c r="R298" s="29" t="str">
        <f t="shared" si="37"/>
        <v>No original Rhyp to compare</v>
      </c>
      <c r="S298" s="29" t="str">
        <f t="shared" si="38"/>
        <v/>
      </c>
      <c r="T298" s="22">
        <v>5.35</v>
      </c>
      <c r="U298" s="29" t="s">
        <v>4576</v>
      </c>
      <c r="V298" s="29" t="str">
        <f t="shared" si="39"/>
        <v>No geometric exceedance</v>
      </c>
      <c r="W298" s="30">
        <v>34.2057</v>
      </c>
      <c r="X298" s="30">
        <v>-118.5539</v>
      </c>
      <c r="Y298" s="30">
        <v>17.5</v>
      </c>
      <c r="Z298" s="30">
        <v>21.859423062732688</v>
      </c>
      <c r="AA298" s="29" t="s">
        <v>2812</v>
      </c>
      <c r="AB298" s="29"/>
      <c r="AC298" s="39"/>
      <c r="AD298" s="39"/>
    </row>
    <row r="299" spans="1:30" ht="58" customHeight="1">
      <c r="A299" s="1" t="s">
        <v>1263</v>
      </c>
      <c r="B299" s="1">
        <v>56</v>
      </c>
      <c r="C299" s="1" t="s">
        <v>3713</v>
      </c>
      <c r="D299" s="29" t="s">
        <v>419</v>
      </c>
      <c r="E299" s="29" t="s">
        <v>1059</v>
      </c>
      <c r="F299" s="1" t="s">
        <v>851</v>
      </c>
      <c r="G299" s="30">
        <v>34.311999999999998</v>
      </c>
      <c r="H299" s="30">
        <v>-118.48099999999999</v>
      </c>
      <c r="I299" s="30">
        <v>34.2057</v>
      </c>
      <c r="J299" s="30">
        <v>-118.5539</v>
      </c>
      <c r="K299" s="30">
        <v>17.5</v>
      </c>
      <c r="L299" s="22"/>
      <c r="M299" s="22">
        <f t="shared" si="32"/>
        <v>13.586726694523419</v>
      </c>
      <c r="N299" s="22">
        <f t="shared" si="33"/>
        <v>22.155115487662783</v>
      </c>
      <c r="O299" s="22" t="str">
        <f t="shared" si="34"/>
        <v/>
      </c>
      <c r="P299" s="22" t="str">
        <f t="shared" si="35"/>
        <v/>
      </c>
      <c r="Q299" s="22">
        <f t="shared" si="36"/>
        <v>1.1077557743831392</v>
      </c>
      <c r="R299" s="29" t="str">
        <f t="shared" si="37"/>
        <v>No original Rhyp to compare</v>
      </c>
      <c r="S299" s="29" t="str">
        <f t="shared" si="38"/>
        <v/>
      </c>
      <c r="T299" s="22">
        <v>5.19</v>
      </c>
      <c r="U299" s="29" t="s">
        <v>4576</v>
      </c>
      <c r="V299" s="29" t="str">
        <f t="shared" si="39"/>
        <v>No geometric exceedance</v>
      </c>
      <c r="W299" s="30">
        <v>34.2057</v>
      </c>
      <c r="X299" s="30">
        <v>-118.5539</v>
      </c>
      <c r="Y299" s="30">
        <v>17.5</v>
      </c>
      <c r="Z299" s="30">
        <v>22.15511548766295</v>
      </c>
      <c r="AA299" s="29" t="s">
        <v>2812</v>
      </c>
      <c r="AB299" s="29"/>
      <c r="AC299" s="39"/>
      <c r="AD299" s="39"/>
    </row>
    <row r="300" spans="1:30" ht="58" customHeight="1">
      <c r="A300" s="1" t="s">
        <v>1263</v>
      </c>
      <c r="B300" s="1">
        <v>57</v>
      </c>
      <c r="C300" s="1" t="s">
        <v>3715</v>
      </c>
      <c r="D300" s="29" t="s">
        <v>419</v>
      </c>
      <c r="E300" s="29" t="s">
        <v>1059</v>
      </c>
      <c r="F300" s="1" t="s">
        <v>852</v>
      </c>
      <c r="G300" s="30">
        <v>34.326000000000001</v>
      </c>
      <c r="H300" s="30">
        <v>-118.444</v>
      </c>
      <c r="I300" s="30">
        <v>34.2057</v>
      </c>
      <c r="J300" s="30">
        <v>-118.5539</v>
      </c>
      <c r="K300" s="30">
        <v>17.5</v>
      </c>
      <c r="L300" s="22"/>
      <c r="M300" s="22">
        <f t="shared" si="32"/>
        <v>16.761055943559843</v>
      </c>
      <c r="N300" s="22">
        <f t="shared" si="33"/>
        <v>24.231859118588957</v>
      </c>
      <c r="O300" s="22" t="str">
        <f t="shared" si="34"/>
        <v/>
      </c>
      <c r="P300" s="22" t="str">
        <f t="shared" si="35"/>
        <v/>
      </c>
      <c r="Q300" s="22">
        <f t="shared" si="36"/>
        <v>1.211592955929448</v>
      </c>
      <c r="R300" s="29" t="str">
        <f t="shared" si="37"/>
        <v>No original Rhyp to compare</v>
      </c>
      <c r="S300" s="29" t="str">
        <f t="shared" si="38"/>
        <v/>
      </c>
      <c r="T300" s="22">
        <v>5.3</v>
      </c>
      <c r="U300" s="29" t="s">
        <v>4576</v>
      </c>
      <c r="V300" s="29" t="str">
        <f t="shared" si="39"/>
        <v>No geometric exceedance</v>
      </c>
      <c r="W300" s="30">
        <v>34.2057</v>
      </c>
      <c r="X300" s="30">
        <v>-118.5539</v>
      </c>
      <c r="Y300" s="30">
        <v>17.5</v>
      </c>
      <c r="Z300" s="30">
        <v>24.231859118589053</v>
      </c>
      <c r="AA300" s="29" t="s">
        <v>2812</v>
      </c>
      <c r="AB300" s="29"/>
      <c r="AC300" s="39"/>
      <c r="AD300" s="39"/>
    </row>
    <row r="301" spans="1:30" ht="58" customHeight="1">
      <c r="A301" s="1" t="s">
        <v>1263</v>
      </c>
      <c r="B301" s="1">
        <v>58</v>
      </c>
      <c r="C301" s="1" t="s">
        <v>3717</v>
      </c>
      <c r="D301" s="29" t="s">
        <v>426</v>
      </c>
      <c r="E301" s="29" t="s">
        <v>1062</v>
      </c>
      <c r="F301" s="1" t="s">
        <v>854</v>
      </c>
      <c r="G301" s="30">
        <v>34.683300000000003</v>
      </c>
      <c r="H301" s="30">
        <v>135.18</v>
      </c>
      <c r="I301" s="30">
        <v>34.595999999999997</v>
      </c>
      <c r="J301" s="30">
        <v>135.011</v>
      </c>
      <c r="K301" s="30">
        <v>17.899999999999999</v>
      </c>
      <c r="L301" s="22"/>
      <c r="M301" s="22">
        <f t="shared" si="32"/>
        <v>18.255755285111835</v>
      </c>
      <c r="N301" s="22">
        <f t="shared" si="33"/>
        <v>25.567217311038931</v>
      </c>
      <c r="O301" s="22" t="str">
        <f t="shared" si="34"/>
        <v/>
      </c>
      <c r="P301" s="22" t="str">
        <f t="shared" si="35"/>
        <v/>
      </c>
      <c r="Q301" s="22">
        <f t="shared" si="36"/>
        <v>1.2783608655519467</v>
      </c>
      <c r="R301" s="29" t="str">
        <f t="shared" si="37"/>
        <v>No original Rhyp to compare</v>
      </c>
      <c r="S301" s="29" t="str">
        <f t="shared" si="38"/>
        <v/>
      </c>
      <c r="T301" s="22">
        <v>0.96</v>
      </c>
      <c r="U301" s="29" t="s">
        <v>4576</v>
      </c>
      <c r="V301" s="29" t="str">
        <f t="shared" si="39"/>
        <v>No geometric exceedance</v>
      </c>
      <c r="W301" s="30">
        <v>34.595999999999997</v>
      </c>
      <c r="X301" s="30">
        <v>135.011</v>
      </c>
      <c r="Y301" s="30">
        <v>17.899999999999999</v>
      </c>
      <c r="Z301" s="30">
        <v>25.567217311038892</v>
      </c>
      <c r="AA301" s="29" t="s">
        <v>2812</v>
      </c>
      <c r="AB301" s="29"/>
      <c r="AC301" s="39"/>
      <c r="AD301" s="39"/>
    </row>
    <row r="302" spans="1:30" ht="58" customHeight="1">
      <c r="A302" s="1" t="s">
        <v>1263</v>
      </c>
      <c r="B302" s="1">
        <v>59</v>
      </c>
      <c r="C302" s="1" t="s">
        <v>3719</v>
      </c>
      <c r="D302" s="29" t="s">
        <v>426</v>
      </c>
      <c r="E302" s="29" t="s">
        <v>1062</v>
      </c>
      <c r="F302" s="1" t="s">
        <v>855</v>
      </c>
      <c r="G302" s="30">
        <v>34.67</v>
      </c>
      <c r="H302" s="30">
        <v>135.20099999999999</v>
      </c>
      <c r="I302" s="30">
        <v>34.595999999999997</v>
      </c>
      <c r="J302" s="30">
        <v>135.011</v>
      </c>
      <c r="K302" s="30">
        <v>17.899999999999999</v>
      </c>
      <c r="L302" s="22"/>
      <c r="M302" s="22">
        <f t="shared" si="32"/>
        <v>19.23261599336433</v>
      </c>
      <c r="N302" s="22">
        <f t="shared" si="33"/>
        <v>26.273627803335675</v>
      </c>
      <c r="O302" s="22" t="str">
        <f t="shared" si="34"/>
        <v/>
      </c>
      <c r="P302" s="22" t="str">
        <f t="shared" si="35"/>
        <v/>
      </c>
      <c r="Q302" s="22">
        <f t="shared" si="36"/>
        <v>1.3136813901667839</v>
      </c>
      <c r="R302" s="29" t="str">
        <f t="shared" si="37"/>
        <v>No original Rhyp to compare</v>
      </c>
      <c r="S302" s="29" t="str">
        <f t="shared" si="38"/>
        <v/>
      </c>
      <c r="T302" s="22">
        <v>3.31</v>
      </c>
      <c r="U302" s="29" t="s">
        <v>4576</v>
      </c>
      <c r="V302" s="29" t="str">
        <f t="shared" si="39"/>
        <v>No geometric exceedance</v>
      </c>
      <c r="W302" s="30">
        <v>34.595999999999997</v>
      </c>
      <c r="X302" s="30">
        <v>135.011</v>
      </c>
      <c r="Y302" s="30">
        <v>17.899999999999999</v>
      </c>
      <c r="Z302" s="30">
        <v>26.273627803335643</v>
      </c>
      <c r="AA302" s="29" t="s">
        <v>2812</v>
      </c>
      <c r="AB302" s="29"/>
      <c r="AC302" s="39"/>
      <c r="AD302" s="39"/>
    </row>
    <row r="303" spans="1:30" ht="58" customHeight="1">
      <c r="A303" s="1" t="s">
        <v>1263</v>
      </c>
      <c r="B303" s="1">
        <v>60</v>
      </c>
      <c r="C303" s="1" t="s">
        <v>3721</v>
      </c>
      <c r="D303" s="29" t="s">
        <v>426</v>
      </c>
      <c r="E303" s="29" t="s">
        <v>1062</v>
      </c>
      <c r="F303" s="1" t="s">
        <v>856</v>
      </c>
      <c r="G303" s="30">
        <v>34.808999999999997</v>
      </c>
      <c r="H303" s="30">
        <v>135.34399999999999</v>
      </c>
      <c r="I303" s="30">
        <v>34.595999999999997</v>
      </c>
      <c r="J303" s="30">
        <v>135.011</v>
      </c>
      <c r="K303" s="30">
        <v>17.899999999999999</v>
      </c>
      <c r="L303" s="22"/>
      <c r="M303" s="22">
        <f t="shared" si="32"/>
        <v>38.569796213987864</v>
      </c>
      <c r="N303" s="22">
        <f t="shared" si="33"/>
        <v>42.521043966353325</v>
      </c>
      <c r="O303" s="22" t="str">
        <f t="shared" si="34"/>
        <v/>
      </c>
      <c r="P303" s="22" t="str">
        <f t="shared" si="35"/>
        <v/>
      </c>
      <c r="Q303" s="22">
        <f t="shared" si="36"/>
        <v>2.1260521983176663</v>
      </c>
      <c r="R303" s="29" t="str">
        <f t="shared" si="37"/>
        <v>No original Rhyp to compare</v>
      </c>
      <c r="S303" s="29" t="str">
        <f t="shared" si="38"/>
        <v/>
      </c>
      <c r="T303" s="22">
        <v>0.27</v>
      </c>
      <c r="U303" s="29" t="s">
        <v>4576</v>
      </c>
      <c r="V303" s="29" t="str">
        <f t="shared" si="39"/>
        <v>No geometric exceedance</v>
      </c>
      <c r="W303" s="30">
        <v>34.595999999999997</v>
      </c>
      <c r="X303" s="30">
        <v>135.011</v>
      </c>
      <c r="Y303" s="30">
        <v>17.899999999999999</v>
      </c>
      <c r="Z303" s="30">
        <v>42.521043966353545</v>
      </c>
      <c r="AA303" s="29" t="s">
        <v>2812</v>
      </c>
      <c r="AB303" s="29"/>
      <c r="AC303" s="39"/>
      <c r="AD303" s="39"/>
    </row>
    <row r="304" spans="1:30" ht="58" customHeight="1">
      <c r="A304" s="1" t="s">
        <v>1263</v>
      </c>
      <c r="B304" s="1">
        <v>61</v>
      </c>
      <c r="C304" s="1" t="s">
        <v>3723</v>
      </c>
      <c r="D304" s="29" t="s">
        <v>426</v>
      </c>
      <c r="E304" s="29" t="s">
        <v>1062</v>
      </c>
      <c r="F304" s="1" t="s">
        <v>857</v>
      </c>
      <c r="G304" s="30">
        <v>34.649000000000001</v>
      </c>
      <c r="H304" s="30">
        <v>135.13900000000001</v>
      </c>
      <c r="I304" s="30">
        <v>34.595999999999997</v>
      </c>
      <c r="J304" s="30">
        <v>135.011</v>
      </c>
      <c r="K304" s="30">
        <v>17.899999999999999</v>
      </c>
      <c r="L304" s="22"/>
      <c r="M304" s="22">
        <f t="shared" si="32"/>
        <v>13.111582804592896</v>
      </c>
      <c r="N304" s="22">
        <f t="shared" si="33"/>
        <v>22.188366403178403</v>
      </c>
      <c r="O304" s="22" t="str">
        <f t="shared" si="34"/>
        <v/>
      </c>
      <c r="P304" s="22" t="str">
        <f t="shared" si="35"/>
        <v/>
      </c>
      <c r="Q304" s="22">
        <f t="shared" si="36"/>
        <v>1.1094183201589203</v>
      </c>
      <c r="R304" s="29" t="str">
        <f t="shared" si="37"/>
        <v>No original Rhyp to compare</v>
      </c>
      <c r="S304" s="29" t="str">
        <f t="shared" si="38"/>
        <v/>
      </c>
      <c r="T304" s="22">
        <v>1.47</v>
      </c>
      <c r="U304" s="29" t="s">
        <v>4576</v>
      </c>
      <c r="V304" s="29" t="str">
        <f t="shared" si="39"/>
        <v>No geometric exceedance</v>
      </c>
      <c r="W304" s="30">
        <v>34.595999999999997</v>
      </c>
      <c r="X304" s="30">
        <v>135.011</v>
      </c>
      <c r="Y304" s="30">
        <v>17.899999999999999</v>
      </c>
      <c r="Z304" s="30">
        <v>22.188366403178513</v>
      </c>
      <c r="AA304" s="29" t="s">
        <v>2812</v>
      </c>
      <c r="AB304" s="29"/>
      <c r="AC304" s="39"/>
      <c r="AD304" s="39"/>
    </row>
    <row r="305" spans="1:30" ht="58" customHeight="1">
      <c r="A305" s="1" t="s">
        <v>1263</v>
      </c>
      <c r="B305" s="1">
        <v>62</v>
      </c>
      <c r="C305" s="1" t="s">
        <v>3725</v>
      </c>
      <c r="D305" s="29" t="s">
        <v>440</v>
      </c>
      <c r="E305" s="29" t="s">
        <v>441</v>
      </c>
      <c r="F305" s="1" t="s">
        <v>1063</v>
      </c>
      <c r="G305" s="30">
        <v>23.483000000000001</v>
      </c>
      <c r="H305" s="30">
        <v>120.65433299999999</v>
      </c>
      <c r="I305" s="30">
        <v>23.502300000000002</v>
      </c>
      <c r="J305" s="30">
        <v>120.66119999999999</v>
      </c>
      <c r="K305" s="30">
        <v>6.18</v>
      </c>
      <c r="L305" s="22"/>
      <c r="M305" s="22">
        <f t="shared" si="32"/>
        <v>2.2574276825426156</v>
      </c>
      <c r="N305" s="22">
        <f t="shared" si="33"/>
        <v>6.5793905296698814</v>
      </c>
      <c r="O305" s="22" t="str">
        <f t="shared" si="34"/>
        <v/>
      </c>
      <c r="P305" s="22" t="str">
        <f t="shared" si="35"/>
        <v/>
      </c>
      <c r="Q305" s="22">
        <f t="shared" si="36"/>
        <v>1</v>
      </c>
      <c r="R305" s="29" t="str">
        <f t="shared" si="37"/>
        <v>No original Rhyp to compare</v>
      </c>
      <c r="S305" s="29" t="str">
        <f t="shared" si="38"/>
        <v/>
      </c>
      <c r="T305" s="22">
        <v>5.5230880000000004</v>
      </c>
      <c r="U305" s="29" t="s">
        <v>4576</v>
      </c>
      <c r="V305" s="29" t="str">
        <f t="shared" si="39"/>
        <v>No geometric exceedance</v>
      </c>
      <c r="W305" s="30">
        <v>23.502300000000002</v>
      </c>
      <c r="X305" s="30">
        <v>120.66119999999999</v>
      </c>
      <c r="Y305" s="30">
        <v>6.18</v>
      </c>
      <c r="Z305" s="30">
        <v>6.5793905296698814</v>
      </c>
      <c r="AA305" s="29" t="s">
        <v>2812</v>
      </c>
      <c r="AB305" s="29"/>
      <c r="AC305" s="39"/>
      <c r="AD305" s="39"/>
    </row>
    <row r="306" spans="1:30" ht="58" customHeight="1">
      <c r="A306" s="1" t="s">
        <v>1263</v>
      </c>
      <c r="B306" s="1">
        <v>63</v>
      </c>
      <c r="C306" s="1" t="s">
        <v>3727</v>
      </c>
      <c r="D306" s="29" t="s">
        <v>440</v>
      </c>
      <c r="E306" s="29" t="s">
        <v>441</v>
      </c>
      <c r="F306" s="1" t="s">
        <v>1064</v>
      </c>
      <c r="G306" s="30">
        <v>23.470666999999999</v>
      </c>
      <c r="H306" s="30">
        <v>120.44533300000001</v>
      </c>
      <c r="I306" s="30">
        <v>23.502300000000002</v>
      </c>
      <c r="J306" s="30">
        <v>120.66119999999999</v>
      </c>
      <c r="K306" s="30">
        <v>6.18</v>
      </c>
      <c r="L306" s="22"/>
      <c r="M306" s="22">
        <f t="shared" si="32"/>
        <v>22.293966608417755</v>
      </c>
      <c r="N306" s="22">
        <f t="shared" si="33"/>
        <v>23.134678453292707</v>
      </c>
      <c r="O306" s="22" t="str">
        <f t="shared" si="34"/>
        <v/>
      </c>
      <c r="P306" s="22" t="str">
        <f t="shared" si="35"/>
        <v/>
      </c>
      <c r="Q306" s="22">
        <f t="shared" si="36"/>
        <v>1.1567339226646354</v>
      </c>
      <c r="R306" s="29" t="str">
        <f t="shared" si="37"/>
        <v>No original Rhyp to compare</v>
      </c>
      <c r="S306" s="29" t="str">
        <f t="shared" si="38"/>
        <v/>
      </c>
      <c r="T306" s="22">
        <v>18.420864000000002</v>
      </c>
      <c r="U306" s="29" t="s">
        <v>4576</v>
      </c>
      <c r="V306" s="29" t="str">
        <f t="shared" si="39"/>
        <v>No geometric exceedance</v>
      </c>
      <c r="W306" s="30">
        <v>23.502300000000002</v>
      </c>
      <c r="X306" s="30">
        <v>120.66119999999999</v>
      </c>
      <c r="Y306" s="30">
        <v>6.18</v>
      </c>
      <c r="Z306" s="30">
        <v>23.134678453292686</v>
      </c>
      <c r="AA306" s="29" t="s">
        <v>2812</v>
      </c>
      <c r="AB306" s="29"/>
      <c r="AC306" s="39"/>
      <c r="AD306" s="39"/>
    </row>
    <row r="307" spans="1:30" ht="58" customHeight="1">
      <c r="A307" s="1" t="s">
        <v>1263</v>
      </c>
      <c r="B307" s="1">
        <v>64</v>
      </c>
      <c r="C307" s="1" t="s">
        <v>3729</v>
      </c>
      <c r="D307" s="29" t="s">
        <v>463</v>
      </c>
      <c r="E307" s="29" t="s">
        <v>1065</v>
      </c>
      <c r="F307" s="1" t="s">
        <v>864</v>
      </c>
      <c r="G307" s="30">
        <v>23.755333</v>
      </c>
      <c r="H307" s="30">
        <v>120.615667</v>
      </c>
      <c r="I307" s="30">
        <v>23.81</v>
      </c>
      <c r="J307" s="30">
        <v>120.85</v>
      </c>
      <c r="K307" s="30">
        <v>7.8</v>
      </c>
      <c r="L307" s="22"/>
      <c r="M307" s="22">
        <f t="shared" si="32"/>
        <v>24.606595026445447</v>
      </c>
      <c r="N307" s="22">
        <f t="shared" si="33"/>
        <v>25.813262459353911</v>
      </c>
      <c r="O307" s="22" t="str">
        <f t="shared" si="34"/>
        <v/>
      </c>
      <c r="P307" s="22" t="str">
        <f t="shared" si="35"/>
        <v/>
      </c>
      <c r="Q307" s="22">
        <f t="shared" si="36"/>
        <v>1.2906631229676957</v>
      </c>
      <c r="R307" s="29" t="str">
        <f t="shared" si="37"/>
        <v>No original Rhyp to compare</v>
      </c>
      <c r="S307" s="29" t="str">
        <f t="shared" si="38"/>
        <v/>
      </c>
      <c r="T307" s="22">
        <v>18.733087000000001</v>
      </c>
      <c r="U307" s="29" t="s">
        <v>4576</v>
      </c>
      <c r="V307" s="29" t="str">
        <f t="shared" si="39"/>
        <v>No geometric exceedance</v>
      </c>
      <c r="W307" s="30">
        <v>23.81</v>
      </c>
      <c r="X307" s="30">
        <v>120.85</v>
      </c>
      <c r="Y307" s="30">
        <v>7.8</v>
      </c>
      <c r="Z307" s="30">
        <v>25.813262459353862</v>
      </c>
      <c r="AA307" s="29" t="s">
        <v>2812</v>
      </c>
      <c r="AB307" s="29"/>
      <c r="AC307" s="39"/>
      <c r="AD307" s="39"/>
    </row>
    <row r="308" spans="1:30" ht="58" customHeight="1">
      <c r="A308" s="1" t="s">
        <v>1263</v>
      </c>
      <c r="B308" s="1">
        <v>65</v>
      </c>
      <c r="C308" s="1" t="s">
        <v>3731</v>
      </c>
      <c r="D308" s="29" t="s">
        <v>463</v>
      </c>
      <c r="E308" s="29" t="s">
        <v>1065</v>
      </c>
      <c r="F308" s="1" t="s">
        <v>914</v>
      </c>
      <c r="G308" s="30">
        <v>23.518667000000001</v>
      </c>
      <c r="H308" s="30">
        <v>120.591667</v>
      </c>
      <c r="I308" s="30">
        <v>23.81</v>
      </c>
      <c r="J308" s="30">
        <v>120.85</v>
      </c>
      <c r="K308" s="30">
        <v>7.8</v>
      </c>
      <c r="L308" s="22"/>
      <c r="M308" s="22">
        <f t="shared" si="32"/>
        <v>41.732808444327745</v>
      </c>
      <c r="N308" s="22">
        <f t="shared" si="33"/>
        <v>42.455474330773328</v>
      </c>
      <c r="O308" s="22" t="str">
        <f t="shared" si="34"/>
        <v/>
      </c>
      <c r="P308" s="22" t="str">
        <f t="shared" si="35"/>
        <v/>
      </c>
      <c r="Q308" s="22">
        <f t="shared" si="36"/>
        <v>2.1227737165386666</v>
      </c>
      <c r="R308" s="29" t="str">
        <f t="shared" si="37"/>
        <v>No original Rhyp to compare</v>
      </c>
      <c r="S308" s="29" t="str">
        <f t="shared" si="38"/>
        <v/>
      </c>
      <c r="T308" s="22">
        <v>34.140867</v>
      </c>
      <c r="U308" s="29" t="s">
        <v>4576</v>
      </c>
      <c r="V308" s="29" t="str">
        <f t="shared" si="39"/>
        <v>No geometric exceedance</v>
      </c>
      <c r="W308" s="30">
        <v>23.81</v>
      </c>
      <c r="X308" s="30">
        <v>120.85</v>
      </c>
      <c r="Y308" s="30">
        <v>7.8</v>
      </c>
      <c r="Z308" s="30">
        <v>42.455474330773349</v>
      </c>
      <c r="AA308" s="29" t="s">
        <v>2812</v>
      </c>
      <c r="AB308" s="29"/>
      <c r="AC308" s="39"/>
      <c r="AD308" s="39"/>
    </row>
    <row r="309" spans="1:30" ht="58" customHeight="1">
      <c r="A309" s="1" t="s">
        <v>1263</v>
      </c>
      <c r="B309" s="1">
        <v>66</v>
      </c>
      <c r="C309" s="1" t="s">
        <v>3733</v>
      </c>
      <c r="D309" s="29" t="s">
        <v>463</v>
      </c>
      <c r="E309" s="29" t="s">
        <v>1065</v>
      </c>
      <c r="F309" s="1" t="s">
        <v>915</v>
      </c>
      <c r="G309" s="30">
        <v>23.597166999999999</v>
      </c>
      <c r="H309" s="30">
        <v>120.676833</v>
      </c>
      <c r="I309" s="30">
        <v>23.81</v>
      </c>
      <c r="J309" s="30">
        <v>120.85</v>
      </c>
      <c r="K309" s="30">
        <v>7.8</v>
      </c>
      <c r="L309" s="22"/>
      <c r="M309" s="22">
        <f t="shared" si="32"/>
        <v>29.511421992135844</v>
      </c>
      <c r="N309" s="22">
        <f t="shared" si="33"/>
        <v>30.524810040324887</v>
      </c>
      <c r="O309" s="22" t="str">
        <f t="shared" si="34"/>
        <v/>
      </c>
      <c r="P309" s="22" t="str">
        <f t="shared" si="35"/>
        <v/>
      </c>
      <c r="Q309" s="22">
        <f t="shared" si="36"/>
        <v>1.5262405020162444</v>
      </c>
      <c r="R309" s="29" t="str">
        <f t="shared" si="37"/>
        <v>No original Rhyp to compare</v>
      </c>
      <c r="S309" s="29" t="str">
        <f t="shared" si="38"/>
        <v/>
      </c>
      <c r="T309" s="22">
        <v>22.398382000000002</v>
      </c>
      <c r="U309" s="29" t="s">
        <v>4576</v>
      </c>
      <c r="V309" s="29" t="str">
        <f t="shared" si="39"/>
        <v>No geometric exceedance</v>
      </c>
      <c r="W309" s="30">
        <v>23.81</v>
      </c>
      <c r="X309" s="30">
        <v>120.85</v>
      </c>
      <c r="Y309" s="30">
        <v>7.8</v>
      </c>
      <c r="Z309" s="30">
        <v>30.524810040324851</v>
      </c>
      <c r="AA309" s="29" t="s">
        <v>2812</v>
      </c>
      <c r="AB309" s="29"/>
      <c r="AC309" s="39"/>
      <c r="AD309" s="39"/>
    </row>
    <row r="310" spans="1:30" ht="58" customHeight="1">
      <c r="A310" s="1" t="s">
        <v>1263</v>
      </c>
      <c r="B310" s="1">
        <v>67</v>
      </c>
      <c r="C310" s="1" t="s">
        <v>3735</v>
      </c>
      <c r="D310" s="29" t="s">
        <v>463</v>
      </c>
      <c r="E310" s="29" t="s">
        <v>1065</v>
      </c>
      <c r="F310" s="1" t="s">
        <v>894</v>
      </c>
      <c r="G310" s="30">
        <v>24.056166999999999</v>
      </c>
      <c r="H310" s="30">
        <v>120.699833</v>
      </c>
      <c r="I310" s="30">
        <v>23.81</v>
      </c>
      <c r="J310" s="30">
        <v>120.85</v>
      </c>
      <c r="K310" s="30">
        <v>7.8</v>
      </c>
      <c r="L310" s="22"/>
      <c r="M310" s="22">
        <f t="shared" si="32"/>
        <v>31.339861453709499</v>
      </c>
      <c r="N310" s="22">
        <f t="shared" si="33"/>
        <v>32.295927234524576</v>
      </c>
      <c r="O310" s="22" t="str">
        <f t="shared" si="34"/>
        <v/>
      </c>
      <c r="P310" s="22" t="str">
        <f t="shared" si="35"/>
        <v/>
      </c>
      <c r="Q310" s="22">
        <f t="shared" si="36"/>
        <v>1.6147963617262289</v>
      </c>
      <c r="R310" s="29" t="str">
        <f t="shared" si="37"/>
        <v>No original Rhyp to compare</v>
      </c>
      <c r="S310" s="29" t="str">
        <f t="shared" si="38"/>
        <v/>
      </c>
      <c r="T310" s="22">
        <v>25.456793999999999</v>
      </c>
      <c r="U310" s="29" t="s">
        <v>4576</v>
      </c>
      <c r="V310" s="29" t="str">
        <f t="shared" si="39"/>
        <v>No geometric exceedance</v>
      </c>
      <c r="W310" s="30">
        <v>23.81</v>
      </c>
      <c r="X310" s="30">
        <v>120.85</v>
      </c>
      <c r="Y310" s="30">
        <v>7.8</v>
      </c>
      <c r="Z310" s="30">
        <v>32.295927234524591</v>
      </c>
      <c r="AA310" s="29" t="s">
        <v>2812</v>
      </c>
      <c r="AB310" s="29"/>
      <c r="AC310" s="39"/>
      <c r="AD310" s="39"/>
    </row>
    <row r="311" spans="1:30" ht="58" customHeight="1">
      <c r="A311" s="1" t="s">
        <v>1263</v>
      </c>
      <c r="B311" s="1">
        <v>68</v>
      </c>
      <c r="C311" s="1" t="s">
        <v>3737</v>
      </c>
      <c r="D311" s="29" t="s">
        <v>463</v>
      </c>
      <c r="E311" s="29" t="s">
        <v>1065</v>
      </c>
      <c r="F311" s="1" t="s">
        <v>897</v>
      </c>
      <c r="G311" s="30">
        <v>23.906500000000001</v>
      </c>
      <c r="H311" s="30">
        <v>120.6835</v>
      </c>
      <c r="I311" s="30">
        <v>23.81</v>
      </c>
      <c r="J311" s="30">
        <v>120.85</v>
      </c>
      <c r="K311" s="30">
        <v>7.8</v>
      </c>
      <c r="L311" s="22"/>
      <c r="M311" s="22">
        <f t="shared" si="32"/>
        <v>20.045679525490712</v>
      </c>
      <c r="N311" s="22">
        <f t="shared" si="33"/>
        <v>21.509748200262074</v>
      </c>
      <c r="O311" s="22" t="str">
        <f t="shared" si="34"/>
        <v/>
      </c>
      <c r="P311" s="22" t="str">
        <f t="shared" si="35"/>
        <v/>
      </c>
      <c r="Q311" s="22">
        <f t="shared" si="36"/>
        <v>1.0754874100131038</v>
      </c>
      <c r="R311" s="29" t="str">
        <f t="shared" si="37"/>
        <v>No original Rhyp to compare</v>
      </c>
      <c r="S311" s="29" t="str">
        <f t="shared" si="38"/>
        <v/>
      </c>
      <c r="T311" s="22">
        <v>13.984137</v>
      </c>
      <c r="U311" s="29" t="s">
        <v>4576</v>
      </c>
      <c r="V311" s="29" t="str">
        <f t="shared" si="39"/>
        <v>No geometric exceedance</v>
      </c>
      <c r="W311" s="30">
        <v>23.81</v>
      </c>
      <c r="X311" s="30">
        <v>120.85</v>
      </c>
      <c r="Y311" s="30">
        <v>7.8</v>
      </c>
      <c r="Z311" s="30">
        <v>21.509748200262102</v>
      </c>
      <c r="AA311" s="29" t="s">
        <v>2812</v>
      </c>
      <c r="AB311" s="29"/>
      <c r="AC311" s="39"/>
      <c r="AD311" s="39"/>
    </row>
    <row r="312" spans="1:30" ht="58" customHeight="1">
      <c r="A312" s="1" t="s">
        <v>1263</v>
      </c>
      <c r="B312" s="1">
        <v>69</v>
      </c>
      <c r="C312" s="1" t="s">
        <v>3739</v>
      </c>
      <c r="D312" s="29" t="s">
        <v>463</v>
      </c>
      <c r="E312" s="29" t="s">
        <v>1065</v>
      </c>
      <c r="F312" s="1" t="s">
        <v>916</v>
      </c>
      <c r="G312" s="30">
        <v>23.810500000000001</v>
      </c>
      <c r="H312" s="30">
        <v>120.853667</v>
      </c>
      <c r="I312" s="30">
        <v>23.81</v>
      </c>
      <c r="J312" s="30">
        <v>120.85</v>
      </c>
      <c r="K312" s="30">
        <v>7.8</v>
      </c>
      <c r="L312" s="22"/>
      <c r="M312" s="22">
        <f t="shared" si="32"/>
        <v>0.37716726524220351</v>
      </c>
      <c r="N312" s="22">
        <f t="shared" si="33"/>
        <v>7.8091135954069895</v>
      </c>
      <c r="O312" s="22" t="str">
        <f t="shared" si="34"/>
        <v/>
      </c>
      <c r="P312" s="22" t="str">
        <f t="shared" si="35"/>
        <v/>
      </c>
      <c r="Q312" s="22">
        <f t="shared" si="36"/>
        <v>1</v>
      </c>
      <c r="R312" s="29" t="str">
        <f t="shared" si="37"/>
        <v>No original Rhyp to compare</v>
      </c>
      <c r="S312" s="29" t="str">
        <f t="shared" si="38"/>
        <v/>
      </c>
      <c r="T312" s="22">
        <v>7.7681480000000001</v>
      </c>
      <c r="U312" s="29" t="s">
        <v>4576</v>
      </c>
      <c r="V312" s="29" t="str">
        <f t="shared" si="39"/>
        <v>No geometric exceedance</v>
      </c>
      <c r="W312" s="30">
        <v>23.81</v>
      </c>
      <c r="X312" s="30">
        <v>120.85</v>
      </c>
      <c r="Y312" s="30">
        <v>7.8</v>
      </c>
      <c r="Z312" s="30">
        <v>7.8091135954069921</v>
      </c>
      <c r="AA312" s="29" t="s">
        <v>2812</v>
      </c>
      <c r="AB312" s="29"/>
      <c r="AC312" s="39"/>
      <c r="AD312" s="39"/>
    </row>
    <row r="313" spans="1:30" ht="58" customHeight="1">
      <c r="A313" s="1" t="s">
        <v>1263</v>
      </c>
      <c r="B313" s="1">
        <v>70</v>
      </c>
      <c r="C313" s="1" t="s">
        <v>3741</v>
      </c>
      <c r="D313" s="29" t="s">
        <v>463</v>
      </c>
      <c r="E313" s="29" t="s">
        <v>1065</v>
      </c>
      <c r="F313" s="1" t="s">
        <v>1066</v>
      </c>
      <c r="G313" s="30">
        <v>23.855699999999999</v>
      </c>
      <c r="H313" s="30">
        <v>120.58880000000001</v>
      </c>
      <c r="I313" s="30">
        <v>23.81</v>
      </c>
      <c r="J313" s="30">
        <v>120.85</v>
      </c>
      <c r="K313" s="30">
        <v>7.8</v>
      </c>
      <c r="L313" s="22"/>
      <c r="M313" s="22">
        <f t="shared" si="32"/>
        <v>27.049083393545743</v>
      </c>
      <c r="N313" s="22">
        <f t="shared" si="33"/>
        <v>28.151250637067477</v>
      </c>
      <c r="O313" s="22" t="str">
        <f t="shared" si="34"/>
        <v/>
      </c>
      <c r="P313" s="22" t="str">
        <f t="shared" si="35"/>
        <v/>
      </c>
      <c r="Q313" s="22">
        <f t="shared" si="36"/>
        <v>1.407562531853374</v>
      </c>
      <c r="R313" s="29" t="str">
        <f t="shared" si="37"/>
        <v>No original Rhyp to compare</v>
      </c>
      <c r="S313" s="29" t="str">
        <f t="shared" si="38"/>
        <v/>
      </c>
      <c r="T313" s="22">
        <v>21.2972</v>
      </c>
      <c r="U313" s="29" t="s">
        <v>4576</v>
      </c>
      <c r="V313" s="29" t="str">
        <f t="shared" si="39"/>
        <v>No geometric exceedance</v>
      </c>
      <c r="W313" s="30">
        <v>23.81</v>
      </c>
      <c r="X313" s="30">
        <v>120.85</v>
      </c>
      <c r="Y313" s="30">
        <v>7.8</v>
      </c>
      <c r="Z313" s="30">
        <v>28.151250637067495</v>
      </c>
      <c r="AA313" s="29" t="s">
        <v>2812</v>
      </c>
      <c r="AB313" s="29"/>
      <c r="AC313" s="39"/>
      <c r="AD313" s="39"/>
    </row>
    <row r="314" spans="1:30" ht="58" customHeight="1">
      <c r="A314" s="1" t="s">
        <v>1263</v>
      </c>
      <c r="B314" s="1">
        <v>71</v>
      </c>
      <c r="C314" s="1" t="s">
        <v>3743</v>
      </c>
      <c r="D314" s="29" t="s">
        <v>463</v>
      </c>
      <c r="E314" s="29" t="s">
        <v>1065</v>
      </c>
      <c r="F314" s="1" t="s">
        <v>1067</v>
      </c>
      <c r="G314" s="30">
        <v>23.920500000000001</v>
      </c>
      <c r="H314" s="30">
        <v>120.602833</v>
      </c>
      <c r="I314" s="30">
        <v>23.81</v>
      </c>
      <c r="J314" s="30">
        <v>120.85</v>
      </c>
      <c r="K314" s="30">
        <v>7.8</v>
      </c>
      <c r="L314" s="22"/>
      <c r="M314" s="22">
        <f t="shared" si="32"/>
        <v>27.976437154236635</v>
      </c>
      <c r="N314" s="22">
        <f t="shared" si="33"/>
        <v>29.043433609767149</v>
      </c>
      <c r="O314" s="22" t="str">
        <f t="shared" si="34"/>
        <v/>
      </c>
      <c r="P314" s="22" t="str">
        <f t="shared" si="35"/>
        <v/>
      </c>
      <c r="Q314" s="22">
        <f t="shared" si="36"/>
        <v>1.4521716804883575</v>
      </c>
      <c r="R314" s="29" t="str">
        <f t="shared" si="37"/>
        <v>No original Rhyp to compare</v>
      </c>
      <c r="S314" s="29" t="str">
        <f t="shared" si="38"/>
        <v/>
      </c>
      <c r="T314" s="22">
        <v>21.404492999999999</v>
      </c>
      <c r="U314" s="29" t="s">
        <v>4576</v>
      </c>
      <c r="V314" s="29" t="str">
        <f t="shared" si="39"/>
        <v>No geometric exceedance</v>
      </c>
      <c r="W314" s="30">
        <v>23.81</v>
      </c>
      <c r="X314" s="30">
        <v>120.85</v>
      </c>
      <c r="Y314" s="30">
        <v>7.8</v>
      </c>
      <c r="Z314" s="30">
        <v>29.043433609767273</v>
      </c>
      <c r="AA314" s="29" t="s">
        <v>2812</v>
      </c>
      <c r="AB314" s="29"/>
      <c r="AC314" s="39"/>
      <c r="AD314" s="39"/>
    </row>
    <row r="315" spans="1:30" ht="58" customHeight="1">
      <c r="A315" s="1" t="s">
        <v>1263</v>
      </c>
      <c r="B315" s="1">
        <v>72</v>
      </c>
      <c r="C315" s="1" t="s">
        <v>3745</v>
      </c>
      <c r="D315" s="29" t="s">
        <v>477</v>
      </c>
      <c r="E315" s="29" t="s">
        <v>478</v>
      </c>
      <c r="F315" s="1" t="s">
        <v>894</v>
      </c>
      <c r="G315" s="30">
        <v>24.056166999999999</v>
      </c>
      <c r="H315" s="30">
        <v>120.699833</v>
      </c>
      <c r="I315" s="30">
        <v>23.864999999999998</v>
      </c>
      <c r="J315" s="30">
        <v>121.0395</v>
      </c>
      <c r="K315" s="30">
        <v>19.079999999999998</v>
      </c>
      <c r="L315" s="22"/>
      <c r="M315" s="22">
        <f t="shared" si="32"/>
        <v>40.535155903454779</v>
      </c>
      <c r="N315" s="22">
        <f t="shared" si="33"/>
        <v>44.801174807334959</v>
      </c>
      <c r="O315" s="22" t="str">
        <f t="shared" si="34"/>
        <v/>
      </c>
      <c r="P315" s="22" t="str">
        <f t="shared" si="35"/>
        <v/>
      </c>
      <c r="Q315" s="22">
        <f t="shared" si="36"/>
        <v>2.2400587403667482</v>
      </c>
      <c r="R315" s="29" t="str">
        <f t="shared" si="37"/>
        <v>No original Rhyp to compare</v>
      </c>
      <c r="S315" s="29" t="str">
        <f t="shared" si="38"/>
        <v/>
      </c>
      <c r="T315" s="22">
        <v>34.324221000000001</v>
      </c>
      <c r="U315" s="29" t="s">
        <v>4576</v>
      </c>
      <c r="V315" s="29" t="str">
        <f t="shared" si="39"/>
        <v>No geometric exceedance</v>
      </c>
      <c r="W315" s="30">
        <v>23.864999999999998</v>
      </c>
      <c r="X315" s="30">
        <v>121.0395</v>
      </c>
      <c r="Y315" s="30">
        <v>19.079999999999998</v>
      </c>
      <c r="Z315" s="30">
        <v>44.801174807334974</v>
      </c>
      <c r="AA315" s="29" t="s">
        <v>2812</v>
      </c>
      <c r="AB315" s="29"/>
      <c r="AC315" s="39"/>
      <c r="AD315" s="39"/>
    </row>
    <row r="316" spans="1:30" ht="58" customHeight="1">
      <c r="A316" s="1" t="s">
        <v>1263</v>
      </c>
      <c r="B316" s="1">
        <v>73</v>
      </c>
      <c r="C316" s="1" t="s">
        <v>3748</v>
      </c>
      <c r="D316" s="29" t="s">
        <v>477</v>
      </c>
      <c r="E316" s="29" t="s">
        <v>478</v>
      </c>
      <c r="F316" s="1" t="s">
        <v>1068</v>
      </c>
      <c r="G316" s="30">
        <v>24.09</v>
      </c>
      <c r="H316" s="30">
        <v>120.728167</v>
      </c>
      <c r="I316" s="30">
        <v>23.864999999999998</v>
      </c>
      <c r="J316" s="30">
        <v>121.0395</v>
      </c>
      <c r="K316" s="30">
        <v>19.079999999999998</v>
      </c>
      <c r="L316" s="22"/>
      <c r="M316" s="22">
        <f t="shared" si="32"/>
        <v>40.32959230550648</v>
      </c>
      <c r="N316" s="22">
        <f t="shared" si="33"/>
        <v>44.615271102262369</v>
      </c>
      <c r="O316" s="22" t="str">
        <f t="shared" si="34"/>
        <v/>
      </c>
      <c r="P316" s="22" t="str">
        <f t="shared" si="35"/>
        <v/>
      </c>
      <c r="Q316" s="22">
        <f t="shared" si="36"/>
        <v>2.2307635551131186</v>
      </c>
      <c r="R316" s="29" t="str">
        <f t="shared" si="37"/>
        <v>No original Rhyp to compare</v>
      </c>
      <c r="S316" s="29" t="str">
        <f t="shared" si="38"/>
        <v/>
      </c>
      <c r="T316" s="22">
        <v>34.237143000000003</v>
      </c>
      <c r="U316" s="29" t="s">
        <v>4576</v>
      </c>
      <c r="V316" s="29" t="str">
        <f t="shared" si="39"/>
        <v>No geometric exceedance</v>
      </c>
      <c r="W316" s="30">
        <v>23.864999999999998</v>
      </c>
      <c r="X316" s="30">
        <v>121.0395</v>
      </c>
      <c r="Y316" s="30">
        <v>19.079999999999998</v>
      </c>
      <c r="Z316" s="30">
        <v>44.615271102262398</v>
      </c>
      <c r="AA316" s="29" t="s">
        <v>2812</v>
      </c>
      <c r="AB316" s="29"/>
      <c r="AC316" s="39"/>
      <c r="AD316" s="39"/>
    </row>
    <row r="317" spans="1:30" ht="58" customHeight="1">
      <c r="A317" s="1" t="s">
        <v>1263</v>
      </c>
      <c r="B317" s="1">
        <v>74</v>
      </c>
      <c r="C317" s="1" t="s">
        <v>3750</v>
      </c>
      <c r="D317" s="29" t="s">
        <v>477</v>
      </c>
      <c r="E317" s="29" t="s">
        <v>478</v>
      </c>
      <c r="F317" s="1" t="s">
        <v>1069</v>
      </c>
      <c r="G317" s="30">
        <v>23.984000000000002</v>
      </c>
      <c r="H317" s="30">
        <v>120.79516700000001</v>
      </c>
      <c r="I317" s="30">
        <v>23.864999999999998</v>
      </c>
      <c r="J317" s="30">
        <v>121.0395</v>
      </c>
      <c r="K317" s="30">
        <v>19.079999999999998</v>
      </c>
      <c r="L317" s="22"/>
      <c r="M317" s="22">
        <f t="shared" si="32"/>
        <v>28.139510819100828</v>
      </c>
      <c r="N317" s="22">
        <f t="shared" si="33"/>
        <v>33.998212734470215</v>
      </c>
      <c r="O317" s="22" t="str">
        <f t="shared" si="34"/>
        <v/>
      </c>
      <c r="P317" s="22" t="str">
        <f t="shared" si="35"/>
        <v/>
      </c>
      <c r="Q317" s="22">
        <f t="shared" si="36"/>
        <v>1.6999106367235108</v>
      </c>
      <c r="R317" s="29" t="str">
        <f t="shared" si="37"/>
        <v>No original Rhyp to compare</v>
      </c>
      <c r="S317" s="29" t="str">
        <f t="shared" si="38"/>
        <v/>
      </c>
      <c r="T317" s="22">
        <v>23.748746000000001</v>
      </c>
      <c r="U317" s="29" t="s">
        <v>4576</v>
      </c>
      <c r="V317" s="29" t="str">
        <f t="shared" si="39"/>
        <v>No geometric exceedance</v>
      </c>
      <c r="W317" s="30">
        <v>23.864999999999998</v>
      </c>
      <c r="X317" s="30">
        <v>121.0395</v>
      </c>
      <c r="Y317" s="30">
        <v>19.079999999999998</v>
      </c>
      <c r="Z317" s="30">
        <v>33.998212734470272</v>
      </c>
      <c r="AA317" s="29" t="s">
        <v>2812</v>
      </c>
      <c r="AB317" s="29"/>
      <c r="AC317" s="39"/>
      <c r="AD317" s="39"/>
    </row>
    <row r="318" spans="1:30" ht="58" customHeight="1">
      <c r="A318" s="1" t="s">
        <v>1263</v>
      </c>
      <c r="B318" s="1">
        <v>75</v>
      </c>
      <c r="C318" s="1" t="s">
        <v>3752</v>
      </c>
      <c r="D318" s="29" t="s">
        <v>477</v>
      </c>
      <c r="E318" s="29" t="s">
        <v>478</v>
      </c>
      <c r="F318" s="1" t="s">
        <v>1070</v>
      </c>
      <c r="G318" s="30">
        <v>23.836832999999999</v>
      </c>
      <c r="H318" s="30">
        <v>120.90216700000001</v>
      </c>
      <c r="I318" s="30">
        <v>23.864999999999998</v>
      </c>
      <c r="J318" s="30">
        <v>121.0395</v>
      </c>
      <c r="K318" s="30">
        <v>19.079999999999998</v>
      </c>
      <c r="L318" s="22"/>
      <c r="M318" s="22">
        <f t="shared" si="32"/>
        <v>14.313494621655247</v>
      </c>
      <c r="N318" s="22">
        <f t="shared" si="33"/>
        <v>23.852096936834581</v>
      </c>
      <c r="O318" s="22" t="str">
        <f t="shared" si="34"/>
        <v/>
      </c>
      <c r="P318" s="22" t="str">
        <f t="shared" si="35"/>
        <v/>
      </c>
      <c r="Q318" s="22">
        <f t="shared" si="36"/>
        <v>1.1926048468417292</v>
      </c>
      <c r="R318" s="29" t="str">
        <f t="shared" si="37"/>
        <v>No original Rhyp to compare</v>
      </c>
      <c r="S318" s="29" t="str">
        <f t="shared" si="38"/>
        <v/>
      </c>
      <c r="T318" s="22">
        <v>17.002390999999999</v>
      </c>
      <c r="U318" s="29" t="s">
        <v>4576</v>
      </c>
      <c r="V318" s="29" t="str">
        <f t="shared" si="39"/>
        <v>No geometric exceedance</v>
      </c>
      <c r="W318" s="30">
        <v>23.864999999999998</v>
      </c>
      <c r="X318" s="30">
        <v>121.0395</v>
      </c>
      <c r="Y318" s="30">
        <v>19.079999999999998</v>
      </c>
      <c r="Z318" s="30">
        <v>23.852096936834567</v>
      </c>
      <c r="AA318" s="29" t="s">
        <v>2812</v>
      </c>
      <c r="AB318" s="29"/>
      <c r="AC318" s="39"/>
      <c r="AD318" s="39"/>
    </row>
    <row r="319" spans="1:30" ht="58" customHeight="1">
      <c r="A319" s="1" t="s">
        <v>1263</v>
      </c>
      <c r="B319" s="1">
        <v>76</v>
      </c>
      <c r="C319" s="1" t="s">
        <v>3754</v>
      </c>
      <c r="D319" s="29" t="s">
        <v>477</v>
      </c>
      <c r="E319" s="29" t="s">
        <v>478</v>
      </c>
      <c r="F319" s="1" t="s">
        <v>1071</v>
      </c>
      <c r="G319" s="30">
        <v>23.881333000000001</v>
      </c>
      <c r="H319" s="30">
        <v>120.90816700000001</v>
      </c>
      <c r="I319" s="30">
        <v>23.864999999999998</v>
      </c>
      <c r="J319" s="30">
        <v>121.0395</v>
      </c>
      <c r="K319" s="30">
        <v>19.079999999999998</v>
      </c>
      <c r="L319" s="22"/>
      <c r="M319" s="22">
        <f t="shared" si="32"/>
        <v>13.477065492330441</v>
      </c>
      <c r="N319" s="22">
        <f t="shared" si="33"/>
        <v>23.359745167372093</v>
      </c>
      <c r="O319" s="22" t="str">
        <f t="shared" si="34"/>
        <v/>
      </c>
      <c r="P319" s="22" t="str">
        <f t="shared" si="35"/>
        <v/>
      </c>
      <c r="Q319" s="22">
        <f t="shared" si="36"/>
        <v>1.1679872583686046</v>
      </c>
      <c r="R319" s="29" t="str">
        <f t="shared" si="37"/>
        <v>No original Rhyp to compare</v>
      </c>
      <c r="S319" s="29" t="str">
        <f t="shared" si="38"/>
        <v/>
      </c>
      <c r="T319" s="22">
        <v>15.919055</v>
      </c>
      <c r="U319" s="29" t="s">
        <v>4576</v>
      </c>
      <c r="V319" s="29" t="str">
        <f t="shared" si="39"/>
        <v>No geometric exceedance</v>
      </c>
      <c r="W319" s="30">
        <v>23.864999999999998</v>
      </c>
      <c r="X319" s="30">
        <v>121.0395</v>
      </c>
      <c r="Y319" s="30">
        <v>19.079999999999998</v>
      </c>
      <c r="Z319" s="30">
        <v>23.359745167372093</v>
      </c>
      <c r="AA319" s="29" t="s">
        <v>2812</v>
      </c>
      <c r="AB319" s="29"/>
      <c r="AC319" s="39"/>
      <c r="AD319" s="39"/>
    </row>
    <row r="320" spans="1:30" ht="58" customHeight="1">
      <c r="A320" s="1" t="s">
        <v>1263</v>
      </c>
      <c r="B320" s="1">
        <v>77</v>
      </c>
      <c r="C320" s="1" t="s">
        <v>3756</v>
      </c>
      <c r="D320" s="29" t="s">
        <v>477</v>
      </c>
      <c r="E320" s="29" t="s">
        <v>478</v>
      </c>
      <c r="F320" s="1" t="s">
        <v>1072</v>
      </c>
      <c r="G320" s="30">
        <v>24.134333000000002</v>
      </c>
      <c r="H320" s="30">
        <v>120.659333</v>
      </c>
      <c r="I320" s="30">
        <v>23.864999999999998</v>
      </c>
      <c r="J320" s="30">
        <v>121.0395</v>
      </c>
      <c r="K320" s="30">
        <v>19.079999999999998</v>
      </c>
      <c r="L320" s="22"/>
      <c r="M320" s="22">
        <f t="shared" si="32"/>
        <v>48.869839930417456</v>
      </c>
      <c r="N320" s="22">
        <f t="shared" si="33"/>
        <v>52.462440420024535</v>
      </c>
      <c r="O320" s="22" t="str">
        <f t="shared" si="34"/>
        <v/>
      </c>
      <c r="P320" s="22" t="str">
        <f t="shared" si="35"/>
        <v/>
      </c>
      <c r="Q320" s="22">
        <f t="shared" si="36"/>
        <v>2.6231220210012269</v>
      </c>
      <c r="R320" s="29" t="str">
        <f t="shared" si="37"/>
        <v>No original Rhyp to compare</v>
      </c>
      <c r="S320" s="29" t="str">
        <f t="shared" si="38"/>
        <v/>
      </c>
      <c r="T320" s="22">
        <v>42.084404999999997</v>
      </c>
      <c r="U320" s="29" t="s">
        <v>4576</v>
      </c>
      <c r="V320" s="29" t="str">
        <f t="shared" si="39"/>
        <v>No geometric exceedance</v>
      </c>
      <c r="W320" s="30">
        <v>23.864999999999998</v>
      </c>
      <c r="X320" s="30">
        <v>121.0395</v>
      </c>
      <c r="Y320" s="30">
        <v>19.079999999999998</v>
      </c>
      <c r="Z320" s="30">
        <v>52.462440420024642</v>
      </c>
      <c r="AA320" s="29" t="s">
        <v>2812</v>
      </c>
      <c r="AB320" s="29"/>
      <c r="AC320" s="39"/>
      <c r="AD320" s="39"/>
    </row>
    <row r="321" spans="1:30" ht="58" customHeight="1">
      <c r="A321" s="1" t="s">
        <v>1263</v>
      </c>
      <c r="B321" s="1">
        <v>78</v>
      </c>
      <c r="C321" s="1" t="s">
        <v>3758</v>
      </c>
      <c r="D321" s="29" t="s">
        <v>484</v>
      </c>
      <c r="E321" s="29" t="s">
        <v>1073</v>
      </c>
      <c r="F321" s="1" t="s">
        <v>865</v>
      </c>
      <c r="G321" s="30">
        <v>23.6845</v>
      </c>
      <c r="H321" s="30">
        <v>120.57033300000001</v>
      </c>
      <c r="I321" s="30">
        <v>23.87</v>
      </c>
      <c r="J321" s="30">
        <v>121.01</v>
      </c>
      <c r="K321" s="30">
        <v>16</v>
      </c>
      <c r="L321" s="22"/>
      <c r="M321" s="22">
        <f t="shared" si="32"/>
        <v>49.264974911580168</v>
      </c>
      <c r="N321" s="22">
        <f t="shared" si="33"/>
        <v>51.798047772465551</v>
      </c>
      <c r="O321" s="22" t="str">
        <f t="shared" si="34"/>
        <v/>
      </c>
      <c r="P321" s="22" t="str">
        <f t="shared" si="35"/>
        <v/>
      </c>
      <c r="Q321" s="22">
        <f t="shared" si="36"/>
        <v>2.5899023886232779</v>
      </c>
      <c r="R321" s="29" t="str">
        <f t="shared" si="37"/>
        <v>No original Rhyp to compare</v>
      </c>
      <c r="S321" s="29" t="str">
        <f t="shared" si="38"/>
        <v/>
      </c>
      <c r="T321" s="22">
        <v>35.200077</v>
      </c>
      <c r="U321" s="29" t="s">
        <v>4576</v>
      </c>
      <c r="V321" s="29" t="str">
        <f t="shared" si="39"/>
        <v>No geometric exceedance</v>
      </c>
      <c r="W321" s="30">
        <v>23.87</v>
      </c>
      <c r="X321" s="30">
        <v>121.01</v>
      </c>
      <c r="Y321" s="30">
        <v>16</v>
      </c>
      <c r="Z321" s="30">
        <v>51.798047772465509</v>
      </c>
      <c r="AA321" s="29" t="s">
        <v>2812</v>
      </c>
      <c r="AB321" s="29"/>
      <c r="AC321" s="39"/>
      <c r="AD321" s="39"/>
    </row>
    <row r="322" spans="1:30" ht="58" customHeight="1">
      <c r="A322" s="1" t="s">
        <v>1263</v>
      </c>
      <c r="B322" s="1">
        <v>79</v>
      </c>
      <c r="C322" s="1" t="s">
        <v>3760</v>
      </c>
      <c r="D322" s="29" t="s">
        <v>484</v>
      </c>
      <c r="E322" s="29" t="s">
        <v>1073</v>
      </c>
      <c r="F322" s="1" t="s">
        <v>916</v>
      </c>
      <c r="G322" s="30">
        <v>23.810500000000001</v>
      </c>
      <c r="H322" s="30">
        <v>120.853667</v>
      </c>
      <c r="I322" s="30">
        <v>23.87</v>
      </c>
      <c r="J322" s="30">
        <v>121.01</v>
      </c>
      <c r="K322" s="30">
        <v>16</v>
      </c>
      <c r="L322" s="22"/>
      <c r="M322" s="22">
        <f t="shared" ref="M322:M385" si="40">IF(OR(G322="",H322="",I322="",J322="",K322=""),"",12742*ASIN(SQRT(MIN(1,SIN(RADIANS(I322-G322)/2)^2+COS(RADIANS(I322))*COS(RADIANS(G322))*SIN(RADIANS(J322-H322)/2)^2))))</f>
        <v>17.221771485778177</v>
      </c>
      <c r="N322" s="22">
        <f t="shared" ref="N322:N385" si="41">IF(M322="","",SQRT(M322^2+K322^2))</f>
        <v>23.507220446245071</v>
      </c>
      <c r="O322" s="22" t="str">
        <f t="shared" ref="O322:O385" si="42">IF(OR(L322="",N322=""),"",L322-N322)</f>
        <v/>
      </c>
      <c r="P322" s="22" t="str">
        <f t="shared" ref="P322:P385" si="43">IF(OR(L322="",N322="",N322=0),"",100*O322/N322)</f>
        <v/>
      </c>
      <c r="Q322" s="22">
        <f t="shared" ref="Q322:Q385" si="44">IF(N322="","",MAX(1,0.05*N322))</f>
        <v>1.1753610223122537</v>
      </c>
      <c r="R322" s="29" t="str">
        <f t="shared" ref="R322:R385" si="45">IF(N322="","Missing station coordinates",IF(L322="","No original Rhyp to compare",IF(ABS(O322)&gt;Q322,"Review: Rhyp mismatch","Within screening tolerance")))</f>
        <v>No original Rhyp to compare</v>
      </c>
      <c r="S322" s="29" t="str">
        <f t="shared" ref="S322:S385" si="46">IF(L322="","",IF(L322&lt;K322-1,"Rhyp below depth by &gt;1 km",IF(L322&lt;K322,"Rhyp below depth by &lt;=1 km","")))</f>
        <v/>
      </c>
      <c r="T322" s="22">
        <v>11.127146</v>
      </c>
      <c r="U322" s="29" t="s">
        <v>4576</v>
      </c>
      <c r="V322" s="29" t="str">
        <f t="shared" ref="V322:V385" si="47">IF(T322="","Missing Rrup/closest distance",IF(N322="","Cannot check without coordinates",IF(T322&gt;N322+1,"Review: distance &gt; recalculated Rhyp +1 km","No geometric exceedance")))</f>
        <v>No geometric exceedance</v>
      </c>
      <c r="W322" s="30">
        <v>23.87</v>
      </c>
      <c r="X322" s="30">
        <v>121.01</v>
      </c>
      <c r="Y322" s="30">
        <v>16</v>
      </c>
      <c r="Z322" s="30">
        <v>23.507220446244993</v>
      </c>
      <c r="AA322" s="29" t="s">
        <v>2812</v>
      </c>
      <c r="AB322" s="29"/>
      <c r="AC322" s="39"/>
      <c r="AD322" s="39"/>
    </row>
    <row r="323" spans="1:30" ht="58" customHeight="1">
      <c r="A323" s="1" t="s">
        <v>1263</v>
      </c>
      <c r="B323" s="1">
        <v>80</v>
      </c>
      <c r="C323" s="1" t="s">
        <v>3763</v>
      </c>
      <c r="D323" s="29" t="s">
        <v>484</v>
      </c>
      <c r="E323" s="29" t="s">
        <v>1073</v>
      </c>
      <c r="F323" s="1" t="s">
        <v>1070</v>
      </c>
      <c r="G323" s="30">
        <v>23.836832999999999</v>
      </c>
      <c r="H323" s="30">
        <v>120.90216700000001</v>
      </c>
      <c r="I323" s="30">
        <v>23.87</v>
      </c>
      <c r="J323" s="30">
        <v>121.01</v>
      </c>
      <c r="K323" s="30">
        <v>16</v>
      </c>
      <c r="L323" s="22"/>
      <c r="M323" s="22">
        <f t="shared" si="40"/>
        <v>11.569827565139571</v>
      </c>
      <c r="N323" s="22">
        <f t="shared" si="41"/>
        <v>19.744895793269293</v>
      </c>
      <c r="O323" s="22" t="str">
        <f t="shared" si="42"/>
        <v/>
      </c>
      <c r="P323" s="22" t="str">
        <f t="shared" si="43"/>
        <v/>
      </c>
      <c r="Q323" s="22">
        <f t="shared" si="44"/>
        <v>1</v>
      </c>
      <c r="R323" s="29" t="str">
        <f t="shared" si="45"/>
        <v>No original Rhyp to compare</v>
      </c>
      <c r="S323" s="29" t="str">
        <f t="shared" si="46"/>
        <v/>
      </c>
      <c r="T323" s="22">
        <v>10.002064000000001</v>
      </c>
      <c r="U323" s="29" t="s">
        <v>4576</v>
      </c>
      <c r="V323" s="29" t="str">
        <f t="shared" si="47"/>
        <v>No geometric exceedance</v>
      </c>
      <c r="W323" s="30">
        <v>23.87</v>
      </c>
      <c r="X323" s="30">
        <v>121.01</v>
      </c>
      <c r="Y323" s="30">
        <v>16</v>
      </c>
      <c r="Z323" s="30">
        <v>19.744895793269283</v>
      </c>
      <c r="AA323" s="29" t="s">
        <v>2812</v>
      </c>
      <c r="AB323" s="29"/>
      <c r="AC323" s="39"/>
      <c r="AD323" s="39"/>
    </row>
    <row r="324" spans="1:30" ht="58" customHeight="1">
      <c r="A324" s="1" t="s">
        <v>1263</v>
      </c>
      <c r="B324" s="1">
        <v>81</v>
      </c>
      <c r="C324" s="1" t="s">
        <v>3766</v>
      </c>
      <c r="D324" s="29" t="s">
        <v>484</v>
      </c>
      <c r="E324" s="29" t="s">
        <v>1073</v>
      </c>
      <c r="F324" s="1" t="s">
        <v>918</v>
      </c>
      <c r="G324" s="30">
        <v>23.9</v>
      </c>
      <c r="H324" s="30">
        <v>120.937833</v>
      </c>
      <c r="I324" s="30">
        <v>23.87</v>
      </c>
      <c r="J324" s="30">
        <v>121.01</v>
      </c>
      <c r="K324" s="30">
        <v>16</v>
      </c>
      <c r="L324" s="22"/>
      <c r="M324" s="22">
        <f t="shared" si="40"/>
        <v>8.0600855961821996</v>
      </c>
      <c r="N324" s="22">
        <f t="shared" si="41"/>
        <v>17.915495522529756</v>
      </c>
      <c r="O324" s="22" t="str">
        <f t="shared" si="42"/>
        <v/>
      </c>
      <c r="P324" s="22" t="str">
        <f t="shared" si="43"/>
        <v/>
      </c>
      <c r="Q324" s="22">
        <f t="shared" si="44"/>
        <v>1</v>
      </c>
      <c r="R324" s="29" t="str">
        <f t="shared" si="45"/>
        <v>No original Rhyp to compare</v>
      </c>
      <c r="S324" s="29" t="str">
        <f t="shared" si="46"/>
        <v/>
      </c>
      <c r="T324" s="22">
        <v>10.383259000000001</v>
      </c>
      <c r="U324" s="29" t="s">
        <v>4576</v>
      </c>
      <c r="V324" s="29" t="str">
        <f t="shared" si="47"/>
        <v>No geometric exceedance</v>
      </c>
      <c r="W324" s="30">
        <v>23.87</v>
      </c>
      <c r="X324" s="30">
        <v>121.01</v>
      </c>
      <c r="Y324" s="30">
        <v>16</v>
      </c>
      <c r="Z324" s="30">
        <v>17.915495522529767</v>
      </c>
      <c r="AA324" s="29" t="s">
        <v>2812</v>
      </c>
      <c r="AB324" s="29"/>
      <c r="AC324" s="39"/>
      <c r="AD324" s="39"/>
    </row>
    <row r="325" spans="1:30" ht="58" customHeight="1">
      <c r="A325" s="1" t="s">
        <v>1263</v>
      </c>
      <c r="B325" s="1">
        <v>82</v>
      </c>
      <c r="C325" s="1" t="s">
        <v>3768</v>
      </c>
      <c r="D325" s="29" t="s">
        <v>211</v>
      </c>
      <c r="E325" s="29" t="s">
        <v>1074</v>
      </c>
      <c r="F325" s="1" t="s">
        <v>861</v>
      </c>
      <c r="G325" s="30">
        <v>23.579499999999999</v>
      </c>
      <c r="H325" s="30">
        <v>120.56016700000001</v>
      </c>
      <c r="I325" s="30">
        <v>23.85</v>
      </c>
      <c r="J325" s="30">
        <v>120.82</v>
      </c>
      <c r="K325" s="30">
        <v>8</v>
      </c>
      <c r="L325" s="22"/>
      <c r="M325" s="22">
        <f t="shared" si="40"/>
        <v>40.055322449481906</v>
      </c>
      <c r="N325" s="22">
        <f t="shared" si="41"/>
        <v>40.846405674575202</v>
      </c>
      <c r="O325" s="22" t="str">
        <f t="shared" si="42"/>
        <v/>
      </c>
      <c r="P325" s="22" t="str">
        <f t="shared" si="43"/>
        <v/>
      </c>
      <c r="Q325" s="22">
        <f t="shared" si="44"/>
        <v>2.0423202837287602</v>
      </c>
      <c r="R325" s="29" t="str">
        <f t="shared" si="45"/>
        <v>No original Rhyp to compare</v>
      </c>
      <c r="S325" s="29" t="str">
        <f t="shared" si="46"/>
        <v/>
      </c>
      <c r="T325" s="22">
        <v>9.1580349999999999</v>
      </c>
      <c r="U325" s="29" t="s">
        <v>4576</v>
      </c>
      <c r="V325" s="29" t="str">
        <f t="shared" si="47"/>
        <v>No geometric exceedance</v>
      </c>
      <c r="W325" s="30">
        <v>23.85</v>
      </c>
      <c r="X325" s="30">
        <v>120.82</v>
      </c>
      <c r="Y325" s="30">
        <v>8</v>
      </c>
      <c r="Z325" s="30">
        <v>40.846405674575124</v>
      </c>
      <c r="AA325" s="29" t="s">
        <v>2812</v>
      </c>
      <c r="AB325" s="29"/>
      <c r="AC325" s="39"/>
      <c r="AD325" s="39"/>
    </row>
    <row r="326" spans="1:30" ht="58" customHeight="1">
      <c r="A326" s="1" t="s">
        <v>1263</v>
      </c>
      <c r="B326" s="1">
        <v>83</v>
      </c>
      <c r="C326" s="1" t="s">
        <v>3770</v>
      </c>
      <c r="D326" s="29" t="s">
        <v>211</v>
      </c>
      <c r="E326" s="29" t="s">
        <v>1074</v>
      </c>
      <c r="F326" s="1" t="s">
        <v>864</v>
      </c>
      <c r="G326" s="30">
        <v>23.755333</v>
      </c>
      <c r="H326" s="30">
        <v>120.615667</v>
      </c>
      <c r="I326" s="30">
        <v>23.85</v>
      </c>
      <c r="J326" s="30">
        <v>120.82</v>
      </c>
      <c r="K326" s="30">
        <v>8</v>
      </c>
      <c r="L326" s="22"/>
      <c r="M326" s="22">
        <f t="shared" si="40"/>
        <v>23.301401091317768</v>
      </c>
      <c r="N326" s="22">
        <f t="shared" si="41"/>
        <v>24.636462668542023</v>
      </c>
      <c r="O326" s="22" t="str">
        <f t="shared" si="42"/>
        <v/>
      </c>
      <c r="P326" s="22" t="str">
        <f t="shared" si="43"/>
        <v/>
      </c>
      <c r="Q326" s="22">
        <f t="shared" si="44"/>
        <v>1.2318231334271013</v>
      </c>
      <c r="R326" s="29" t="str">
        <f t="shared" si="45"/>
        <v>No original Rhyp to compare</v>
      </c>
      <c r="S326" s="29" t="str">
        <f t="shared" si="46"/>
        <v/>
      </c>
      <c r="T326" s="22">
        <v>8.6462869999999992</v>
      </c>
      <c r="U326" s="29" t="s">
        <v>4576</v>
      </c>
      <c r="V326" s="29" t="str">
        <f t="shared" si="47"/>
        <v>No geometric exceedance</v>
      </c>
      <c r="W326" s="30">
        <v>23.85</v>
      </c>
      <c r="X326" s="30">
        <v>120.82</v>
      </c>
      <c r="Y326" s="30">
        <v>8</v>
      </c>
      <c r="Z326" s="30">
        <v>24.636462668541991</v>
      </c>
      <c r="AA326" s="29" t="s">
        <v>2812</v>
      </c>
      <c r="AB326" s="29"/>
      <c r="AC326" s="39"/>
      <c r="AD326" s="39"/>
    </row>
    <row r="327" spans="1:30" ht="58" customHeight="1">
      <c r="A327" s="1" t="s">
        <v>1263</v>
      </c>
      <c r="B327" s="1">
        <v>84</v>
      </c>
      <c r="C327" s="1" t="s">
        <v>3773</v>
      </c>
      <c r="D327" s="29" t="s">
        <v>211</v>
      </c>
      <c r="E327" s="29" t="s">
        <v>1074</v>
      </c>
      <c r="F327" s="1" t="s">
        <v>865</v>
      </c>
      <c r="G327" s="30">
        <v>23.6845</v>
      </c>
      <c r="H327" s="30">
        <v>120.57033300000001</v>
      </c>
      <c r="I327" s="30">
        <v>23.85</v>
      </c>
      <c r="J327" s="30">
        <v>120.82</v>
      </c>
      <c r="K327" s="30">
        <v>8</v>
      </c>
      <c r="L327" s="22"/>
      <c r="M327" s="22">
        <f t="shared" si="40"/>
        <v>31.371778609771724</v>
      </c>
      <c r="N327" s="22">
        <f t="shared" si="41"/>
        <v>32.375739267861213</v>
      </c>
      <c r="O327" s="22" t="str">
        <f t="shared" si="42"/>
        <v/>
      </c>
      <c r="P327" s="22" t="str">
        <f t="shared" si="43"/>
        <v/>
      </c>
      <c r="Q327" s="22">
        <f t="shared" si="44"/>
        <v>1.6187869633930607</v>
      </c>
      <c r="R327" s="29" t="str">
        <f t="shared" si="45"/>
        <v>No original Rhyp to compare</v>
      </c>
      <c r="S327" s="29" t="str">
        <f t="shared" si="46"/>
        <v/>
      </c>
      <c r="T327" s="22">
        <v>9.1501219999999996</v>
      </c>
      <c r="U327" s="29" t="s">
        <v>4576</v>
      </c>
      <c r="V327" s="29" t="str">
        <f t="shared" si="47"/>
        <v>No geometric exceedance</v>
      </c>
      <c r="W327" s="30">
        <v>23.85</v>
      </c>
      <c r="X327" s="30">
        <v>120.82</v>
      </c>
      <c r="Y327" s="30">
        <v>8</v>
      </c>
      <c r="Z327" s="30">
        <v>32.375739267861192</v>
      </c>
      <c r="AA327" s="29" t="s">
        <v>2812</v>
      </c>
      <c r="AB327" s="29"/>
      <c r="AC327" s="39"/>
      <c r="AD327" s="39"/>
    </row>
    <row r="328" spans="1:30" ht="58" customHeight="1">
      <c r="A328" s="1" t="s">
        <v>1263</v>
      </c>
      <c r="B328" s="1">
        <v>85</v>
      </c>
      <c r="C328" s="1" t="s">
        <v>3776</v>
      </c>
      <c r="D328" s="29" t="s">
        <v>211</v>
      </c>
      <c r="E328" s="29" t="s">
        <v>1074</v>
      </c>
      <c r="F328" s="1" t="s">
        <v>866</v>
      </c>
      <c r="G328" s="30">
        <v>24.629667000000001</v>
      </c>
      <c r="H328" s="30">
        <v>121.008833</v>
      </c>
      <c r="I328" s="30">
        <v>23.85</v>
      </c>
      <c r="J328" s="30">
        <v>120.82</v>
      </c>
      <c r="K328" s="30">
        <v>8</v>
      </c>
      <c r="L328" s="22"/>
      <c r="M328" s="22">
        <f t="shared" si="40"/>
        <v>88.783937155324409</v>
      </c>
      <c r="N328" s="22">
        <f t="shared" si="41"/>
        <v>89.143634078943592</v>
      </c>
      <c r="O328" s="22" t="str">
        <f t="shared" si="42"/>
        <v/>
      </c>
      <c r="P328" s="22" t="str">
        <f t="shared" si="43"/>
        <v/>
      </c>
      <c r="Q328" s="22">
        <f t="shared" si="44"/>
        <v>4.4571817039471799</v>
      </c>
      <c r="R328" s="29" t="str">
        <f t="shared" si="45"/>
        <v>No original Rhyp to compare</v>
      </c>
      <c r="S328" s="29" t="str">
        <f t="shared" si="46"/>
        <v/>
      </c>
      <c r="T328" s="22">
        <v>38.544469999999997</v>
      </c>
      <c r="U328" s="29" t="s">
        <v>4576</v>
      </c>
      <c r="V328" s="29" t="str">
        <f t="shared" si="47"/>
        <v>No geometric exceedance</v>
      </c>
      <c r="W328" s="30">
        <v>23.85</v>
      </c>
      <c r="X328" s="30">
        <v>120.82</v>
      </c>
      <c r="Y328" s="30">
        <v>8</v>
      </c>
      <c r="Z328" s="30">
        <v>89.143634078943535</v>
      </c>
      <c r="AA328" s="29" t="s">
        <v>2812</v>
      </c>
      <c r="AB328" s="29"/>
      <c r="AC328" s="39"/>
      <c r="AD328" s="39"/>
    </row>
    <row r="329" spans="1:30" ht="58" customHeight="1">
      <c r="A329" s="1" t="s">
        <v>1263</v>
      </c>
      <c r="B329" s="1">
        <v>86</v>
      </c>
      <c r="C329" s="1" t="s">
        <v>3778</v>
      </c>
      <c r="D329" s="29" t="s">
        <v>211</v>
      </c>
      <c r="E329" s="29" t="s">
        <v>1074</v>
      </c>
      <c r="F329" s="1" t="s">
        <v>869</v>
      </c>
      <c r="G329" s="30">
        <v>24.909500000000001</v>
      </c>
      <c r="H329" s="30">
        <v>121.149333</v>
      </c>
      <c r="I329" s="30">
        <v>23.85</v>
      </c>
      <c r="J329" s="30">
        <v>120.82</v>
      </c>
      <c r="K329" s="30">
        <v>8</v>
      </c>
      <c r="L329" s="22"/>
      <c r="M329" s="22">
        <f t="shared" si="40"/>
        <v>122.44151040286825</v>
      </c>
      <c r="N329" s="22">
        <f t="shared" si="41"/>
        <v>122.702581349113</v>
      </c>
      <c r="O329" s="22" t="str">
        <f t="shared" si="42"/>
        <v/>
      </c>
      <c r="P329" s="22" t="str">
        <f t="shared" si="43"/>
        <v/>
      </c>
      <c r="Q329" s="22">
        <f t="shared" si="44"/>
        <v>6.1351290674556509</v>
      </c>
      <c r="R329" s="29" t="str">
        <f t="shared" si="45"/>
        <v>No original Rhyp to compare</v>
      </c>
      <c r="S329" s="29" t="str">
        <f t="shared" si="46"/>
        <v/>
      </c>
      <c r="T329" s="22">
        <v>72.634472000000002</v>
      </c>
      <c r="U329" s="29" t="s">
        <v>4576</v>
      </c>
      <c r="V329" s="29" t="str">
        <f t="shared" si="47"/>
        <v>No geometric exceedance</v>
      </c>
      <c r="W329" s="30">
        <v>23.85</v>
      </c>
      <c r="X329" s="30">
        <v>120.82</v>
      </c>
      <c r="Y329" s="30">
        <v>8</v>
      </c>
      <c r="Z329" s="30">
        <v>122.70258134911289</v>
      </c>
      <c r="AA329" s="29" t="s">
        <v>2812</v>
      </c>
      <c r="AB329" s="29"/>
      <c r="AC329" s="39"/>
      <c r="AD329" s="39"/>
    </row>
    <row r="330" spans="1:30" ht="58" customHeight="1">
      <c r="A330" s="1" t="s">
        <v>1263</v>
      </c>
      <c r="B330" s="1">
        <v>87</v>
      </c>
      <c r="C330" s="1" t="s">
        <v>3780</v>
      </c>
      <c r="D330" s="29" t="s">
        <v>211</v>
      </c>
      <c r="E330" s="29" t="s">
        <v>1074</v>
      </c>
      <c r="F330" s="1" t="s">
        <v>871</v>
      </c>
      <c r="G330" s="30">
        <v>24.755832999999999</v>
      </c>
      <c r="H330" s="30">
        <v>120.94583299999999</v>
      </c>
      <c r="I330" s="30">
        <v>23.85</v>
      </c>
      <c r="J330" s="30">
        <v>120.82</v>
      </c>
      <c r="K330" s="30">
        <v>8</v>
      </c>
      <c r="L330" s="22"/>
      <c r="M330" s="22">
        <f t="shared" si="40"/>
        <v>101.52802776231901</v>
      </c>
      <c r="N330" s="22">
        <f t="shared" si="41"/>
        <v>101.84272394877418</v>
      </c>
      <c r="O330" s="22" t="str">
        <f t="shared" si="42"/>
        <v/>
      </c>
      <c r="P330" s="22" t="str">
        <f t="shared" si="43"/>
        <v/>
      </c>
      <c r="Q330" s="22">
        <f t="shared" si="44"/>
        <v>5.0921361974387089</v>
      </c>
      <c r="R330" s="29" t="str">
        <f t="shared" si="45"/>
        <v>No original Rhyp to compare</v>
      </c>
      <c r="S330" s="29" t="str">
        <f t="shared" si="46"/>
        <v/>
      </c>
      <c r="T330" s="22">
        <v>49.864566000000003</v>
      </c>
      <c r="U330" s="29" t="s">
        <v>4576</v>
      </c>
      <c r="V330" s="29" t="str">
        <f t="shared" si="47"/>
        <v>No geometric exceedance</v>
      </c>
      <c r="W330" s="30">
        <v>23.85</v>
      </c>
      <c r="X330" s="30">
        <v>120.82</v>
      </c>
      <c r="Y330" s="30">
        <v>8</v>
      </c>
      <c r="Z330" s="30">
        <v>101.84272394877408</v>
      </c>
      <c r="AA330" s="29" t="s">
        <v>2812</v>
      </c>
      <c r="AB330" s="29"/>
      <c r="AC330" s="39"/>
      <c r="AD330" s="39"/>
    </row>
    <row r="331" spans="1:30" ht="58" customHeight="1">
      <c r="A331" s="1" t="s">
        <v>1263</v>
      </c>
      <c r="B331" s="1">
        <v>88</v>
      </c>
      <c r="C331" s="1" t="s">
        <v>3782</v>
      </c>
      <c r="D331" s="29" t="s">
        <v>211</v>
      </c>
      <c r="E331" s="29" t="s">
        <v>1074</v>
      </c>
      <c r="F331" s="1" t="s">
        <v>872</v>
      </c>
      <c r="G331" s="30">
        <v>24.778666999999999</v>
      </c>
      <c r="H331" s="30">
        <v>121.01816700000001</v>
      </c>
      <c r="I331" s="30">
        <v>23.85</v>
      </c>
      <c r="J331" s="30">
        <v>120.82</v>
      </c>
      <c r="K331" s="30">
        <v>8</v>
      </c>
      <c r="L331" s="22"/>
      <c r="M331" s="22">
        <f t="shared" si="40"/>
        <v>105.1973271782367</v>
      </c>
      <c r="N331" s="22">
        <f t="shared" si="41"/>
        <v>105.50107888284829</v>
      </c>
      <c r="O331" s="22" t="str">
        <f t="shared" si="42"/>
        <v/>
      </c>
      <c r="P331" s="22" t="str">
        <f t="shared" si="43"/>
        <v/>
      </c>
      <c r="Q331" s="22">
        <f t="shared" si="44"/>
        <v>5.2750539441424147</v>
      </c>
      <c r="R331" s="29" t="str">
        <f t="shared" si="45"/>
        <v>No original Rhyp to compare</v>
      </c>
      <c r="S331" s="29" t="str">
        <f t="shared" si="46"/>
        <v/>
      </c>
      <c r="T331" s="22">
        <v>54.396628</v>
      </c>
      <c r="U331" s="29" t="s">
        <v>4576</v>
      </c>
      <c r="V331" s="29" t="str">
        <f t="shared" si="47"/>
        <v>No geometric exceedance</v>
      </c>
      <c r="W331" s="30">
        <v>23.85</v>
      </c>
      <c r="X331" s="30">
        <v>120.82</v>
      </c>
      <c r="Y331" s="30">
        <v>8</v>
      </c>
      <c r="Z331" s="30">
        <v>105.50107888284813</v>
      </c>
      <c r="AA331" s="29" t="s">
        <v>2812</v>
      </c>
      <c r="AB331" s="29"/>
      <c r="AC331" s="39"/>
      <c r="AD331" s="39"/>
    </row>
    <row r="332" spans="1:30" ht="58" customHeight="1">
      <c r="A332" s="1" t="s">
        <v>1263</v>
      </c>
      <c r="B332" s="1">
        <v>89</v>
      </c>
      <c r="C332" s="1" t="s">
        <v>3784</v>
      </c>
      <c r="D332" s="29" t="s">
        <v>211</v>
      </c>
      <c r="E332" s="29" t="s">
        <v>1074</v>
      </c>
      <c r="F332" s="1" t="s">
        <v>873</v>
      </c>
      <c r="G332" s="30">
        <v>24.878667</v>
      </c>
      <c r="H332" s="30">
        <v>121.060833</v>
      </c>
      <c r="I332" s="30">
        <v>23.85</v>
      </c>
      <c r="J332" s="30">
        <v>120.82</v>
      </c>
      <c r="K332" s="30">
        <v>8</v>
      </c>
      <c r="L332" s="22"/>
      <c r="M332" s="22">
        <f t="shared" si="40"/>
        <v>116.95482622147469</v>
      </c>
      <c r="N332" s="22">
        <f t="shared" si="41"/>
        <v>117.22811683421065</v>
      </c>
      <c r="O332" s="22" t="str">
        <f t="shared" si="42"/>
        <v/>
      </c>
      <c r="P332" s="22" t="str">
        <f t="shared" si="43"/>
        <v/>
      </c>
      <c r="Q332" s="22">
        <f t="shared" si="44"/>
        <v>5.8614058417105328</v>
      </c>
      <c r="R332" s="29" t="str">
        <f t="shared" si="45"/>
        <v>No original Rhyp to compare</v>
      </c>
      <c r="S332" s="29" t="str">
        <f t="shared" si="46"/>
        <v/>
      </c>
      <c r="T332" s="22">
        <v>66.313998999999995</v>
      </c>
      <c r="U332" s="29" t="s">
        <v>4576</v>
      </c>
      <c r="V332" s="29" t="str">
        <f t="shared" si="47"/>
        <v>No geometric exceedance</v>
      </c>
      <c r="W332" s="30">
        <v>23.85</v>
      </c>
      <c r="X332" s="30">
        <v>120.82</v>
      </c>
      <c r="Y332" s="30">
        <v>8</v>
      </c>
      <c r="Z332" s="30">
        <v>117.22811683421068</v>
      </c>
      <c r="AA332" s="29" t="s">
        <v>2812</v>
      </c>
      <c r="AB332" s="29"/>
      <c r="AC332" s="39"/>
      <c r="AD332" s="39"/>
    </row>
    <row r="333" spans="1:30" ht="58" customHeight="1">
      <c r="A333" s="1" t="s">
        <v>1263</v>
      </c>
      <c r="B333" s="1">
        <v>90</v>
      </c>
      <c r="C333" s="1" t="s">
        <v>3786</v>
      </c>
      <c r="D333" s="29" t="s">
        <v>211</v>
      </c>
      <c r="E333" s="29" t="s">
        <v>1074</v>
      </c>
      <c r="F333" s="1" t="s">
        <v>874</v>
      </c>
      <c r="G333" s="30">
        <v>24.773667</v>
      </c>
      <c r="H333" s="30">
        <v>121.08366700000001</v>
      </c>
      <c r="I333" s="30">
        <v>23.85</v>
      </c>
      <c r="J333" s="30">
        <v>120.82</v>
      </c>
      <c r="K333" s="30">
        <v>8</v>
      </c>
      <c r="L333" s="22"/>
      <c r="M333" s="22">
        <f t="shared" si="40"/>
        <v>106.12537005021069</v>
      </c>
      <c r="N333" s="22">
        <f t="shared" si="41"/>
        <v>106.42647306142469</v>
      </c>
      <c r="O333" s="22" t="str">
        <f t="shared" si="42"/>
        <v/>
      </c>
      <c r="P333" s="22" t="str">
        <f t="shared" si="43"/>
        <v/>
      </c>
      <c r="Q333" s="22">
        <f t="shared" si="44"/>
        <v>5.3213236530712349</v>
      </c>
      <c r="R333" s="29" t="str">
        <f t="shared" si="45"/>
        <v>No original Rhyp to compare</v>
      </c>
      <c r="S333" s="29" t="str">
        <f t="shared" si="46"/>
        <v/>
      </c>
      <c r="T333" s="22">
        <v>56.184061</v>
      </c>
      <c r="U333" s="29" t="s">
        <v>4576</v>
      </c>
      <c r="V333" s="29" t="str">
        <f t="shared" si="47"/>
        <v>No geometric exceedance</v>
      </c>
      <c r="W333" s="30">
        <v>23.85</v>
      </c>
      <c r="X333" s="30">
        <v>120.82</v>
      </c>
      <c r="Y333" s="30">
        <v>8</v>
      </c>
      <c r="Z333" s="30">
        <v>106.42647306142483</v>
      </c>
      <c r="AA333" s="29" t="s">
        <v>2812</v>
      </c>
      <c r="AB333" s="29"/>
      <c r="AC333" s="39"/>
      <c r="AD333" s="39"/>
    </row>
    <row r="334" spans="1:30" ht="58" customHeight="1">
      <c r="A334" s="1" t="s">
        <v>1263</v>
      </c>
      <c r="B334" s="1">
        <v>91</v>
      </c>
      <c r="C334" s="1" t="s">
        <v>3788</v>
      </c>
      <c r="D334" s="29" t="s">
        <v>211</v>
      </c>
      <c r="E334" s="29" t="s">
        <v>1074</v>
      </c>
      <c r="F334" s="1" t="s">
        <v>875</v>
      </c>
      <c r="G334" s="30">
        <v>24.557666999999999</v>
      </c>
      <c r="H334" s="30">
        <v>120.75749999999999</v>
      </c>
      <c r="I334" s="30">
        <v>23.85</v>
      </c>
      <c r="J334" s="30">
        <v>120.82</v>
      </c>
      <c r="K334" s="30">
        <v>8</v>
      </c>
      <c r="L334" s="22"/>
      <c r="M334" s="22">
        <f t="shared" si="40"/>
        <v>78.943869876586149</v>
      </c>
      <c r="N334" s="22">
        <f t="shared" si="41"/>
        <v>79.348185808444072</v>
      </c>
      <c r="O334" s="22" t="str">
        <f t="shared" si="42"/>
        <v/>
      </c>
      <c r="P334" s="22" t="str">
        <f t="shared" si="43"/>
        <v/>
      </c>
      <c r="Q334" s="22">
        <f t="shared" si="44"/>
        <v>3.9674092904222036</v>
      </c>
      <c r="R334" s="29" t="str">
        <f t="shared" si="45"/>
        <v>No original Rhyp to compare</v>
      </c>
      <c r="S334" s="29" t="str">
        <f t="shared" si="46"/>
        <v/>
      </c>
      <c r="T334" s="22">
        <v>27.654657</v>
      </c>
      <c r="U334" s="29" t="s">
        <v>4576</v>
      </c>
      <c r="V334" s="29" t="str">
        <f t="shared" si="47"/>
        <v>No geometric exceedance</v>
      </c>
      <c r="W334" s="30">
        <v>23.85</v>
      </c>
      <c r="X334" s="30">
        <v>120.82</v>
      </c>
      <c r="Y334" s="30">
        <v>8</v>
      </c>
      <c r="Z334" s="30">
        <v>79.348185808443944</v>
      </c>
      <c r="AA334" s="29" t="s">
        <v>2812</v>
      </c>
      <c r="AB334" s="29"/>
      <c r="AC334" s="39"/>
      <c r="AD334" s="39"/>
    </row>
    <row r="335" spans="1:30" ht="58" customHeight="1">
      <c r="A335" s="1" t="s">
        <v>1263</v>
      </c>
      <c r="B335" s="1">
        <v>92</v>
      </c>
      <c r="C335" s="1" t="s">
        <v>3790</v>
      </c>
      <c r="D335" s="29" t="s">
        <v>211</v>
      </c>
      <c r="E335" s="29" t="s">
        <v>1074</v>
      </c>
      <c r="F335" s="1" t="s">
        <v>876</v>
      </c>
      <c r="G335" s="30">
        <v>24.559332999999999</v>
      </c>
      <c r="H335" s="30">
        <v>120.709667</v>
      </c>
      <c r="I335" s="30">
        <v>23.85</v>
      </c>
      <c r="J335" s="30">
        <v>120.82</v>
      </c>
      <c r="K335" s="30">
        <v>8</v>
      </c>
      <c r="L335" s="22"/>
      <c r="M335" s="22">
        <f t="shared" si="40"/>
        <v>79.664018083655989</v>
      </c>
      <c r="N335" s="22">
        <f t="shared" si="41"/>
        <v>80.064697446709118</v>
      </c>
      <c r="O335" s="22" t="str">
        <f t="shared" si="42"/>
        <v/>
      </c>
      <c r="P335" s="22" t="str">
        <f t="shared" si="43"/>
        <v/>
      </c>
      <c r="Q335" s="22">
        <f t="shared" si="44"/>
        <v>4.0032348723354563</v>
      </c>
      <c r="R335" s="29" t="str">
        <f t="shared" si="45"/>
        <v>No original Rhyp to compare</v>
      </c>
      <c r="S335" s="29" t="str">
        <f t="shared" si="46"/>
        <v/>
      </c>
      <c r="T335" s="22">
        <v>29.543451000000001</v>
      </c>
      <c r="U335" s="29" t="s">
        <v>4576</v>
      </c>
      <c r="V335" s="29" t="str">
        <f t="shared" si="47"/>
        <v>No geometric exceedance</v>
      </c>
      <c r="W335" s="30">
        <v>23.85</v>
      </c>
      <c r="X335" s="30">
        <v>120.82</v>
      </c>
      <c r="Y335" s="30">
        <v>8</v>
      </c>
      <c r="Z335" s="30">
        <v>80.064697446709019</v>
      </c>
      <c r="AA335" s="29" t="s">
        <v>2812</v>
      </c>
      <c r="AB335" s="29"/>
      <c r="AC335" s="39"/>
      <c r="AD335" s="39"/>
    </row>
    <row r="336" spans="1:30" ht="58" customHeight="1">
      <c r="A336" s="1" t="s">
        <v>1263</v>
      </c>
      <c r="B336" s="1">
        <v>93</v>
      </c>
      <c r="C336" s="1" t="s">
        <v>3792</v>
      </c>
      <c r="D336" s="29" t="s">
        <v>211</v>
      </c>
      <c r="E336" s="29" t="s">
        <v>1074</v>
      </c>
      <c r="F336" s="1" t="s">
        <v>877</v>
      </c>
      <c r="G336" s="30">
        <v>24.683499999999999</v>
      </c>
      <c r="H336" s="30">
        <v>120.870333</v>
      </c>
      <c r="I336" s="30">
        <v>23.85</v>
      </c>
      <c r="J336" s="30">
        <v>120.82</v>
      </c>
      <c r="K336" s="30">
        <v>8</v>
      </c>
      <c r="L336" s="22"/>
      <c r="M336" s="22">
        <f t="shared" si="40"/>
        <v>92.821305256083292</v>
      </c>
      <c r="N336" s="22">
        <f t="shared" si="41"/>
        <v>93.165415844308868</v>
      </c>
      <c r="O336" s="22" t="str">
        <f t="shared" si="42"/>
        <v/>
      </c>
      <c r="P336" s="22" t="str">
        <f t="shared" si="43"/>
        <v/>
      </c>
      <c r="Q336" s="22">
        <f t="shared" si="44"/>
        <v>4.6582707922154434</v>
      </c>
      <c r="R336" s="29" t="str">
        <f t="shared" si="45"/>
        <v>No original Rhyp to compare</v>
      </c>
      <c r="S336" s="29" t="str">
        <f t="shared" si="46"/>
        <v/>
      </c>
      <c r="T336" s="22">
        <v>40.694814999999998</v>
      </c>
      <c r="U336" s="29" t="s">
        <v>4576</v>
      </c>
      <c r="V336" s="29" t="str">
        <f t="shared" si="47"/>
        <v>No geometric exceedance</v>
      </c>
      <c r="W336" s="30">
        <v>23.85</v>
      </c>
      <c r="X336" s="30">
        <v>120.82</v>
      </c>
      <c r="Y336" s="30">
        <v>8</v>
      </c>
      <c r="Z336" s="30">
        <v>93.165415844308782</v>
      </c>
      <c r="AA336" s="29" t="s">
        <v>2812</v>
      </c>
      <c r="AB336" s="29"/>
      <c r="AC336" s="39"/>
      <c r="AD336" s="39"/>
    </row>
    <row r="337" spans="1:30" ht="58" customHeight="1">
      <c r="A337" s="1" t="s">
        <v>1263</v>
      </c>
      <c r="B337" s="1">
        <v>94</v>
      </c>
      <c r="C337" s="1" t="s">
        <v>3794</v>
      </c>
      <c r="D337" s="29" t="s">
        <v>211</v>
      </c>
      <c r="E337" s="29" t="s">
        <v>1074</v>
      </c>
      <c r="F337" s="1" t="s">
        <v>878</v>
      </c>
      <c r="G337" s="30">
        <v>24.638000000000002</v>
      </c>
      <c r="H337" s="30">
        <v>120.86533300000001</v>
      </c>
      <c r="I337" s="30">
        <v>23.85</v>
      </c>
      <c r="J337" s="30">
        <v>120.82</v>
      </c>
      <c r="K337" s="30">
        <v>8</v>
      </c>
      <c r="L337" s="22"/>
      <c r="M337" s="22">
        <f t="shared" si="40"/>
        <v>87.742064791993556</v>
      </c>
      <c r="N337" s="22">
        <f t="shared" si="41"/>
        <v>88.106015310887798</v>
      </c>
      <c r="O337" s="22" t="str">
        <f t="shared" si="42"/>
        <v/>
      </c>
      <c r="P337" s="22" t="str">
        <f t="shared" si="43"/>
        <v/>
      </c>
      <c r="Q337" s="22">
        <f t="shared" si="44"/>
        <v>4.4053007655443901</v>
      </c>
      <c r="R337" s="29" t="str">
        <f t="shared" si="45"/>
        <v>No original Rhyp to compare</v>
      </c>
      <c r="S337" s="29" t="str">
        <f t="shared" si="46"/>
        <v/>
      </c>
      <c r="T337" s="22">
        <v>35.610543</v>
      </c>
      <c r="U337" s="29" t="s">
        <v>4576</v>
      </c>
      <c r="V337" s="29" t="str">
        <f t="shared" si="47"/>
        <v>No geometric exceedance</v>
      </c>
      <c r="W337" s="30">
        <v>23.85</v>
      </c>
      <c r="X337" s="30">
        <v>120.82</v>
      </c>
      <c r="Y337" s="30">
        <v>8</v>
      </c>
      <c r="Z337" s="30">
        <v>88.106015310887841</v>
      </c>
      <c r="AA337" s="29" t="s">
        <v>2812</v>
      </c>
      <c r="AB337" s="29"/>
      <c r="AC337" s="39"/>
      <c r="AD337" s="39"/>
    </row>
    <row r="338" spans="1:30" ht="58" customHeight="1">
      <c r="A338" s="1" t="s">
        <v>1263</v>
      </c>
      <c r="B338" s="1">
        <v>95</v>
      </c>
      <c r="C338" s="1" t="s">
        <v>3796</v>
      </c>
      <c r="D338" s="29" t="s">
        <v>211</v>
      </c>
      <c r="E338" s="29" t="s">
        <v>1074</v>
      </c>
      <c r="F338" s="1" t="s">
        <v>879</v>
      </c>
      <c r="G338" s="30">
        <v>24.446833000000002</v>
      </c>
      <c r="H338" s="30">
        <v>120.70483299999999</v>
      </c>
      <c r="I338" s="30">
        <v>23.85</v>
      </c>
      <c r="J338" s="30">
        <v>120.82</v>
      </c>
      <c r="K338" s="30">
        <v>8</v>
      </c>
      <c r="L338" s="22"/>
      <c r="M338" s="22">
        <f t="shared" si="40"/>
        <v>67.385692768041267</v>
      </c>
      <c r="N338" s="22">
        <f t="shared" si="41"/>
        <v>67.858909435893892</v>
      </c>
      <c r="O338" s="22" t="str">
        <f t="shared" si="42"/>
        <v/>
      </c>
      <c r="P338" s="22" t="str">
        <f t="shared" si="43"/>
        <v/>
      </c>
      <c r="Q338" s="22">
        <f t="shared" si="44"/>
        <v>3.392945471794695</v>
      </c>
      <c r="R338" s="29" t="str">
        <f t="shared" si="45"/>
        <v>No original Rhyp to compare</v>
      </c>
      <c r="S338" s="29" t="str">
        <f t="shared" si="46"/>
        <v/>
      </c>
      <c r="T338" s="22">
        <v>19.331235</v>
      </c>
      <c r="U338" s="29" t="s">
        <v>4576</v>
      </c>
      <c r="V338" s="29" t="str">
        <f t="shared" si="47"/>
        <v>No geometric exceedance</v>
      </c>
      <c r="W338" s="30">
        <v>23.85</v>
      </c>
      <c r="X338" s="30">
        <v>120.82</v>
      </c>
      <c r="Y338" s="30">
        <v>8</v>
      </c>
      <c r="Z338" s="30">
        <v>67.858909435893921</v>
      </c>
      <c r="AA338" s="29" t="s">
        <v>2812</v>
      </c>
      <c r="AB338" s="29"/>
      <c r="AC338" s="39"/>
      <c r="AD338" s="39"/>
    </row>
    <row r="339" spans="1:30" ht="58" customHeight="1">
      <c r="A339" s="1" t="s">
        <v>1263</v>
      </c>
      <c r="B339" s="1">
        <v>96</v>
      </c>
      <c r="C339" s="1" t="s">
        <v>3798</v>
      </c>
      <c r="D339" s="29" t="s">
        <v>211</v>
      </c>
      <c r="E339" s="29" t="s">
        <v>1074</v>
      </c>
      <c r="F339" s="1" t="s">
        <v>880</v>
      </c>
      <c r="G339" s="30">
        <v>24.491167000000001</v>
      </c>
      <c r="H339" s="30">
        <v>120.674167</v>
      </c>
      <c r="I339" s="30">
        <v>23.85</v>
      </c>
      <c r="J339" s="30">
        <v>120.82</v>
      </c>
      <c r="K339" s="30">
        <v>8</v>
      </c>
      <c r="L339" s="22"/>
      <c r="M339" s="22">
        <f t="shared" si="40"/>
        <v>72.813284376603647</v>
      </c>
      <c r="N339" s="22">
        <f t="shared" si="41"/>
        <v>73.251446277245293</v>
      </c>
      <c r="O339" s="22" t="str">
        <f t="shared" si="42"/>
        <v/>
      </c>
      <c r="P339" s="22" t="str">
        <f t="shared" si="43"/>
        <v/>
      </c>
      <c r="Q339" s="22">
        <f t="shared" si="44"/>
        <v>3.662572313862265</v>
      </c>
      <c r="R339" s="29" t="str">
        <f t="shared" si="45"/>
        <v>No original Rhyp to compare</v>
      </c>
      <c r="S339" s="29" t="str">
        <f t="shared" si="46"/>
        <v/>
      </c>
      <c r="T339" s="22">
        <v>24.999455000000001</v>
      </c>
      <c r="U339" s="29" t="s">
        <v>4576</v>
      </c>
      <c r="V339" s="29" t="str">
        <f t="shared" si="47"/>
        <v>No geometric exceedance</v>
      </c>
      <c r="W339" s="30">
        <v>23.85</v>
      </c>
      <c r="X339" s="30">
        <v>120.82</v>
      </c>
      <c r="Y339" s="30">
        <v>8</v>
      </c>
      <c r="Z339" s="30">
        <v>73.251446277245449</v>
      </c>
      <c r="AA339" s="29" t="s">
        <v>2812</v>
      </c>
      <c r="AB339" s="29"/>
      <c r="AC339" s="39"/>
      <c r="AD339" s="39"/>
    </row>
    <row r="340" spans="1:30" ht="58" customHeight="1">
      <c r="A340" s="1" t="s">
        <v>1263</v>
      </c>
      <c r="B340" s="1">
        <v>97</v>
      </c>
      <c r="C340" s="1" t="s">
        <v>3800</v>
      </c>
      <c r="D340" s="29" t="s">
        <v>211</v>
      </c>
      <c r="E340" s="29" t="s">
        <v>1074</v>
      </c>
      <c r="F340" s="1" t="s">
        <v>881</v>
      </c>
      <c r="G340" s="30">
        <v>24.489667000000001</v>
      </c>
      <c r="H340" s="30">
        <v>120.79083300000001</v>
      </c>
      <c r="I340" s="30">
        <v>23.85</v>
      </c>
      <c r="J340" s="30">
        <v>120.82</v>
      </c>
      <c r="K340" s="30">
        <v>8</v>
      </c>
      <c r="L340" s="22"/>
      <c r="M340" s="22">
        <f t="shared" si="40"/>
        <v>71.189242687194877</v>
      </c>
      <c r="N340" s="22">
        <f t="shared" si="41"/>
        <v>71.637338548946175</v>
      </c>
      <c r="O340" s="22" t="str">
        <f t="shared" si="42"/>
        <v/>
      </c>
      <c r="P340" s="22" t="str">
        <f t="shared" si="43"/>
        <v/>
      </c>
      <c r="Q340" s="22">
        <f t="shared" si="44"/>
        <v>3.5818669274473089</v>
      </c>
      <c r="R340" s="29" t="str">
        <f t="shared" si="45"/>
        <v>No original Rhyp to compare</v>
      </c>
      <c r="S340" s="29" t="str">
        <f t="shared" si="46"/>
        <v/>
      </c>
      <c r="T340" s="22">
        <v>19.483107</v>
      </c>
      <c r="U340" s="29" t="s">
        <v>4576</v>
      </c>
      <c r="V340" s="29" t="str">
        <f t="shared" si="47"/>
        <v>No geometric exceedance</v>
      </c>
      <c r="W340" s="30">
        <v>23.85</v>
      </c>
      <c r="X340" s="30">
        <v>120.82</v>
      </c>
      <c r="Y340" s="30">
        <v>8</v>
      </c>
      <c r="Z340" s="30">
        <v>71.637338548946076</v>
      </c>
      <c r="AA340" s="29" t="s">
        <v>2812</v>
      </c>
      <c r="AB340" s="29"/>
      <c r="AC340" s="39"/>
      <c r="AD340" s="39"/>
    </row>
    <row r="341" spans="1:30" ht="58" customHeight="1">
      <c r="A341" s="1" t="s">
        <v>1263</v>
      </c>
      <c r="B341" s="1">
        <v>98</v>
      </c>
      <c r="C341" s="1" t="s">
        <v>3802</v>
      </c>
      <c r="D341" s="29" t="s">
        <v>211</v>
      </c>
      <c r="E341" s="29" t="s">
        <v>1074</v>
      </c>
      <c r="F341" s="1" t="s">
        <v>882</v>
      </c>
      <c r="G341" s="30">
        <v>24.448833</v>
      </c>
      <c r="H341" s="30">
        <v>120.655</v>
      </c>
      <c r="I341" s="30">
        <v>23.85</v>
      </c>
      <c r="J341" s="30">
        <v>120.82</v>
      </c>
      <c r="K341" s="30">
        <v>8</v>
      </c>
      <c r="L341" s="22"/>
      <c r="M341" s="22">
        <f t="shared" si="40"/>
        <v>68.659493789045541</v>
      </c>
      <c r="N341" s="22">
        <f t="shared" si="41"/>
        <v>69.123990678837274</v>
      </c>
      <c r="O341" s="22" t="str">
        <f t="shared" si="42"/>
        <v/>
      </c>
      <c r="P341" s="22" t="str">
        <f t="shared" si="43"/>
        <v/>
      </c>
      <c r="Q341" s="22">
        <f t="shared" si="44"/>
        <v>3.4561995339418639</v>
      </c>
      <c r="R341" s="29" t="str">
        <f t="shared" si="45"/>
        <v>No original Rhyp to compare</v>
      </c>
      <c r="S341" s="29" t="str">
        <f t="shared" si="46"/>
        <v/>
      </c>
      <c r="T341" s="22">
        <v>21.483913999999999</v>
      </c>
      <c r="U341" s="29" t="s">
        <v>4576</v>
      </c>
      <c r="V341" s="29" t="str">
        <f t="shared" si="47"/>
        <v>No geometric exceedance</v>
      </c>
      <c r="W341" s="30">
        <v>23.85</v>
      </c>
      <c r="X341" s="30">
        <v>120.82</v>
      </c>
      <c r="Y341" s="30">
        <v>8</v>
      </c>
      <c r="Z341" s="30">
        <v>69.123990678837202</v>
      </c>
      <c r="AA341" s="29" t="s">
        <v>2812</v>
      </c>
      <c r="AB341" s="29"/>
      <c r="AC341" s="39"/>
      <c r="AD341" s="39"/>
    </row>
    <row r="342" spans="1:30" ht="58" customHeight="1">
      <c r="A342" s="1" t="s">
        <v>1263</v>
      </c>
      <c r="B342" s="1">
        <v>99</v>
      </c>
      <c r="C342" s="1" t="s">
        <v>3804</v>
      </c>
      <c r="D342" s="29" t="s">
        <v>211</v>
      </c>
      <c r="E342" s="29" t="s">
        <v>1074</v>
      </c>
      <c r="F342" s="1" t="s">
        <v>1075</v>
      </c>
      <c r="G342" s="30">
        <v>24.552667</v>
      </c>
      <c r="H342" s="30">
        <v>120.815</v>
      </c>
      <c r="I342" s="30">
        <v>23.85</v>
      </c>
      <c r="J342" s="30">
        <v>120.82</v>
      </c>
      <c r="K342" s="30">
        <v>8</v>
      </c>
      <c r="L342" s="22"/>
      <c r="M342" s="22">
        <f t="shared" si="40"/>
        <v>78.134651131221972</v>
      </c>
      <c r="N342" s="22">
        <f t="shared" si="41"/>
        <v>78.543132783189691</v>
      </c>
      <c r="O342" s="22" t="str">
        <f t="shared" si="42"/>
        <v/>
      </c>
      <c r="P342" s="22" t="str">
        <f t="shared" si="43"/>
        <v/>
      </c>
      <c r="Q342" s="22">
        <f t="shared" si="44"/>
        <v>3.9271566391594845</v>
      </c>
      <c r="R342" s="29" t="str">
        <f t="shared" si="45"/>
        <v>No original Rhyp to compare</v>
      </c>
      <c r="S342" s="29" t="str">
        <f t="shared" si="46"/>
        <v/>
      </c>
      <c r="T342" s="22">
        <v>26.058855000000001</v>
      </c>
      <c r="U342" s="29" t="s">
        <v>4576</v>
      </c>
      <c r="V342" s="29" t="str">
        <f t="shared" si="47"/>
        <v>No geometric exceedance</v>
      </c>
      <c r="W342" s="30">
        <v>23.85</v>
      </c>
      <c r="X342" s="30">
        <v>120.82</v>
      </c>
      <c r="Y342" s="30">
        <v>8</v>
      </c>
      <c r="Z342" s="30">
        <v>78.543132783189847</v>
      </c>
      <c r="AA342" s="29" t="s">
        <v>2812</v>
      </c>
      <c r="AB342" s="29"/>
      <c r="AC342" s="39"/>
      <c r="AD342" s="39"/>
    </row>
    <row r="343" spans="1:30" ht="58" customHeight="1">
      <c r="A343" s="1" t="s">
        <v>1263</v>
      </c>
      <c r="B343" s="1">
        <v>100</v>
      </c>
      <c r="C343" s="1" t="s">
        <v>3806</v>
      </c>
      <c r="D343" s="29" t="s">
        <v>211</v>
      </c>
      <c r="E343" s="29" t="s">
        <v>1074</v>
      </c>
      <c r="F343" s="1" t="s">
        <v>883</v>
      </c>
      <c r="G343" s="30">
        <v>24.539833000000002</v>
      </c>
      <c r="H343" s="30">
        <v>120.9205</v>
      </c>
      <c r="I343" s="30">
        <v>23.85</v>
      </c>
      <c r="J343" s="30">
        <v>120.82</v>
      </c>
      <c r="K343" s="30">
        <v>8</v>
      </c>
      <c r="L343" s="22"/>
      <c r="M343" s="22">
        <f t="shared" si="40"/>
        <v>77.380253845032939</v>
      </c>
      <c r="N343" s="22">
        <f t="shared" si="41"/>
        <v>77.792696862377355</v>
      </c>
      <c r="O343" s="22" t="str">
        <f t="shared" si="42"/>
        <v/>
      </c>
      <c r="P343" s="22" t="str">
        <f t="shared" si="43"/>
        <v/>
      </c>
      <c r="Q343" s="22">
        <f t="shared" si="44"/>
        <v>3.8896348431188681</v>
      </c>
      <c r="R343" s="29" t="str">
        <f t="shared" si="45"/>
        <v>No original Rhyp to compare</v>
      </c>
      <c r="S343" s="29" t="str">
        <f t="shared" si="46"/>
        <v/>
      </c>
      <c r="T343" s="22">
        <v>26.059996000000002</v>
      </c>
      <c r="U343" s="29" t="s">
        <v>4576</v>
      </c>
      <c r="V343" s="29" t="str">
        <f t="shared" si="47"/>
        <v>No geometric exceedance</v>
      </c>
      <c r="W343" s="30">
        <v>23.85</v>
      </c>
      <c r="X343" s="30">
        <v>120.82</v>
      </c>
      <c r="Y343" s="30">
        <v>8</v>
      </c>
      <c r="Z343" s="30">
        <v>77.792696862377312</v>
      </c>
      <c r="AA343" s="29" t="s">
        <v>2812</v>
      </c>
      <c r="AB343" s="29"/>
      <c r="AC343" s="39"/>
      <c r="AD343" s="39"/>
    </row>
    <row r="344" spans="1:30" ht="58" customHeight="1">
      <c r="A344" s="1" t="s">
        <v>1263</v>
      </c>
      <c r="B344" s="1">
        <v>101</v>
      </c>
      <c r="C344" s="1" t="s">
        <v>3808</v>
      </c>
      <c r="D344" s="29" t="s">
        <v>211</v>
      </c>
      <c r="E344" s="29" t="s">
        <v>1074</v>
      </c>
      <c r="F344" s="1" t="s">
        <v>884</v>
      </c>
      <c r="G344" s="30">
        <v>24.466166999999999</v>
      </c>
      <c r="H344" s="30">
        <v>120.86116699999999</v>
      </c>
      <c r="I344" s="30">
        <v>23.85</v>
      </c>
      <c r="J344" s="30">
        <v>120.82</v>
      </c>
      <c r="K344" s="30">
        <v>8</v>
      </c>
      <c r="L344" s="22"/>
      <c r="M344" s="22">
        <f t="shared" si="40"/>
        <v>68.64182902400276</v>
      </c>
      <c r="N344" s="22">
        <f t="shared" si="41"/>
        <v>69.106444647083592</v>
      </c>
      <c r="O344" s="22" t="str">
        <f t="shared" si="42"/>
        <v/>
      </c>
      <c r="P344" s="22" t="str">
        <f t="shared" si="43"/>
        <v/>
      </c>
      <c r="Q344" s="22">
        <f t="shared" si="44"/>
        <v>3.4553222323541797</v>
      </c>
      <c r="R344" s="29" t="str">
        <f t="shared" si="45"/>
        <v>No original Rhyp to compare</v>
      </c>
      <c r="S344" s="29" t="str">
        <f t="shared" si="46"/>
        <v/>
      </c>
      <c r="T344" s="22">
        <v>16.594709000000002</v>
      </c>
      <c r="U344" s="29" t="s">
        <v>4576</v>
      </c>
      <c r="V344" s="29" t="str">
        <f t="shared" si="47"/>
        <v>No geometric exceedance</v>
      </c>
      <c r="W344" s="30">
        <v>23.85</v>
      </c>
      <c r="X344" s="30">
        <v>120.82</v>
      </c>
      <c r="Y344" s="30">
        <v>8</v>
      </c>
      <c r="Z344" s="30">
        <v>69.10644464708345</v>
      </c>
      <c r="AA344" s="29" t="s">
        <v>2812</v>
      </c>
      <c r="AB344" s="29"/>
      <c r="AC344" s="39"/>
      <c r="AD344" s="39"/>
    </row>
    <row r="345" spans="1:30" ht="58" customHeight="1">
      <c r="A345" s="1" t="s">
        <v>1263</v>
      </c>
      <c r="B345" s="1">
        <v>102</v>
      </c>
      <c r="C345" s="1" t="s">
        <v>3810</v>
      </c>
      <c r="D345" s="29" t="s">
        <v>211</v>
      </c>
      <c r="E345" s="29" t="s">
        <v>1074</v>
      </c>
      <c r="F345" s="1" t="s">
        <v>885</v>
      </c>
      <c r="G345" s="30">
        <v>24.617667000000001</v>
      </c>
      <c r="H345" s="30">
        <v>120.946167</v>
      </c>
      <c r="I345" s="30">
        <v>23.85</v>
      </c>
      <c r="J345" s="30">
        <v>120.82</v>
      </c>
      <c r="K345" s="30">
        <v>8</v>
      </c>
      <c r="L345" s="22"/>
      <c r="M345" s="22">
        <f t="shared" si="40"/>
        <v>86.313950935868135</v>
      </c>
      <c r="N345" s="22">
        <f t="shared" si="41"/>
        <v>86.683897732851463</v>
      </c>
      <c r="O345" s="22" t="str">
        <f t="shared" si="42"/>
        <v/>
      </c>
      <c r="P345" s="22" t="str">
        <f t="shared" si="43"/>
        <v/>
      </c>
      <c r="Q345" s="22">
        <f t="shared" si="44"/>
        <v>4.3341948866425737</v>
      </c>
      <c r="R345" s="29" t="str">
        <f t="shared" si="45"/>
        <v>No original Rhyp to compare</v>
      </c>
      <c r="S345" s="29" t="str">
        <f t="shared" si="46"/>
        <v/>
      </c>
      <c r="T345" s="22">
        <v>35.094971000000001</v>
      </c>
      <c r="U345" s="29" t="s">
        <v>4576</v>
      </c>
      <c r="V345" s="29" t="str">
        <f t="shared" si="47"/>
        <v>No geometric exceedance</v>
      </c>
      <c r="W345" s="30">
        <v>23.85</v>
      </c>
      <c r="X345" s="30">
        <v>120.82</v>
      </c>
      <c r="Y345" s="30">
        <v>8</v>
      </c>
      <c r="Z345" s="30">
        <v>86.683897732851378</v>
      </c>
      <c r="AA345" s="29" t="s">
        <v>2812</v>
      </c>
      <c r="AB345" s="29"/>
      <c r="AC345" s="39"/>
      <c r="AD345" s="39"/>
    </row>
    <row r="346" spans="1:30" ht="58" customHeight="1">
      <c r="A346" s="1" t="s">
        <v>1263</v>
      </c>
      <c r="B346" s="1">
        <v>103</v>
      </c>
      <c r="C346" s="1" t="s">
        <v>3812</v>
      </c>
      <c r="D346" s="29" t="s">
        <v>211</v>
      </c>
      <c r="E346" s="29" t="s">
        <v>1074</v>
      </c>
      <c r="F346" s="1" t="s">
        <v>886</v>
      </c>
      <c r="G346" s="30">
        <v>24.177333000000001</v>
      </c>
      <c r="H346" s="30">
        <v>120.69966700000001</v>
      </c>
      <c r="I346" s="30">
        <v>23.85</v>
      </c>
      <c r="J346" s="30">
        <v>120.82</v>
      </c>
      <c r="K346" s="30">
        <v>8</v>
      </c>
      <c r="L346" s="22"/>
      <c r="M346" s="22">
        <f t="shared" si="40"/>
        <v>38.395079053265754</v>
      </c>
      <c r="N346" s="22">
        <f t="shared" si="41"/>
        <v>39.219664653162532</v>
      </c>
      <c r="O346" s="22" t="str">
        <f t="shared" si="42"/>
        <v/>
      </c>
      <c r="P346" s="22" t="str">
        <f t="shared" si="43"/>
        <v/>
      </c>
      <c r="Q346" s="22">
        <f t="shared" si="44"/>
        <v>1.9609832326581267</v>
      </c>
      <c r="R346" s="29" t="str">
        <f t="shared" si="45"/>
        <v>No original Rhyp to compare</v>
      </c>
      <c r="S346" s="29" t="str">
        <f t="shared" si="46"/>
        <v/>
      </c>
      <c r="T346" s="22">
        <v>2.794384</v>
      </c>
      <c r="U346" s="29" t="s">
        <v>4576</v>
      </c>
      <c r="V346" s="29" t="str">
        <f t="shared" si="47"/>
        <v>No geometric exceedance</v>
      </c>
      <c r="W346" s="30">
        <v>23.85</v>
      </c>
      <c r="X346" s="30">
        <v>120.82</v>
      </c>
      <c r="Y346" s="30">
        <v>8</v>
      </c>
      <c r="Z346" s="30">
        <v>39.219664653162582</v>
      </c>
      <c r="AA346" s="29" t="s">
        <v>2812</v>
      </c>
      <c r="AB346" s="29"/>
      <c r="AC346" s="39"/>
      <c r="AD346" s="39"/>
    </row>
    <row r="347" spans="1:30" ht="58" customHeight="1">
      <c r="A347" s="1" t="s">
        <v>1263</v>
      </c>
      <c r="B347" s="1">
        <v>104</v>
      </c>
      <c r="C347" s="1" t="s">
        <v>3814</v>
      </c>
      <c r="D347" s="29" t="s">
        <v>211</v>
      </c>
      <c r="E347" s="29" t="s">
        <v>1074</v>
      </c>
      <c r="F347" s="1" t="s">
        <v>1076</v>
      </c>
      <c r="G347" s="30">
        <v>24.18</v>
      </c>
      <c r="H347" s="30">
        <v>120.641667</v>
      </c>
      <c r="I347" s="30">
        <v>23.85</v>
      </c>
      <c r="J347" s="30">
        <v>120.82</v>
      </c>
      <c r="K347" s="30">
        <v>8</v>
      </c>
      <c r="L347" s="22"/>
      <c r="M347" s="22">
        <f t="shared" si="40"/>
        <v>40.921407882444036</v>
      </c>
      <c r="N347" s="22">
        <f t="shared" si="41"/>
        <v>41.696062440971005</v>
      </c>
      <c r="O347" s="22" t="str">
        <f t="shared" si="42"/>
        <v/>
      </c>
      <c r="P347" s="22" t="str">
        <f t="shared" si="43"/>
        <v/>
      </c>
      <c r="Q347" s="22">
        <f t="shared" si="44"/>
        <v>2.0848031220485503</v>
      </c>
      <c r="R347" s="29" t="str">
        <f t="shared" si="45"/>
        <v>No original Rhyp to compare</v>
      </c>
      <c r="S347" s="29" t="str">
        <f t="shared" si="46"/>
        <v/>
      </c>
      <c r="T347" s="22">
        <v>8.6810489999999998</v>
      </c>
      <c r="U347" s="29" t="s">
        <v>4576</v>
      </c>
      <c r="V347" s="29" t="str">
        <f t="shared" si="47"/>
        <v>No geometric exceedance</v>
      </c>
      <c r="W347" s="30">
        <v>23.85</v>
      </c>
      <c r="X347" s="30">
        <v>120.82</v>
      </c>
      <c r="Y347" s="30">
        <v>8</v>
      </c>
      <c r="Z347" s="30">
        <v>41.696062440971026</v>
      </c>
      <c r="AA347" s="29" t="s">
        <v>2812</v>
      </c>
      <c r="AB347" s="29"/>
      <c r="AC347" s="39"/>
      <c r="AD347" s="39"/>
    </row>
    <row r="348" spans="1:30" ht="58" customHeight="1">
      <c r="A348" s="1" t="s">
        <v>1263</v>
      </c>
      <c r="B348" s="1">
        <v>105</v>
      </c>
      <c r="C348" s="1" t="s">
        <v>3816</v>
      </c>
      <c r="D348" s="29" t="s">
        <v>211</v>
      </c>
      <c r="E348" s="29" t="s">
        <v>1074</v>
      </c>
      <c r="F348" s="1" t="s">
        <v>887</v>
      </c>
      <c r="G348" s="30">
        <v>24.159832999999999</v>
      </c>
      <c r="H348" s="30">
        <v>120.659667</v>
      </c>
      <c r="I348" s="30">
        <v>23.85</v>
      </c>
      <c r="J348" s="30">
        <v>120.82</v>
      </c>
      <c r="K348" s="30">
        <v>8</v>
      </c>
      <c r="L348" s="22"/>
      <c r="M348" s="22">
        <f t="shared" si="40"/>
        <v>38.107372281790333</v>
      </c>
      <c r="N348" s="22">
        <f t="shared" si="41"/>
        <v>38.93805108403555</v>
      </c>
      <c r="O348" s="22" t="str">
        <f t="shared" si="42"/>
        <v/>
      </c>
      <c r="P348" s="22" t="str">
        <f t="shared" si="43"/>
        <v/>
      </c>
      <c r="Q348" s="22">
        <f t="shared" si="44"/>
        <v>1.9469025542017775</v>
      </c>
      <c r="R348" s="29" t="str">
        <f t="shared" si="45"/>
        <v>No original Rhyp to compare</v>
      </c>
      <c r="S348" s="29" t="str">
        <f t="shared" si="46"/>
        <v/>
      </c>
      <c r="T348" s="22">
        <v>6.8291909999999998</v>
      </c>
      <c r="U348" s="29" t="s">
        <v>4576</v>
      </c>
      <c r="V348" s="29" t="str">
        <f t="shared" si="47"/>
        <v>No geometric exceedance</v>
      </c>
      <c r="W348" s="30">
        <v>23.85</v>
      </c>
      <c r="X348" s="30">
        <v>120.82</v>
      </c>
      <c r="Y348" s="30">
        <v>8</v>
      </c>
      <c r="Z348" s="30">
        <v>38.938051084035571</v>
      </c>
      <c r="AA348" s="29" t="s">
        <v>2812</v>
      </c>
      <c r="AB348" s="29"/>
      <c r="AC348" s="39"/>
      <c r="AD348" s="39"/>
    </row>
    <row r="349" spans="1:30" ht="58" customHeight="1">
      <c r="A349" s="1" t="s">
        <v>1263</v>
      </c>
      <c r="B349" s="1">
        <v>106</v>
      </c>
      <c r="C349" s="1" t="s">
        <v>3818</v>
      </c>
      <c r="D349" s="29" t="s">
        <v>211</v>
      </c>
      <c r="E349" s="29" t="s">
        <v>1074</v>
      </c>
      <c r="F349" s="1" t="s">
        <v>888</v>
      </c>
      <c r="G349" s="30">
        <v>24.195833</v>
      </c>
      <c r="H349" s="30">
        <v>120.748</v>
      </c>
      <c r="I349" s="30">
        <v>23.85</v>
      </c>
      <c r="J349" s="30">
        <v>120.82</v>
      </c>
      <c r="K349" s="30">
        <v>8</v>
      </c>
      <c r="L349" s="22"/>
      <c r="M349" s="22">
        <f t="shared" si="40"/>
        <v>39.143976409948415</v>
      </c>
      <c r="N349" s="22">
        <f t="shared" si="41"/>
        <v>39.953108629774952</v>
      </c>
      <c r="O349" s="22" t="str">
        <f t="shared" si="42"/>
        <v/>
      </c>
      <c r="P349" s="22" t="str">
        <f t="shared" si="43"/>
        <v/>
      </c>
      <c r="Q349" s="22">
        <f t="shared" si="44"/>
        <v>1.9976554314887478</v>
      </c>
      <c r="R349" s="29" t="str">
        <f t="shared" si="45"/>
        <v>No original Rhyp to compare</v>
      </c>
      <c r="S349" s="29" t="str">
        <f t="shared" si="46"/>
        <v/>
      </c>
      <c r="T349" s="22">
        <v>1.039873</v>
      </c>
      <c r="U349" s="29" t="s">
        <v>4576</v>
      </c>
      <c r="V349" s="29" t="str">
        <f t="shared" si="47"/>
        <v>No geometric exceedance</v>
      </c>
      <c r="W349" s="30">
        <v>23.85</v>
      </c>
      <c r="X349" s="30">
        <v>120.82</v>
      </c>
      <c r="Y349" s="30">
        <v>8</v>
      </c>
      <c r="Z349" s="30">
        <v>39.953108629775002</v>
      </c>
      <c r="AA349" s="29" t="s">
        <v>2812</v>
      </c>
      <c r="AB349" s="29"/>
      <c r="AC349" s="39"/>
      <c r="AD349" s="39"/>
    </row>
    <row r="350" spans="1:30" ht="58" customHeight="1">
      <c r="A350" s="1" t="s">
        <v>1263</v>
      </c>
      <c r="B350" s="1">
        <v>107</v>
      </c>
      <c r="C350" s="1" t="s">
        <v>3820</v>
      </c>
      <c r="D350" s="29" t="s">
        <v>211</v>
      </c>
      <c r="E350" s="29" t="s">
        <v>1074</v>
      </c>
      <c r="F350" s="1" t="s">
        <v>889</v>
      </c>
      <c r="G350" s="30">
        <v>24.191666999999999</v>
      </c>
      <c r="H350" s="30">
        <v>120.678833</v>
      </c>
      <c r="I350" s="30">
        <v>23.85</v>
      </c>
      <c r="J350" s="30">
        <v>120.82</v>
      </c>
      <c r="K350" s="30">
        <v>8</v>
      </c>
      <c r="L350" s="22"/>
      <c r="M350" s="22">
        <f t="shared" si="40"/>
        <v>40.60704007207373</v>
      </c>
      <c r="N350" s="22">
        <f t="shared" si="41"/>
        <v>41.387579095847123</v>
      </c>
      <c r="O350" s="22" t="str">
        <f t="shared" si="42"/>
        <v/>
      </c>
      <c r="P350" s="22" t="str">
        <f t="shared" si="43"/>
        <v/>
      </c>
      <c r="Q350" s="22">
        <f t="shared" si="44"/>
        <v>2.0693789547923562</v>
      </c>
      <c r="R350" s="29" t="str">
        <f t="shared" si="45"/>
        <v>No original Rhyp to compare</v>
      </c>
      <c r="S350" s="29" t="str">
        <f t="shared" si="46"/>
        <v/>
      </c>
      <c r="T350" s="22">
        <v>4.9331680000000002</v>
      </c>
      <c r="U350" s="29" t="s">
        <v>4576</v>
      </c>
      <c r="V350" s="29" t="str">
        <f t="shared" si="47"/>
        <v>No geometric exceedance</v>
      </c>
      <c r="W350" s="30">
        <v>23.85</v>
      </c>
      <c r="X350" s="30">
        <v>120.82</v>
      </c>
      <c r="Y350" s="30">
        <v>8</v>
      </c>
      <c r="Z350" s="30">
        <v>41.387579095846966</v>
      </c>
      <c r="AA350" s="29" t="s">
        <v>2812</v>
      </c>
      <c r="AB350" s="29"/>
      <c r="AC350" s="39"/>
      <c r="AD350" s="39"/>
    </row>
    <row r="351" spans="1:30" ht="58" customHeight="1">
      <c r="A351" s="1" t="s">
        <v>1263</v>
      </c>
      <c r="B351" s="1">
        <v>108</v>
      </c>
      <c r="C351" s="1" t="s">
        <v>3822</v>
      </c>
      <c r="D351" s="29" t="s">
        <v>211</v>
      </c>
      <c r="E351" s="29" t="s">
        <v>1074</v>
      </c>
      <c r="F351" s="1" t="s">
        <v>1077</v>
      </c>
      <c r="G351" s="30">
        <v>24.16</v>
      </c>
      <c r="H351" s="30">
        <v>120.684833</v>
      </c>
      <c r="I351" s="30">
        <v>23.85</v>
      </c>
      <c r="J351" s="30">
        <v>120.82</v>
      </c>
      <c r="K351" s="30">
        <v>8</v>
      </c>
      <c r="L351" s="22"/>
      <c r="M351" s="22">
        <f t="shared" si="40"/>
        <v>37.104192699411911</v>
      </c>
      <c r="N351" s="22">
        <f t="shared" si="41"/>
        <v>37.956832268711416</v>
      </c>
      <c r="O351" s="22" t="str">
        <f t="shared" si="42"/>
        <v/>
      </c>
      <c r="P351" s="22" t="str">
        <f t="shared" si="43"/>
        <v/>
      </c>
      <c r="Q351" s="22">
        <f t="shared" si="44"/>
        <v>1.8978416134355709</v>
      </c>
      <c r="R351" s="29" t="str">
        <f t="shared" si="45"/>
        <v>No original Rhyp to compare</v>
      </c>
      <c r="S351" s="29" t="str">
        <f t="shared" si="46"/>
        <v/>
      </c>
      <c r="T351" s="22">
        <v>4.2830919999999999</v>
      </c>
      <c r="U351" s="29" t="s">
        <v>4576</v>
      </c>
      <c r="V351" s="29" t="str">
        <f t="shared" si="47"/>
        <v>No geometric exceedance</v>
      </c>
      <c r="W351" s="30">
        <v>23.85</v>
      </c>
      <c r="X351" s="30">
        <v>120.82</v>
      </c>
      <c r="Y351" s="30">
        <v>8</v>
      </c>
      <c r="Z351" s="30">
        <v>37.95683226871153</v>
      </c>
      <c r="AA351" s="29" t="s">
        <v>2812</v>
      </c>
      <c r="AB351" s="29"/>
      <c r="AC351" s="39"/>
      <c r="AD351" s="39"/>
    </row>
    <row r="352" spans="1:30" ht="58" customHeight="1">
      <c r="A352" s="1" t="s">
        <v>1263</v>
      </c>
      <c r="B352" s="1">
        <v>109</v>
      </c>
      <c r="C352" s="1" t="s">
        <v>3824</v>
      </c>
      <c r="D352" s="29" t="s">
        <v>211</v>
      </c>
      <c r="E352" s="29" t="s">
        <v>1074</v>
      </c>
      <c r="F352" s="1" t="s">
        <v>1078</v>
      </c>
      <c r="G352" s="30">
        <v>24.138200000000001</v>
      </c>
      <c r="H352" s="30">
        <v>120.6748</v>
      </c>
      <c r="I352" s="30">
        <v>23.85</v>
      </c>
      <c r="J352" s="30">
        <v>120.82</v>
      </c>
      <c r="K352" s="30">
        <v>8</v>
      </c>
      <c r="L352" s="22"/>
      <c r="M352" s="22">
        <f t="shared" si="40"/>
        <v>35.278063177504059</v>
      </c>
      <c r="N352" s="22">
        <f t="shared" si="41"/>
        <v>36.173771458834203</v>
      </c>
      <c r="O352" s="22" t="str">
        <f t="shared" si="42"/>
        <v/>
      </c>
      <c r="P352" s="22" t="str">
        <f t="shared" si="43"/>
        <v/>
      </c>
      <c r="Q352" s="22">
        <f t="shared" si="44"/>
        <v>1.8086885729417101</v>
      </c>
      <c r="R352" s="29" t="str">
        <f t="shared" si="45"/>
        <v>No original Rhyp to compare</v>
      </c>
      <c r="S352" s="29" t="str">
        <f t="shared" si="46"/>
        <v/>
      </c>
      <c r="T352" s="22">
        <v>5.2839</v>
      </c>
      <c r="U352" s="29" t="s">
        <v>4576</v>
      </c>
      <c r="V352" s="29" t="str">
        <f t="shared" si="47"/>
        <v>No geometric exceedance</v>
      </c>
      <c r="W352" s="30">
        <v>23.85</v>
      </c>
      <c r="X352" s="30">
        <v>120.82</v>
      </c>
      <c r="Y352" s="30">
        <v>8</v>
      </c>
      <c r="Z352" s="30">
        <v>36.173771458834096</v>
      </c>
      <c r="AA352" s="29" t="s">
        <v>2812</v>
      </c>
      <c r="AB352" s="29"/>
      <c r="AC352" s="39"/>
      <c r="AD352" s="39"/>
    </row>
    <row r="353" spans="1:30" ht="58" customHeight="1">
      <c r="A353" s="1" t="s">
        <v>1263</v>
      </c>
      <c r="B353" s="1">
        <v>110</v>
      </c>
      <c r="C353" s="1" t="s">
        <v>3826</v>
      </c>
      <c r="D353" s="29" t="s">
        <v>211</v>
      </c>
      <c r="E353" s="29" t="s">
        <v>1074</v>
      </c>
      <c r="F353" s="1" t="s">
        <v>890</v>
      </c>
      <c r="G353" s="30">
        <v>24.157</v>
      </c>
      <c r="H353" s="30">
        <v>120.6335</v>
      </c>
      <c r="I353" s="30">
        <v>23.85</v>
      </c>
      <c r="J353" s="30">
        <v>120.82</v>
      </c>
      <c r="K353" s="30">
        <v>8</v>
      </c>
      <c r="L353" s="22"/>
      <c r="M353" s="22">
        <f t="shared" si="40"/>
        <v>39.041196685115075</v>
      </c>
      <c r="N353" s="22">
        <f t="shared" si="41"/>
        <v>39.852415718571443</v>
      </c>
      <c r="O353" s="22" t="str">
        <f t="shared" si="42"/>
        <v/>
      </c>
      <c r="P353" s="22" t="str">
        <f t="shared" si="43"/>
        <v/>
      </c>
      <c r="Q353" s="22">
        <f t="shared" si="44"/>
        <v>1.9926207859285723</v>
      </c>
      <c r="R353" s="29" t="str">
        <f t="shared" si="45"/>
        <v>No original Rhyp to compare</v>
      </c>
      <c r="S353" s="29" t="str">
        <f t="shared" si="46"/>
        <v/>
      </c>
      <c r="T353" s="22">
        <v>9.4835960000000004</v>
      </c>
      <c r="U353" s="29" t="s">
        <v>4576</v>
      </c>
      <c r="V353" s="29" t="str">
        <f t="shared" si="47"/>
        <v>No geometric exceedance</v>
      </c>
      <c r="W353" s="30">
        <v>23.85</v>
      </c>
      <c r="X353" s="30">
        <v>120.82</v>
      </c>
      <c r="Y353" s="30">
        <v>8</v>
      </c>
      <c r="Z353" s="30">
        <v>39.852415718571386</v>
      </c>
      <c r="AA353" s="29" t="s">
        <v>2812</v>
      </c>
      <c r="AB353" s="29"/>
      <c r="AC353" s="39"/>
      <c r="AD353" s="39"/>
    </row>
    <row r="354" spans="1:30" ht="58" customHeight="1">
      <c r="A354" s="1" t="s">
        <v>1263</v>
      </c>
      <c r="B354" s="1">
        <v>111</v>
      </c>
      <c r="C354" s="1" t="s">
        <v>3828</v>
      </c>
      <c r="D354" s="29" t="s">
        <v>211</v>
      </c>
      <c r="E354" s="29" t="s">
        <v>1074</v>
      </c>
      <c r="F354" s="1" t="s">
        <v>891</v>
      </c>
      <c r="G354" s="30">
        <v>24.266999999999999</v>
      </c>
      <c r="H354" s="30">
        <v>120.571833</v>
      </c>
      <c r="I354" s="30">
        <v>23.85</v>
      </c>
      <c r="J354" s="30">
        <v>120.82</v>
      </c>
      <c r="K354" s="30">
        <v>8</v>
      </c>
      <c r="L354" s="22"/>
      <c r="M354" s="22">
        <f t="shared" si="40"/>
        <v>52.772520363414458</v>
      </c>
      <c r="N354" s="22">
        <f t="shared" si="41"/>
        <v>53.375452274495942</v>
      </c>
      <c r="O354" s="22" t="str">
        <f t="shared" si="42"/>
        <v/>
      </c>
      <c r="P354" s="22" t="str">
        <f t="shared" si="43"/>
        <v/>
      </c>
      <c r="Q354" s="22">
        <f t="shared" si="44"/>
        <v>2.6687726137247973</v>
      </c>
      <c r="R354" s="29" t="str">
        <f t="shared" si="45"/>
        <v>No original Rhyp to compare</v>
      </c>
      <c r="S354" s="29" t="str">
        <f t="shared" si="46"/>
        <v/>
      </c>
      <c r="T354" s="22">
        <v>16.255703</v>
      </c>
      <c r="U354" s="29" t="s">
        <v>4576</v>
      </c>
      <c r="V354" s="29" t="str">
        <f t="shared" si="47"/>
        <v>No geometric exceedance</v>
      </c>
      <c r="W354" s="30">
        <v>23.85</v>
      </c>
      <c r="X354" s="30">
        <v>120.82</v>
      </c>
      <c r="Y354" s="30">
        <v>8</v>
      </c>
      <c r="Z354" s="30">
        <v>53.375452274495885</v>
      </c>
      <c r="AA354" s="29" t="s">
        <v>2812</v>
      </c>
      <c r="AB354" s="29"/>
      <c r="AC354" s="39"/>
      <c r="AD354" s="39"/>
    </row>
    <row r="355" spans="1:30" ht="58" customHeight="1">
      <c r="A355" s="1" t="s">
        <v>1263</v>
      </c>
      <c r="B355" s="1">
        <v>112</v>
      </c>
      <c r="C355" s="1" t="s">
        <v>3830</v>
      </c>
      <c r="D355" s="29" t="s">
        <v>211</v>
      </c>
      <c r="E355" s="29" t="s">
        <v>1074</v>
      </c>
      <c r="F355" s="1" t="s">
        <v>892</v>
      </c>
      <c r="G355" s="30">
        <v>24.107832999999999</v>
      </c>
      <c r="H355" s="30">
        <v>120.623833</v>
      </c>
      <c r="I355" s="30">
        <v>23.85</v>
      </c>
      <c r="J355" s="30">
        <v>120.82</v>
      </c>
      <c r="K355" s="30">
        <v>8</v>
      </c>
      <c r="L355" s="22"/>
      <c r="M355" s="22">
        <f t="shared" si="40"/>
        <v>34.916552950839694</v>
      </c>
      <c r="N355" s="22">
        <f t="shared" si="41"/>
        <v>35.821301902203274</v>
      </c>
      <c r="O355" s="22" t="str">
        <f t="shared" si="42"/>
        <v/>
      </c>
      <c r="P355" s="22" t="str">
        <f t="shared" si="43"/>
        <v/>
      </c>
      <c r="Q355" s="22">
        <f t="shared" si="44"/>
        <v>1.7910650951101639</v>
      </c>
      <c r="R355" s="29" t="str">
        <f t="shared" si="45"/>
        <v>No original Rhyp to compare</v>
      </c>
      <c r="S355" s="29" t="str">
        <f t="shared" si="46"/>
        <v/>
      </c>
      <c r="T355" s="22">
        <v>9.0694669999999995</v>
      </c>
      <c r="U355" s="29" t="s">
        <v>4576</v>
      </c>
      <c r="V355" s="29" t="str">
        <f t="shared" si="47"/>
        <v>No geometric exceedance</v>
      </c>
      <c r="W355" s="30">
        <v>23.85</v>
      </c>
      <c r="X355" s="30">
        <v>120.82</v>
      </c>
      <c r="Y355" s="30">
        <v>8</v>
      </c>
      <c r="Z355" s="30">
        <v>35.821301902203153</v>
      </c>
      <c r="AA355" s="29" t="s">
        <v>2812</v>
      </c>
      <c r="AB355" s="29"/>
      <c r="AC355" s="39"/>
      <c r="AD355" s="39"/>
    </row>
    <row r="356" spans="1:30" ht="58" customHeight="1">
      <c r="A356" s="1" t="s">
        <v>1263</v>
      </c>
      <c r="B356" s="1">
        <v>113</v>
      </c>
      <c r="C356" s="1" t="s">
        <v>3832</v>
      </c>
      <c r="D356" s="29" t="s">
        <v>211</v>
      </c>
      <c r="E356" s="29" t="s">
        <v>1074</v>
      </c>
      <c r="F356" s="1" t="s">
        <v>893</v>
      </c>
      <c r="G356" s="30">
        <v>24.3445</v>
      </c>
      <c r="H356" s="30">
        <v>120.619333</v>
      </c>
      <c r="I356" s="30">
        <v>23.85</v>
      </c>
      <c r="J356" s="30">
        <v>120.82</v>
      </c>
      <c r="K356" s="30">
        <v>8</v>
      </c>
      <c r="L356" s="22"/>
      <c r="M356" s="22">
        <f t="shared" si="40"/>
        <v>58.637238640670837</v>
      </c>
      <c r="N356" s="22">
        <f t="shared" si="41"/>
        <v>59.18045078742626</v>
      </c>
      <c r="O356" s="22" t="str">
        <f t="shared" si="42"/>
        <v/>
      </c>
      <c r="P356" s="22" t="str">
        <f t="shared" si="43"/>
        <v/>
      </c>
      <c r="Q356" s="22">
        <f t="shared" si="44"/>
        <v>2.959022539371313</v>
      </c>
      <c r="R356" s="29" t="str">
        <f t="shared" si="45"/>
        <v>No original Rhyp to compare</v>
      </c>
      <c r="S356" s="29" t="str">
        <f t="shared" si="46"/>
        <v/>
      </c>
      <c r="T356" s="22">
        <v>15.701266</v>
      </c>
      <c r="U356" s="29" t="s">
        <v>4576</v>
      </c>
      <c r="V356" s="29" t="str">
        <f t="shared" si="47"/>
        <v>No geometric exceedance</v>
      </c>
      <c r="W356" s="30">
        <v>23.85</v>
      </c>
      <c r="X356" s="30">
        <v>120.82</v>
      </c>
      <c r="Y356" s="30">
        <v>8</v>
      </c>
      <c r="Z356" s="30">
        <v>59.180450787426309</v>
      </c>
      <c r="AA356" s="29" t="s">
        <v>2812</v>
      </c>
      <c r="AB356" s="29"/>
      <c r="AC356" s="39"/>
      <c r="AD356" s="39"/>
    </row>
    <row r="357" spans="1:30" ht="58" customHeight="1">
      <c r="A357" s="1" t="s">
        <v>1263</v>
      </c>
      <c r="B357" s="1">
        <v>114</v>
      </c>
      <c r="C357" s="1" t="s">
        <v>3834</v>
      </c>
      <c r="D357" s="29" t="s">
        <v>211</v>
      </c>
      <c r="E357" s="29" t="s">
        <v>1074</v>
      </c>
      <c r="F357" s="1" t="s">
        <v>894</v>
      </c>
      <c r="G357" s="30">
        <v>24.056166999999999</v>
      </c>
      <c r="H357" s="30">
        <v>120.699833</v>
      </c>
      <c r="I357" s="30">
        <v>23.85</v>
      </c>
      <c r="J357" s="30">
        <v>120.82</v>
      </c>
      <c r="K357" s="30">
        <v>8</v>
      </c>
      <c r="L357" s="22"/>
      <c r="M357" s="22">
        <f t="shared" si="40"/>
        <v>25.97414573068319</v>
      </c>
      <c r="N357" s="22">
        <f t="shared" si="41"/>
        <v>27.178231113131108</v>
      </c>
      <c r="O357" s="22" t="str">
        <f t="shared" si="42"/>
        <v/>
      </c>
      <c r="P357" s="22" t="str">
        <f t="shared" si="43"/>
        <v/>
      </c>
      <c r="Q357" s="22">
        <f t="shared" si="44"/>
        <v>1.3589115556565554</v>
      </c>
      <c r="R357" s="29" t="str">
        <f t="shared" si="45"/>
        <v>No original Rhyp to compare</v>
      </c>
      <c r="S357" s="29" t="str">
        <f t="shared" si="46"/>
        <v/>
      </c>
      <c r="T357" s="22">
        <v>0.17556099999999999</v>
      </c>
      <c r="U357" s="29" t="s">
        <v>4576</v>
      </c>
      <c r="V357" s="29" t="str">
        <f t="shared" si="47"/>
        <v>No geometric exceedance</v>
      </c>
      <c r="W357" s="30">
        <v>23.85</v>
      </c>
      <c r="X357" s="30">
        <v>120.82</v>
      </c>
      <c r="Y357" s="30">
        <v>8</v>
      </c>
      <c r="Z357" s="30">
        <v>27.178231113131016</v>
      </c>
      <c r="AA357" s="29" t="s">
        <v>2812</v>
      </c>
      <c r="AB357" s="29"/>
      <c r="AC357" s="39"/>
      <c r="AD357" s="39"/>
    </row>
    <row r="358" spans="1:30" ht="58" customHeight="1">
      <c r="A358" s="1" t="s">
        <v>1263</v>
      </c>
      <c r="B358" s="1">
        <v>115</v>
      </c>
      <c r="C358" s="1" t="s">
        <v>3837</v>
      </c>
      <c r="D358" s="29" t="s">
        <v>211</v>
      </c>
      <c r="E358" s="29" t="s">
        <v>1074</v>
      </c>
      <c r="F358" s="1" t="s">
        <v>1068</v>
      </c>
      <c r="G358" s="30">
        <v>24.09</v>
      </c>
      <c r="H358" s="30">
        <v>120.728167</v>
      </c>
      <c r="I358" s="30">
        <v>23.85</v>
      </c>
      <c r="J358" s="30">
        <v>120.82</v>
      </c>
      <c r="K358" s="30">
        <v>8</v>
      </c>
      <c r="L358" s="22"/>
      <c r="M358" s="22">
        <f t="shared" si="40"/>
        <v>28.270947157681771</v>
      </c>
      <c r="N358" s="22">
        <f t="shared" si="41"/>
        <v>29.381056025821042</v>
      </c>
      <c r="O358" s="22" t="str">
        <f t="shared" si="42"/>
        <v/>
      </c>
      <c r="P358" s="22" t="str">
        <f t="shared" si="43"/>
        <v/>
      </c>
      <c r="Q358" s="22">
        <f t="shared" si="44"/>
        <v>1.4690528012910522</v>
      </c>
      <c r="R358" s="29" t="str">
        <f t="shared" si="45"/>
        <v>No original Rhyp to compare</v>
      </c>
      <c r="S358" s="29" t="str">
        <f t="shared" si="46"/>
        <v/>
      </c>
      <c r="T358" s="22">
        <v>0.10695300000000001</v>
      </c>
      <c r="U358" s="29" t="s">
        <v>4576</v>
      </c>
      <c r="V358" s="29" t="str">
        <f t="shared" si="47"/>
        <v>No geometric exceedance</v>
      </c>
      <c r="W358" s="30">
        <v>23.85</v>
      </c>
      <c r="X358" s="30">
        <v>120.82</v>
      </c>
      <c r="Y358" s="30">
        <v>8</v>
      </c>
      <c r="Z358" s="30">
        <v>29.381056025820975</v>
      </c>
      <c r="AA358" s="29" t="s">
        <v>2812</v>
      </c>
      <c r="AB358" s="29"/>
      <c r="AC358" s="39"/>
      <c r="AD358" s="39"/>
    </row>
    <row r="359" spans="1:30" ht="58" customHeight="1">
      <c r="A359" s="1" t="s">
        <v>1263</v>
      </c>
      <c r="B359" s="1">
        <v>116</v>
      </c>
      <c r="C359" s="1" t="s">
        <v>3840</v>
      </c>
      <c r="D359" s="29" t="s">
        <v>211</v>
      </c>
      <c r="E359" s="29" t="s">
        <v>1074</v>
      </c>
      <c r="F359" s="1" t="s">
        <v>895</v>
      </c>
      <c r="G359" s="30">
        <v>24.276</v>
      </c>
      <c r="H359" s="30">
        <v>120.773167</v>
      </c>
      <c r="I359" s="30">
        <v>23.85</v>
      </c>
      <c r="J359" s="30">
        <v>120.82</v>
      </c>
      <c r="K359" s="30">
        <v>8</v>
      </c>
      <c r="L359" s="22"/>
      <c r="M359" s="22">
        <f t="shared" si="40"/>
        <v>47.607101069951938</v>
      </c>
      <c r="N359" s="22">
        <f t="shared" si="41"/>
        <v>48.27459033782285</v>
      </c>
      <c r="O359" s="22" t="str">
        <f t="shared" si="42"/>
        <v/>
      </c>
      <c r="P359" s="22" t="str">
        <f t="shared" si="43"/>
        <v/>
      </c>
      <c r="Q359" s="22">
        <f t="shared" si="44"/>
        <v>2.4137295168911428</v>
      </c>
      <c r="R359" s="29" t="str">
        <f t="shared" si="45"/>
        <v>No original Rhyp to compare</v>
      </c>
      <c r="S359" s="29" t="str">
        <f t="shared" si="46"/>
        <v/>
      </c>
      <c r="T359" s="22">
        <v>0.42922300000000002</v>
      </c>
      <c r="U359" s="29" t="s">
        <v>4576</v>
      </c>
      <c r="V359" s="29" t="str">
        <f t="shared" si="47"/>
        <v>No geometric exceedance</v>
      </c>
      <c r="W359" s="30">
        <v>23.85</v>
      </c>
      <c r="X359" s="30">
        <v>120.82</v>
      </c>
      <c r="Y359" s="30">
        <v>8</v>
      </c>
      <c r="Z359" s="30">
        <v>48.274590337822971</v>
      </c>
      <c r="AA359" s="29" t="s">
        <v>2812</v>
      </c>
      <c r="AB359" s="29"/>
      <c r="AC359" s="39"/>
      <c r="AD359" s="39"/>
    </row>
    <row r="360" spans="1:30" ht="58" customHeight="1">
      <c r="A360" s="1" t="s">
        <v>1263</v>
      </c>
      <c r="B360" s="1">
        <v>117</v>
      </c>
      <c r="C360" s="1" t="s">
        <v>3842</v>
      </c>
      <c r="D360" s="29" t="s">
        <v>211</v>
      </c>
      <c r="E360" s="29" t="s">
        <v>1074</v>
      </c>
      <c r="F360" s="1" t="s">
        <v>1069</v>
      </c>
      <c r="G360" s="30">
        <v>23.984000000000002</v>
      </c>
      <c r="H360" s="30">
        <v>120.79519999999999</v>
      </c>
      <c r="I360" s="30">
        <v>23.85</v>
      </c>
      <c r="J360" s="30">
        <v>120.82</v>
      </c>
      <c r="K360" s="30">
        <v>8</v>
      </c>
      <c r="L360" s="22"/>
      <c r="M360" s="22">
        <f t="shared" si="40"/>
        <v>15.111857689317</v>
      </c>
      <c r="N360" s="22">
        <f t="shared" si="41"/>
        <v>17.098778986295173</v>
      </c>
      <c r="O360" s="22" t="str">
        <f t="shared" si="42"/>
        <v/>
      </c>
      <c r="P360" s="22" t="str">
        <f t="shared" si="43"/>
        <v/>
      </c>
      <c r="Q360" s="22">
        <f t="shared" si="44"/>
        <v>1</v>
      </c>
      <c r="R360" s="29" t="str">
        <f t="shared" si="45"/>
        <v>No original Rhyp to compare</v>
      </c>
      <c r="S360" s="29" t="str">
        <f t="shared" si="46"/>
        <v/>
      </c>
      <c r="T360" s="22">
        <v>4.7282000000000002</v>
      </c>
      <c r="U360" s="29" t="s">
        <v>4576</v>
      </c>
      <c r="V360" s="29" t="str">
        <f t="shared" si="47"/>
        <v>No geometric exceedance</v>
      </c>
      <c r="W360" s="30">
        <v>23.85</v>
      </c>
      <c r="X360" s="30">
        <v>120.82</v>
      </c>
      <c r="Y360" s="30">
        <v>8</v>
      </c>
      <c r="Z360" s="30">
        <v>17.098778986295194</v>
      </c>
      <c r="AA360" s="29" t="s">
        <v>2812</v>
      </c>
      <c r="AB360" s="29"/>
      <c r="AC360" s="39"/>
      <c r="AD360" s="39"/>
    </row>
    <row r="361" spans="1:30" ht="58" customHeight="1">
      <c r="A361" s="1" t="s">
        <v>1263</v>
      </c>
      <c r="B361" s="1">
        <v>118</v>
      </c>
      <c r="C361" s="1" t="s">
        <v>3844</v>
      </c>
      <c r="D361" s="29" t="s">
        <v>211</v>
      </c>
      <c r="E361" s="29" t="s">
        <v>1074</v>
      </c>
      <c r="F361" s="1" t="s">
        <v>896</v>
      </c>
      <c r="G361" s="30">
        <v>23.9815</v>
      </c>
      <c r="H361" s="30">
        <v>120.687667</v>
      </c>
      <c r="I361" s="30">
        <v>23.85</v>
      </c>
      <c r="J361" s="30">
        <v>120.82</v>
      </c>
      <c r="K361" s="30">
        <v>8</v>
      </c>
      <c r="L361" s="22"/>
      <c r="M361" s="22">
        <f t="shared" si="40"/>
        <v>19.868226695305381</v>
      </c>
      <c r="N361" s="22">
        <f t="shared" si="41"/>
        <v>21.418366698141234</v>
      </c>
      <c r="O361" s="22" t="str">
        <f t="shared" si="42"/>
        <v/>
      </c>
      <c r="P361" s="22" t="str">
        <f t="shared" si="43"/>
        <v/>
      </c>
      <c r="Q361" s="22">
        <f t="shared" si="44"/>
        <v>1.0709183349070617</v>
      </c>
      <c r="R361" s="29" t="str">
        <f t="shared" si="45"/>
        <v>No original Rhyp to compare</v>
      </c>
      <c r="S361" s="29" t="str">
        <f t="shared" si="46"/>
        <v/>
      </c>
      <c r="T361" s="22">
        <v>6.6804000000000002E-2</v>
      </c>
      <c r="U361" s="29" t="s">
        <v>4576</v>
      </c>
      <c r="V361" s="29" t="str">
        <f t="shared" si="47"/>
        <v>No geometric exceedance</v>
      </c>
      <c r="W361" s="30">
        <v>23.85</v>
      </c>
      <c r="X361" s="30">
        <v>120.82</v>
      </c>
      <c r="Y361" s="30">
        <v>8</v>
      </c>
      <c r="Z361" s="30">
        <v>21.418366698141117</v>
      </c>
      <c r="AA361" s="29" t="s">
        <v>2812</v>
      </c>
      <c r="AB361" s="29"/>
      <c r="AC361" s="39"/>
      <c r="AD361" s="39"/>
    </row>
    <row r="362" spans="1:30" ht="58" customHeight="1">
      <c r="A362" s="1" t="s">
        <v>1263</v>
      </c>
      <c r="B362" s="1">
        <v>119</v>
      </c>
      <c r="C362" s="1" t="s">
        <v>3846</v>
      </c>
      <c r="D362" s="29" t="s">
        <v>211</v>
      </c>
      <c r="E362" s="29" t="s">
        <v>1074</v>
      </c>
      <c r="F362" s="1" t="s">
        <v>897</v>
      </c>
      <c r="G362" s="30">
        <v>23.906500000000001</v>
      </c>
      <c r="H362" s="30">
        <v>120.6835</v>
      </c>
      <c r="I362" s="30">
        <v>23.85</v>
      </c>
      <c r="J362" s="30">
        <v>120.82</v>
      </c>
      <c r="K362" s="30">
        <v>8</v>
      </c>
      <c r="L362" s="22"/>
      <c r="M362" s="22">
        <f t="shared" si="40"/>
        <v>15.234696196139119</v>
      </c>
      <c r="N362" s="22">
        <f t="shared" si="41"/>
        <v>17.207439326891603</v>
      </c>
      <c r="O362" s="22" t="str">
        <f t="shared" si="42"/>
        <v/>
      </c>
      <c r="P362" s="22" t="str">
        <f t="shared" si="43"/>
        <v/>
      </c>
      <c r="Q362" s="22">
        <f t="shared" si="44"/>
        <v>1</v>
      </c>
      <c r="R362" s="29" t="str">
        <f t="shared" si="45"/>
        <v>No original Rhyp to compare</v>
      </c>
      <c r="S362" s="29" t="str">
        <f t="shared" si="46"/>
        <v/>
      </c>
      <c r="T362" s="22">
        <v>1.9529000000000001</v>
      </c>
      <c r="U362" s="29" t="s">
        <v>4576</v>
      </c>
      <c r="V362" s="29" t="str">
        <f t="shared" si="47"/>
        <v>No geometric exceedance</v>
      </c>
      <c r="W362" s="30">
        <v>23.85</v>
      </c>
      <c r="X362" s="30">
        <v>120.82</v>
      </c>
      <c r="Y362" s="30">
        <v>8</v>
      </c>
      <c r="Z362" s="30">
        <v>17.207439326891574</v>
      </c>
      <c r="AA362" s="29" t="s">
        <v>2812</v>
      </c>
      <c r="AB362" s="29"/>
      <c r="AC362" s="39"/>
      <c r="AD362" s="39"/>
    </row>
    <row r="363" spans="1:30" ht="58" customHeight="1">
      <c r="A363" s="1" t="s">
        <v>1263</v>
      </c>
      <c r="B363" s="1">
        <v>120</v>
      </c>
      <c r="C363" s="1" t="s">
        <v>3849</v>
      </c>
      <c r="D363" s="29" t="s">
        <v>211</v>
      </c>
      <c r="E363" s="29" t="s">
        <v>1074</v>
      </c>
      <c r="F363" s="1" t="s">
        <v>898</v>
      </c>
      <c r="G363" s="30">
        <v>24.828333000000001</v>
      </c>
      <c r="H363" s="30">
        <v>121.014167</v>
      </c>
      <c r="I363" s="30">
        <v>23.85</v>
      </c>
      <c r="J363" s="30">
        <v>120.82</v>
      </c>
      <c r="K363" s="30">
        <v>8</v>
      </c>
      <c r="L363" s="22"/>
      <c r="M363" s="22">
        <f t="shared" si="40"/>
        <v>110.54986500898403</v>
      </c>
      <c r="N363" s="22">
        <f t="shared" si="41"/>
        <v>110.83894917178073</v>
      </c>
      <c r="O363" s="22" t="str">
        <f t="shared" si="42"/>
        <v/>
      </c>
      <c r="P363" s="22" t="str">
        <f t="shared" si="43"/>
        <v/>
      </c>
      <c r="Q363" s="22">
        <f t="shared" si="44"/>
        <v>5.5419474585890365</v>
      </c>
      <c r="R363" s="29" t="str">
        <f t="shared" si="45"/>
        <v>No original Rhyp to compare</v>
      </c>
      <c r="S363" s="29" t="str">
        <f t="shared" si="46"/>
        <v/>
      </c>
      <c r="T363" s="22">
        <v>59.484960999999998</v>
      </c>
      <c r="U363" s="29" t="s">
        <v>4576</v>
      </c>
      <c r="V363" s="29" t="str">
        <f t="shared" si="47"/>
        <v>No geometric exceedance</v>
      </c>
      <c r="W363" s="30">
        <v>23.85</v>
      </c>
      <c r="X363" s="30">
        <v>120.82</v>
      </c>
      <c r="Y363" s="30">
        <v>8</v>
      </c>
      <c r="Z363" s="30">
        <v>110.83894917178061</v>
      </c>
      <c r="AA363" s="29" t="s">
        <v>2812</v>
      </c>
      <c r="AB363" s="29"/>
      <c r="AC363" s="39"/>
      <c r="AD363" s="39"/>
    </row>
    <row r="364" spans="1:30" ht="58" customHeight="1">
      <c r="A364" s="1" t="s">
        <v>1263</v>
      </c>
      <c r="B364" s="1">
        <v>121</v>
      </c>
      <c r="C364" s="1" t="s">
        <v>3851</v>
      </c>
      <c r="D364" s="29" t="s">
        <v>211</v>
      </c>
      <c r="E364" s="29" t="s">
        <v>1074</v>
      </c>
      <c r="F364" s="1" t="s">
        <v>899</v>
      </c>
      <c r="G364" s="30">
        <v>24.145667</v>
      </c>
      <c r="H364" s="30">
        <v>120.684167</v>
      </c>
      <c r="I364" s="30">
        <v>23.85</v>
      </c>
      <c r="J364" s="30">
        <v>120.82</v>
      </c>
      <c r="K364" s="30">
        <v>8</v>
      </c>
      <c r="L364" s="22"/>
      <c r="M364" s="22">
        <f t="shared" si="40"/>
        <v>35.654869789069416</v>
      </c>
      <c r="N364" s="22">
        <f t="shared" si="41"/>
        <v>36.541342882760823</v>
      </c>
      <c r="O364" s="22" t="str">
        <f t="shared" si="42"/>
        <v/>
      </c>
      <c r="P364" s="22" t="str">
        <f t="shared" si="43"/>
        <v/>
      </c>
      <c r="Q364" s="22">
        <f t="shared" si="44"/>
        <v>1.8270671441380413</v>
      </c>
      <c r="R364" s="29" t="str">
        <f t="shared" si="45"/>
        <v>No original Rhyp to compare</v>
      </c>
      <c r="S364" s="29" t="str">
        <f t="shared" si="46"/>
        <v/>
      </c>
      <c r="T364" s="22">
        <v>4.3252300000000004</v>
      </c>
      <c r="U364" s="29" t="s">
        <v>4576</v>
      </c>
      <c r="V364" s="29" t="str">
        <f t="shared" si="47"/>
        <v>No geometric exceedance</v>
      </c>
      <c r="W364" s="30">
        <v>23.85</v>
      </c>
      <c r="X364" s="30">
        <v>120.82</v>
      </c>
      <c r="Y364" s="30">
        <v>8</v>
      </c>
      <c r="Z364" s="30">
        <v>36.541342882760823</v>
      </c>
      <c r="AA364" s="29" t="s">
        <v>2812</v>
      </c>
      <c r="AB364" s="29"/>
      <c r="AC364" s="39"/>
      <c r="AD364" s="39"/>
    </row>
    <row r="365" spans="1:30" ht="58" customHeight="1">
      <c r="A365" s="1" t="s">
        <v>1263</v>
      </c>
      <c r="B365" s="1">
        <v>122</v>
      </c>
      <c r="C365" s="1" t="s">
        <v>3853</v>
      </c>
      <c r="D365" s="29" t="s">
        <v>211</v>
      </c>
      <c r="E365" s="29" t="s">
        <v>1074</v>
      </c>
      <c r="F365" s="1" t="s">
        <v>900</v>
      </c>
      <c r="G365" s="30">
        <v>24.346499999999999</v>
      </c>
      <c r="H365" s="30">
        <v>120.780833</v>
      </c>
      <c r="I365" s="30">
        <v>23.85</v>
      </c>
      <c r="J365" s="30">
        <v>120.82</v>
      </c>
      <c r="K365" s="30">
        <v>8</v>
      </c>
      <c r="L365" s="22"/>
      <c r="M365" s="22">
        <f t="shared" si="40"/>
        <v>55.351238175522006</v>
      </c>
      <c r="N365" s="22">
        <f t="shared" si="41"/>
        <v>55.926376313537112</v>
      </c>
      <c r="O365" s="22" t="str">
        <f t="shared" si="42"/>
        <v/>
      </c>
      <c r="P365" s="22" t="str">
        <f t="shared" si="43"/>
        <v/>
      </c>
      <c r="Q365" s="22">
        <f t="shared" si="44"/>
        <v>2.7963188156768557</v>
      </c>
      <c r="R365" s="29" t="str">
        <f t="shared" si="45"/>
        <v>No original Rhyp to compare</v>
      </c>
      <c r="S365" s="29" t="str">
        <f t="shared" si="46"/>
        <v/>
      </c>
      <c r="T365" s="22">
        <v>6.2147550000000003</v>
      </c>
      <c r="U365" s="29" t="s">
        <v>4576</v>
      </c>
      <c r="V365" s="29" t="str">
        <f t="shared" si="47"/>
        <v>No geometric exceedance</v>
      </c>
      <c r="W365" s="30">
        <v>23.85</v>
      </c>
      <c r="X365" s="30">
        <v>120.82</v>
      </c>
      <c r="Y365" s="30">
        <v>8</v>
      </c>
      <c r="Z365" s="30">
        <v>55.92637631353707</v>
      </c>
      <c r="AA365" s="29" t="s">
        <v>2812</v>
      </c>
      <c r="AB365" s="29"/>
      <c r="AC365" s="39"/>
      <c r="AD365" s="39"/>
    </row>
    <row r="366" spans="1:30" ht="58" customHeight="1">
      <c r="A366" s="1" t="s">
        <v>1263</v>
      </c>
      <c r="B366" s="1">
        <v>123</v>
      </c>
      <c r="C366" s="1" t="s">
        <v>3855</v>
      </c>
      <c r="D366" s="29" t="s">
        <v>211</v>
      </c>
      <c r="E366" s="29" t="s">
        <v>1074</v>
      </c>
      <c r="F366" s="1" t="s">
        <v>902</v>
      </c>
      <c r="G366" s="30">
        <v>24.766999999999999</v>
      </c>
      <c r="H366" s="30">
        <v>121.058167</v>
      </c>
      <c r="I366" s="30">
        <v>23.85</v>
      </c>
      <c r="J366" s="30">
        <v>120.82</v>
      </c>
      <c r="K366" s="30">
        <v>8</v>
      </c>
      <c r="L366" s="22"/>
      <c r="M366" s="22">
        <f t="shared" si="40"/>
        <v>104.78307948756424</v>
      </c>
      <c r="N366" s="22">
        <f t="shared" si="41"/>
        <v>105.08802856128383</v>
      </c>
      <c r="O366" s="22" t="str">
        <f t="shared" si="42"/>
        <v/>
      </c>
      <c r="P366" s="22" t="str">
        <f t="shared" si="43"/>
        <v/>
      </c>
      <c r="Q366" s="22">
        <f t="shared" si="44"/>
        <v>5.2544014280641917</v>
      </c>
      <c r="R366" s="29" t="str">
        <f t="shared" si="45"/>
        <v>No original Rhyp to compare</v>
      </c>
      <c r="S366" s="29" t="str">
        <f t="shared" si="46"/>
        <v/>
      </c>
      <c r="T366" s="22">
        <v>54.567636</v>
      </c>
      <c r="U366" s="29" t="s">
        <v>4576</v>
      </c>
      <c r="V366" s="29" t="str">
        <f t="shared" si="47"/>
        <v>No geometric exceedance</v>
      </c>
      <c r="W366" s="30">
        <v>23.85</v>
      </c>
      <c r="X366" s="30">
        <v>120.82</v>
      </c>
      <c r="Y366" s="30">
        <v>8</v>
      </c>
      <c r="Z366" s="30">
        <v>105.08802856128383</v>
      </c>
      <c r="AA366" s="29" t="s">
        <v>2812</v>
      </c>
      <c r="AB366" s="29"/>
      <c r="AC366" s="39"/>
      <c r="AD366" s="39"/>
    </row>
    <row r="367" spans="1:30" ht="58" customHeight="1">
      <c r="A367" s="1" t="s">
        <v>1263</v>
      </c>
      <c r="B367" s="1">
        <v>124</v>
      </c>
      <c r="C367" s="1" t="s">
        <v>3857</v>
      </c>
      <c r="D367" s="29" t="s">
        <v>211</v>
      </c>
      <c r="E367" s="29" t="s">
        <v>1074</v>
      </c>
      <c r="F367" s="1" t="s">
        <v>903</v>
      </c>
      <c r="G367" s="30">
        <v>24.688832999999999</v>
      </c>
      <c r="H367" s="30">
        <v>121.02</v>
      </c>
      <c r="I367" s="30">
        <v>23.85</v>
      </c>
      <c r="J367" s="30">
        <v>120.82</v>
      </c>
      <c r="K367" s="30">
        <v>8</v>
      </c>
      <c r="L367" s="22"/>
      <c r="M367" s="22">
        <f t="shared" si="40"/>
        <v>95.451766902924831</v>
      </c>
      <c r="N367" s="22">
        <f t="shared" si="41"/>
        <v>95.786428082950749</v>
      </c>
      <c r="O367" s="22" t="str">
        <f t="shared" si="42"/>
        <v/>
      </c>
      <c r="P367" s="22" t="str">
        <f t="shared" si="43"/>
        <v/>
      </c>
      <c r="Q367" s="22">
        <f t="shared" si="44"/>
        <v>4.7893214041475378</v>
      </c>
      <c r="R367" s="29" t="str">
        <f t="shared" si="45"/>
        <v>No original Rhyp to compare</v>
      </c>
      <c r="S367" s="29" t="str">
        <f t="shared" si="46"/>
        <v/>
      </c>
      <c r="T367" s="22">
        <v>45.076472000000003</v>
      </c>
      <c r="U367" s="29" t="s">
        <v>4576</v>
      </c>
      <c r="V367" s="29" t="str">
        <f t="shared" si="47"/>
        <v>No geometric exceedance</v>
      </c>
      <c r="W367" s="30">
        <v>23.85</v>
      </c>
      <c r="X367" s="30">
        <v>120.82</v>
      </c>
      <c r="Y367" s="30">
        <v>8</v>
      </c>
      <c r="Z367" s="30">
        <v>95.786428082950593</v>
      </c>
      <c r="AA367" s="29" t="s">
        <v>2812</v>
      </c>
      <c r="AB367" s="29"/>
      <c r="AC367" s="39"/>
      <c r="AD367" s="39"/>
    </row>
    <row r="368" spans="1:30" ht="58" customHeight="1">
      <c r="A368" s="1" t="s">
        <v>1263</v>
      </c>
      <c r="B368" s="1">
        <v>125</v>
      </c>
      <c r="C368" s="1" t="s">
        <v>3859</v>
      </c>
      <c r="D368" s="29" t="s">
        <v>211</v>
      </c>
      <c r="E368" s="29" t="s">
        <v>1074</v>
      </c>
      <c r="F368" s="1" t="s">
        <v>904</v>
      </c>
      <c r="G368" s="30">
        <v>24.792332999999999</v>
      </c>
      <c r="H368" s="30">
        <v>120.96599999999999</v>
      </c>
      <c r="I368" s="30">
        <v>23.85</v>
      </c>
      <c r="J368" s="30">
        <v>120.82</v>
      </c>
      <c r="K368" s="30">
        <v>8</v>
      </c>
      <c r="L368" s="22"/>
      <c r="M368" s="22">
        <f t="shared" si="40"/>
        <v>105.82177563090136</v>
      </c>
      <c r="N368" s="22">
        <f t="shared" si="41"/>
        <v>106.12374002868928</v>
      </c>
      <c r="O368" s="22" t="str">
        <f t="shared" si="42"/>
        <v/>
      </c>
      <c r="P368" s="22" t="str">
        <f t="shared" si="43"/>
        <v/>
      </c>
      <c r="Q368" s="22">
        <f t="shared" si="44"/>
        <v>5.3061870014344645</v>
      </c>
      <c r="R368" s="29" t="str">
        <f t="shared" si="45"/>
        <v>No original Rhyp to compare</v>
      </c>
      <c r="S368" s="29" t="str">
        <f t="shared" si="46"/>
        <v/>
      </c>
      <c r="T368" s="22">
        <v>54.290481</v>
      </c>
      <c r="U368" s="29" t="s">
        <v>4576</v>
      </c>
      <c r="V368" s="29" t="str">
        <f t="shared" si="47"/>
        <v>No geometric exceedance</v>
      </c>
      <c r="W368" s="30">
        <v>23.85</v>
      </c>
      <c r="X368" s="30">
        <v>120.82</v>
      </c>
      <c r="Y368" s="30">
        <v>8</v>
      </c>
      <c r="Z368" s="30">
        <v>106.12374002868914</v>
      </c>
      <c r="AA368" s="29" t="s">
        <v>2812</v>
      </c>
      <c r="AB368" s="29"/>
      <c r="AC368" s="39"/>
      <c r="AD368" s="39"/>
    </row>
    <row r="369" spans="1:30" ht="58" customHeight="1">
      <c r="A369" s="1" t="s">
        <v>1263</v>
      </c>
      <c r="B369" s="1">
        <v>126</v>
      </c>
      <c r="C369" s="1" t="s">
        <v>3861</v>
      </c>
      <c r="D369" s="29" t="s">
        <v>211</v>
      </c>
      <c r="E369" s="29" t="s">
        <v>1074</v>
      </c>
      <c r="F369" s="1" t="s">
        <v>905</v>
      </c>
      <c r="G369" s="30">
        <v>24.742000000000001</v>
      </c>
      <c r="H369" s="30">
        <v>120.907167</v>
      </c>
      <c r="I369" s="30">
        <v>23.85</v>
      </c>
      <c r="J369" s="30">
        <v>120.82</v>
      </c>
      <c r="K369" s="30">
        <v>8</v>
      </c>
      <c r="L369" s="22"/>
      <c r="M369" s="22">
        <f t="shared" si="40"/>
        <v>99.578492392105701</v>
      </c>
      <c r="N369" s="22">
        <f t="shared" si="41"/>
        <v>99.899330063242431</v>
      </c>
      <c r="O369" s="22" t="str">
        <f t="shared" si="42"/>
        <v/>
      </c>
      <c r="P369" s="22" t="str">
        <f t="shared" si="43"/>
        <v/>
      </c>
      <c r="Q369" s="22">
        <f t="shared" si="44"/>
        <v>4.9949665031621215</v>
      </c>
      <c r="R369" s="29" t="str">
        <f t="shared" si="45"/>
        <v>No original Rhyp to compare</v>
      </c>
      <c r="S369" s="29" t="str">
        <f t="shared" si="46"/>
        <v/>
      </c>
      <c r="T369" s="22">
        <v>47.611621999999997</v>
      </c>
      <c r="U369" s="29" t="s">
        <v>4576</v>
      </c>
      <c r="V369" s="29" t="str">
        <f t="shared" si="47"/>
        <v>No geometric exceedance</v>
      </c>
      <c r="W369" s="30">
        <v>23.85</v>
      </c>
      <c r="X369" s="30">
        <v>120.82</v>
      </c>
      <c r="Y369" s="30">
        <v>8</v>
      </c>
      <c r="Z369" s="30">
        <v>99.899330063242445</v>
      </c>
      <c r="AA369" s="29" t="s">
        <v>2812</v>
      </c>
      <c r="AB369" s="29"/>
      <c r="AC369" s="39"/>
      <c r="AD369" s="39"/>
    </row>
    <row r="370" spans="1:30" ht="58" customHeight="1">
      <c r="A370" s="1" t="s">
        <v>1263</v>
      </c>
      <c r="B370" s="1">
        <v>127</v>
      </c>
      <c r="C370" s="1" t="s">
        <v>3863</v>
      </c>
      <c r="D370" s="29" t="s">
        <v>211</v>
      </c>
      <c r="E370" s="29" t="s">
        <v>1074</v>
      </c>
      <c r="F370" s="1" t="s">
        <v>1079</v>
      </c>
      <c r="G370" s="30">
        <v>24.183833</v>
      </c>
      <c r="H370" s="30">
        <v>120.625</v>
      </c>
      <c r="I370" s="30">
        <v>23.85</v>
      </c>
      <c r="J370" s="30">
        <v>120.82</v>
      </c>
      <c r="K370" s="30">
        <v>8</v>
      </c>
      <c r="L370" s="22"/>
      <c r="M370" s="22">
        <f t="shared" si="40"/>
        <v>42.073774637940915</v>
      </c>
      <c r="N370" s="22">
        <f t="shared" si="41"/>
        <v>42.827590549600615</v>
      </c>
      <c r="O370" s="22" t="str">
        <f t="shared" si="42"/>
        <v/>
      </c>
      <c r="P370" s="22" t="str">
        <f t="shared" si="43"/>
        <v/>
      </c>
      <c r="Q370" s="22">
        <f t="shared" si="44"/>
        <v>2.1413795274800309</v>
      </c>
      <c r="R370" s="29" t="str">
        <f t="shared" si="45"/>
        <v>No original Rhyp to compare</v>
      </c>
      <c r="S370" s="29" t="str">
        <f t="shared" si="46"/>
        <v/>
      </c>
      <c r="T370" s="22">
        <v>10.379778</v>
      </c>
      <c r="U370" s="29" t="s">
        <v>4576</v>
      </c>
      <c r="V370" s="29" t="str">
        <f t="shared" si="47"/>
        <v>No geometric exceedance</v>
      </c>
      <c r="W370" s="30">
        <v>23.85</v>
      </c>
      <c r="X370" s="30">
        <v>120.82</v>
      </c>
      <c r="Y370" s="30">
        <v>8</v>
      </c>
      <c r="Z370" s="30">
        <v>42.827590549600657</v>
      </c>
      <c r="AA370" s="29" t="s">
        <v>2812</v>
      </c>
      <c r="AB370" s="29"/>
      <c r="AC370" s="39"/>
      <c r="AD370" s="39"/>
    </row>
    <row r="371" spans="1:30" ht="58" customHeight="1">
      <c r="A371" s="1" t="s">
        <v>1263</v>
      </c>
      <c r="B371" s="1">
        <v>128</v>
      </c>
      <c r="C371" s="1" t="s">
        <v>3865</v>
      </c>
      <c r="D371" s="29" t="s">
        <v>211</v>
      </c>
      <c r="E371" s="29" t="s">
        <v>1074</v>
      </c>
      <c r="F371" s="1" t="s">
        <v>906</v>
      </c>
      <c r="G371" s="30">
        <v>24.239332999999998</v>
      </c>
      <c r="H371" s="30">
        <v>120.717167</v>
      </c>
      <c r="I371" s="30">
        <v>23.85</v>
      </c>
      <c r="J371" s="30">
        <v>120.82</v>
      </c>
      <c r="K371" s="30">
        <v>8</v>
      </c>
      <c r="L371" s="22"/>
      <c r="M371" s="22">
        <f t="shared" si="40"/>
        <v>44.533424520758921</v>
      </c>
      <c r="N371" s="22">
        <f t="shared" si="41"/>
        <v>45.246280505099328</v>
      </c>
      <c r="O371" s="22" t="str">
        <f t="shared" si="42"/>
        <v/>
      </c>
      <c r="P371" s="22" t="str">
        <f t="shared" si="43"/>
        <v/>
      </c>
      <c r="Q371" s="22">
        <f t="shared" si="44"/>
        <v>2.2623140252549665</v>
      </c>
      <c r="R371" s="29" t="str">
        <f t="shared" si="45"/>
        <v>No original Rhyp to compare</v>
      </c>
      <c r="S371" s="29" t="str">
        <f t="shared" si="46"/>
        <v/>
      </c>
      <c r="T371" s="22">
        <v>1.2435879999999999</v>
      </c>
      <c r="U371" s="29" t="s">
        <v>4576</v>
      </c>
      <c r="V371" s="29" t="str">
        <f t="shared" si="47"/>
        <v>No geometric exceedance</v>
      </c>
      <c r="W371" s="30">
        <v>23.85</v>
      </c>
      <c r="X371" s="30">
        <v>120.82</v>
      </c>
      <c r="Y371" s="30">
        <v>8</v>
      </c>
      <c r="Z371" s="30">
        <v>45.246280505099371</v>
      </c>
      <c r="AA371" s="29" t="s">
        <v>2812</v>
      </c>
      <c r="AB371" s="29"/>
      <c r="AC371" s="39"/>
      <c r="AD371" s="39"/>
    </row>
    <row r="372" spans="1:30" ht="58" customHeight="1">
      <c r="A372" s="1" t="s">
        <v>1263</v>
      </c>
      <c r="B372" s="1">
        <v>129</v>
      </c>
      <c r="C372" s="1" t="s">
        <v>3867</v>
      </c>
      <c r="D372" s="29" t="s">
        <v>211</v>
      </c>
      <c r="E372" s="29" t="s">
        <v>1074</v>
      </c>
      <c r="F372" s="1" t="s">
        <v>907</v>
      </c>
      <c r="G372" s="30">
        <v>24.247</v>
      </c>
      <c r="H372" s="30">
        <v>120.728667</v>
      </c>
      <c r="I372" s="30">
        <v>23.85</v>
      </c>
      <c r="J372" s="30">
        <v>120.82</v>
      </c>
      <c r="K372" s="30">
        <v>8</v>
      </c>
      <c r="L372" s="22"/>
      <c r="M372" s="22">
        <f t="shared" si="40"/>
        <v>45.108070704806202</v>
      </c>
      <c r="N372" s="22">
        <f t="shared" si="41"/>
        <v>45.811985797494039</v>
      </c>
      <c r="O372" s="22" t="str">
        <f t="shared" si="42"/>
        <v/>
      </c>
      <c r="P372" s="22" t="str">
        <f t="shared" si="43"/>
        <v/>
      </c>
      <c r="Q372" s="22">
        <f t="shared" si="44"/>
        <v>2.2905992898747018</v>
      </c>
      <c r="R372" s="29" t="str">
        <f t="shared" si="45"/>
        <v>No original Rhyp to compare</v>
      </c>
      <c r="S372" s="29" t="str">
        <f t="shared" si="46"/>
        <v/>
      </c>
      <c r="T372" s="22">
        <v>0.66602899999999998</v>
      </c>
      <c r="U372" s="29" t="s">
        <v>4576</v>
      </c>
      <c r="V372" s="29" t="str">
        <f t="shared" si="47"/>
        <v>No geometric exceedance</v>
      </c>
      <c r="W372" s="30">
        <v>23.85</v>
      </c>
      <c r="X372" s="30">
        <v>120.82</v>
      </c>
      <c r="Y372" s="30">
        <v>8</v>
      </c>
      <c r="Z372" s="30">
        <v>45.811985797494074</v>
      </c>
      <c r="AA372" s="29" t="s">
        <v>2812</v>
      </c>
      <c r="AB372" s="29"/>
      <c r="AC372" s="39"/>
      <c r="AD372" s="39"/>
    </row>
    <row r="373" spans="1:30" ht="58" customHeight="1">
      <c r="A373" s="1" t="s">
        <v>1263</v>
      </c>
      <c r="B373" s="1">
        <v>130</v>
      </c>
      <c r="C373" s="1" t="s">
        <v>3869</v>
      </c>
      <c r="D373" s="29" t="s">
        <v>211</v>
      </c>
      <c r="E373" s="29" t="s">
        <v>1074</v>
      </c>
      <c r="F373" s="1" t="s">
        <v>908</v>
      </c>
      <c r="G373" s="30">
        <v>24.307500000000001</v>
      </c>
      <c r="H373" s="30">
        <v>120.715</v>
      </c>
      <c r="I373" s="30">
        <v>23.85</v>
      </c>
      <c r="J373" s="30">
        <v>120.82</v>
      </c>
      <c r="K373" s="30">
        <v>8</v>
      </c>
      <c r="L373" s="22"/>
      <c r="M373" s="22">
        <f t="shared" si="40"/>
        <v>51.976459975251274</v>
      </c>
      <c r="N373" s="22">
        <f t="shared" si="41"/>
        <v>52.588519579456673</v>
      </c>
      <c r="O373" s="22" t="str">
        <f t="shared" si="42"/>
        <v/>
      </c>
      <c r="P373" s="22" t="str">
        <f t="shared" si="43"/>
        <v/>
      </c>
      <c r="Q373" s="22">
        <f t="shared" si="44"/>
        <v>2.6294259789728338</v>
      </c>
      <c r="R373" s="29" t="str">
        <f t="shared" si="45"/>
        <v>No original Rhyp to compare</v>
      </c>
      <c r="S373" s="29" t="str">
        <f t="shared" si="46"/>
        <v/>
      </c>
      <c r="T373" s="22">
        <v>5.2803849999999999</v>
      </c>
      <c r="U373" s="29" t="s">
        <v>4576</v>
      </c>
      <c r="V373" s="29" t="str">
        <f t="shared" si="47"/>
        <v>No geometric exceedance</v>
      </c>
      <c r="W373" s="30">
        <v>23.85</v>
      </c>
      <c r="X373" s="30">
        <v>120.82</v>
      </c>
      <c r="Y373" s="30">
        <v>8</v>
      </c>
      <c r="Z373" s="30">
        <v>52.588519579456737</v>
      </c>
      <c r="AA373" s="29" t="s">
        <v>2812</v>
      </c>
      <c r="AB373" s="29"/>
      <c r="AC373" s="39"/>
      <c r="AD373" s="39"/>
    </row>
    <row r="374" spans="1:30" ht="58" customHeight="1">
      <c r="A374" s="1" t="s">
        <v>1263</v>
      </c>
      <c r="B374" s="1">
        <v>131</v>
      </c>
      <c r="C374" s="1" t="s">
        <v>3871</v>
      </c>
      <c r="D374" s="29" t="s">
        <v>211</v>
      </c>
      <c r="E374" s="29" t="s">
        <v>1074</v>
      </c>
      <c r="F374" s="1" t="s">
        <v>909</v>
      </c>
      <c r="G374" s="30">
        <v>24.244333000000001</v>
      </c>
      <c r="H374" s="30">
        <v>120.609167</v>
      </c>
      <c r="I374" s="30">
        <v>23.85</v>
      </c>
      <c r="J374" s="30">
        <v>120.82</v>
      </c>
      <c r="K374" s="30">
        <v>8</v>
      </c>
      <c r="L374" s="22"/>
      <c r="M374" s="22">
        <f t="shared" si="40"/>
        <v>48.795185919915745</v>
      </c>
      <c r="N374" s="22">
        <f t="shared" si="41"/>
        <v>49.446639612405853</v>
      </c>
      <c r="O374" s="22" t="str">
        <f t="shared" si="42"/>
        <v/>
      </c>
      <c r="P374" s="22" t="str">
        <f t="shared" si="43"/>
        <v/>
      </c>
      <c r="Q374" s="22">
        <f t="shared" si="44"/>
        <v>2.472331980620293</v>
      </c>
      <c r="R374" s="29" t="str">
        <f t="shared" si="45"/>
        <v>No original Rhyp to compare</v>
      </c>
      <c r="S374" s="29" t="str">
        <f t="shared" si="46"/>
        <v/>
      </c>
      <c r="T374" s="22">
        <v>12.099795</v>
      </c>
      <c r="U374" s="29" t="s">
        <v>4576</v>
      </c>
      <c r="V374" s="29" t="str">
        <f t="shared" si="47"/>
        <v>No geometric exceedance</v>
      </c>
      <c r="W374" s="30">
        <v>23.85</v>
      </c>
      <c r="X374" s="30">
        <v>120.82</v>
      </c>
      <c r="Y374" s="30">
        <v>8</v>
      </c>
      <c r="Z374" s="30">
        <v>49.44663961240591</v>
      </c>
      <c r="AA374" s="29" t="s">
        <v>2812</v>
      </c>
      <c r="AB374" s="29"/>
      <c r="AC374" s="39"/>
      <c r="AD374" s="39"/>
    </row>
    <row r="375" spans="1:30" ht="58" customHeight="1">
      <c r="A375" s="1" t="s">
        <v>1263</v>
      </c>
      <c r="B375" s="1">
        <v>132</v>
      </c>
      <c r="C375" s="1" t="s">
        <v>3873</v>
      </c>
      <c r="D375" s="29" t="s">
        <v>211</v>
      </c>
      <c r="E375" s="29" t="s">
        <v>1074</v>
      </c>
      <c r="F375" s="1" t="s">
        <v>910</v>
      </c>
      <c r="G375" s="30">
        <v>24.4145</v>
      </c>
      <c r="H375" s="30">
        <v>120.769667</v>
      </c>
      <c r="I375" s="30">
        <v>23.85</v>
      </c>
      <c r="J375" s="30">
        <v>120.82</v>
      </c>
      <c r="K375" s="30">
        <v>8</v>
      </c>
      <c r="L375" s="22"/>
      <c r="M375" s="22">
        <f t="shared" si="40"/>
        <v>62.976998226157285</v>
      </c>
      <c r="N375" s="22">
        <f t="shared" si="41"/>
        <v>63.483086767873992</v>
      </c>
      <c r="O375" s="22" t="str">
        <f t="shared" si="42"/>
        <v/>
      </c>
      <c r="P375" s="22" t="str">
        <f t="shared" si="43"/>
        <v/>
      </c>
      <c r="Q375" s="22">
        <f t="shared" si="44"/>
        <v>3.1741543383936999</v>
      </c>
      <c r="R375" s="29" t="str">
        <f t="shared" si="45"/>
        <v>No original Rhyp to compare</v>
      </c>
      <c r="S375" s="29" t="str">
        <f t="shared" si="46"/>
        <v/>
      </c>
      <c r="T375" s="22">
        <v>12.46795</v>
      </c>
      <c r="U375" s="29" t="s">
        <v>4576</v>
      </c>
      <c r="V375" s="29" t="str">
        <f t="shared" si="47"/>
        <v>No geometric exceedance</v>
      </c>
      <c r="W375" s="30">
        <v>23.85</v>
      </c>
      <c r="X375" s="30">
        <v>120.82</v>
      </c>
      <c r="Y375" s="30">
        <v>8</v>
      </c>
      <c r="Z375" s="30">
        <v>63.483086767873885</v>
      </c>
      <c r="AA375" s="29" t="s">
        <v>2812</v>
      </c>
      <c r="AB375" s="29"/>
      <c r="AC375" s="39"/>
      <c r="AD375" s="39"/>
    </row>
    <row r="376" spans="1:30" ht="58" customHeight="1">
      <c r="A376" s="1" t="s">
        <v>1263</v>
      </c>
      <c r="B376" s="1">
        <v>133</v>
      </c>
      <c r="C376" s="1" t="s">
        <v>3875</v>
      </c>
      <c r="D376" s="29" t="s">
        <v>211</v>
      </c>
      <c r="E376" s="29" t="s">
        <v>1074</v>
      </c>
      <c r="F376" s="1" t="s">
        <v>1080</v>
      </c>
      <c r="G376" s="30">
        <v>23.8765</v>
      </c>
      <c r="H376" s="30">
        <v>120.6925</v>
      </c>
      <c r="I376" s="30">
        <v>23.85</v>
      </c>
      <c r="J376" s="30">
        <v>120.82</v>
      </c>
      <c r="K376" s="30">
        <v>8</v>
      </c>
      <c r="L376" s="22"/>
      <c r="M376" s="22">
        <f t="shared" si="40"/>
        <v>13.296013294015568</v>
      </c>
      <c r="N376" s="22">
        <f t="shared" si="41"/>
        <v>15.517215262882663</v>
      </c>
      <c r="O376" s="22" t="str">
        <f t="shared" si="42"/>
        <v/>
      </c>
      <c r="P376" s="22" t="str">
        <f t="shared" si="43"/>
        <v/>
      </c>
      <c r="Q376" s="22">
        <f t="shared" si="44"/>
        <v>1</v>
      </c>
      <c r="R376" s="29" t="str">
        <f t="shared" si="45"/>
        <v>No original Rhyp to compare</v>
      </c>
      <c r="S376" s="29" t="str">
        <f t="shared" si="46"/>
        <v/>
      </c>
      <c r="T376" s="22">
        <v>0.99049799999999999</v>
      </c>
      <c r="U376" s="29" t="s">
        <v>4576</v>
      </c>
      <c r="V376" s="29" t="str">
        <f t="shared" si="47"/>
        <v>No geometric exceedance</v>
      </c>
      <c r="W376" s="30">
        <v>23.85</v>
      </c>
      <c r="X376" s="30">
        <v>120.82</v>
      </c>
      <c r="Y376" s="30">
        <v>8</v>
      </c>
      <c r="Z376" s="30">
        <v>15.517215262882642</v>
      </c>
      <c r="AA376" s="29" t="s">
        <v>2812</v>
      </c>
      <c r="AB376" s="29"/>
      <c r="AC376" s="39"/>
      <c r="AD376" s="39"/>
    </row>
    <row r="377" spans="1:30" ht="58" customHeight="1">
      <c r="A377" s="1" t="s">
        <v>1263</v>
      </c>
      <c r="B377" s="1">
        <v>134</v>
      </c>
      <c r="C377" s="1" t="s">
        <v>3877</v>
      </c>
      <c r="D377" s="29" t="s">
        <v>211</v>
      </c>
      <c r="E377" s="29" t="s">
        <v>1074</v>
      </c>
      <c r="F377" s="1" t="s">
        <v>1072</v>
      </c>
      <c r="G377" s="30">
        <v>24.134333000000002</v>
      </c>
      <c r="H377" s="30">
        <v>120.659333</v>
      </c>
      <c r="I377" s="30">
        <v>23.85</v>
      </c>
      <c r="J377" s="30">
        <v>120.82</v>
      </c>
      <c r="K377" s="30">
        <v>8</v>
      </c>
      <c r="L377" s="22"/>
      <c r="M377" s="22">
        <f t="shared" si="40"/>
        <v>35.580843597442566</v>
      </c>
      <c r="N377" s="22">
        <f t="shared" si="41"/>
        <v>36.469116127288714</v>
      </c>
      <c r="O377" s="22" t="str">
        <f t="shared" si="42"/>
        <v/>
      </c>
      <c r="P377" s="22" t="str">
        <f t="shared" si="43"/>
        <v/>
      </c>
      <c r="Q377" s="22">
        <f t="shared" si="44"/>
        <v>1.8234558063644357</v>
      </c>
      <c r="R377" s="29" t="str">
        <f t="shared" si="45"/>
        <v>No original Rhyp to compare</v>
      </c>
      <c r="S377" s="29" t="str">
        <f t="shared" si="46"/>
        <v/>
      </c>
      <c r="T377" s="22">
        <v>6.8535009999999996</v>
      </c>
      <c r="U377" s="29" t="s">
        <v>4576</v>
      </c>
      <c r="V377" s="29" t="str">
        <f t="shared" si="47"/>
        <v>No geometric exceedance</v>
      </c>
      <c r="W377" s="30">
        <v>23.85</v>
      </c>
      <c r="X377" s="30">
        <v>120.82</v>
      </c>
      <c r="Y377" s="30">
        <v>8</v>
      </c>
      <c r="Z377" s="30">
        <v>36.469116127288771</v>
      </c>
      <c r="AA377" s="29" t="s">
        <v>2812</v>
      </c>
      <c r="AB377" s="29"/>
      <c r="AC377" s="39"/>
      <c r="AD377" s="39"/>
    </row>
    <row r="378" spans="1:30" ht="58" customHeight="1">
      <c r="A378" s="1" t="s">
        <v>1263</v>
      </c>
      <c r="B378" s="1">
        <v>135</v>
      </c>
      <c r="C378" s="1" t="s">
        <v>3880</v>
      </c>
      <c r="D378" s="29" t="s">
        <v>211</v>
      </c>
      <c r="E378" s="29" t="s">
        <v>1074</v>
      </c>
      <c r="F378" s="1" t="s">
        <v>911</v>
      </c>
      <c r="G378" s="30">
        <v>24.258333</v>
      </c>
      <c r="H378" s="30">
        <v>120.65866699999999</v>
      </c>
      <c r="I378" s="30">
        <v>23.85</v>
      </c>
      <c r="J378" s="30">
        <v>120.82</v>
      </c>
      <c r="K378" s="30">
        <v>8</v>
      </c>
      <c r="L378" s="22"/>
      <c r="M378" s="22">
        <f t="shared" si="40"/>
        <v>48.269323779180056</v>
      </c>
      <c r="N378" s="22">
        <f t="shared" si="41"/>
        <v>48.927779615463002</v>
      </c>
      <c r="O378" s="22" t="str">
        <f t="shared" si="42"/>
        <v/>
      </c>
      <c r="P378" s="22" t="str">
        <f t="shared" si="43"/>
        <v/>
      </c>
      <c r="Q378" s="22">
        <f t="shared" si="44"/>
        <v>2.4463889807731505</v>
      </c>
      <c r="R378" s="29" t="str">
        <f t="shared" si="45"/>
        <v>No original Rhyp to compare</v>
      </c>
      <c r="S378" s="29" t="str">
        <f t="shared" si="46"/>
        <v/>
      </c>
      <c r="T378" s="22">
        <v>7.5277890000000003</v>
      </c>
      <c r="U378" s="29" t="s">
        <v>4576</v>
      </c>
      <c r="V378" s="29" t="str">
        <f t="shared" si="47"/>
        <v>No geometric exceedance</v>
      </c>
      <c r="W378" s="30">
        <v>23.85</v>
      </c>
      <c r="X378" s="30">
        <v>120.82</v>
      </c>
      <c r="Y378" s="30">
        <v>8</v>
      </c>
      <c r="Z378" s="30">
        <v>48.927779615462981</v>
      </c>
      <c r="AA378" s="29" t="s">
        <v>2812</v>
      </c>
      <c r="AB378" s="29"/>
      <c r="AC378" s="39"/>
      <c r="AD378" s="39"/>
    </row>
    <row r="379" spans="1:30" ht="58" customHeight="1">
      <c r="A379" s="1" t="s">
        <v>1263</v>
      </c>
      <c r="B379" s="1">
        <v>136</v>
      </c>
      <c r="C379" s="1" t="s">
        <v>3882</v>
      </c>
      <c r="D379" s="29" t="s">
        <v>211</v>
      </c>
      <c r="E379" s="29" t="s">
        <v>1074</v>
      </c>
      <c r="F379" s="1" t="s">
        <v>1081</v>
      </c>
      <c r="G379" s="30">
        <v>24.183499999999999</v>
      </c>
      <c r="H379" s="30">
        <v>120.930167</v>
      </c>
      <c r="I379" s="30">
        <v>23.85</v>
      </c>
      <c r="J379" s="30">
        <v>120.82</v>
      </c>
      <c r="K379" s="30">
        <v>8</v>
      </c>
      <c r="L379" s="22"/>
      <c r="M379" s="22">
        <f t="shared" si="40"/>
        <v>38.734875477661404</v>
      </c>
      <c r="N379" s="22">
        <f t="shared" si="41"/>
        <v>39.552377656342415</v>
      </c>
      <c r="O379" s="22" t="str">
        <f t="shared" si="42"/>
        <v/>
      </c>
      <c r="P379" s="22" t="str">
        <f t="shared" si="43"/>
        <v/>
      </c>
      <c r="Q379" s="22">
        <f t="shared" si="44"/>
        <v>1.9776188828171208</v>
      </c>
      <c r="R379" s="29" t="str">
        <f t="shared" si="45"/>
        <v>No original Rhyp to compare</v>
      </c>
      <c r="S379" s="29" t="str">
        <f t="shared" si="46"/>
        <v/>
      </c>
      <c r="T379" s="22">
        <v>7.8723590000000003</v>
      </c>
      <c r="U379" s="29" t="s">
        <v>4576</v>
      </c>
      <c r="V379" s="29" t="str">
        <f t="shared" si="47"/>
        <v>No geometric exceedance</v>
      </c>
      <c r="W379" s="30">
        <v>23.85</v>
      </c>
      <c r="X379" s="30">
        <v>120.82</v>
      </c>
      <c r="Y379" s="30">
        <v>8</v>
      </c>
      <c r="Z379" s="30">
        <v>39.552377656342273</v>
      </c>
      <c r="AA379" s="29" t="s">
        <v>2812</v>
      </c>
      <c r="AB379" s="29"/>
      <c r="AC379" s="39"/>
      <c r="AD379" s="39"/>
    </row>
    <row r="380" spans="1:30" ht="58" customHeight="1">
      <c r="A380" s="1" t="s">
        <v>1263</v>
      </c>
      <c r="B380" s="1">
        <v>137</v>
      </c>
      <c r="C380" s="1" t="s">
        <v>3884</v>
      </c>
      <c r="D380" s="29" t="s">
        <v>447</v>
      </c>
      <c r="E380" s="29" t="s">
        <v>448</v>
      </c>
      <c r="F380" s="1" t="s">
        <v>861</v>
      </c>
      <c r="G380" s="30">
        <v>23.579499999999999</v>
      </c>
      <c r="H380" s="30">
        <v>120.56016700000001</v>
      </c>
      <c r="I380" s="30">
        <v>23.529199999999999</v>
      </c>
      <c r="J380" s="30">
        <v>120.45059999999999</v>
      </c>
      <c r="K380" s="30">
        <v>16</v>
      </c>
      <c r="L380" s="22"/>
      <c r="M380" s="22">
        <f t="shared" si="40"/>
        <v>12.490455807074907</v>
      </c>
      <c r="N380" s="22">
        <f t="shared" si="41"/>
        <v>20.298066072128428</v>
      </c>
      <c r="O380" s="22" t="str">
        <f t="shared" si="42"/>
        <v/>
      </c>
      <c r="P380" s="22" t="str">
        <f t="shared" si="43"/>
        <v/>
      </c>
      <c r="Q380" s="22">
        <f t="shared" si="44"/>
        <v>1.0149033036064214</v>
      </c>
      <c r="R380" s="29" t="str">
        <f t="shared" si="45"/>
        <v>No original Rhyp to compare</v>
      </c>
      <c r="S380" s="29" t="str">
        <f t="shared" si="46"/>
        <v/>
      </c>
      <c r="T380" s="22">
        <v>14.08405</v>
      </c>
      <c r="U380" s="29" t="s">
        <v>4576</v>
      </c>
      <c r="V380" s="29" t="str">
        <f t="shared" si="47"/>
        <v>No geometric exceedance</v>
      </c>
      <c r="W380" s="30">
        <v>23.529199999999999</v>
      </c>
      <c r="X380" s="30">
        <v>120.45059999999999</v>
      </c>
      <c r="Y380" s="30">
        <v>16</v>
      </c>
      <c r="Z380" s="30">
        <v>20.298066072128428</v>
      </c>
      <c r="AA380" s="29" t="s">
        <v>2812</v>
      </c>
      <c r="AB380" s="29"/>
      <c r="AC380" s="39"/>
      <c r="AD380" s="39"/>
    </row>
    <row r="381" spans="1:30" ht="58" customHeight="1">
      <c r="A381" s="1" t="s">
        <v>1263</v>
      </c>
      <c r="B381" s="1">
        <v>138</v>
      </c>
      <c r="C381" s="1" t="s">
        <v>3887</v>
      </c>
      <c r="D381" s="29" t="s">
        <v>447</v>
      </c>
      <c r="E381" s="29" t="s">
        <v>448</v>
      </c>
      <c r="F381" s="1" t="s">
        <v>1082</v>
      </c>
      <c r="G381" s="30">
        <v>23.472667000000001</v>
      </c>
      <c r="H381" s="30">
        <v>120.41633299999999</v>
      </c>
      <c r="I381" s="30">
        <v>23.529199999999999</v>
      </c>
      <c r="J381" s="30">
        <v>120.45059999999999</v>
      </c>
      <c r="K381" s="30">
        <v>16</v>
      </c>
      <c r="L381" s="22"/>
      <c r="M381" s="22">
        <f t="shared" si="40"/>
        <v>7.1920773290109876</v>
      </c>
      <c r="N381" s="22">
        <f t="shared" si="41"/>
        <v>17.542120063050358</v>
      </c>
      <c r="O381" s="22" t="str">
        <f t="shared" si="42"/>
        <v/>
      </c>
      <c r="P381" s="22" t="str">
        <f t="shared" si="43"/>
        <v/>
      </c>
      <c r="Q381" s="22">
        <f t="shared" si="44"/>
        <v>1</v>
      </c>
      <c r="R381" s="29" t="str">
        <f t="shared" si="45"/>
        <v>No original Rhyp to compare</v>
      </c>
      <c r="S381" s="29" t="str">
        <f t="shared" si="46"/>
        <v/>
      </c>
      <c r="T381" s="22">
        <v>7.4184429999999999</v>
      </c>
      <c r="U381" s="29" t="s">
        <v>4576</v>
      </c>
      <c r="V381" s="29" t="str">
        <f t="shared" si="47"/>
        <v>No geometric exceedance</v>
      </c>
      <c r="W381" s="30">
        <v>23.529199999999999</v>
      </c>
      <c r="X381" s="30">
        <v>120.45059999999999</v>
      </c>
      <c r="Y381" s="30">
        <v>16</v>
      </c>
      <c r="Z381" s="30">
        <v>17.542120063050394</v>
      </c>
      <c r="AA381" s="29" t="s">
        <v>2812</v>
      </c>
      <c r="AB381" s="29"/>
      <c r="AC381" s="39"/>
      <c r="AD381" s="39"/>
    </row>
    <row r="382" spans="1:30" ht="58" customHeight="1">
      <c r="A382" s="1" t="s">
        <v>1263</v>
      </c>
      <c r="B382" s="1">
        <v>139</v>
      </c>
      <c r="C382" s="1" t="s">
        <v>3889</v>
      </c>
      <c r="D382" s="29" t="s">
        <v>447</v>
      </c>
      <c r="E382" s="29" t="s">
        <v>448</v>
      </c>
      <c r="F382" s="1" t="s">
        <v>1083</v>
      </c>
      <c r="G382" s="30">
        <v>23.463000000000001</v>
      </c>
      <c r="H382" s="30">
        <v>120.553</v>
      </c>
      <c r="I382" s="30">
        <v>23.529199999999999</v>
      </c>
      <c r="J382" s="30">
        <v>120.45059999999999</v>
      </c>
      <c r="K382" s="30">
        <v>16</v>
      </c>
      <c r="L382" s="22"/>
      <c r="M382" s="22">
        <f t="shared" si="40"/>
        <v>12.776038493222766</v>
      </c>
      <c r="N382" s="22">
        <f t="shared" si="41"/>
        <v>20.475037474454346</v>
      </c>
      <c r="O382" s="22" t="str">
        <f t="shared" si="42"/>
        <v/>
      </c>
      <c r="P382" s="22" t="str">
        <f t="shared" si="43"/>
        <v/>
      </c>
      <c r="Q382" s="22">
        <f t="shared" si="44"/>
        <v>1.0237518737227174</v>
      </c>
      <c r="R382" s="29" t="str">
        <f t="shared" si="45"/>
        <v>No original Rhyp to compare</v>
      </c>
      <c r="S382" s="29" t="str">
        <f t="shared" si="46"/>
        <v/>
      </c>
      <c r="T382" s="22">
        <v>16.384063999999999</v>
      </c>
      <c r="U382" s="29" t="s">
        <v>4576</v>
      </c>
      <c r="V382" s="29" t="str">
        <f t="shared" si="47"/>
        <v>No geometric exceedance</v>
      </c>
      <c r="W382" s="30">
        <v>23.529199999999999</v>
      </c>
      <c r="X382" s="30">
        <v>120.45059999999999</v>
      </c>
      <c r="Y382" s="30">
        <v>16</v>
      </c>
      <c r="Z382" s="30">
        <v>20.47503747445435</v>
      </c>
      <c r="AA382" s="29" t="s">
        <v>2812</v>
      </c>
      <c r="AB382" s="29"/>
      <c r="AC382" s="39"/>
      <c r="AD382" s="39"/>
    </row>
    <row r="383" spans="1:30" ht="58" customHeight="1">
      <c r="A383" s="1" t="s">
        <v>1263</v>
      </c>
      <c r="B383" s="1">
        <v>140</v>
      </c>
      <c r="C383" s="1" t="s">
        <v>3891</v>
      </c>
      <c r="D383" s="29" t="s">
        <v>447</v>
      </c>
      <c r="E383" s="29" t="s">
        <v>448</v>
      </c>
      <c r="F383" s="1" t="s">
        <v>1084</v>
      </c>
      <c r="G383" s="30">
        <v>23.520667</v>
      </c>
      <c r="H383" s="30">
        <v>120.55249999999999</v>
      </c>
      <c r="I383" s="30">
        <v>23.529199999999999</v>
      </c>
      <c r="J383" s="30">
        <v>120.45059999999999</v>
      </c>
      <c r="K383" s="30">
        <v>16</v>
      </c>
      <c r="L383" s="22"/>
      <c r="M383" s="22">
        <f t="shared" si="40"/>
        <v>10.43226103581426</v>
      </c>
      <c r="N383" s="22">
        <f t="shared" si="41"/>
        <v>19.100577748313491</v>
      </c>
      <c r="O383" s="22" t="str">
        <f t="shared" si="42"/>
        <v/>
      </c>
      <c r="P383" s="22" t="str">
        <f t="shared" si="43"/>
        <v/>
      </c>
      <c r="Q383" s="22">
        <f t="shared" si="44"/>
        <v>1</v>
      </c>
      <c r="R383" s="29" t="str">
        <f t="shared" si="45"/>
        <v>No original Rhyp to compare</v>
      </c>
      <c r="S383" s="29" t="str">
        <f t="shared" si="46"/>
        <v/>
      </c>
      <c r="T383" s="22">
        <v>14.407868000000001</v>
      </c>
      <c r="U383" s="29" t="s">
        <v>4576</v>
      </c>
      <c r="V383" s="29" t="str">
        <f t="shared" si="47"/>
        <v>No geometric exceedance</v>
      </c>
      <c r="W383" s="30">
        <v>23.529199999999999</v>
      </c>
      <c r="X383" s="30">
        <v>120.45059999999999</v>
      </c>
      <c r="Y383" s="30">
        <v>16</v>
      </c>
      <c r="Z383" s="30">
        <v>19.100577748313491</v>
      </c>
      <c r="AA383" s="29" t="s">
        <v>2812</v>
      </c>
      <c r="AB383" s="29"/>
      <c r="AC383" s="39"/>
      <c r="AD383" s="39"/>
    </row>
    <row r="384" spans="1:30" ht="58" customHeight="1">
      <c r="A384" s="1" t="s">
        <v>1263</v>
      </c>
      <c r="B384" s="1">
        <v>141</v>
      </c>
      <c r="C384" s="1" t="s">
        <v>3893</v>
      </c>
      <c r="D384" s="29" t="s">
        <v>447</v>
      </c>
      <c r="E384" s="29" t="s">
        <v>448</v>
      </c>
      <c r="F384" s="1" t="s">
        <v>1085</v>
      </c>
      <c r="G384" s="30">
        <v>23.605167000000002</v>
      </c>
      <c r="H384" s="30">
        <v>120.488</v>
      </c>
      <c r="I384" s="30">
        <v>23.529199999999999</v>
      </c>
      <c r="J384" s="30">
        <v>120.45059999999999</v>
      </c>
      <c r="K384" s="30">
        <v>16</v>
      </c>
      <c r="L384" s="22"/>
      <c r="M384" s="22">
        <f t="shared" si="40"/>
        <v>9.2673750315202437</v>
      </c>
      <c r="N384" s="22">
        <f t="shared" si="41"/>
        <v>18.490111951387554</v>
      </c>
      <c r="O384" s="22" t="str">
        <f t="shared" si="42"/>
        <v/>
      </c>
      <c r="P384" s="22" t="str">
        <f t="shared" si="43"/>
        <v/>
      </c>
      <c r="Q384" s="22">
        <f t="shared" si="44"/>
        <v>1</v>
      </c>
      <c r="R384" s="29" t="str">
        <f t="shared" si="45"/>
        <v>No original Rhyp to compare</v>
      </c>
      <c r="S384" s="29" t="str">
        <f t="shared" si="46"/>
        <v/>
      </c>
      <c r="T384" s="22">
        <v>9.4980189999999993</v>
      </c>
      <c r="U384" s="29" t="s">
        <v>4576</v>
      </c>
      <c r="V384" s="29" t="str">
        <f t="shared" si="47"/>
        <v>No geometric exceedance</v>
      </c>
      <c r="W384" s="30">
        <v>23.529199999999999</v>
      </c>
      <c r="X384" s="30">
        <v>120.45059999999999</v>
      </c>
      <c r="Y384" s="30">
        <v>16</v>
      </c>
      <c r="Z384" s="30">
        <v>18.490111951387558</v>
      </c>
      <c r="AA384" s="29" t="s">
        <v>2812</v>
      </c>
      <c r="AB384" s="29"/>
      <c r="AC384" s="39"/>
      <c r="AD384" s="39"/>
    </row>
    <row r="385" spans="1:30" ht="58" customHeight="1">
      <c r="A385" s="1" t="s">
        <v>1263</v>
      </c>
      <c r="B385" s="1">
        <v>142</v>
      </c>
      <c r="C385" s="1" t="s">
        <v>3895</v>
      </c>
      <c r="D385" s="29" t="s">
        <v>447</v>
      </c>
      <c r="E385" s="29" t="s">
        <v>448</v>
      </c>
      <c r="F385" s="1" t="s">
        <v>1086</v>
      </c>
      <c r="G385" s="30">
        <v>23.554500000000001</v>
      </c>
      <c r="H385" s="30">
        <v>120.42916700000001</v>
      </c>
      <c r="I385" s="30">
        <v>23.529199999999999</v>
      </c>
      <c r="J385" s="30">
        <v>120.45059999999999</v>
      </c>
      <c r="K385" s="30">
        <v>16</v>
      </c>
      <c r="L385" s="22"/>
      <c r="M385" s="22">
        <f t="shared" si="40"/>
        <v>3.5620182778149498</v>
      </c>
      <c r="N385" s="22">
        <f t="shared" si="41"/>
        <v>16.391704432775981</v>
      </c>
      <c r="O385" s="22" t="str">
        <f t="shared" si="42"/>
        <v/>
      </c>
      <c r="P385" s="22" t="str">
        <f t="shared" si="43"/>
        <v/>
      </c>
      <c r="Q385" s="22">
        <f t="shared" si="44"/>
        <v>1</v>
      </c>
      <c r="R385" s="29" t="str">
        <f t="shared" si="45"/>
        <v>No original Rhyp to compare</v>
      </c>
      <c r="S385" s="29" t="str">
        <f t="shared" si="46"/>
        <v/>
      </c>
      <c r="T385" s="22">
        <v>7.3521450000000002</v>
      </c>
      <c r="U385" s="29" t="s">
        <v>4576</v>
      </c>
      <c r="V385" s="29" t="str">
        <f t="shared" si="47"/>
        <v>No geometric exceedance</v>
      </c>
      <c r="W385" s="30">
        <v>23.529199999999999</v>
      </c>
      <c r="X385" s="30">
        <v>120.45059999999999</v>
      </c>
      <c r="Y385" s="30">
        <v>16</v>
      </c>
      <c r="Z385" s="30">
        <v>16.391704432775985</v>
      </c>
      <c r="AA385" s="29" t="s">
        <v>2812</v>
      </c>
      <c r="AB385" s="29"/>
      <c r="AC385" s="39"/>
      <c r="AD385" s="39"/>
    </row>
    <row r="386" spans="1:30" ht="58" customHeight="1">
      <c r="A386" s="1" t="s">
        <v>1263</v>
      </c>
      <c r="B386" s="1">
        <v>143</v>
      </c>
      <c r="C386" s="1" t="s">
        <v>3897</v>
      </c>
      <c r="D386" s="29" t="s">
        <v>447</v>
      </c>
      <c r="E386" s="29" t="s">
        <v>448</v>
      </c>
      <c r="F386" s="1" t="s">
        <v>1087</v>
      </c>
      <c r="G386" s="30">
        <v>23.534333</v>
      </c>
      <c r="H386" s="30">
        <v>120.4555</v>
      </c>
      <c r="I386" s="30">
        <v>23.529199999999999</v>
      </c>
      <c r="J386" s="30">
        <v>120.45059999999999</v>
      </c>
      <c r="K386" s="30">
        <v>16</v>
      </c>
      <c r="L386" s="22"/>
      <c r="M386" s="22">
        <f t="shared" ref="M386:M449" si="48">IF(OR(G386="",H386="",I386="",J386="",K386=""),"",12742*ASIN(SQRT(MIN(1,SIN(RADIANS(I386-G386)/2)^2+COS(RADIANS(I386))*COS(RADIANS(G386))*SIN(RADIANS(J386-H386)/2)^2))))</f>
        <v>0.75849562305946738</v>
      </c>
      <c r="N386" s="22">
        <f t="shared" ref="N386:N449" si="49">IF(M386="","",SQRT(M386^2+K386^2))</f>
        <v>16.017968523199201</v>
      </c>
      <c r="O386" s="22" t="str">
        <f t="shared" ref="O386:O449" si="50">IF(OR(L386="",N386=""),"",L386-N386)</f>
        <v/>
      </c>
      <c r="P386" s="22" t="str">
        <f t="shared" ref="P386:P449" si="51">IF(OR(L386="",N386="",N386=0),"",100*O386/N386)</f>
        <v/>
      </c>
      <c r="Q386" s="22">
        <f t="shared" ref="Q386:Q449" si="52">IF(N386="","",MAX(1,0.05*N386))</f>
        <v>1</v>
      </c>
      <c r="R386" s="29" t="str">
        <f t="shared" ref="R386:R449" si="53">IF(N386="","Missing station coordinates",IF(L386="","No original Rhyp to compare",IF(ABS(O386)&gt;Q386,"Review: Rhyp mismatch","Within screening tolerance")))</f>
        <v>No original Rhyp to compare</v>
      </c>
      <c r="S386" s="29" t="str">
        <f t="shared" ref="S386:S449" si="54">IF(L386="","",IF(L386&lt;K386-1,"Rhyp below depth by &gt;1 km",IF(L386&lt;K386,"Rhyp below depth by &lt;=1 km","")))</f>
        <v/>
      </c>
      <c r="T386" s="22">
        <v>7.7683669999999996</v>
      </c>
      <c r="U386" s="29" t="s">
        <v>4576</v>
      </c>
      <c r="V386" s="29" t="str">
        <f t="shared" ref="V386:V449" si="55">IF(T386="","Missing Rrup/closest distance",IF(N386="","Cannot check without coordinates",IF(T386&gt;N386+1,"Review: distance &gt; recalculated Rhyp +1 km","No geometric exceedance")))</f>
        <v>No geometric exceedance</v>
      </c>
      <c r="W386" s="30">
        <v>23.529199999999999</v>
      </c>
      <c r="X386" s="30">
        <v>120.45059999999999</v>
      </c>
      <c r="Y386" s="30">
        <v>16</v>
      </c>
      <c r="Z386" s="30">
        <v>16.017968523199201</v>
      </c>
      <c r="AA386" s="29" t="s">
        <v>2812</v>
      </c>
      <c r="AB386" s="29"/>
      <c r="AC386" s="39"/>
      <c r="AD386" s="39"/>
    </row>
    <row r="387" spans="1:30" ht="58" customHeight="1">
      <c r="A387" s="1" t="s">
        <v>1263</v>
      </c>
      <c r="B387" s="1">
        <v>144</v>
      </c>
      <c r="C387" s="1" t="s">
        <v>3899</v>
      </c>
      <c r="D387" s="29" t="s">
        <v>447</v>
      </c>
      <c r="E387" s="29" t="s">
        <v>448</v>
      </c>
      <c r="F387" s="1" t="s">
        <v>1088</v>
      </c>
      <c r="G387" s="30">
        <v>23.475332999999999</v>
      </c>
      <c r="H387" s="30">
        <v>120.471333</v>
      </c>
      <c r="I387" s="30">
        <v>23.529199999999999</v>
      </c>
      <c r="J387" s="30">
        <v>120.45059999999999</v>
      </c>
      <c r="K387" s="30">
        <v>16</v>
      </c>
      <c r="L387" s="22"/>
      <c r="M387" s="22">
        <f t="shared" si="48"/>
        <v>6.3518984656727469</v>
      </c>
      <c r="N387" s="22">
        <f t="shared" si="49"/>
        <v>17.214720855076791</v>
      </c>
      <c r="O387" s="22" t="str">
        <f t="shared" si="50"/>
        <v/>
      </c>
      <c r="P387" s="22" t="str">
        <f t="shared" si="51"/>
        <v/>
      </c>
      <c r="Q387" s="22">
        <f t="shared" si="52"/>
        <v>1</v>
      </c>
      <c r="R387" s="29" t="str">
        <f t="shared" si="53"/>
        <v>No original Rhyp to compare</v>
      </c>
      <c r="S387" s="29" t="str">
        <f t="shared" si="54"/>
        <v/>
      </c>
      <c r="T387" s="22">
        <v>9.6974540000000005</v>
      </c>
      <c r="U387" s="29" t="s">
        <v>4576</v>
      </c>
      <c r="V387" s="29" t="str">
        <f t="shared" si="55"/>
        <v>No geometric exceedance</v>
      </c>
      <c r="W387" s="30">
        <v>23.529199999999999</v>
      </c>
      <c r="X387" s="30">
        <v>120.45059999999999</v>
      </c>
      <c r="Y387" s="30">
        <v>16</v>
      </c>
      <c r="Z387" s="30">
        <v>17.214720855076827</v>
      </c>
      <c r="AA387" s="29" t="s">
        <v>2812</v>
      </c>
      <c r="AB387" s="29"/>
      <c r="AC387" s="39"/>
      <c r="AD387" s="39"/>
    </row>
    <row r="388" spans="1:30" ht="58" customHeight="1">
      <c r="A388" s="1" t="s">
        <v>1263</v>
      </c>
      <c r="B388" s="1">
        <v>145</v>
      </c>
      <c r="C388" s="1" t="s">
        <v>3901</v>
      </c>
      <c r="D388" s="29" t="s">
        <v>447</v>
      </c>
      <c r="E388" s="29" t="s">
        <v>448</v>
      </c>
      <c r="F388" s="1" t="s">
        <v>1089</v>
      </c>
      <c r="G388" s="30">
        <v>23.493666999999999</v>
      </c>
      <c r="H388" s="30">
        <v>120.455333</v>
      </c>
      <c r="I388" s="30">
        <v>23.529199999999999</v>
      </c>
      <c r="J388" s="30">
        <v>120.45059999999999</v>
      </c>
      <c r="K388" s="30">
        <v>16</v>
      </c>
      <c r="L388" s="22"/>
      <c r="M388" s="22">
        <f t="shared" si="48"/>
        <v>3.9804526709325123</v>
      </c>
      <c r="N388" s="22">
        <f t="shared" si="49"/>
        <v>16.487692484563564</v>
      </c>
      <c r="O388" s="22" t="str">
        <f t="shared" si="50"/>
        <v/>
      </c>
      <c r="P388" s="22" t="str">
        <f t="shared" si="51"/>
        <v/>
      </c>
      <c r="Q388" s="22">
        <f t="shared" si="52"/>
        <v>1</v>
      </c>
      <c r="R388" s="29" t="str">
        <f t="shared" si="53"/>
        <v>No original Rhyp to compare</v>
      </c>
      <c r="S388" s="29" t="str">
        <f t="shared" si="54"/>
        <v/>
      </c>
      <c r="T388" s="22">
        <v>8.4032929999999997</v>
      </c>
      <c r="U388" s="29" t="s">
        <v>4576</v>
      </c>
      <c r="V388" s="29" t="str">
        <f t="shared" si="55"/>
        <v>No geometric exceedance</v>
      </c>
      <c r="W388" s="30">
        <v>23.529199999999999</v>
      </c>
      <c r="X388" s="30">
        <v>120.45059999999999</v>
      </c>
      <c r="Y388" s="30">
        <v>16</v>
      </c>
      <c r="Z388" s="30">
        <v>16.487692484563617</v>
      </c>
      <c r="AA388" s="29" t="s">
        <v>2812</v>
      </c>
      <c r="AB388" s="29"/>
      <c r="AC388" s="39"/>
      <c r="AD388" s="39"/>
    </row>
    <row r="389" spans="1:30" ht="58" customHeight="1">
      <c r="A389" s="1" t="s">
        <v>1263</v>
      </c>
      <c r="B389" s="1">
        <v>146</v>
      </c>
      <c r="C389" s="1" t="s">
        <v>3903</v>
      </c>
      <c r="D389" s="29" t="s">
        <v>447</v>
      </c>
      <c r="E389" s="29" t="s">
        <v>448</v>
      </c>
      <c r="F389" s="1" t="s">
        <v>1090</v>
      </c>
      <c r="G389" s="30">
        <v>23.496333</v>
      </c>
      <c r="H389" s="30">
        <v>120.4325</v>
      </c>
      <c r="I389" s="30">
        <v>23.529199999999999</v>
      </c>
      <c r="J389" s="30">
        <v>120.45059999999999</v>
      </c>
      <c r="K389" s="30">
        <v>16</v>
      </c>
      <c r="L389" s="22"/>
      <c r="M389" s="22">
        <f t="shared" si="48"/>
        <v>4.0941875657888227</v>
      </c>
      <c r="N389" s="22">
        <f t="shared" si="49"/>
        <v>16.51551912062893</v>
      </c>
      <c r="O389" s="22" t="str">
        <f t="shared" si="50"/>
        <v/>
      </c>
      <c r="P389" s="22" t="str">
        <f t="shared" si="51"/>
        <v/>
      </c>
      <c r="Q389" s="22">
        <f t="shared" si="52"/>
        <v>1</v>
      </c>
      <c r="R389" s="29" t="str">
        <f t="shared" si="53"/>
        <v>No original Rhyp to compare</v>
      </c>
      <c r="S389" s="29" t="str">
        <f t="shared" si="54"/>
        <v/>
      </c>
      <c r="T389" s="22">
        <v>7.548565</v>
      </c>
      <c r="U389" s="29" t="s">
        <v>4576</v>
      </c>
      <c r="V389" s="29" t="str">
        <f t="shared" si="55"/>
        <v>No geometric exceedance</v>
      </c>
      <c r="W389" s="30">
        <v>23.529199999999999</v>
      </c>
      <c r="X389" s="30">
        <v>120.45059999999999</v>
      </c>
      <c r="Y389" s="30">
        <v>16</v>
      </c>
      <c r="Z389" s="30">
        <v>16.515519120628991</v>
      </c>
      <c r="AA389" s="29" t="s">
        <v>2812</v>
      </c>
      <c r="AB389" s="29"/>
      <c r="AC389" s="39"/>
      <c r="AD389" s="39"/>
    </row>
    <row r="390" spans="1:30" ht="58" customHeight="1">
      <c r="A390" s="1" t="s">
        <v>1263</v>
      </c>
      <c r="B390" s="1">
        <v>147</v>
      </c>
      <c r="C390" s="1" t="s">
        <v>3905</v>
      </c>
      <c r="D390" s="29" t="s">
        <v>447</v>
      </c>
      <c r="E390" s="29" t="s">
        <v>448</v>
      </c>
      <c r="F390" s="1" t="s">
        <v>1091</v>
      </c>
      <c r="G390" s="30">
        <v>23.436333000000001</v>
      </c>
      <c r="H390" s="30">
        <v>120.41466699999999</v>
      </c>
      <c r="I390" s="30">
        <v>23.529199999999999</v>
      </c>
      <c r="J390" s="30">
        <v>120.45059999999999</v>
      </c>
      <c r="K390" s="30">
        <v>16</v>
      </c>
      <c r="L390" s="22"/>
      <c r="M390" s="22">
        <f t="shared" si="48"/>
        <v>10.957324891073283</v>
      </c>
      <c r="N390" s="22">
        <f t="shared" si="49"/>
        <v>19.392343044834323</v>
      </c>
      <c r="O390" s="22" t="str">
        <f t="shared" si="50"/>
        <v/>
      </c>
      <c r="P390" s="22" t="str">
        <f t="shared" si="51"/>
        <v/>
      </c>
      <c r="Q390" s="22">
        <f t="shared" si="52"/>
        <v>1</v>
      </c>
      <c r="R390" s="29" t="str">
        <f t="shared" si="53"/>
        <v>No original Rhyp to compare</v>
      </c>
      <c r="S390" s="29" t="str">
        <f t="shared" si="54"/>
        <v/>
      </c>
      <c r="T390" s="22">
        <v>8.7103470000000005</v>
      </c>
      <c r="U390" s="29" t="s">
        <v>4576</v>
      </c>
      <c r="V390" s="29" t="str">
        <f t="shared" si="55"/>
        <v>No geometric exceedance</v>
      </c>
      <c r="W390" s="30">
        <v>23.529199999999999</v>
      </c>
      <c r="X390" s="30">
        <v>120.45059999999999</v>
      </c>
      <c r="Y390" s="30">
        <v>16</v>
      </c>
      <c r="Z390" s="30">
        <v>19.39234304483432</v>
      </c>
      <c r="AA390" s="29" t="s">
        <v>2812</v>
      </c>
      <c r="AB390" s="29"/>
      <c r="AC390" s="39"/>
      <c r="AD390" s="39"/>
    </row>
    <row r="391" spans="1:30" ht="58" customHeight="1">
      <c r="A391" s="1" t="s">
        <v>1263</v>
      </c>
      <c r="B391" s="1">
        <v>148</v>
      </c>
      <c r="C391" s="1" t="s">
        <v>3907</v>
      </c>
      <c r="D391" s="29" t="s">
        <v>453</v>
      </c>
      <c r="E391" s="29" t="s">
        <v>454</v>
      </c>
      <c r="F391" s="1" t="s">
        <v>1092</v>
      </c>
      <c r="G391" s="30">
        <v>23.483699999999999</v>
      </c>
      <c r="H391" s="30">
        <v>120.2775</v>
      </c>
      <c r="I391" s="30">
        <v>23.533100000000001</v>
      </c>
      <c r="J391" s="30">
        <v>120.4308</v>
      </c>
      <c r="K391" s="30">
        <v>16.739999999999998</v>
      </c>
      <c r="L391" s="22"/>
      <c r="M391" s="22">
        <f t="shared" si="48"/>
        <v>16.568441556174005</v>
      </c>
      <c r="N391" s="22">
        <f t="shared" si="49"/>
        <v>23.552937303027697</v>
      </c>
      <c r="O391" s="22" t="str">
        <f t="shared" si="50"/>
        <v/>
      </c>
      <c r="P391" s="22" t="str">
        <f t="shared" si="51"/>
        <v/>
      </c>
      <c r="Q391" s="22">
        <f t="shared" si="52"/>
        <v>1.1776468651513849</v>
      </c>
      <c r="R391" s="29" t="str">
        <f t="shared" si="53"/>
        <v>No original Rhyp to compare</v>
      </c>
      <c r="S391" s="29" t="str">
        <f t="shared" si="54"/>
        <v/>
      </c>
      <c r="T391" s="22">
        <v>18.480699999999999</v>
      </c>
      <c r="U391" s="29" t="s">
        <v>4576</v>
      </c>
      <c r="V391" s="29" t="str">
        <f t="shared" si="55"/>
        <v>No geometric exceedance</v>
      </c>
      <c r="W391" s="30">
        <v>23.533100000000001</v>
      </c>
      <c r="X391" s="30">
        <v>120.4308</v>
      </c>
      <c r="Y391" s="30">
        <v>16.739999999999998</v>
      </c>
      <c r="Z391" s="30">
        <v>23.552937303027733</v>
      </c>
      <c r="AA391" s="29" t="s">
        <v>2812</v>
      </c>
      <c r="AB391" s="29"/>
      <c r="AC391" s="39"/>
      <c r="AD391" s="39"/>
    </row>
    <row r="392" spans="1:30" ht="58" customHeight="1">
      <c r="A392" s="1" t="s">
        <v>1263</v>
      </c>
      <c r="B392" s="1">
        <v>149</v>
      </c>
      <c r="C392" s="1" t="s">
        <v>3909</v>
      </c>
      <c r="D392" s="29" t="s">
        <v>453</v>
      </c>
      <c r="E392" s="29" t="s">
        <v>454</v>
      </c>
      <c r="F392" s="1" t="s">
        <v>1082</v>
      </c>
      <c r="G392" s="30">
        <v>23.472667000000001</v>
      </c>
      <c r="H392" s="30">
        <v>120.41633299999999</v>
      </c>
      <c r="I392" s="30">
        <v>23.533100000000001</v>
      </c>
      <c r="J392" s="30">
        <v>120.4308</v>
      </c>
      <c r="K392" s="30">
        <v>16.739999999999998</v>
      </c>
      <c r="L392" s="22"/>
      <c r="M392" s="22">
        <f t="shared" si="48"/>
        <v>6.879862864550458</v>
      </c>
      <c r="N392" s="22">
        <f t="shared" si="49"/>
        <v>18.09862185457833</v>
      </c>
      <c r="O392" s="22" t="str">
        <f t="shared" si="50"/>
        <v/>
      </c>
      <c r="P392" s="22" t="str">
        <f t="shared" si="51"/>
        <v/>
      </c>
      <c r="Q392" s="22">
        <f t="shared" si="52"/>
        <v>1</v>
      </c>
      <c r="R392" s="29" t="str">
        <f t="shared" si="53"/>
        <v>No original Rhyp to compare</v>
      </c>
      <c r="S392" s="29" t="str">
        <f t="shared" si="54"/>
        <v/>
      </c>
      <c r="T392" s="22">
        <v>15.452185999999999</v>
      </c>
      <c r="U392" s="29" t="s">
        <v>4576</v>
      </c>
      <c r="V392" s="29" t="str">
        <f t="shared" si="55"/>
        <v>No geometric exceedance</v>
      </c>
      <c r="W392" s="30">
        <v>23.533100000000001</v>
      </c>
      <c r="X392" s="30">
        <v>120.4308</v>
      </c>
      <c r="Y392" s="30">
        <v>16.739999999999998</v>
      </c>
      <c r="Z392" s="30">
        <v>18.098621854578358</v>
      </c>
      <c r="AA392" s="29" t="s">
        <v>2812</v>
      </c>
      <c r="AB392" s="29"/>
      <c r="AC392" s="39"/>
      <c r="AD392" s="39"/>
    </row>
    <row r="393" spans="1:30" ht="58" customHeight="1">
      <c r="A393" s="1" t="s">
        <v>1263</v>
      </c>
      <c r="B393" s="1">
        <v>150</v>
      </c>
      <c r="C393" s="1" t="s">
        <v>3912</v>
      </c>
      <c r="D393" s="29" t="s">
        <v>453</v>
      </c>
      <c r="E393" s="29" t="s">
        <v>454</v>
      </c>
      <c r="F393" s="1" t="s">
        <v>1093</v>
      </c>
      <c r="G393" s="30">
        <v>23.356166999999999</v>
      </c>
      <c r="H393" s="30">
        <v>120.273833</v>
      </c>
      <c r="I393" s="30">
        <v>23.533100000000001</v>
      </c>
      <c r="J393" s="30">
        <v>120.4308</v>
      </c>
      <c r="K393" s="30">
        <v>16.739999999999998</v>
      </c>
      <c r="L393" s="22"/>
      <c r="M393" s="22">
        <f t="shared" si="48"/>
        <v>25.36700441601802</v>
      </c>
      <c r="N393" s="22">
        <f t="shared" si="49"/>
        <v>30.392639125983742</v>
      </c>
      <c r="O393" s="22" t="str">
        <f t="shared" si="50"/>
        <v/>
      </c>
      <c r="P393" s="22" t="str">
        <f t="shared" si="51"/>
        <v/>
      </c>
      <c r="Q393" s="22">
        <f t="shared" si="52"/>
        <v>1.5196319562991871</v>
      </c>
      <c r="R393" s="29" t="str">
        <f t="shared" si="53"/>
        <v>No original Rhyp to compare</v>
      </c>
      <c r="S393" s="29" t="str">
        <f t="shared" si="54"/>
        <v/>
      </c>
      <c r="T393" s="22">
        <v>26.799876999999999</v>
      </c>
      <c r="U393" s="29" t="s">
        <v>4576</v>
      </c>
      <c r="V393" s="29" t="str">
        <f t="shared" si="55"/>
        <v>No geometric exceedance</v>
      </c>
      <c r="W393" s="30">
        <v>23.533100000000001</v>
      </c>
      <c r="X393" s="30">
        <v>120.4308</v>
      </c>
      <c r="Y393" s="30">
        <v>16.739999999999998</v>
      </c>
      <c r="Z393" s="30">
        <v>30.392639125983756</v>
      </c>
      <c r="AA393" s="29" t="s">
        <v>2812</v>
      </c>
      <c r="AB393" s="29"/>
      <c r="AC393" s="39"/>
      <c r="AD393" s="39"/>
    </row>
    <row r="394" spans="1:30" ht="58" customHeight="1">
      <c r="A394" s="1" t="s">
        <v>1263</v>
      </c>
      <c r="B394" s="1">
        <v>151</v>
      </c>
      <c r="C394" s="1" t="s">
        <v>3914</v>
      </c>
      <c r="D394" s="29" t="s">
        <v>453</v>
      </c>
      <c r="E394" s="29" t="s">
        <v>454</v>
      </c>
      <c r="F394" s="1" t="s">
        <v>1094</v>
      </c>
      <c r="G394" s="30">
        <v>23.577000000000002</v>
      </c>
      <c r="H394" s="30">
        <v>120.301833</v>
      </c>
      <c r="I394" s="30">
        <v>23.533100000000001</v>
      </c>
      <c r="J394" s="30">
        <v>120.4308</v>
      </c>
      <c r="K394" s="30">
        <v>16.739999999999998</v>
      </c>
      <c r="L394" s="22"/>
      <c r="M394" s="22">
        <f t="shared" si="48"/>
        <v>14.02265376012063</v>
      </c>
      <c r="N394" s="22">
        <f t="shared" si="49"/>
        <v>21.837179728074439</v>
      </c>
      <c r="O394" s="22" t="str">
        <f t="shared" si="50"/>
        <v/>
      </c>
      <c r="P394" s="22" t="str">
        <f t="shared" si="51"/>
        <v/>
      </c>
      <c r="Q394" s="22">
        <f t="shared" si="52"/>
        <v>1.091858986403722</v>
      </c>
      <c r="R394" s="29" t="str">
        <f t="shared" si="53"/>
        <v>No original Rhyp to compare</v>
      </c>
      <c r="S394" s="29" t="str">
        <f t="shared" si="54"/>
        <v/>
      </c>
      <c r="T394" s="22">
        <v>19.697555000000001</v>
      </c>
      <c r="U394" s="29" t="s">
        <v>4576</v>
      </c>
      <c r="V394" s="29" t="str">
        <f t="shared" si="55"/>
        <v>No geometric exceedance</v>
      </c>
      <c r="W394" s="30">
        <v>23.533100000000001</v>
      </c>
      <c r="X394" s="30">
        <v>120.4308</v>
      </c>
      <c r="Y394" s="30">
        <v>16.739999999999998</v>
      </c>
      <c r="Z394" s="30">
        <v>21.837179728074393</v>
      </c>
      <c r="AA394" s="29" t="s">
        <v>2812</v>
      </c>
      <c r="AB394" s="29"/>
      <c r="AC394" s="39"/>
      <c r="AD394" s="39"/>
    </row>
    <row r="395" spans="1:30" ht="58" customHeight="1">
      <c r="A395" s="1" t="s">
        <v>1263</v>
      </c>
      <c r="B395" s="1">
        <v>152</v>
      </c>
      <c r="C395" s="1" t="s">
        <v>3916</v>
      </c>
      <c r="D395" s="29" t="s">
        <v>453</v>
      </c>
      <c r="E395" s="29" t="s">
        <v>454</v>
      </c>
      <c r="F395" s="1" t="s">
        <v>1095</v>
      </c>
      <c r="G395" s="30">
        <v>23.519333</v>
      </c>
      <c r="H395" s="30">
        <v>120.351167</v>
      </c>
      <c r="I395" s="30">
        <v>23.533100000000001</v>
      </c>
      <c r="J395" s="30">
        <v>120.4308</v>
      </c>
      <c r="K395" s="30">
        <v>16.739999999999998</v>
      </c>
      <c r="L395" s="22"/>
      <c r="M395" s="22">
        <f t="shared" si="48"/>
        <v>8.2618142240736248</v>
      </c>
      <c r="N395" s="22">
        <f t="shared" si="49"/>
        <v>18.667757612340729</v>
      </c>
      <c r="O395" s="22" t="str">
        <f t="shared" si="50"/>
        <v/>
      </c>
      <c r="P395" s="22" t="str">
        <f t="shared" si="51"/>
        <v/>
      </c>
      <c r="Q395" s="22">
        <f t="shared" si="52"/>
        <v>1</v>
      </c>
      <c r="R395" s="29" t="str">
        <f t="shared" si="53"/>
        <v>No original Rhyp to compare</v>
      </c>
      <c r="S395" s="29" t="str">
        <f t="shared" si="54"/>
        <v/>
      </c>
      <c r="T395" s="22">
        <v>15.923492</v>
      </c>
      <c r="U395" s="29" t="s">
        <v>4576</v>
      </c>
      <c r="V395" s="29" t="str">
        <f t="shared" si="55"/>
        <v>No geometric exceedance</v>
      </c>
      <c r="W395" s="30">
        <v>23.533100000000001</v>
      </c>
      <c r="X395" s="30">
        <v>120.4308</v>
      </c>
      <c r="Y395" s="30">
        <v>16.739999999999998</v>
      </c>
      <c r="Z395" s="30">
        <v>18.66775761234074</v>
      </c>
      <c r="AA395" s="29" t="s">
        <v>2812</v>
      </c>
      <c r="AB395" s="29"/>
      <c r="AC395" s="39"/>
      <c r="AD395" s="39"/>
    </row>
    <row r="396" spans="1:30" ht="58" customHeight="1">
      <c r="A396" s="1" t="s">
        <v>1263</v>
      </c>
      <c r="B396" s="1">
        <v>153</v>
      </c>
      <c r="C396" s="1" t="s">
        <v>3918</v>
      </c>
      <c r="D396" s="29" t="s">
        <v>453</v>
      </c>
      <c r="E396" s="29" t="s">
        <v>454</v>
      </c>
      <c r="F396" s="1" t="s">
        <v>1096</v>
      </c>
      <c r="G396" s="30">
        <v>23.456</v>
      </c>
      <c r="H396" s="30">
        <v>120.33066700000001</v>
      </c>
      <c r="I396" s="30">
        <v>23.533100000000001</v>
      </c>
      <c r="J396" s="30">
        <v>120.4308</v>
      </c>
      <c r="K396" s="30">
        <v>16.739999999999998</v>
      </c>
      <c r="L396" s="22"/>
      <c r="M396" s="22">
        <f t="shared" si="48"/>
        <v>13.332954426187831</v>
      </c>
      <c r="N396" s="22">
        <f t="shared" si="49"/>
        <v>21.400824136719631</v>
      </c>
      <c r="O396" s="22" t="str">
        <f t="shared" si="50"/>
        <v/>
      </c>
      <c r="P396" s="22" t="str">
        <f t="shared" si="51"/>
        <v/>
      </c>
      <c r="Q396" s="22">
        <f t="shared" si="52"/>
        <v>1.0700412068359817</v>
      </c>
      <c r="R396" s="29" t="str">
        <f t="shared" si="53"/>
        <v>No original Rhyp to compare</v>
      </c>
      <c r="S396" s="29" t="str">
        <f t="shared" si="54"/>
        <v/>
      </c>
      <c r="T396" s="22">
        <v>18.007390000000001</v>
      </c>
      <c r="U396" s="29" t="s">
        <v>4576</v>
      </c>
      <c r="V396" s="29" t="str">
        <f t="shared" si="55"/>
        <v>No geometric exceedance</v>
      </c>
      <c r="W396" s="30">
        <v>23.533100000000001</v>
      </c>
      <c r="X396" s="30">
        <v>120.4308</v>
      </c>
      <c r="Y396" s="30">
        <v>16.739999999999998</v>
      </c>
      <c r="Z396" s="30">
        <v>21.400824136719596</v>
      </c>
      <c r="AA396" s="29" t="s">
        <v>2812</v>
      </c>
      <c r="AB396" s="29"/>
      <c r="AC396" s="39"/>
      <c r="AD396" s="39"/>
    </row>
    <row r="397" spans="1:30" ht="58" customHeight="1">
      <c r="A397" s="1" t="s">
        <v>1263</v>
      </c>
      <c r="B397" s="1">
        <v>154</v>
      </c>
      <c r="C397" s="1" t="s">
        <v>3920</v>
      </c>
      <c r="D397" s="29" t="s">
        <v>453</v>
      </c>
      <c r="E397" s="29" t="s">
        <v>454</v>
      </c>
      <c r="F397" s="1" t="s">
        <v>1091</v>
      </c>
      <c r="G397" s="30">
        <v>23.436299999999999</v>
      </c>
      <c r="H397" s="30">
        <v>120.4147</v>
      </c>
      <c r="I397" s="30">
        <v>23.533100000000001</v>
      </c>
      <c r="J397" s="30">
        <v>120.4308</v>
      </c>
      <c r="K397" s="30">
        <v>16.739999999999998</v>
      </c>
      <c r="L397" s="22"/>
      <c r="M397" s="22">
        <f t="shared" si="48"/>
        <v>10.888184236724639</v>
      </c>
      <c r="N397" s="22">
        <f t="shared" si="49"/>
        <v>19.969480613497659</v>
      </c>
      <c r="O397" s="22" t="str">
        <f t="shared" si="50"/>
        <v/>
      </c>
      <c r="P397" s="22" t="str">
        <f t="shared" si="51"/>
        <v/>
      </c>
      <c r="Q397" s="22">
        <f t="shared" si="52"/>
        <v>1</v>
      </c>
      <c r="R397" s="29" t="str">
        <f t="shared" si="53"/>
        <v>No original Rhyp to compare</v>
      </c>
      <c r="S397" s="29" t="str">
        <f t="shared" si="54"/>
        <v/>
      </c>
      <c r="T397" s="22">
        <v>12.957599999999999</v>
      </c>
      <c r="U397" s="29" t="s">
        <v>4576</v>
      </c>
      <c r="V397" s="29" t="str">
        <f t="shared" si="55"/>
        <v>No geometric exceedance</v>
      </c>
      <c r="W397" s="30">
        <v>23.533100000000001</v>
      </c>
      <c r="X397" s="30">
        <v>120.4308</v>
      </c>
      <c r="Y397" s="30">
        <v>16.739999999999998</v>
      </c>
      <c r="Z397" s="30">
        <v>19.969480613497719</v>
      </c>
      <c r="AA397" s="29" t="s">
        <v>2812</v>
      </c>
      <c r="AB397" s="29"/>
      <c r="AC397" s="39"/>
      <c r="AD397" s="39"/>
    </row>
    <row r="398" spans="1:30" ht="58" customHeight="1">
      <c r="A398" s="1" t="s">
        <v>1263</v>
      </c>
      <c r="B398" s="1">
        <v>155</v>
      </c>
      <c r="C398" s="1" t="s">
        <v>3922</v>
      </c>
      <c r="D398" s="29" t="s">
        <v>469</v>
      </c>
      <c r="E398" s="29" t="s">
        <v>1097</v>
      </c>
      <c r="F398" s="1" t="s">
        <v>920</v>
      </c>
      <c r="G398" s="30">
        <v>23.508333</v>
      </c>
      <c r="H398" s="30">
        <v>120.813333</v>
      </c>
      <c r="I398" s="30">
        <v>23.6</v>
      </c>
      <c r="J398" s="30">
        <v>120.82</v>
      </c>
      <c r="K398" s="30">
        <v>18</v>
      </c>
      <c r="L398" s="22"/>
      <c r="M398" s="22">
        <f t="shared" si="48"/>
        <v>10.215534008146118</v>
      </c>
      <c r="N398" s="22">
        <f t="shared" si="49"/>
        <v>20.696790453391316</v>
      </c>
      <c r="O398" s="22" t="str">
        <f t="shared" si="50"/>
        <v/>
      </c>
      <c r="P398" s="22" t="str">
        <f t="shared" si="51"/>
        <v/>
      </c>
      <c r="Q398" s="22">
        <f t="shared" si="52"/>
        <v>1.0348395226695659</v>
      </c>
      <c r="R398" s="29" t="str">
        <f t="shared" si="53"/>
        <v>No original Rhyp to compare</v>
      </c>
      <c r="S398" s="29" t="str">
        <f t="shared" si="54"/>
        <v/>
      </c>
      <c r="T398" s="22">
        <v>5.6140650000000001</v>
      </c>
      <c r="U398" s="29" t="s">
        <v>4576</v>
      </c>
      <c r="V398" s="29" t="str">
        <f t="shared" si="55"/>
        <v>No geometric exceedance</v>
      </c>
      <c r="W398" s="30">
        <v>23.6</v>
      </c>
      <c r="X398" s="30">
        <v>120.82</v>
      </c>
      <c r="Y398" s="30">
        <v>18</v>
      </c>
      <c r="Z398" s="30">
        <v>20.696790453391369</v>
      </c>
      <c r="AA398" s="29" t="s">
        <v>2812</v>
      </c>
      <c r="AB398" s="29"/>
      <c r="AC398" s="39"/>
      <c r="AD398" s="39"/>
    </row>
    <row r="399" spans="1:30" ht="58" customHeight="1">
      <c r="A399" s="1" t="s">
        <v>1263</v>
      </c>
      <c r="B399" s="1">
        <v>156</v>
      </c>
      <c r="C399" s="1" t="s">
        <v>3924</v>
      </c>
      <c r="D399" s="29" t="s">
        <v>491</v>
      </c>
      <c r="E399" s="29" t="s">
        <v>1098</v>
      </c>
      <c r="F399" s="1" t="s">
        <v>922</v>
      </c>
      <c r="G399" s="30">
        <v>40.744999999999997</v>
      </c>
      <c r="H399" s="30">
        <v>31.61</v>
      </c>
      <c r="I399" s="30">
        <v>40.834499999999998</v>
      </c>
      <c r="J399" s="30">
        <v>31.134599999999999</v>
      </c>
      <c r="K399" s="30">
        <v>14</v>
      </c>
      <c r="L399" s="22"/>
      <c r="M399" s="22">
        <f t="shared" si="48"/>
        <v>41.241204964084154</v>
      </c>
      <c r="N399" s="22">
        <f t="shared" si="49"/>
        <v>43.552692073964835</v>
      </c>
      <c r="O399" s="22" t="str">
        <f t="shared" si="50"/>
        <v/>
      </c>
      <c r="P399" s="22" t="str">
        <f t="shared" si="51"/>
        <v/>
      </c>
      <c r="Q399" s="22">
        <f t="shared" si="52"/>
        <v>2.1776346036982419</v>
      </c>
      <c r="R399" s="29" t="str">
        <f t="shared" si="53"/>
        <v>No original Rhyp to compare</v>
      </c>
      <c r="S399" s="29" t="str">
        <f t="shared" si="54"/>
        <v/>
      </c>
      <c r="T399" s="22">
        <v>12.04</v>
      </c>
      <c r="U399" s="29" t="s">
        <v>4576</v>
      </c>
      <c r="V399" s="29" t="str">
        <f t="shared" si="55"/>
        <v>No geometric exceedance</v>
      </c>
      <c r="W399" s="30">
        <v>40.834499999999998</v>
      </c>
      <c r="X399" s="30">
        <v>31.134599999999999</v>
      </c>
      <c r="Y399" s="30">
        <v>14</v>
      </c>
      <c r="Z399" s="30">
        <v>43.552692073964856</v>
      </c>
      <c r="AA399" s="29" t="s">
        <v>2812</v>
      </c>
      <c r="AB399" s="29"/>
      <c r="AC399" s="39"/>
      <c r="AD399" s="39"/>
    </row>
    <row r="400" spans="1:30" ht="58" customHeight="1">
      <c r="A400" s="1" t="s">
        <v>1263</v>
      </c>
      <c r="B400" s="1">
        <v>157</v>
      </c>
      <c r="C400" s="1" t="s">
        <v>3926</v>
      </c>
      <c r="D400" s="29" t="s">
        <v>491</v>
      </c>
      <c r="E400" s="29" t="s">
        <v>1098</v>
      </c>
      <c r="F400" s="1" t="s">
        <v>923</v>
      </c>
      <c r="G400" s="30">
        <v>40.748930000000001</v>
      </c>
      <c r="H400" s="30">
        <v>30.889199999999999</v>
      </c>
      <c r="I400" s="30">
        <v>40.834499999999998</v>
      </c>
      <c r="J400" s="30">
        <v>31.134599999999999</v>
      </c>
      <c r="K400" s="30">
        <v>14</v>
      </c>
      <c r="L400" s="22"/>
      <c r="M400" s="22">
        <f t="shared" si="48"/>
        <v>22.74473694445259</v>
      </c>
      <c r="N400" s="22">
        <f t="shared" si="49"/>
        <v>26.708108481739146</v>
      </c>
      <c r="O400" s="22" t="str">
        <f t="shared" si="50"/>
        <v/>
      </c>
      <c r="P400" s="22" t="str">
        <f t="shared" si="51"/>
        <v/>
      </c>
      <c r="Q400" s="22">
        <f t="shared" si="52"/>
        <v>1.3354054240869573</v>
      </c>
      <c r="R400" s="29" t="str">
        <f t="shared" si="53"/>
        <v>No original Rhyp to compare</v>
      </c>
      <c r="S400" s="29" t="str">
        <f t="shared" si="54"/>
        <v/>
      </c>
      <c r="T400" s="22">
        <v>2.65</v>
      </c>
      <c r="U400" s="29" t="s">
        <v>4576</v>
      </c>
      <c r="V400" s="29" t="str">
        <f t="shared" si="55"/>
        <v>No geometric exceedance</v>
      </c>
      <c r="W400" s="30">
        <v>40.834499999999998</v>
      </c>
      <c r="X400" s="30">
        <v>31.134599999999999</v>
      </c>
      <c r="Y400" s="30">
        <v>14</v>
      </c>
      <c r="Z400" s="30">
        <v>26.708108481739131</v>
      </c>
      <c r="AA400" s="29" t="s">
        <v>2812</v>
      </c>
      <c r="AB400" s="29"/>
      <c r="AC400" s="39"/>
      <c r="AD400" s="39"/>
    </row>
    <row r="401" spans="1:30" ht="58" customHeight="1">
      <c r="A401" s="1" t="s">
        <v>1263</v>
      </c>
      <c r="B401" s="1">
        <v>158</v>
      </c>
      <c r="C401" s="1" t="s">
        <v>3928</v>
      </c>
      <c r="D401" s="29" t="s">
        <v>497</v>
      </c>
      <c r="E401" s="29" t="s">
        <v>498</v>
      </c>
      <c r="F401" s="1" t="s">
        <v>1099</v>
      </c>
      <c r="G401" s="30">
        <v>23.995332999999999</v>
      </c>
      <c r="H401" s="30">
        <v>121.59483299999999</v>
      </c>
      <c r="I401" s="30">
        <v>23.3688</v>
      </c>
      <c r="J401" s="30">
        <v>121.693</v>
      </c>
      <c r="K401" s="30">
        <v>33.369999999999997</v>
      </c>
      <c r="L401" s="22"/>
      <c r="M401" s="22">
        <f t="shared" si="48"/>
        <v>70.380812608612302</v>
      </c>
      <c r="N401" s="22">
        <f t="shared" si="49"/>
        <v>77.89105008567158</v>
      </c>
      <c r="O401" s="22" t="str">
        <f t="shared" si="50"/>
        <v/>
      </c>
      <c r="P401" s="22" t="str">
        <f t="shared" si="51"/>
        <v/>
      </c>
      <c r="Q401" s="22">
        <f t="shared" si="52"/>
        <v>3.8945525042835794</v>
      </c>
      <c r="R401" s="29" t="str">
        <f t="shared" si="53"/>
        <v>No original Rhyp to compare</v>
      </c>
      <c r="S401" s="29" t="str">
        <f t="shared" si="54"/>
        <v/>
      </c>
      <c r="T401" s="22">
        <v>65.466391999999999</v>
      </c>
      <c r="U401" s="29" t="s">
        <v>4576</v>
      </c>
      <c r="V401" s="29" t="str">
        <f t="shared" si="55"/>
        <v>No geometric exceedance</v>
      </c>
      <c r="W401" s="30">
        <v>23.3688</v>
      </c>
      <c r="X401" s="30">
        <v>121.693</v>
      </c>
      <c r="Y401" s="30">
        <v>33.369999999999997</v>
      </c>
      <c r="Z401" s="30">
        <v>77.891050085671623</v>
      </c>
      <c r="AA401" s="29" t="s">
        <v>2812</v>
      </c>
      <c r="AB401" s="29"/>
      <c r="AC401" s="39"/>
      <c r="AD401" s="39"/>
    </row>
    <row r="402" spans="1:30" ht="58" customHeight="1">
      <c r="A402" s="1" t="s">
        <v>1263</v>
      </c>
      <c r="B402" s="1">
        <v>159</v>
      </c>
      <c r="C402" s="1" t="s">
        <v>3930</v>
      </c>
      <c r="D402" s="29" t="s">
        <v>497</v>
      </c>
      <c r="E402" s="29" t="s">
        <v>498</v>
      </c>
      <c r="F402" s="1" t="s">
        <v>1100</v>
      </c>
      <c r="G402" s="30">
        <v>23.6845</v>
      </c>
      <c r="H402" s="30">
        <v>121.48269999999999</v>
      </c>
      <c r="I402" s="30">
        <v>23.3688</v>
      </c>
      <c r="J402" s="30">
        <v>121.693</v>
      </c>
      <c r="K402" s="30">
        <v>33.369999999999997</v>
      </c>
      <c r="L402" s="22"/>
      <c r="M402" s="22">
        <f t="shared" si="48"/>
        <v>41.133916170370618</v>
      </c>
      <c r="N402" s="22">
        <f t="shared" si="49"/>
        <v>52.967499086808665</v>
      </c>
      <c r="O402" s="22" t="str">
        <f t="shared" si="50"/>
        <v/>
      </c>
      <c r="P402" s="22" t="str">
        <f t="shared" si="51"/>
        <v/>
      </c>
      <c r="Q402" s="22">
        <f t="shared" si="52"/>
        <v>2.6483749543404334</v>
      </c>
      <c r="R402" s="29" t="str">
        <f t="shared" si="53"/>
        <v>No original Rhyp to compare</v>
      </c>
      <c r="S402" s="29" t="str">
        <f t="shared" si="54"/>
        <v/>
      </c>
      <c r="T402" s="22">
        <v>50.002400000000002</v>
      </c>
      <c r="U402" s="29" t="s">
        <v>4576</v>
      </c>
      <c r="V402" s="29" t="str">
        <f t="shared" si="55"/>
        <v>No geometric exceedance</v>
      </c>
      <c r="W402" s="30">
        <v>23.3688</v>
      </c>
      <c r="X402" s="30">
        <v>121.693</v>
      </c>
      <c r="Y402" s="30">
        <v>33.369999999999997</v>
      </c>
      <c r="Z402" s="30">
        <v>52.967499086808708</v>
      </c>
      <c r="AA402" s="29" t="s">
        <v>2812</v>
      </c>
      <c r="AB402" s="29" t="s">
        <v>4577</v>
      </c>
      <c r="AC402" s="39"/>
      <c r="AD402" s="39"/>
    </row>
    <row r="403" spans="1:30" ht="58" customHeight="1">
      <c r="A403" s="1" t="s">
        <v>1263</v>
      </c>
      <c r="B403" s="1">
        <v>160</v>
      </c>
      <c r="C403" s="1" t="s">
        <v>3932</v>
      </c>
      <c r="D403" s="29" t="s">
        <v>497</v>
      </c>
      <c r="E403" s="29" t="s">
        <v>498</v>
      </c>
      <c r="F403" s="1" t="s">
        <v>1101</v>
      </c>
      <c r="G403" s="30">
        <v>23.993167</v>
      </c>
      <c r="H403" s="30">
        <v>121.5645</v>
      </c>
      <c r="I403" s="30">
        <v>23.3688</v>
      </c>
      <c r="J403" s="30">
        <v>121.693</v>
      </c>
      <c r="K403" s="30">
        <v>33.369999999999997</v>
      </c>
      <c r="L403" s="22"/>
      <c r="M403" s="22">
        <f t="shared" si="48"/>
        <v>70.648820365642123</v>
      </c>
      <c r="N403" s="22">
        <f t="shared" si="49"/>
        <v>78.133300960965215</v>
      </c>
      <c r="O403" s="22" t="str">
        <f t="shared" si="50"/>
        <v/>
      </c>
      <c r="P403" s="22" t="str">
        <f t="shared" si="51"/>
        <v/>
      </c>
      <c r="Q403" s="22">
        <f t="shared" si="52"/>
        <v>3.9066650480482608</v>
      </c>
      <c r="R403" s="29" t="str">
        <f t="shared" si="53"/>
        <v>No original Rhyp to compare</v>
      </c>
      <c r="S403" s="29" t="str">
        <f t="shared" si="54"/>
        <v/>
      </c>
      <c r="T403" s="22">
        <v>66.086511999999999</v>
      </c>
      <c r="U403" s="29" t="s">
        <v>4576</v>
      </c>
      <c r="V403" s="29" t="str">
        <f t="shared" si="55"/>
        <v>No geometric exceedance</v>
      </c>
      <c r="W403" s="30">
        <v>23.3688</v>
      </c>
      <c r="X403" s="30">
        <v>121.693</v>
      </c>
      <c r="Y403" s="30">
        <v>33.369999999999997</v>
      </c>
      <c r="Z403" s="30">
        <v>78.133300960965229</v>
      </c>
      <c r="AA403" s="29" t="s">
        <v>2812</v>
      </c>
      <c r="AB403" s="29"/>
      <c r="AC403" s="39"/>
      <c r="AD403" s="39"/>
    </row>
    <row r="404" spans="1:30" ht="58" customHeight="1">
      <c r="A404" s="1" t="s">
        <v>1263</v>
      </c>
      <c r="B404" s="1">
        <v>161</v>
      </c>
      <c r="C404" s="1" t="s">
        <v>3934</v>
      </c>
      <c r="D404" s="29" t="s">
        <v>497</v>
      </c>
      <c r="E404" s="29" t="s">
        <v>498</v>
      </c>
      <c r="F404" s="1" t="s">
        <v>1102</v>
      </c>
      <c r="G404" s="30">
        <v>23.867667000000001</v>
      </c>
      <c r="H404" s="30">
        <v>121.556833</v>
      </c>
      <c r="I404" s="30">
        <v>23.3688</v>
      </c>
      <c r="J404" s="30">
        <v>121.693</v>
      </c>
      <c r="K404" s="30">
        <v>33.369999999999997</v>
      </c>
      <c r="L404" s="22"/>
      <c r="M404" s="22">
        <f t="shared" si="48"/>
        <v>57.179869221253711</v>
      </c>
      <c r="N404" s="22">
        <f t="shared" si="49"/>
        <v>66.204941991966706</v>
      </c>
      <c r="O404" s="22" t="str">
        <f t="shared" si="50"/>
        <v/>
      </c>
      <c r="P404" s="22" t="str">
        <f t="shared" si="51"/>
        <v/>
      </c>
      <c r="Q404" s="22">
        <f t="shared" si="52"/>
        <v>3.3102470995983353</v>
      </c>
      <c r="R404" s="29" t="str">
        <f t="shared" si="53"/>
        <v>No original Rhyp to compare</v>
      </c>
      <c r="S404" s="29" t="str">
        <f t="shared" si="54"/>
        <v/>
      </c>
      <c r="T404" s="22">
        <v>56.635292999999997</v>
      </c>
      <c r="U404" s="29" t="s">
        <v>4576</v>
      </c>
      <c r="V404" s="29" t="str">
        <f t="shared" si="55"/>
        <v>No geometric exceedance</v>
      </c>
      <c r="W404" s="30">
        <v>23.3688</v>
      </c>
      <c r="X404" s="30">
        <v>121.693</v>
      </c>
      <c r="Y404" s="30">
        <v>33.369999999999997</v>
      </c>
      <c r="Z404" s="30">
        <v>66.204941991966876</v>
      </c>
      <c r="AA404" s="29" t="s">
        <v>2812</v>
      </c>
      <c r="AB404" s="29"/>
      <c r="AC404" s="39"/>
      <c r="AD404" s="39"/>
    </row>
    <row r="405" spans="1:30" ht="58" customHeight="1">
      <c r="A405" s="1" t="s">
        <v>1263</v>
      </c>
      <c r="B405" s="1">
        <v>162</v>
      </c>
      <c r="C405" s="1" t="s">
        <v>3936</v>
      </c>
      <c r="D405" s="29" t="s">
        <v>497</v>
      </c>
      <c r="E405" s="29" t="s">
        <v>498</v>
      </c>
      <c r="F405" s="1" t="s">
        <v>1103</v>
      </c>
      <c r="G405" s="30">
        <v>23.320667</v>
      </c>
      <c r="H405" s="30">
        <v>121.34</v>
      </c>
      <c r="I405" s="30">
        <v>23.3688</v>
      </c>
      <c r="J405" s="30">
        <v>121.693</v>
      </c>
      <c r="K405" s="30">
        <v>33.369999999999997</v>
      </c>
      <c r="L405" s="22"/>
      <c r="M405" s="22">
        <f t="shared" si="48"/>
        <v>36.433799275292223</v>
      </c>
      <c r="N405" s="22">
        <f t="shared" si="49"/>
        <v>49.406261036758124</v>
      </c>
      <c r="O405" s="22" t="str">
        <f t="shared" si="50"/>
        <v/>
      </c>
      <c r="P405" s="22" t="str">
        <f t="shared" si="51"/>
        <v/>
      </c>
      <c r="Q405" s="22">
        <f t="shared" si="52"/>
        <v>2.4703130518379064</v>
      </c>
      <c r="R405" s="29" t="str">
        <f t="shared" si="53"/>
        <v>No original Rhyp to compare</v>
      </c>
      <c r="S405" s="29" t="str">
        <f t="shared" si="54"/>
        <v/>
      </c>
      <c r="T405" s="22">
        <v>44.863613999999998</v>
      </c>
      <c r="U405" s="29" t="s">
        <v>4576</v>
      </c>
      <c r="V405" s="29" t="str">
        <f t="shared" si="55"/>
        <v>No geometric exceedance</v>
      </c>
      <c r="W405" s="30">
        <v>23.3688</v>
      </c>
      <c r="X405" s="30">
        <v>121.693</v>
      </c>
      <c r="Y405" s="30">
        <v>33.369999999999997</v>
      </c>
      <c r="Z405" s="30">
        <v>49.406261036758124</v>
      </c>
      <c r="AA405" s="29" t="s">
        <v>2812</v>
      </c>
      <c r="AB405" s="29" t="s">
        <v>4577</v>
      </c>
      <c r="AC405" s="39"/>
      <c r="AD405" s="39"/>
    </row>
    <row r="406" spans="1:30" ht="58" customHeight="1">
      <c r="A406" s="1" t="s">
        <v>1263</v>
      </c>
      <c r="B406" s="1">
        <v>163</v>
      </c>
      <c r="C406" s="1" t="s">
        <v>3938</v>
      </c>
      <c r="D406" s="29" t="s">
        <v>497</v>
      </c>
      <c r="E406" s="29" t="s">
        <v>498</v>
      </c>
      <c r="F406" s="1" t="s">
        <v>1104</v>
      </c>
      <c r="G406" s="30">
        <v>23.870667000000001</v>
      </c>
      <c r="H406" s="30">
        <v>121.507333</v>
      </c>
      <c r="I406" s="30">
        <v>23.3688</v>
      </c>
      <c r="J406" s="30">
        <v>121.693</v>
      </c>
      <c r="K406" s="30">
        <v>33.369999999999997</v>
      </c>
      <c r="L406" s="22"/>
      <c r="M406" s="22">
        <f t="shared" si="48"/>
        <v>58.923714412666278</v>
      </c>
      <c r="N406" s="22">
        <f t="shared" si="49"/>
        <v>67.71677059772901</v>
      </c>
      <c r="O406" s="22" t="str">
        <f t="shared" si="50"/>
        <v/>
      </c>
      <c r="P406" s="22" t="str">
        <f t="shared" si="51"/>
        <v/>
      </c>
      <c r="Q406" s="22">
        <f t="shared" si="52"/>
        <v>3.3858385298864508</v>
      </c>
      <c r="R406" s="29" t="str">
        <f t="shared" si="53"/>
        <v>No original Rhyp to compare</v>
      </c>
      <c r="S406" s="29" t="str">
        <f t="shared" si="54"/>
        <v/>
      </c>
      <c r="T406" s="22">
        <v>58.750827999999998</v>
      </c>
      <c r="U406" s="29" t="s">
        <v>4576</v>
      </c>
      <c r="V406" s="29" t="str">
        <f t="shared" si="55"/>
        <v>No geometric exceedance</v>
      </c>
      <c r="W406" s="30">
        <v>23.3688</v>
      </c>
      <c r="X406" s="30">
        <v>121.693</v>
      </c>
      <c r="Y406" s="30">
        <v>33.369999999999997</v>
      </c>
      <c r="Z406" s="30">
        <v>67.71677059772901</v>
      </c>
      <c r="AA406" s="29" t="s">
        <v>2812</v>
      </c>
      <c r="AB406" s="29"/>
      <c r="AC406" s="39"/>
      <c r="AD406" s="39"/>
    </row>
    <row r="407" spans="1:30" ht="58" customHeight="1">
      <c r="A407" s="1" t="s">
        <v>1263</v>
      </c>
      <c r="B407" s="1">
        <v>164</v>
      </c>
      <c r="C407" s="1" t="s">
        <v>3940</v>
      </c>
      <c r="D407" s="29" t="s">
        <v>208</v>
      </c>
      <c r="E407" s="29" t="s">
        <v>1105</v>
      </c>
      <c r="F407" s="1" t="s">
        <v>925</v>
      </c>
      <c r="G407" s="30">
        <v>40.823599999999999</v>
      </c>
      <c r="H407" s="30">
        <v>29.360700000000001</v>
      </c>
      <c r="I407" s="30">
        <v>40.747999999999998</v>
      </c>
      <c r="J407" s="30">
        <v>29.99</v>
      </c>
      <c r="K407" s="30">
        <v>16</v>
      </c>
      <c r="L407" s="22"/>
      <c r="M407" s="22">
        <f t="shared" si="48"/>
        <v>53.644655996835411</v>
      </c>
      <c r="N407" s="22">
        <f t="shared" si="49"/>
        <v>55.979899223014051</v>
      </c>
      <c r="O407" s="22" t="str">
        <f t="shared" si="50"/>
        <v/>
      </c>
      <c r="P407" s="22" t="str">
        <f t="shared" si="51"/>
        <v/>
      </c>
      <c r="Q407" s="22">
        <f t="shared" si="52"/>
        <v>2.7989949611507026</v>
      </c>
      <c r="R407" s="29" t="str">
        <f t="shared" si="53"/>
        <v>No original Rhyp to compare</v>
      </c>
      <c r="S407" s="29" t="str">
        <f t="shared" si="54"/>
        <v/>
      </c>
      <c r="T407" s="22">
        <v>13.49</v>
      </c>
      <c r="U407" s="29" t="s">
        <v>4576</v>
      </c>
      <c r="V407" s="29" t="str">
        <f t="shared" si="55"/>
        <v>No geometric exceedance</v>
      </c>
      <c r="W407" s="30">
        <v>40.747999999999998</v>
      </c>
      <c r="X407" s="30">
        <v>29.99</v>
      </c>
      <c r="Y407" s="30">
        <v>16</v>
      </c>
      <c r="Z407" s="30">
        <v>55.979899223014051</v>
      </c>
      <c r="AA407" s="29" t="s">
        <v>2812</v>
      </c>
      <c r="AB407" s="29"/>
      <c r="AC407" s="39"/>
      <c r="AD407" s="39"/>
    </row>
    <row r="408" spans="1:30" ht="58" customHeight="1">
      <c r="A408" s="1" t="s">
        <v>1263</v>
      </c>
      <c r="B408" s="1">
        <v>165</v>
      </c>
      <c r="C408" s="1" t="s">
        <v>3942</v>
      </c>
      <c r="D408" s="29" t="s">
        <v>208</v>
      </c>
      <c r="E408" s="29" t="s">
        <v>1105</v>
      </c>
      <c r="F408" s="1" t="s">
        <v>927</v>
      </c>
      <c r="G408" s="30">
        <v>40.82</v>
      </c>
      <c r="H408" s="30">
        <v>29.44</v>
      </c>
      <c r="I408" s="30">
        <v>40.747999999999998</v>
      </c>
      <c r="J408" s="30">
        <v>29.99</v>
      </c>
      <c r="K408" s="30">
        <v>16</v>
      </c>
      <c r="L408" s="22"/>
      <c r="M408" s="22">
        <f t="shared" si="48"/>
        <v>46.99376767504598</v>
      </c>
      <c r="N408" s="22">
        <f t="shared" si="49"/>
        <v>49.642866560022462</v>
      </c>
      <c r="O408" s="22" t="str">
        <f t="shared" si="50"/>
        <v/>
      </c>
      <c r="P408" s="22" t="str">
        <f t="shared" si="51"/>
        <v/>
      </c>
      <c r="Q408" s="22">
        <f t="shared" si="52"/>
        <v>2.4821433280011234</v>
      </c>
      <c r="R408" s="29" t="str">
        <f t="shared" si="53"/>
        <v>No original Rhyp to compare</v>
      </c>
      <c r="S408" s="29" t="str">
        <f t="shared" si="54"/>
        <v/>
      </c>
      <c r="T408" s="22">
        <v>10.92</v>
      </c>
      <c r="U408" s="29" t="s">
        <v>4576</v>
      </c>
      <c r="V408" s="29" t="str">
        <f t="shared" si="55"/>
        <v>No geometric exceedance</v>
      </c>
      <c r="W408" s="30">
        <v>40.747999999999998</v>
      </c>
      <c r="X408" s="30">
        <v>29.99</v>
      </c>
      <c r="Y408" s="30">
        <v>16</v>
      </c>
      <c r="Z408" s="30">
        <v>49.642866560022469</v>
      </c>
      <c r="AA408" s="29" t="s">
        <v>2812</v>
      </c>
      <c r="AB408" s="29"/>
      <c r="AC408" s="39"/>
      <c r="AD408" s="39"/>
    </row>
    <row r="409" spans="1:30" ht="58" customHeight="1">
      <c r="A409" s="1" t="s">
        <v>1263</v>
      </c>
      <c r="B409" s="1">
        <v>166</v>
      </c>
      <c r="C409" s="1" t="s">
        <v>3944</v>
      </c>
      <c r="D409" s="29" t="s">
        <v>208</v>
      </c>
      <c r="E409" s="29" t="s">
        <v>1105</v>
      </c>
      <c r="F409" s="1" t="s">
        <v>928</v>
      </c>
      <c r="G409" s="30">
        <v>40.79</v>
      </c>
      <c r="H409" s="30">
        <v>29.96</v>
      </c>
      <c r="I409" s="30">
        <v>40.747999999999998</v>
      </c>
      <c r="J409" s="30">
        <v>29.99</v>
      </c>
      <c r="K409" s="30">
        <v>16</v>
      </c>
      <c r="L409" s="22"/>
      <c r="M409" s="22">
        <f t="shared" si="48"/>
        <v>5.3097399264191241</v>
      </c>
      <c r="N409" s="22">
        <f t="shared" si="49"/>
        <v>16.858034822784337</v>
      </c>
      <c r="O409" s="22" t="str">
        <f t="shared" si="50"/>
        <v/>
      </c>
      <c r="P409" s="22" t="str">
        <f t="shared" si="51"/>
        <v/>
      </c>
      <c r="Q409" s="22">
        <f t="shared" si="52"/>
        <v>1</v>
      </c>
      <c r="R409" s="29" t="str">
        <f t="shared" si="53"/>
        <v>No original Rhyp to compare</v>
      </c>
      <c r="S409" s="29" t="str">
        <f t="shared" si="54"/>
        <v/>
      </c>
      <c r="T409" s="22">
        <v>7.21</v>
      </c>
      <c r="U409" s="29" t="s">
        <v>4576</v>
      </c>
      <c r="V409" s="29" t="str">
        <f t="shared" si="55"/>
        <v>No geometric exceedance</v>
      </c>
      <c r="W409" s="30">
        <v>40.747999999999998</v>
      </c>
      <c r="X409" s="30">
        <v>29.99</v>
      </c>
      <c r="Y409" s="30">
        <v>16</v>
      </c>
      <c r="Z409" s="30">
        <v>16.858034822784443</v>
      </c>
      <c r="AA409" s="29" t="s">
        <v>2812</v>
      </c>
      <c r="AB409" s="29"/>
      <c r="AC409" s="39"/>
      <c r="AD409" s="39"/>
    </row>
    <row r="410" spans="1:30" ht="58" customHeight="1">
      <c r="A410" s="1" t="s">
        <v>1263</v>
      </c>
      <c r="B410" s="1">
        <v>167</v>
      </c>
      <c r="C410" s="1" t="s">
        <v>3946</v>
      </c>
      <c r="D410" s="29" t="s">
        <v>208</v>
      </c>
      <c r="E410" s="29" t="s">
        <v>1105</v>
      </c>
      <c r="F410" s="1" t="s">
        <v>929</v>
      </c>
      <c r="G410" s="30">
        <v>40.764400000000002</v>
      </c>
      <c r="H410" s="30">
        <v>29.762</v>
      </c>
      <c r="I410" s="30">
        <v>40.747999999999998</v>
      </c>
      <c r="J410" s="30">
        <v>29.99</v>
      </c>
      <c r="K410" s="30">
        <v>16</v>
      </c>
      <c r="L410" s="22"/>
      <c r="M410" s="22">
        <f t="shared" si="48"/>
        <v>19.290714675758856</v>
      </c>
      <c r="N410" s="22">
        <f t="shared" si="49"/>
        <v>25.062555190992359</v>
      </c>
      <c r="O410" s="22" t="str">
        <f t="shared" si="50"/>
        <v/>
      </c>
      <c r="P410" s="22" t="str">
        <f t="shared" si="51"/>
        <v/>
      </c>
      <c r="Q410" s="22">
        <f t="shared" si="52"/>
        <v>1.253127759549618</v>
      </c>
      <c r="R410" s="29" t="str">
        <f t="shared" si="53"/>
        <v>No original Rhyp to compare</v>
      </c>
      <c r="S410" s="29" t="str">
        <f t="shared" si="54"/>
        <v/>
      </c>
      <c r="T410" s="22">
        <v>4.83</v>
      </c>
      <c r="U410" s="29" t="s">
        <v>4576</v>
      </c>
      <c r="V410" s="29" t="str">
        <f t="shared" si="55"/>
        <v>No geometric exceedance</v>
      </c>
      <c r="W410" s="30">
        <v>40.747999999999998</v>
      </c>
      <c r="X410" s="30">
        <v>29.99</v>
      </c>
      <c r="Y410" s="30">
        <v>16</v>
      </c>
      <c r="Z410" s="30">
        <v>25.062555190992381</v>
      </c>
      <c r="AA410" s="29" t="s">
        <v>2812</v>
      </c>
      <c r="AB410" s="29"/>
      <c r="AC410" s="39"/>
      <c r="AD410" s="39"/>
    </row>
    <row r="411" spans="1:30" ht="58" customHeight="1">
      <c r="A411" s="1" t="s">
        <v>1263</v>
      </c>
      <c r="B411" s="1">
        <v>168</v>
      </c>
      <c r="C411" s="1" t="s">
        <v>3948</v>
      </c>
      <c r="D411" s="29" t="s">
        <v>506</v>
      </c>
      <c r="E411" s="29" t="s">
        <v>1106</v>
      </c>
      <c r="F411" s="1" t="s">
        <v>931</v>
      </c>
      <c r="G411" s="30">
        <v>35.422699999999999</v>
      </c>
      <c r="H411" s="30">
        <v>133.33269999999999</v>
      </c>
      <c r="I411" s="30">
        <v>35.274999999999999</v>
      </c>
      <c r="J411" s="30">
        <v>133.35</v>
      </c>
      <c r="K411" s="30">
        <v>12.5</v>
      </c>
      <c r="L411" s="22"/>
      <c r="M411" s="22">
        <f t="shared" si="48"/>
        <v>16.498269801534004</v>
      </c>
      <c r="N411" s="22">
        <f t="shared" si="49"/>
        <v>20.698862443240905</v>
      </c>
      <c r="O411" s="22" t="str">
        <f t="shared" si="50"/>
        <v/>
      </c>
      <c r="P411" s="22" t="str">
        <f t="shared" si="51"/>
        <v/>
      </c>
      <c r="Q411" s="22">
        <f t="shared" si="52"/>
        <v>1.0349431221620453</v>
      </c>
      <c r="R411" s="29" t="str">
        <f t="shared" si="53"/>
        <v>No original Rhyp to compare</v>
      </c>
      <c r="S411" s="29" t="str">
        <f t="shared" si="54"/>
        <v/>
      </c>
      <c r="T411" s="22">
        <v>6.88</v>
      </c>
      <c r="U411" s="29" t="s">
        <v>4576</v>
      </c>
      <c r="V411" s="29" t="str">
        <f t="shared" si="55"/>
        <v>No geometric exceedance</v>
      </c>
      <c r="W411" s="30">
        <v>35.274999999999999</v>
      </c>
      <c r="X411" s="30">
        <v>133.35</v>
      </c>
      <c r="Y411" s="30">
        <v>12.5</v>
      </c>
      <c r="Z411" s="30">
        <v>20.698862443240802</v>
      </c>
      <c r="AA411" s="29" t="s">
        <v>2812</v>
      </c>
      <c r="AB411" s="29"/>
      <c r="AC411" s="39"/>
      <c r="AD411" s="39"/>
    </row>
    <row r="412" spans="1:30" ht="58" customHeight="1">
      <c r="A412" s="1" t="s">
        <v>1263</v>
      </c>
      <c r="B412" s="1">
        <v>169</v>
      </c>
      <c r="C412" s="1" t="s">
        <v>3950</v>
      </c>
      <c r="D412" s="29" t="s">
        <v>518</v>
      </c>
      <c r="E412" s="29" t="s">
        <v>519</v>
      </c>
      <c r="F412" s="1" t="s">
        <v>1107</v>
      </c>
      <c r="G412" s="30">
        <v>23.294499999999999</v>
      </c>
      <c r="H412" s="30">
        <v>120.59266700000001</v>
      </c>
      <c r="I412" s="30">
        <v>23.2803</v>
      </c>
      <c r="J412" s="30">
        <v>120.6587</v>
      </c>
      <c r="K412" s="30">
        <v>5.83</v>
      </c>
      <c r="L412" s="22"/>
      <c r="M412" s="22">
        <f t="shared" si="48"/>
        <v>6.9267285892482615</v>
      </c>
      <c r="N412" s="22">
        <f t="shared" si="49"/>
        <v>9.0536439597053526</v>
      </c>
      <c r="O412" s="22" t="str">
        <f t="shared" si="50"/>
        <v/>
      </c>
      <c r="P412" s="22" t="str">
        <f t="shared" si="51"/>
        <v/>
      </c>
      <c r="Q412" s="22">
        <f t="shared" si="52"/>
        <v>1</v>
      </c>
      <c r="R412" s="29" t="str">
        <f t="shared" si="53"/>
        <v>No original Rhyp to compare</v>
      </c>
      <c r="S412" s="29" t="str">
        <f t="shared" si="54"/>
        <v/>
      </c>
      <c r="T412" s="22">
        <v>6.6895509999999998</v>
      </c>
      <c r="U412" s="29" t="s">
        <v>4576</v>
      </c>
      <c r="V412" s="29" t="str">
        <f t="shared" si="55"/>
        <v>No geometric exceedance</v>
      </c>
      <c r="W412" s="30">
        <v>23.2803</v>
      </c>
      <c r="X412" s="30">
        <v>120.6587</v>
      </c>
      <c r="Y412" s="30">
        <v>5.83</v>
      </c>
      <c r="Z412" s="30">
        <v>9.0536439597053224</v>
      </c>
      <c r="AA412" s="29" t="s">
        <v>2812</v>
      </c>
      <c r="AB412" s="29"/>
      <c r="AC412" s="39"/>
      <c r="AD412" s="39"/>
    </row>
    <row r="413" spans="1:30" ht="58" customHeight="1">
      <c r="A413" s="1" t="s">
        <v>1263</v>
      </c>
      <c r="B413" s="1">
        <v>170</v>
      </c>
      <c r="C413" s="1" t="s">
        <v>3952</v>
      </c>
      <c r="D413" s="29" t="s">
        <v>214</v>
      </c>
      <c r="E413" s="29" t="s">
        <v>1108</v>
      </c>
      <c r="F413" s="1" t="s">
        <v>1109</v>
      </c>
      <c r="G413" s="30">
        <v>63.423900000000003</v>
      </c>
      <c r="H413" s="30">
        <v>-145.76580000000001</v>
      </c>
      <c r="I413" s="30">
        <v>63.542000000000002</v>
      </c>
      <c r="J413" s="30">
        <v>-147.4444</v>
      </c>
      <c r="K413" s="30">
        <v>8.9</v>
      </c>
      <c r="L413" s="22"/>
      <c r="M413" s="22">
        <f t="shared" si="48"/>
        <v>84.359153895217275</v>
      </c>
      <c r="N413" s="22">
        <f t="shared" si="49"/>
        <v>84.8273354875476</v>
      </c>
      <c r="O413" s="22" t="str">
        <f t="shared" si="50"/>
        <v/>
      </c>
      <c r="P413" s="22" t="str">
        <f t="shared" si="51"/>
        <v/>
      </c>
      <c r="Q413" s="22">
        <f t="shared" si="52"/>
        <v>4.2413667743773802</v>
      </c>
      <c r="R413" s="29" t="str">
        <f t="shared" si="53"/>
        <v>No original Rhyp to compare</v>
      </c>
      <c r="S413" s="29" t="str">
        <f t="shared" si="54"/>
        <v/>
      </c>
      <c r="T413" s="22">
        <v>2.74</v>
      </c>
      <c r="U413" s="29" t="s">
        <v>4576</v>
      </c>
      <c r="V413" s="29" t="str">
        <f t="shared" si="55"/>
        <v>No geometric exceedance</v>
      </c>
      <c r="W413" s="30">
        <v>63.542000000000002</v>
      </c>
      <c r="X413" s="30">
        <v>-147.4444</v>
      </c>
      <c r="Y413" s="30">
        <v>8.9</v>
      </c>
      <c r="Z413" s="30">
        <v>84.827335487547614</v>
      </c>
      <c r="AA413" s="29" t="s">
        <v>2812</v>
      </c>
      <c r="AB413" s="29"/>
      <c r="AC413" s="39"/>
      <c r="AD413" s="39"/>
    </row>
    <row r="414" spans="1:30" ht="58" customHeight="1">
      <c r="A414" s="1" t="s">
        <v>1263</v>
      </c>
      <c r="B414" s="1">
        <v>171</v>
      </c>
      <c r="C414" s="1" t="s">
        <v>3954</v>
      </c>
      <c r="D414" s="29" t="s">
        <v>528</v>
      </c>
      <c r="E414" s="29" t="s">
        <v>529</v>
      </c>
      <c r="F414" s="1" t="s">
        <v>1110</v>
      </c>
      <c r="G414" s="30">
        <v>24.689</v>
      </c>
      <c r="H414" s="30">
        <v>121.7667</v>
      </c>
      <c r="I414" s="30">
        <v>24.1602</v>
      </c>
      <c r="J414" s="30">
        <v>122.172</v>
      </c>
      <c r="K414" s="30">
        <v>33</v>
      </c>
      <c r="L414" s="22"/>
      <c r="M414" s="22">
        <f t="shared" si="48"/>
        <v>71.702155395207797</v>
      </c>
      <c r="N414" s="22">
        <f t="shared" si="49"/>
        <v>78.931610197173384</v>
      </c>
      <c r="O414" s="22" t="str">
        <f t="shared" si="50"/>
        <v/>
      </c>
      <c r="P414" s="22" t="str">
        <f t="shared" si="51"/>
        <v/>
      </c>
      <c r="Q414" s="22">
        <f t="shared" si="52"/>
        <v>3.9465805098586695</v>
      </c>
      <c r="R414" s="29" t="str">
        <f t="shared" si="53"/>
        <v>No original Rhyp to compare</v>
      </c>
      <c r="S414" s="29" t="str">
        <f t="shared" si="54"/>
        <v/>
      </c>
      <c r="T414" s="22">
        <v>73.7684</v>
      </c>
      <c r="U414" s="29" t="s">
        <v>4576</v>
      </c>
      <c r="V414" s="29" t="str">
        <f t="shared" si="55"/>
        <v>No geometric exceedance</v>
      </c>
      <c r="W414" s="30">
        <v>24.1602</v>
      </c>
      <c r="X414" s="30">
        <v>122.172</v>
      </c>
      <c r="Y414" s="30">
        <v>33</v>
      </c>
      <c r="Z414" s="30">
        <v>78.931610197173299</v>
      </c>
      <c r="AA414" s="29" t="s">
        <v>2812</v>
      </c>
      <c r="AB414" s="29" t="s">
        <v>4577</v>
      </c>
      <c r="AC414" s="39"/>
      <c r="AD414" s="39"/>
    </row>
    <row r="415" spans="1:30" ht="58" customHeight="1">
      <c r="A415" s="1" t="s">
        <v>1263</v>
      </c>
      <c r="B415" s="1">
        <v>172</v>
      </c>
      <c r="C415" s="1" t="s">
        <v>3956</v>
      </c>
      <c r="D415" s="29" t="s">
        <v>528</v>
      </c>
      <c r="E415" s="29" t="s">
        <v>529</v>
      </c>
      <c r="F415" s="1" t="s">
        <v>1111</v>
      </c>
      <c r="G415" s="30">
        <v>24.753499999999999</v>
      </c>
      <c r="H415" s="30">
        <v>121.7547</v>
      </c>
      <c r="I415" s="30">
        <v>24.1602</v>
      </c>
      <c r="J415" s="30">
        <v>122.172</v>
      </c>
      <c r="K415" s="30">
        <v>33</v>
      </c>
      <c r="L415" s="22"/>
      <c r="M415" s="22">
        <f t="shared" si="48"/>
        <v>78.334760144639134</v>
      </c>
      <c r="N415" s="22">
        <f t="shared" si="49"/>
        <v>85.001968488489396</v>
      </c>
      <c r="O415" s="22" t="str">
        <f t="shared" si="50"/>
        <v/>
      </c>
      <c r="P415" s="22" t="str">
        <f t="shared" si="51"/>
        <v/>
      </c>
      <c r="Q415" s="22">
        <f t="shared" si="52"/>
        <v>4.2500984244244702</v>
      </c>
      <c r="R415" s="29" t="str">
        <f t="shared" si="53"/>
        <v>No original Rhyp to compare</v>
      </c>
      <c r="S415" s="29" t="str">
        <f t="shared" si="54"/>
        <v/>
      </c>
      <c r="T415" s="22">
        <v>79.336799999999997</v>
      </c>
      <c r="U415" s="29" t="s">
        <v>4576</v>
      </c>
      <c r="V415" s="29" t="str">
        <f t="shared" si="55"/>
        <v>No geometric exceedance</v>
      </c>
      <c r="W415" s="30">
        <v>24.1602</v>
      </c>
      <c r="X415" s="30">
        <v>122.172</v>
      </c>
      <c r="Y415" s="30">
        <v>33</v>
      </c>
      <c r="Z415" s="30">
        <v>85.001968488489439</v>
      </c>
      <c r="AA415" s="29" t="s">
        <v>2812</v>
      </c>
      <c r="AB415" s="29" t="s">
        <v>4577</v>
      </c>
      <c r="AC415" s="39"/>
      <c r="AD415" s="39"/>
    </row>
    <row r="416" spans="1:30" ht="58" customHeight="1">
      <c r="A416" s="1" t="s">
        <v>1263</v>
      </c>
      <c r="B416" s="1">
        <v>173</v>
      </c>
      <c r="C416" s="1" t="s">
        <v>3958</v>
      </c>
      <c r="D416" s="29" t="s">
        <v>528</v>
      </c>
      <c r="E416" s="29" t="s">
        <v>529</v>
      </c>
      <c r="F416" s="1" t="s">
        <v>1112</v>
      </c>
      <c r="G416" s="30">
        <v>24.719799999999999</v>
      </c>
      <c r="H416" s="30">
        <v>121.744</v>
      </c>
      <c r="I416" s="30">
        <v>24.1602</v>
      </c>
      <c r="J416" s="30">
        <v>122.172</v>
      </c>
      <c r="K416" s="30">
        <v>33</v>
      </c>
      <c r="L416" s="22"/>
      <c r="M416" s="22">
        <f t="shared" si="48"/>
        <v>75.82291357273435</v>
      </c>
      <c r="N416" s="22">
        <f t="shared" si="49"/>
        <v>82.692891004356255</v>
      </c>
      <c r="O416" s="22" t="str">
        <f t="shared" si="50"/>
        <v/>
      </c>
      <c r="P416" s="22" t="str">
        <f t="shared" si="51"/>
        <v/>
      </c>
      <c r="Q416" s="22">
        <f t="shared" si="52"/>
        <v>4.1346445502178133</v>
      </c>
      <c r="R416" s="29" t="str">
        <f t="shared" si="53"/>
        <v>No original Rhyp to compare</v>
      </c>
      <c r="S416" s="29" t="str">
        <f t="shared" si="54"/>
        <v/>
      </c>
      <c r="T416" s="22">
        <v>77.3078</v>
      </c>
      <c r="U416" s="29" t="s">
        <v>4576</v>
      </c>
      <c r="V416" s="29" t="str">
        <f t="shared" si="55"/>
        <v>No geometric exceedance</v>
      </c>
      <c r="W416" s="30">
        <v>24.1602</v>
      </c>
      <c r="X416" s="30">
        <v>122.172</v>
      </c>
      <c r="Y416" s="30">
        <v>33</v>
      </c>
      <c r="Z416" s="30">
        <v>82.692891004356213</v>
      </c>
      <c r="AA416" s="29" t="s">
        <v>2812</v>
      </c>
      <c r="AB416" s="29" t="s">
        <v>4577</v>
      </c>
      <c r="AC416" s="39"/>
      <c r="AD416" s="39"/>
    </row>
    <row r="417" spans="1:30" ht="58" customHeight="1">
      <c r="A417" s="1" t="s">
        <v>1263</v>
      </c>
      <c r="B417" s="1">
        <v>174</v>
      </c>
      <c r="C417" s="1" t="s">
        <v>3960</v>
      </c>
      <c r="D417" s="29" t="s">
        <v>528</v>
      </c>
      <c r="E417" s="29" t="s">
        <v>529</v>
      </c>
      <c r="F417" s="1" t="s">
        <v>1113</v>
      </c>
      <c r="G417" s="30">
        <v>24.772300000000001</v>
      </c>
      <c r="H417" s="30">
        <v>121.7988</v>
      </c>
      <c r="I417" s="30">
        <v>24.1602</v>
      </c>
      <c r="J417" s="30">
        <v>122.172</v>
      </c>
      <c r="K417" s="30">
        <v>33</v>
      </c>
      <c r="L417" s="22"/>
      <c r="M417" s="22">
        <f t="shared" si="48"/>
        <v>77.840653317286026</v>
      </c>
      <c r="N417" s="22">
        <f t="shared" si="49"/>
        <v>84.546835002038435</v>
      </c>
      <c r="O417" s="22" t="str">
        <f t="shared" si="50"/>
        <v/>
      </c>
      <c r="P417" s="22" t="str">
        <f t="shared" si="51"/>
        <v/>
      </c>
      <c r="Q417" s="22">
        <f t="shared" si="52"/>
        <v>4.2273417501019219</v>
      </c>
      <c r="R417" s="29" t="str">
        <f t="shared" si="53"/>
        <v>No original Rhyp to compare</v>
      </c>
      <c r="S417" s="29" t="str">
        <f t="shared" si="54"/>
        <v/>
      </c>
      <c r="T417" s="22">
        <v>78.676000000000002</v>
      </c>
      <c r="U417" s="29" t="s">
        <v>4576</v>
      </c>
      <c r="V417" s="29" t="str">
        <f t="shared" si="55"/>
        <v>No geometric exceedance</v>
      </c>
      <c r="W417" s="30">
        <v>24.1602</v>
      </c>
      <c r="X417" s="30">
        <v>122.172</v>
      </c>
      <c r="Y417" s="30">
        <v>33</v>
      </c>
      <c r="Z417" s="30">
        <v>84.54683500203852</v>
      </c>
      <c r="AA417" s="29" t="s">
        <v>2812</v>
      </c>
      <c r="AB417" s="29" t="s">
        <v>4577</v>
      </c>
      <c r="AC417" s="39"/>
      <c r="AD417" s="39"/>
    </row>
    <row r="418" spans="1:30" ht="58" customHeight="1">
      <c r="A418" s="1" t="s">
        <v>1263</v>
      </c>
      <c r="B418" s="1">
        <v>175</v>
      </c>
      <c r="C418" s="1" t="s">
        <v>3962</v>
      </c>
      <c r="D418" s="29" t="s">
        <v>528</v>
      </c>
      <c r="E418" s="29" t="s">
        <v>529</v>
      </c>
      <c r="F418" s="1" t="s">
        <v>1114</v>
      </c>
      <c r="G418" s="30">
        <v>24.7638</v>
      </c>
      <c r="H418" s="30">
        <v>121.7563</v>
      </c>
      <c r="I418" s="30">
        <v>24.1602</v>
      </c>
      <c r="J418" s="30">
        <v>122.172</v>
      </c>
      <c r="K418" s="30">
        <v>33</v>
      </c>
      <c r="L418" s="22"/>
      <c r="M418" s="22">
        <f t="shared" si="48"/>
        <v>79.214662243857703</v>
      </c>
      <c r="N418" s="22">
        <f t="shared" si="49"/>
        <v>85.813534564242573</v>
      </c>
      <c r="O418" s="22" t="str">
        <f t="shared" si="50"/>
        <v/>
      </c>
      <c r="P418" s="22" t="str">
        <f t="shared" si="51"/>
        <v/>
      </c>
      <c r="Q418" s="22">
        <f t="shared" si="52"/>
        <v>4.2906767282121292</v>
      </c>
      <c r="R418" s="29" t="str">
        <f t="shared" si="53"/>
        <v>No original Rhyp to compare</v>
      </c>
      <c r="S418" s="29" t="str">
        <f t="shared" si="54"/>
        <v/>
      </c>
      <c r="T418" s="22">
        <v>80.0702</v>
      </c>
      <c r="U418" s="29" t="s">
        <v>4576</v>
      </c>
      <c r="V418" s="29" t="str">
        <f t="shared" si="55"/>
        <v>No geometric exceedance</v>
      </c>
      <c r="W418" s="30">
        <v>24.1602</v>
      </c>
      <c r="X418" s="30">
        <v>122.172</v>
      </c>
      <c r="Y418" s="30">
        <v>33</v>
      </c>
      <c r="Z418" s="30">
        <v>85.813534564242488</v>
      </c>
      <c r="AA418" s="29" t="s">
        <v>2812</v>
      </c>
      <c r="AB418" s="29" t="s">
        <v>4577</v>
      </c>
      <c r="AC418" s="39"/>
      <c r="AD418" s="39"/>
    </row>
    <row r="419" spans="1:30" ht="58" customHeight="1">
      <c r="A419" s="1" t="s">
        <v>1263</v>
      </c>
      <c r="B419" s="1">
        <v>176</v>
      </c>
      <c r="C419" s="1" t="s">
        <v>3964</v>
      </c>
      <c r="D419" s="29" t="s">
        <v>528</v>
      </c>
      <c r="E419" s="29" t="s">
        <v>529</v>
      </c>
      <c r="F419" s="1" t="s">
        <v>1115</v>
      </c>
      <c r="G419" s="30">
        <v>25.0565</v>
      </c>
      <c r="H419" s="30">
        <v>121.5337</v>
      </c>
      <c r="I419" s="30">
        <v>24.1602</v>
      </c>
      <c r="J419" s="30">
        <v>122.172</v>
      </c>
      <c r="K419" s="30">
        <v>33</v>
      </c>
      <c r="L419" s="22"/>
      <c r="M419" s="22">
        <f t="shared" si="48"/>
        <v>118.72999120805454</v>
      </c>
      <c r="N419" s="22">
        <f t="shared" si="49"/>
        <v>123.23072186863432</v>
      </c>
      <c r="O419" s="22" t="str">
        <f t="shared" si="50"/>
        <v/>
      </c>
      <c r="P419" s="22" t="str">
        <f t="shared" si="51"/>
        <v/>
      </c>
      <c r="Q419" s="22">
        <f t="shared" si="52"/>
        <v>6.1615360934317165</v>
      </c>
      <c r="R419" s="29" t="str">
        <f t="shared" si="53"/>
        <v>No original Rhyp to compare</v>
      </c>
      <c r="S419" s="29" t="str">
        <f t="shared" si="54"/>
        <v/>
      </c>
      <c r="T419" s="22">
        <v>116.34099999999999</v>
      </c>
      <c r="U419" s="29" t="s">
        <v>4576</v>
      </c>
      <c r="V419" s="29" t="str">
        <f t="shared" si="55"/>
        <v>No geometric exceedance</v>
      </c>
      <c r="W419" s="30">
        <v>24.1602</v>
      </c>
      <c r="X419" s="30">
        <v>122.172</v>
      </c>
      <c r="Y419" s="30">
        <v>33</v>
      </c>
      <c r="Z419" s="30">
        <v>123.23072186863419</v>
      </c>
      <c r="AA419" s="29" t="s">
        <v>2812</v>
      </c>
      <c r="AB419" s="29" t="s">
        <v>4577</v>
      </c>
      <c r="AC419" s="39"/>
      <c r="AD419" s="39"/>
    </row>
    <row r="420" spans="1:30" ht="58" customHeight="1">
      <c r="A420" s="1" t="s">
        <v>1263</v>
      </c>
      <c r="B420" s="1">
        <v>177</v>
      </c>
      <c r="C420" s="1" t="s">
        <v>3966</v>
      </c>
      <c r="D420" s="29" t="s">
        <v>528</v>
      </c>
      <c r="E420" s="29" t="s">
        <v>529</v>
      </c>
      <c r="F420" s="1" t="s">
        <v>1116</v>
      </c>
      <c r="G420" s="30">
        <v>25.051666999999998</v>
      </c>
      <c r="H420" s="30">
        <v>121.455833</v>
      </c>
      <c r="I420" s="30">
        <v>24.1602</v>
      </c>
      <c r="J420" s="30">
        <v>122.172</v>
      </c>
      <c r="K420" s="30">
        <v>33</v>
      </c>
      <c r="L420" s="22"/>
      <c r="M420" s="22">
        <f t="shared" si="48"/>
        <v>122.75204926316353</v>
      </c>
      <c r="N420" s="22">
        <f t="shared" si="49"/>
        <v>127.11044645624578</v>
      </c>
      <c r="O420" s="22" t="str">
        <f t="shared" si="50"/>
        <v/>
      </c>
      <c r="P420" s="22" t="str">
        <f t="shared" si="51"/>
        <v/>
      </c>
      <c r="Q420" s="22">
        <f t="shared" si="52"/>
        <v>6.3555223228122895</v>
      </c>
      <c r="R420" s="29" t="str">
        <f t="shared" si="53"/>
        <v>No original Rhyp to compare</v>
      </c>
      <c r="S420" s="29" t="str">
        <f t="shared" si="54"/>
        <v/>
      </c>
      <c r="T420" s="22">
        <v>120.36310899999999</v>
      </c>
      <c r="U420" s="29" t="s">
        <v>4576</v>
      </c>
      <c r="V420" s="29" t="str">
        <f t="shared" si="55"/>
        <v>No geometric exceedance</v>
      </c>
      <c r="W420" s="30">
        <v>24.1602</v>
      </c>
      <c r="X420" s="30">
        <v>122.172</v>
      </c>
      <c r="Y420" s="30">
        <v>33</v>
      </c>
      <c r="Z420" s="30">
        <v>127.11044645624571</v>
      </c>
      <c r="AA420" s="29" t="s">
        <v>2812</v>
      </c>
      <c r="AB420" s="29" t="s">
        <v>4577</v>
      </c>
      <c r="AC420" s="39"/>
      <c r="AD420" s="39"/>
    </row>
    <row r="421" spans="1:30" ht="58" customHeight="1">
      <c r="A421" s="1" t="s">
        <v>1263</v>
      </c>
      <c r="B421" s="1">
        <v>178</v>
      </c>
      <c r="C421" s="1" t="s">
        <v>3968</v>
      </c>
      <c r="D421" s="29" t="s">
        <v>528</v>
      </c>
      <c r="E421" s="29" t="s">
        <v>529</v>
      </c>
      <c r="F421" s="1" t="s">
        <v>1117</v>
      </c>
      <c r="G421" s="30">
        <v>25.037666999999999</v>
      </c>
      <c r="H421" s="30">
        <v>121.534333</v>
      </c>
      <c r="I421" s="30">
        <v>24.1602</v>
      </c>
      <c r="J421" s="30">
        <v>122.172</v>
      </c>
      <c r="K421" s="30">
        <v>33</v>
      </c>
      <c r="L421" s="22"/>
      <c r="M421" s="22">
        <f t="shared" si="48"/>
        <v>116.94508709825291</v>
      </c>
      <c r="N421" s="22">
        <f t="shared" si="49"/>
        <v>121.51194754598397</v>
      </c>
      <c r="O421" s="22" t="str">
        <f t="shared" si="50"/>
        <v/>
      </c>
      <c r="P421" s="22" t="str">
        <f t="shared" si="51"/>
        <v/>
      </c>
      <c r="Q421" s="22">
        <f t="shared" si="52"/>
        <v>6.0755973772991991</v>
      </c>
      <c r="R421" s="29" t="str">
        <f t="shared" si="53"/>
        <v>No original Rhyp to compare</v>
      </c>
      <c r="S421" s="29" t="str">
        <f t="shared" si="54"/>
        <v/>
      </c>
      <c r="T421" s="22">
        <v>114.670511</v>
      </c>
      <c r="U421" s="29" t="s">
        <v>4576</v>
      </c>
      <c r="V421" s="29" t="str">
        <f t="shared" si="55"/>
        <v>No geometric exceedance</v>
      </c>
      <c r="W421" s="30">
        <v>24.1602</v>
      </c>
      <c r="X421" s="30">
        <v>122.172</v>
      </c>
      <c r="Y421" s="30">
        <v>33</v>
      </c>
      <c r="Z421" s="30">
        <v>121.511947545984</v>
      </c>
      <c r="AA421" s="29" t="s">
        <v>2812</v>
      </c>
      <c r="AB421" s="29" t="s">
        <v>4577</v>
      </c>
      <c r="AC421" s="39"/>
      <c r="AD421" s="39"/>
    </row>
    <row r="422" spans="1:30" ht="58" customHeight="1">
      <c r="A422" s="1" t="s">
        <v>1263</v>
      </c>
      <c r="B422" s="1">
        <v>179</v>
      </c>
      <c r="C422" s="1" t="s">
        <v>3970</v>
      </c>
      <c r="D422" s="29" t="s">
        <v>528</v>
      </c>
      <c r="E422" s="29" t="s">
        <v>529</v>
      </c>
      <c r="F422" s="1" t="s">
        <v>1118</v>
      </c>
      <c r="G422" s="30">
        <v>25.034333</v>
      </c>
      <c r="H422" s="30">
        <v>121.4415</v>
      </c>
      <c r="I422" s="30">
        <v>24.1602</v>
      </c>
      <c r="J422" s="30">
        <v>122.172</v>
      </c>
      <c r="K422" s="30">
        <v>33</v>
      </c>
      <c r="L422" s="22"/>
      <c r="M422" s="22">
        <f t="shared" si="48"/>
        <v>122.07513766137092</v>
      </c>
      <c r="N422" s="22">
        <f t="shared" si="49"/>
        <v>126.45686709326094</v>
      </c>
      <c r="O422" s="22" t="str">
        <f t="shared" si="50"/>
        <v/>
      </c>
      <c r="P422" s="22" t="str">
        <f t="shared" si="51"/>
        <v/>
      </c>
      <c r="Q422" s="22">
        <f t="shared" si="52"/>
        <v>6.3228433546630471</v>
      </c>
      <c r="R422" s="29" t="str">
        <f t="shared" si="53"/>
        <v>No original Rhyp to compare</v>
      </c>
      <c r="S422" s="29" t="str">
        <f t="shared" si="54"/>
        <v/>
      </c>
      <c r="T422" s="22">
        <v>119.804042</v>
      </c>
      <c r="U422" s="29" t="s">
        <v>4576</v>
      </c>
      <c r="V422" s="29" t="str">
        <f t="shared" si="55"/>
        <v>No geometric exceedance</v>
      </c>
      <c r="W422" s="30">
        <v>24.1602</v>
      </c>
      <c r="X422" s="30">
        <v>122.172</v>
      </c>
      <c r="Y422" s="30">
        <v>33</v>
      </c>
      <c r="Z422" s="30">
        <v>126.4568670932609</v>
      </c>
      <c r="AA422" s="29" t="s">
        <v>2812</v>
      </c>
      <c r="AB422" s="29" t="s">
        <v>4577</v>
      </c>
      <c r="AC422" s="39"/>
      <c r="AD422" s="39"/>
    </row>
    <row r="423" spans="1:30" ht="58" customHeight="1">
      <c r="A423" s="1" t="s">
        <v>1263</v>
      </c>
      <c r="B423" s="1">
        <v>180</v>
      </c>
      <c r="C423" s="1" t="s">
        <v>3972</v>
      </c>
      <c r="D423" s="29" t="s">
        <v>528</v>
      </c>
      <c r="E423" s="29" t="s">
        <v>529</v>
      </c>
      <c r="F423" s="1" t="s">
        <v>1119</v>
      </c>
      <c r="G423" s="30">
        <v>25.172667000000001</v>
      </c>
      <c r="H423" s="30">
        <v>121.441667</v>
      </c>
      <c r="I423" s="30">
        <v>24.1602</v>
      </c>
      <c r="J423" s="30">
        <v>122.172</v>
      </c>
      <c r="K423" s="30">
        <v>33</v>
      </c>
      <c r="L423" s="22"/>
      <c r="M423" s="22">
        <f t="shared" si="48"/>
        <v>134.61279040007039</v>
      </c>
      <c r="N423" s="22">
        <f t="shared" si="49"/>
        <v>138.59871333924167</v>
      </c>
      <c r="O423" s="22" t="str">
        <f t="shared" si="50"/>
        <v/>
      </c>
      <c r="P423" s="22" t="str">
        <f t="shared" si="51"/>
        <v/>
      </c>
      <c r="Q423" s="22">
        <f t="shared" si="52"/>
        <v>6.9299356669620842</v>
      </c>
      <c r="R423" s="29" t="str">
        <f t="shared" si="53"/>
        <v>No original Rhyp to compare</v>
      </c>
      <c r="S423" s="29" t="str">
        <f t="shared" si="54"/>
        <v/>
      </c>
      <c r="T423" s="22">
        <v>131.42486500000001</v>
      </c>
      <c r="U423" s="29" t="s">
        <v>4576</v>
      </c>
      <c r="V423" s="29" t="str">
        <f t="shared" si="55"/>
        <v>No geometric exceedance</v>
      </c>
      <c r="W423" s="30">
        <v>24.1602</v>
      </c>
      <c r="X423" s="30">
        <v>122.172</v>
      </c>
      <c r="Y423" s="30">
        <v>33</v>
      </c>
      <c r="Z423" s="30">
        <v>138.59871333924161</v>
      </c>
      <c r="AA423" s="29" t="s">
        <v>2812</v>
      </c>
      <c r="AB423" s="29" t="s">
        <v>4577</v>
      </c>
      <c r="AC423" s="39"/>
      <c r="AD423" s="39"/>
    </row>
    <row r="424" spans="1:30" ht="58" customHeight="1">
      <c r="A424" s="1" t="s">
        <v>1263</v>
      </c>
      <c r="B424" s="1">
        <v>181</v>
      </c>
      <c r="C424" s="1" t="s">
        <v>3974</v>
      </c>
      <c r="D424" s="29" t="s">
        <v>528</v>
      </c>
      <c r="E424" s="29" t="s">
        <v>529</v>
      </c>
      <c r="F424" s="1" t="s">
        <v>1120</v>
      </c>
      <c r="G424" s="30">
        <v>25.181667000000001</v>
      </c>
      <c r="H424" s="30">
        <v>121.424333</v>
      </c>
      <c r="I424" s="30">
        <v>24.1602</v>
      </c>
      <c r="J424" s="30">
        <v>122.172</v>
      </c>
      <c r="K424" s="30">
        <v>33</v>
      </c>
      <c r="L424" s="22"/>
      <c r="M424" s="22">
        <f t="shared" si="48"/>
        <v>136.41153452892505</v>
      </c>
      <c r="N424" s="22">
        <f t="shared" si="49"/>
        <v>140.34638133039309</v>
      </c>
      <c r="O424" s="22" t="str">
        <f t="shared" si="50"/>
        <v/>
      </c>
      <c r="P424" s="22" t="str">
        <f t="shared" si="51"/>
        <v/>
      </c>
      <c r="Q424" s="22">
        <f t="shared" si="52"/>
        <v>7.0173190665196543</v>
      </c>
      <c r="R424" s="29" t="str">
        <f t="shared" si="53"/>
        <v>No original Rhyp to compare</v>
      </c>
      <c r="S424" s="29" t="str">
        <f t="shared" si="54"/>
        <v/>
      </c>
      <c r="T424" s="22">
        <v>133.17747800000001</v>
      </c>
      <c r="U424" s="29" t="s">
        <v>4576</v>
      </c>
      <c r="V424" s="29" t="str">
        <f t="shared" si="55"/>
        <v>No geometric exceedance</v>
      </c>
      <c r="W424" s="30">
        <v>24.1602</v>
      </c>
      <c r="X424" s="30">
        <v>122.172</v>
      </c>
      <c r="Y424" s="30">
        <v>33</v>
      </c>
      <c r="Z424" s="30">
        <v>140.34638133039292</v>
      </c>
      <c r="AA424" s="29" t="s">
        <v>2812</v>
      </c>
      <c r="AB424" s="29" t="s">
        <v>4577</v>
      </c>
      <c r="AC424" s="39"/>
      <c r="AD424" s="39"/>
    </row>
    <row r="425" spans="1:30" ht="58" customHeight="1">
      <c r="A425" s="1" t="s">
        <v>1263</v>
      </c>
      <c r="B425" s="1">
        <v>182</v>
      </c>
      <c r="C425" s="1" t="s">
        <v>3976</v>
      </c>
      <c r="D425" s="29" t="s">
        <v>528</v>
      </c>
      <c r="E425" s="29" t="s">
        <v>529</v>
      </c>
      <c r="F425" s="1" t="s">
        <v>1121</v>
      </c>
      <c r="G425" s="30">
        <v>25.033833000000001</v>
      </c>
      <c r="H425" s="30">
        <v>121.520167</v>
      </c>
      <c r="I425" s="30">
        <v>24.1602</v>
      </c>
      <c r="J425" s="30">
        <v>122.172</v>
      </c>
      <c r="K425" s="30">
        <v>33</v>
      </c>
      <c r="L425" s="22"/>
      <c r="M425" s="22">
        <f t="shared" si="48"/>
        <v>117.38821986874174</v>
      </c>
      <c r="N425" s="22">
        <f t="shared" si="49"/>
        <v>121.93848516343006</v>
      </c>
      <c r="O425" s="22" t="str">
        <f t="shared" si="50"/>
        <v/>
      </c>
      <c r="P425" s="22" t="str">
        <f t="shared" si="51"/>
        <v/>
      </c>
      <c r="Q425" s="22">
        <f t="shared" si="52"/>
        <v>6.0969242581715033</v>
      </c>
      <c r="R425" s="29" t="str">
        <f t="shared" si="53"/>
        <v>No original Rhyp to compare</v>
      </c>
      <c r="S425" s="29" t="str">
        <f t="shared" si="54"/>
        <v/>
      </c>
      <c r="T425" s="22">
        <v>115.13067700000001</v>
      </c>
      <c r="U425" s="29" t="s">
        <v>4576</v>
      </c>
      <c r="V425" s="29" t="str">
        <f t="shared" si="55"/>
        <v>No geometric exceedance</v>
      </c>
      <c r="W425" s="30">
        <v>24.1602</v>
      </c>
      <c r="X425" s="30">
        <v>122.172</v>
      </c>
      <c r="Y425" s="30">
        <v>33</v>
      </c>
      <c r="Z425" s="30">
        <v>121.93848516343002</v>
      </c>
      <c r="AA425" s="29" t="s">
        <v>2812</v>
      </c>
      <c r="AB425" s="29" t="s">
        <v>4577</v>
      </c>
      <c r="AC425" s="39"/>
      <c r="AD425" s="39"/>
    </row>
    <row r="426" spans="1:30" ht="58" customHeight="1">
      <c r="A426" s="1" t="s">
        <v>1263</v>
      </c>
      <c r="B426" s="1">
        <v>183</v>
      </c>
      <c r="C426" s="1" t="s">
        <v>3978</v>
      </c>
      <c r="D426" s="29" t="s">
        <v>533</v>
      </c>
      <c r="E426" s="29" t="s">
        <v>1122</v>
      </c>
      <c r="F426" s="1" t="s">
        <v>937</v>
      </c>
      <c r="G426" s="30">
        <v>29.097000000000001</v>
      </c>
      <c r="H426" s="30">
        <v>58.353000000000002</v>
      </c>
      <c r="I426" s="30">
        <v>28.984000000000002</v>
      </c>
      <c r="J426" s="30">
        <v>58.359000000000002</v>
      </c>
      <c r="K426" s="30">
        <v>6</v>
      </c>
      <c r="L426" s="22"/>
      <c r="M426" s="22">
        <f t="shared" si="48"/>
        <v>12.578558115531223</v>
      </c>
      <c r="N426" s="22">
        <f t="shared" si="49"/>
        <v>13.936288037558509</v>
      </c>
      <c r="O426" s="22" t="str">
        <f t="shared" si="50"/>
        <v/>
      </c>
      <c r="P426" s="22" t="str">
        <f t="shared" si="51"/>
        <v/>
      </c>
      <c r="Q426" s="22">
        <f t="shared" si="52"/>
        <v>1</v>
      </c>
      <c r="R426" s="29" t="str">
        <f t="shared" si="53"/>
        <v>No original Rhyp to compare</v>
      </c>
      <c r="S426" s="29" t="str">
        <f t="shared" si="54"/>
        <v/>
      </c>
      <c r="T426" s="22">
        <v>1.7</v>
      </c>
      <c r="U426" s="29" t="s">
        <v>4576</v>
      </c>
      <c r="V426" s="29" t="str">
        <f t="shared" si="55"/>
        <v>No geometric exceedance</v>
      </c>
      <c r="W426" s="30">
        <v>28.984000000000002</v>
      </c>
      <c r="X426" s="30">
        <v>58.359000000000002</v>
      </c>
      <c r="Y426" s="30">
        <v>6</v>
      </c>
      <c r="Z426" s="30">
        <v>13.936288037558992</v>
      </c>
      <c r="AA426" s="29" t="s">
        <v>2812</v>
      </c>
      <c r="AB426" s="29"/>
      <c r="AC426" s="39"/>
      <c r="AD426" s="39"/>
    </row>
    <row r="427" spans="1:30" ht="58" customHeight="1">
      <c r="A427" s="1" t="s">
        <v>1263</v>
      </c>
      <c r="B427" s="1">
        <v>184</v>
      </c>
      <c r="C427" s="1" t="s">
        <v>3980</v>
      </c>
      <c r="D427" s="29" t="s">
        <v>540</v>
      </c>
      <c r="E427" s="29" t="s">
        <v>1123</v>
      </c>
      <c r="F427" s="1" t="s">
        <v>939</v>
      </c>
      <c r="G427" s="30">
        <v>37.128100000000003</v>
      </c>
      <c r="H427" s="30">
        <v>138.74680000000001</v>
      </c>
      <c r="I427" s="30">
        <v>37.307000000000002</v>
      </c>
      <c r="J427" s="30">
        <v>138.839</v>
      </c>
      <c r="K427" s="30">
        <v>10.6</v>
      </c>
      <c r="L427" s="22"/>
      <c r="M427" s="22">
        <f t="shared" si="48"/>
        <v>21.502963250230909</v>
      </c>
      <c r="N427" s="22">
        <f t="shared" si="49"/>
        <v>23.973681997990653</v>
      </c>
      <c r="O427" s="22" t="str">
        <f t="shared" si="50"/>
        <v/>
      </c>
      <c r="P427" s="22" t="str">
        <f t="shared" si="51"/>
        <v/>
      </c>
      <c r="Q427" s="22">
        <f t="shared" si="52"/>
        <v>1.1986840998995327</v>
      </c>
      <c r="R427" s="29" t="str">
        <f t="shared" si="53"/>
        <v>No original Rhyp to compare</v>
      </c>
      <c r="S427" s="29" t="str">
        <f t="shared" si="54"/>
        <v/>
      </c>
      <c r="T427" s="22">
        <v>11.26</v>
      </c>
      <c r="U427" s="29" t="s">
        <v>4576</v>
      </c>
      <c r="V427" s="29" t="str">
        <f t="shared" si="55"/>
        <v>No geometric exceedance</v>
      </c>
      <c r="W427" s="30">
        <v>37.307000000000002</v>
      </c>
      <c r="X427" s="30">
        <v>138.839</v>
      </c>
      <c r="Y427" s="30">
        <v>10.6</v>
      </c>
      <c r="Z427" s="30">
        <v>23.973681997990468</v>
      </c>
      <c r="AA427" s="29" t="s">
        <v>2812</v>
      </c>
      <c r="AB427" s="29"/>
      <c r="AC427" s="39"/>
      <c r="AD427" s="39"/>
    </row>
    <row r="428" spans="1:30" ht="58" customHeight="1">
      <c r="A428" s="1" t="s">
        <v>1263</v>
      </c>
      <c r="B428" s="1">
        <v>185</v>
      </c>
      <c r="C428" s="1" t="s">
        <v>3982</v>
      </c>
      <c r="D428" s="29" t="s">
        <v>540</v>
      </c>
      <c r="E428" s="29" t="s">
        <v>1123</v>
      </c>
      <c r="F428" s="1" t="s">
        <v>940</v>
      </c>
      <c r="G428" s="30">
        <v>37.169699999999999</v>
      </c>
      <c r="H428" s="30">
        <v>138.74719999999999</v>
      </c>
      <c r="I428" s="30">
        <v>37.307000000000002</v>
      </c>
      <c r="J428" s="30">
        <v>138.839</v>
      </c>
      <c r="K428" s="30">
        <v>10.6</v>
      </c>
      <c r="L428" s="22"/>
      <c r="M428" s="22">
        <f t="shared" si="48"/>
        <v>17.295224241579199</v>
      </c>
      <c r="N428" s="22">
        <f t="shared" si="49"/>
        <v>20.285087664747934</v>
      </c>
      <c r="O428" s="22" t="str">
        <f t="shared" si="50"/>
        <v/>
      </c>
      <c r="P428" s="22" t="str">
        <f t="shared" si="51"/>
        <v/>
      </c>
      <c r="Q428" s="22">
        <f t="shared" si="52"/>
        <v>1.0142543832373967</v>
      </c>
      <c r="R428" s="29" t="str">
        <f t="shared" si="53"/>
        <v>No original Rhyp to compare</v>
      </c>
      <c r="S428" s="29" t="str">
        <f t="shared" si="54"/>
        <v/>
      </c>
      <c r="T428" s="22">
        <v>8.93</v>
      </c>
      <c r="U428" s="29" t="s">
        <v>4576</v>
      </c>
      <c r="V428" s="29" t="str">
        <f t="shared" si="55"/>
        <v>No geometric exceedance</v>
      </c>
      <c r="W428" s="30">
        <v>37.307000000000002</v>
      </c>
      <c r="X428" s="30">
        <v>138.839</v>
      </c>
      <c r="Y428" s="30">
        <v>10.6</v>
      </c>
      <c r="Z428" s="30">
        <v>20.285087664747838</v>
      </c>
      <c r="AA428" s="29" t="s">
        <v>2812</v>
      </c>
      <c r="AB428" s="29"/>
      <c r="AC428" s="39"/>
      <c r="AD428" s="39"/>
    </row>
    <row r="429" spans="1:30" ht="58" customHeight="1">
      <c r="A429" s="1" t="s">
        <v>1263</v>
      </c>
      <c r="B429" s="1">
        <v>186</v>
      </c>
      <c r="C429" s="1" t="s">
        <v>3984</v>
      </c>
      <c r="D429" s="29" t="s">
        <v>547</v>
      </c>
      <c r="E429" s="29" t="s">
        <v>1124</v>
      </c>
      <c r="F429" s="1" t="s">
        <v>944</v>
      </c>
      <c r="G429" s="30">
        <v>35.743000000000002</v>
      </c>
      <c r="H429" s="30">
        <v>-120.277</v>
      </c>
      <c r="I429" s="30">
        <v>35.817</v>
      </c>
      <c r="J429" s="30">
        <v>-120.36499999999999</v>
      </c>
      <c r="K429" s="30">
        <v>8.1</v>
      </c>
      <c r="L429" s="22"/>
      <c r="M429" s="22">
        <f t="shared" si="48"/>
        <v>11.433496653773268</v>
      </c>
      <c r="N429" s="22">
        <f t="shared" si="49"/>
        <v>14.011953672912442</v>
      </c>
      <c r="O429" s="22" t="str">
        <f t="shared" si="50"/>
        <v/>
      </c>
      <c r="P429" s="22" t="str">
        <f t="shared" si="51"/>
        <v/>
      </c>
      <c r="Q429" s="22">
        <f t="shared" si="52"/>
        <v>1</v>
      </c>
      <c r="R429" s="29" t="str">
        <f t="shared" si="53"/>
        <v>No original Rhyp to compare</v>
      </c>
      <c r="S429" s="29" t="str">
        <f t="shared" si="54"/>
        <v/>
      </c>
      <c r="T429" s="22">
        <v>3</v>
      </c>
      <c r="U429" s="29" t="s">
        <v>4576</v>
      </c>
      <c r="V429" s="29" t="str">
        <f t="shared" si="55"/>
        <v>No geometric exceedance</v>
      </c>
      <c r="W429" s="30">
        <v>35.817</v>
      </c>
      <c r="X429" s="30">
        <v>-120.36499999999999</v>
      </c>
      <c r="Y429" s="30">
        <v>8.1</v>
      </c>
      <c r="Z429" s="30">
        <v>14.011953672912435</v>
      </c>
      <c r="AA429" s="29" t="s">
        <v>2812</v>
      </c>
      <c r="AB429" s="29"/>
      <c r="AC429" s="39"/>
      <c r="AD429" s="39"/>
    </row>
    <row r="430" spans="1:30" ht="58" customHeight="1">
      <c r="A430" s="1" t="s">
        <v>1263</v>
      </c>
      <c r="B430" s="1">
        <v>187</v>
      </c>
      <c r="C430" s="1" t="s">
        <v>3986</v>
      </c>
      <c r="D430" s="29" t="s">
        <v>547</v>
      </c>
      <c r="E430" s="29" t="s">
        <v>1124</v>
      </c>
      <c r="F430" s="1" t="s">
        <v>945</v>
      </c>
      <c r="G430" s="30">
        <v>35.732999999999997</v>
      </c>
      <c r="H430" s="30">
        <v>-120.29</v>
      </c>
      <c r="I430" s="30">
        <v>35.817</v>
      </c>
      <c r="J430" s="30">
        <v>-120.36499999999999</v>
      </c>
      <c r="K430" s="30">
        <v>8.1</v>
      </c>
      <c r="L430" s="22"/>
      <c r="M430" s="22">
        <f t="shared" si="48"/>
        <v>11.533540449829074</v>
      </c>
      <c r="N430" s="22">
        <f t="shared" si="49"/>
        <v>14.093706230365505</v>
      </c>
      <c r="O430" s="22" t="str">
        <f t="shared" si="50"/>
        <v/>
      </c>
      <c r="P430" s="22" t="str">
        <f t="shared" si="51"/>
        <v/>
      </c>
      <c r="Q430" s="22">
        <f t="shared" si="52"/>
        <v>1</v>
      </c>
      <c r="R430" s="29" t="str">
        <f t="shared" si="53"/>
        <v>No original Rhyp to compare</v>
      </c>
      <c r="S430" s="29" t="str">
        <f t="shared" si="54"/>
        <v/>
      </c>
      <c r="T430" s="22">
        <v>3.01</v>
      </c>
      <c r="U430" s="29" t="s">
        <v>4576</v>
      </c>
      <c r="V430" s="29" t="str">
        <f t="shared" si="55"/>
        <v>No geometric exceedance</v>
      </c>
      <c r="W430" s="30">
        <v>35.817</v>
      </c>
      <c r="X430" s="30">
        <v>-120.36499999999999</v>
      </c>
      <c r="Y430" s="30">
        <v>8.1</v>
      </c>
      <c r="Z430" s="30">
        <v>14.093706230365543</v>
      </c>
      <c r="AA430" s="29" t="s">
        <v>2812</v>
      </c>
      <c r="AB430" s="29"/>
      <c r="AC430" s="39"/>
      <c r="AD430" s="39"/>
    </row>
    <row r="431" spans="1:30" ht="58" customHeight="1">
      <c r="A431" s="1" t="s">
        <v>1263</v>
      </c>
      <c r="B431" s="1">
        <v>188</v>
      </c>
      <c r="C431" s="1" t="s">
        <v>3988</v>
      </c>
      <c r="D431" s="29" t="s">
        <v>547</v>
      </c>
      <c r="E431" s="29" t="s">
        <v>1124</v>
      </c>
      <c r="F431" s="1" t="s">
        <v>946</v>
      </c>
      <c r="G431" s="30">
        <v>35.770000000000003</v>
      </c>
      <c r="H431" s="30">
        <v>-120.247</v>
      </c>
      <c r="I431" s="30">
        <v>35.817</v>
      </c>
      <c r="J431" s="30">
        <v>-120.36499999999999</v>
      </c>
      <c r="K431" s="30">
        <v>8.1</v>
      </c>
      <c r="L431" s="22"/>
      <c r="M431" s="22">
        <f t="shared" si="48"/>
        <v>11.856760957003756</v>
      </c>
      <c r="N431" s="22">
        <f t="shared" si="49"/>
        <v>14.359414347093987</v>
      </c>
      <c r="O431" s="22" t="str">
        <f t="shared" si="50"/>
        <v/>
      </c>
      <c r="P431" s="22" t="str">
        <f t="shared" si="51"/>
        <v/>
      </c>
      <c r="Q431" s="22">
        <f t="shared" si="52"/>
        <v>1</v>
      </c>
      <c r="R431" s="29" t="str">
        <f t="shared" si="53"/>
        <v>No original Rhyp to compare</v>
      </c>
      <c r="S431" s="29" t="str">
        <f t="shared" si="54"/>
        <v/>
      </c>
      <c r="T431" s="22">
        <v>5.55</v>
      </c>
      <c r="U431" s="29" t="s">
        <v>4576</v>
      </c>
      <c r="V431" s="29" t="str">
        <f t="shared" si="55"/>
        <v>No geometric exceedance</v>
      </c>
      <c r="W431" s="30">
        <v>35.817</v>
      </c>
      <c r="X431" s="30">
        <v>-120.36499999999999</v>
      </c>
      <c r="Y431" s="30">
        <v>8.1</v>
      </c>
      <c r="Z431" s="30">
        <v>14.35941434709404</v>
      </c>
      <c r="AA431" s="29" t="s">
        <v>2812</v>
      </c>
      <c r="AB431" s="29"/>
      <c r="AC431" s="39"/>
      <c r="AD431" s="39"/>
    </row>
    <row r="432" spans="1:30" ht="58" customHeight="1">
      <c r="A432" s="1" t="s">
        <v>1263</v>
      </c>
      <c r="B432" s="1">
        <v>189</v>
      </c>
      <c r="C432" s="1" t="s">
        <v>3990</v>
      </c>
      <c r="D432" s="29" t="s">
        <v>547</v>
      </c>
      <c r="E432" s="29" t="s">
        <v>1124</v>
      </c>
      <c r="F432" s="1" t="s">
        <v>947</v>
      </c>
      <c r="G432" s="30">
        <v>35.723999999999997</v>
      </c>
      <c r="H432" s="30">
        <v>-120.294</v>
      </c>
      <c r="I432" s="30">
        <v>35.817</v>
      </c>
      <c r="J432" s="30">
        <v>-120.36499999999999</v>
      </c>
      <c r="K432" s="30">
        <v>8.1</v>
      </c>
      <c r="L432" s="22"/>
      <c r="M432" s="22">
        <f t="shared" si="48"/>
        <v>12.164315227302492</v>
      </c>
      <c r="N432" s="22">
        <f t="shared" si="49"/>
        <v>14.614395811978792</v>
      </c>
      <c r="O432" s="22" t="str">
        <f t="shared" si="50"/>
        <v/>
      </c>
      <c r="P432" s="22" t="str">
        <f t="shared" si="51"/>
        <v/>
      </c>
      <c r="Q432" s="22">
        <f t="shared" si="52"/>
        <v>1</v>
      </c>
      <c r="R432" s="29" t="str">
        <f t="shared" si="53"/>
        <v>No original Rhyp to compare</v>
      </c>
      <c r="S432" s="29" t="str">
        <f t="shared" si="54"/>
        <v/>
      </c>
      <c r="T432" s="22">
        <v>3.63</v>
      </c>
      <c r="U432" s="29" t="s">
        <v>4576</v>
      </c>
      <c r="V432" s="29" t="str">
        <f t="shared" si="55"/>
        <v>No geometric exceedance</v>
      </c>
      <c r="W432" s="30">
        <v>35.817</v>
      </c>
      <c r="X432" s="30">
        <v>-120.36499999999999</v>
      </c>
      <c r="Y432" s="30">
        <v>8.1</v>
      </c>
      <c r="Z432" s="30">
        <v>14.614395811978961</v>
      </c>
      <c r="AA432" s="29" t="s">
        <v>2812</v>
      </c>
      <c r="AB432" s="29"/>
      <c r="AC432" s="39"/>
      <c r="AD432" s="39"/>
    </row>
    <row r="433" spans="1:30" ht="58" customHeight="1">
      <c r="A433" s="1" t="s">
        <v>1263</v>
      </c>
      <c r="B433" s="1">
        <v>190</v>
      </c>
      <c r="C433" s="1" t="s">
        <v>3992</v>
      </c>
      <c r="D433" s="29" t="s">
        <v>547</v>
      </c>
      <c r="E433" s="29" t="s">
        <v>1124</v>
      </c>
      <c r="F433" s="1" t="s">
        <v>948</v>
      </c>
      <c r="G433" s="30">
        <v>35.718000000000004</v>
      </c>
      <c r="H433" s="30">
        <v>-120.304</v>
      </c>
      <c r="I433" s="30">
        <v>35.817</v>
      </c>
      <c r="J433" s="30">
        <v>-120.36499999999999</v>
      </c>
      <c r="K433" s="30">
        <v>8.1</v>
      </c>
      <c r="L433" s="22"/>
      <c r="M433" s="22">
        <f t="shared" si="48"/>
        <v>12.307407803119258</v>
      </c>
      <c r="N433" s="22">
        <f t="shared" si="49"/>
        <v>14.733712595007436</v>
      </c>
      <c r="O433" s="22" t="str">
        <f t="shared" si="50"/>
        <v/>
      </c>
      <c r="P433" s="22" t="str">
        <f t="shared" si="51"/>
        <v/>
      </c>
      <c r="Q433" s="22">
        <f t="shared" si="52"/>
        <v>1</v>
      </c>
      <c r="R433" s="29" t="str">
        <f t="shared" si="53"/>
        <v>No original Rhyp to compare</v>
      </c>
      <c r="S433" s="29" t="str">
        <f t="shared" si="54"/>
        <v/>
      </c>
      <c r="T433" s="22">
        <v>4.2300000000000004</v>
      </c>
      <c r="U433" s="29" t="s">
        <v>4576</v>
      </c>
      <c r="V433" s="29" t="str">
        <f t="shared" si="55"/>
        <v>No geometric exceedance</v>
      </c>
      <c r="W433" s="30">
        <v>35.817</v>
      </c>
      <c r="X433" s="30">
        <v>-120.36499999999999</v>
      </c>
      <c r="Y433" s="30">
        <v>8.1</v>
      </c>
      <c r="Z433" s="30">
        <v>14.733712595007415</v>
      </c>
      <c r="AA433" s="29" t="s">
        <v>2812</v>
      </c>
      <c r="AB433" s="29"/>
      <c r="AC433" s="39"/>
      <c r="AD433" s="39"/>
    </row>
    <row r="434" spans="1:30" ht="58" customHeight="1">
      <c r="A434" s="1" t="s">
        <v>1263</v>
      </c>
      <c r="B434" s="1">
        <v>191</v>
      </c>
      <c r="C434" s="1" t="s">
        <v>3994</v>
      </c>
      <c r="D434" s="29" t="s">
        <v>547</v>
      </c>
      <c r="E434" s="29" t="s">
        <v>1124</v>
      </c>
      <c r="F434" s="1" t="s">
        <v>942</v>
      </c>
      <c r="G434" s="30">
        <v>35.893999999999998</v>
      </c>
      <c r="H434" s="30">
        <v>-120.42100000000001</v>
      </c>
      <c r="I434" s="30">
        <v>35.817</v>
      </c>
      <c r="J434" s="30">
        <v>-120.36499999999999</v>
      </c>
      <c r="K434" s="30">
        <v>8.1</v>
      </c>
      <c r="L434" s="22"/>
      <c r="M434" s="22">
        <f t="shared" si="48"/>
        <v>9.9387699316490696</v>
      </c>
      <c r="N434" s="22">
        <f t="shared" si="49"/>
        <v>12.821433139639721</v>
      </c>
      <c r="O434" s="22" t="str">
        <f t="shared" si="50"/>
        <v/>
      </c>
      <c r="P434" s="22" t="str">
        <f t="shared" si="51"/>
        <v/>
      </c>
      <c r="Q434" s="22">
        <f t="shared" si="52"/>
        <v>1</v>
      </c>
      <c r="R434" s="29" t="str">
        <f t="shared" si="53"/>
        <v>No original Rhyp to compare</v>
      </c>
      <c r="S434" s="29" t="str">
        <f t="shared" si="54"/>
        <v/>
      </c>
      <c r="T434" s="22">
        <v>2.85</v>
      </c>
      <c r="U434" s="29" t="s">
        <v>4576</v>
      </c>
      <c r="V434" s="29" t="str">
        <f t="shared" si="55"/>
        <v>No geometric exceedance</v>
      </c>
      <c r="W434" s="30">
        <v>35.817</v>
      </c>
      <c r="X434" s="30">
        <v>-120.36499999999999</v>
      </c>
      <c r="Y434" s="30">
        <v>8.1</v>
      </c>
      <c r="Z434" s="30">
        <v>12.821433139639593</v>
      </c>
      <c r="AA434" s="29" t="s">
        <v>2812</v>
      </c>
      <c r="AB434" s="29"/>
      <c r="AC434" s="39"/>
      <c r="AD434" s="39"/>
    </row>
    <row r="435" spans="1:30" ht="58" customHeight="1">
      <c r="A435" s="1" t="s">
        <v>1263</v>
      </c>
      <c r="B435" s="1">
        <v>192</v>
      </c>
      <c r="C435" s="1" t="s">
        <v>3996</v>
      </c>
      <c r="D435" s="29" t="s">
        <v>547</v>
      </c>
      <c r="E435" s="29" t="s">
        <v>1124</v>
      </c>
      <c r="F435" s="1" t="s">
        <v>949</v>
      </c>
      <c r="G435" s="30">
        <v>35.758000000000003</v>
      </c>
      <c r="H435" s="30">
        <v>-120.307</v>
      </c>
      <c r="I435" s="30">
        <v>35.817</v>
      </c>
      <c r="J435" s="30">
        <v>-120.36499999999999</v>
      </c>
      <c r="K435" s="30">
        <v>8.1</v>
      </c>
      <c r="L435" s="22"/>
      <c r="M435" s="22">
        <f t="shared" si="48"/>
        <v>8.3910681852619557</v>
      </c>
      <c r="N435" s="22">
        <f t="shared" si="49"/>
        <v>11.662762335300988</v>
      </c>
      <c r="O435" s="22" t="str">
        <f t="shared" si="50"/>
        <v/>
      </c>
      <c r="P435" s="22" t="str">
        <f t="shared" si="51"/>
        <v/>
      </c>
      <c r="Q435" s="22">
        <f t="shared" si="52"/>
        <v>1</v>
      </c>
      <c r="R435" s="29" t="str">
        <f t="shared" si="53"/>
        <v>No original Rhyp to compare</v>
      </c>
      <c r="S435" s="29" t="str">
        <f t="shared" si="54"/>
        <v/>
      </c>
      <c r="T435" s="22">
        <v>2.5099999999999998</v>
      </c>
      <c r="U435" s="29" t="s">
        <v>4576</v>
      </c>
      <c r="V435" s="29" t="str">
        <f t="shared" si="55"/>
        <v>No geometric exceedance</v>
      </c>
      <c r="W435" s="30">
        <v>35.817</v>
      </c>
      <c r="X435" s="30">
        <v>-120.36499999999999</v>
      </c>
      <c r="Y435" s="30">
        <v>8.1</v>
      </c>
      <c r="Z435" s="30">
        <v>11.662762335301075</v>
      </c>
      <c r="AA435" s="29" t="s">
        <v>2812</v>
      </c>
      <c r="AB435" s="29"/>
      <c r="AC435" s="39"/>
      <c r="AD435" s="39"/>
    </row>
    <row r="436" spans="1:30" ht="58" customHeight="1">
      <c r="A436" s="1" t="s">
        <v>1263</v>
      </c>
      <c r="B436" s="1">
        <v>193</v>
      </c>
      <c r="C436" s="1" t="s">
        <v>3998</v>
      </c>
      <c r="D436" s="29" t="s">
        <v>547</v>
      </c>
      <c r="E436" s="29" t="s">
        <v>1124</v>
      </c>
      <c r="F436" s="1" t="s">
        <v>951</v>
      </c>
      <c r="G436" s="30">
        <v>35.899000000000001</v>
      </c>
      <c r="H436" s="30">
        <v>-120.43300000000001</v>
      </c>
      <c r="I436" s="30">
        <v>35.817</v>
      </c>
      <c r="J436" s="30">
        <v>-120.36499999999999</v>
      </c>
      <c r="K436" s="30">
        <v>8.1</v>
      </c>
      <c r="L436" s="22"/>
      <c r="M436" s="22">
        <f t="shared" si="48"/>
        <v>10.986000283267874</v>
      </c>
      <c r="N436" s="22">
        <f t="shared" si="49"/>
        <v>13.649256471469858</v>
      </c>
      <c r="O436" s="22" t="str">
        <f t="shared" si="50"/>
        <v/>
      </c>
      <c r="P436" s="22" t="str">
        <f t="shared" si="51"/>
        <v/>
      </c>
      <c r="Q436" s="22">
        <f t="shared" si="52"/>
        <v>1</v>
      </c>
      <c r="R436" s="29" t="str">
        <f t="shared" si="53"/>
        <v>No original Rhyp to compare</v>
      </c>
      <c r="S436" s="29" t="str">
        <f t="shared" si="54"/>
        <v/>
      </c>
      <c r="T436" s="22">
        <v>2.65</v>
      </c>
      <c r="U436" s="29" t="s">
        <v>4576</v>
      </c>
      <c r="V436" s="29" t="str">
        <f t="shared" si="55"/>
        <v>No geometric exceedance</v>
      </c>
      <c r="W436" s="30">
        <v>35.817</v>
      </c>
      <c r="X436" s="30">
        <v>-120.36499999999999</v>
      </c>
      <c r="Y436" s="30">
        <v>8.1</v>
      </c>
      <c r="Z436" s="30">
        <v>13.649256471469993</v>
      </c>
      <c r="AA436" s="29" t="s">
        <v>2812</v>
      </c>
      <c r="AB436" s="29"/>
      <c r="AC436" s="39"/>
      <c r="AD436" s="39"/>
    </row>
    <row r="437" spans="1:30" ht="58" customHeight="1">
      <c r="A437" s="1" t="s">
        <v>1263</v>
      </c>
      <c r="B437" s="1">
        <v>194</v>
      </c>
      <c r="C437" s="1" t="s">
        <v>4000</v>
      </c>
      <c r="D437" s="29" t="s">
        <v>547</v>
      </c>
      <c r="E437" s="29" t="s">
        <v>1124</v>
      </c>
      <c r="F437" s="1" t="s">
        <v>950</v>
      </c>
      <c r="G437" s="30">
        <v>35.878999999999998</v>
      </c>
      <c r="H437" s="30">
        <v>-120.44499999999999</v>
      </c>
      <c r="I437" s="30">
        <v>35.817</v>
      </c>
      <c r="J437" s="30">
        <v>-120.36499999999999</v>
      </c>
      <c r="K437" s="30">
        <v>8.1</v>
      </c>
      <c r="L437" s="22"/>
      <c r="M437" s="22">
        <f t="shared" si="48"/>
        <v>9.9759801617917443</v>
      </c>
      <c r="N437" s="22">
        <f t="shared" si="49"/>
        <v>12.850298836543157</v>
      </c>
      <c r="O437" s="22" t="str">
        <f t="shared" si="50"/>
        <v/>
      </c>
      <c r="P437" s="22" t="str">
        <f t="shared" si="51"/>
        <v/>
      </c>
      <c r="Q437" s="22">
        <f t="shared" si="52"/>
        <v>1</v>
      </c>
      <c r="R437" s="29" t="str">
        <f t="shared" si="53"/>
        <v>No original Rhyp to compare</v>
      </c>
      <c r="S437" s="29" t="str">
        <f t="shared" si="54"/>
        <v/>
      </c>
      <c r="T437" s="22">
        <v>2.85</v>
      </c>
      <c r="U437" s="29" t="s">
        <v>4576</v>
      </c>
      <c r="V437" s="29" t="str">
        <f t="shared" si="55"/>
        <v>No geometric exceedance</v>
      </c>
      <c r="W437" s="30">
        <v>35.817</v>
      </c>
      <c r="X437" s="30">
        <v>-120.36499999999999</v>
      </c>
      <c r="Y437" s="30">
        <v>8.1</v>
      </c>
      <c r="Z437" s="30">
        <v>12.850298836543145</v>
      </c>
      <c r="AA437" s="29" t="s">
        <v>2812</v>
      </c>
      <c r="AB437" s="29"/>
      <c r="AC437" s="39"/>
      <c r="AD437" s="39"/>
    </row>
    <row r="438" spans="1:30" ht="58" customHeight="1">
      <c r="A438" s="1" t="s">
        <v>1263</v>
      </c>
      <c r="B438" s="1">
        <v>195</v>
      </c>
      <c r="C438" s="1" t="s">
        <v>4002</v>
      </c>
      <c r="D438" s="29" t="s">
        <v>547</v>
      </c>
      <c r="E438" s="29" t="s">
        <v>1124</v>
      </c>
      <c r="F438" s="1" t="s">
        <v>1125</v>
      </c>
      <c r="G438" s="30">
        <v>35.787999999999997</v>
      </c>
      <c r="H438" s="30">
        <v>-120.294</v>
      </c>
      <c r="I438" s="30">
        <v>35.817</v>
      </c>
      <c r="J438" s="30">
        <v>-120.36499999999999</v>
      </c>
      <c r="K438" s="30">
        <v>8.1</v>
      </c>
      <c r="L438" s="22"/>
      <c r="M438" s="22">
        <f t="shared" si="48"/>
        <v>7.1691710783483238</v>
      </c>
      <c r="N438" s="22">
        <f t="shared" si="49"/>
        <v>10.816978041515387</v>
      </c>
      <c r="O438" s="22" t="str">
        <f t="shared" si="50"/>
        <v/>
      </c>
      <c r="P438" s="22" t="str">
        <f t="shared" si="51"/>
        <v/>
      </c>
      <c r="Q438" s="22">
        <f t="shared" si="52"/>
        <v>1</v>
      </c>
      <c r="R438" s="29" t="str">
        <f t="shared" si="53"/>
        <v>No original Rhyp to compare</v>
      </c>
      <c r="S438" s="29" t="str">
        <f t="shared" si="54"/>
        <v/>
      </c>
      <c r="T438" s="22">
        <v>3.79</v>
      </c>
      <c r="U438" s="29" t="s">
        <v>4576</v>
      </c>
      <c r="V438" s="29" t="str">
        <f t="shared" si="55"/>
        <v>No geometric exceedance</v>
      </c>
      <c r="W438" s="30">
        <v>35.817</v>
      </c>
      <c r="X438" s="30">
        <v>-120.36499999999999</v>
      </c>
      <c r="Y438" s="30">
        <v>8.1</v>
      </c>
      <c r="Z438" s="30">
        <v>10.816978041515299</v>
      </c>
      <c r="AA438" s="29" t="s">
        <v>2812</v>
      </c>
      <c r="AB438" s="29"/>
      <c r="AC438" s="39"/>
      <c r="AD438" s="39"/>
    </row>
    <row r="439" spans="1:30" ht="58" customHeight="1">
      <c r="A439" s="1" t="s">
        <v>1263</v>
      </c>
      <c r="B439" s="1">
        <v>196</v>
      </c>
      <c r="C439" s="1" t="s">
        <v>4004</v>
      </c>
      <c r="D439" s="29" t="s">
        <v>547</v>
      </c>
      <c r="E439" s="29" t="s">
        <v>1124</v>
      </c>
      <c r="F439" s="1" t="s">
        <v>943</v>
      </c>
      <c r="G439" s="30">
        <v>36.033999999999999</v>
      </c>
      <c r="H439" s="30">
        <v>-120.59</v>
      </c>
      <c r="I439" s="30">
        <v>35.817</v>
      </c>
      <c r="J439" s="30">
        <v>-120.36499999999999</v>
      </c>
      <c r="K439" s="30">
        <v>8.1</v>
      </c>
      <c r="L439" s="22"/>
      <c r="M439" s="22">
        <f t="shared" si="48"/>
        <v>31.506833507471949</v>
      </c>
      <c r="N439" s="22">
        <f t="shared" si="49"/>
        <v>32.531378047472217</v>
      </c>
      <c r="O439" s="22" t="str">
        <f t="shared" si="50"/>
        <v/>
      </c>
      <c r="P439" s="22" t="str">
        <f t="shared" si="51"/>
        <v/>
      </c>
      <c r="Q439" s="22">
        <f t="shared" si="52"/>
        <v>1.626568902373611</v>
      </c>
      <c r="R439" s="29" t="str">
        <f t="shared" si="53"/>
        <v>No original Rhyp to compare</v>
      </c>
      <c r="S439" s="29" t="str">
        <f t="shared" si="54"/>
        <v/>
      </c>
      <c r="T439" s="22">
        <v>2.99</v>
      </c>
      <c r="U439" s="29" t="s">
        <v>4576</v>
      </c>
      <c r="V439" s="29" t="str">
        <f t="shared" si="55"/>
        <v>No geometric exceedance</v>
      </c>
      <c r="W439" s="30">
        <v>35.817</v>
      </c>
      <c r="X439" s="30">
        <v>-120.36499999999999</v>
      </c>
      <c r="Y439" s="30">
        <v>8.1</v>
      </c>
      <c r="Z439" s="30">
        <v>32.531378047472359</v>
      </c>
      <c r="AA439" s="29" t="s">
        <v>2812</v>
      </c>
      <c r="AB439" s="29"/>
      <c r="AC439" s="39"/>
      <c r="AD439" s="39"/>
    </row>
    <row r="440" spans="1:30" ht="58" customHeight="1">
      <c r="A440" s="1" t="s">
        <v>1263</v>
      </c>
      <c r="B440" s="1">
        <v>197</v>
      </c>
      <c r="C440" s="1" t="s">
        <v>4006</v>
      </c>
      <c r="D440" s="29" t="s">
        <v>554</v>
      </c>
      <c r="E440" s="29" t="s">
        <v>555</v>
      </c>
      <c r="F440" s="1" t="s">
        <v>1126</v>
      </c>
      <c r="G440" s="30">
        <v>22.974</v>
      </c>
      <c r="H440" s="30">
        <v>121.156333</v>
      </c>
      <c r="I440" s="30">
        <v>22.726199999999999</v>
      </c>
      <c r="J440" s="30">
        <v>121.3695</v>
      </c>
      <c r="K440" s="30">
        <v>24.03</v>
      </c>
      <c r="L440" s="22"/>
      <c r="M440" s="22">
        <f t="shared" si="48"/>
        <v>35.161661557993291</v>
      </c>
      <c r="N440" s="22">
        <f t="shared" si="49"/>
        <v>42.588535353060252</v>
      </c>
      <c r="O440" s="22" t="str">
        <f t="shared" si="50"/>
        <v/>
      </c>
      <c r="P440" s="22" t="str">
        <f t="shared" si="51"/>
        <v/>
      </c>
      <c r="Q440" s="22">
        <f t="shared" si="52"/>
        <v>2.1294267676530128</v>
      </c>
      <c r="R440" s="29" t="str">
        <f t="shared" si="53"/>
        <v>No original Rhyp to compare</v>
      </c>
      <c r="S440" s="29" t="str">
        <f t="shared" si="54"/>
        <v/>
      </c>
      <c r="T440" s="22">
        <v>28.520092000000002</v>
      </c>
      <c r="U440" s="29" t="s">
        <v>4576</v>
      </c>
      <c r="V440" s="29" t="str">
        <f t="shared" si="55"/>
        <v>No geometric exceedance</v>
      </c>
      <c r="W440" s="30">
        <v>22.726199999999999</v>
      </c>
      <c r="X440" s="30">
        <v>121.3695</v>
      </c>
      <c r="Y440" s="30">
        <v>24.03</v>
      </c>
      <c r="Z440" s="30">
        <v>42.588535353060394</v>
      </c>
      <c r="AA440" s="29" t="s">
        <v>2812</v>
      </c>
      <c r="AB440" s="29"/>
      <c r="AC440" s="39"/>
      <c r="AD440" s="39"/>
    </row>
    <row r="441" spans="1:30" ht="58" customHeight="1">
      <c r="A441" s="1" t="s">
        <v>1263</v>
      </c>
      <c r="B441" s="1">
        <v>198</v>
      </c>
      <c r="C441" s="1" t="s">
        <v>4008</v>
      </c>
      <c r="D441" s="29" t="s">
        <v>559</v>
      </c>
      <c r="E441" s="29" t="s">
        <v>560</v>
      </c>
      <c r="F441" s="1" t="s">
        <v>1110</v>
      </c>
      <c r="G441" s="30">
        <v>24.689</v>
      </c>
      <c r="H441" s="30">
        <v>121.766667</v>
      </c>
      <c r="I441" s="30">
        <v>24.657299999999999</v>
      </c>
      <c r="J441" s="30">
        <v>121.8135</v>
      </c>
      <c r="K441" s="30">
        <v>10.17</v>
      </c>
      <c r="L441" s="22"/>
      <c r="M441" s="22">
        <f t="shared" si="48"/>
        <v>5.9006865963644932</v>
      </c>
      <c r="N441" s="22">
        <f t="shared" si="49"/>
        <v>11.757848540805226</v>
      </c>
      <c r="O441" s="22" t="str">
        <f t="shared" si="50"/>
        <v/>
      </c>
      <c r="P441" s="22" t="str">
        <f t="shared" si="51"/>
        <v/>
      </c>
      <c r="Q441" s="22">
        <f t="shared" si="52"/>
        <v>1</v>
      </c>
      <c r="R441" s="29" t="str">
        <f t="shared" si="53"/>
        <v>No original Rhyp to compare</v>
      </c>
      <c r="S441" s="29" t="str">
        <f t="shared" si="54"/>
        <v/>
      </c>
      <c r="T441" s="22">
        <v>8.7482089999999992</v>
      </c>
      <c r="U441" s="29" t="s">
        <v>4576</v>
      </c>
      <c r="V441" s="29" t="str">
        <f t="shared" si="55"/>
        <v>No geometric exceedance</v>
      </c>
      <c r="W441" s="30">
        <v>24.657299999999999</v>
      </c>
      <c r="X441" s="30">
        <v>121.8135</v>
      </c>
      <c r="Y441" s="30">
        <v>10.17</v>
      </c>
      <c r="Z441" s="30">
        <v>11.757848540805183</v>
      </c>
      <c r="AA441" s="29" t="s">
        <v>2812</v>
      </c>
      <c r="AB441" s="29"/>
      <c r="AC441" s="39"/>
      <c r="AD441" s="39"/>
    </row>
    <row r="442" spans="1:30" ht="58" customHeight="1">
      <c r="A442" s="1" t="s">
        <v>1263</v>
      </c>
      <c r="B442" s="1">
        <v>199</v>
      </c>
      <c r="C442" s="1" t="s">
        <v>4010</v>
      </c>
      <c r="D442" s="29" t="s">
        <v>559</v>
      </c>
      <c r="E442" s="29" t="s">
        <v>560</v>
      </c>
      <c r="F442" s="1" t="s">
        <v>1112</v>
      </c>
      <c r="G442" s="30">
        <v>24.719833000000001</v>
      </c>
      <c r="H442" s="30">
        <v>121.744</v>
      </c>
      <c r="I442" s="30">
        <v>24.657299999999999</v>
      </c>
      <c r="J442" s="30">
        <v>121.8135</v>
      </c>
      <c r="K442" s="30">
        <v>10.17</v>
      </c>
      <c r="L442" s="22"/>
      <c r="M442" s="22">
        <f t="shared" si="48"/>
        <v>9.8819283304961267</v>
      </c>
      <c r="N442" s="22">
        <f t="shared" si="49"/>
        <v>14.180317610302739</v>
      </c>
      <c r="O442" s="22" t="str">
        <f t="shared" si="50"/>
        <v/>
      </c>
      <c r="P442" s="22" t="str">
        <f t="shared" si="51"/>
        <v/>
      </c>
      <c r="Q442" s="22">
        <f t="shared" si="52"/>
        <v>1</v>
      </c>
      <c r="R442" s="29" t="str">
        <f t="shared" si="53"/>
        <v>No original Rhyp to compare</v>
      </c>
      <c r="S442" s="29" t="str">
        <f t="shared" si="54"/>
        <v/>
      </c>
      <c r="T442" s="22">
        <v>11.277189999999999</v>
      </c>
      <c r="U442" s="29" t="s">
        <v>4576</v>
      </c>
      <c r="V442" s="29" t="str">
        <f t="shared" si="55"/>
        <v>No geometric exceedance</v>
      </c>
      <c r="W442" s="30">
        <v>24.657299999999999</v>
      </c>
      <c r="X442" s="30">
        <v>121.8135</v>
      </c>
      <c r="Y442" s="30">
        <v>10.17</v>
      </c>
      <c r="Z442" s="30">
        <v>14.180317610302771</v>
      </c>
      <c r="AA442" s="29" t="s">
        <v>2812</v>
      </c>
      <c r="AB442" s="29"/>
      <c r="AC442" s="39"/>
      <c r="AD442" s="39"/>
    </row>
    <row r="443" spans="1:30" ht="58" customHeight="1">
      <c r="A443" s="1" t="s">
        <v>1263</v>
      </c>
      <c r="B443" s="1">
        <v>200</v>
      </c>
      <c r="C443" s="1" t="s">
        <v>4012</v>
      </c>
      <c r="D443" s="29" t="s">
        <v>571</v>
      </c>
      <c r="E443" s="29" t="s">
        <v>572</v>
      </c>
      <c r="F443" s="1" t="s">
        <v>1128</v>
      </c>
      <c r="G443" s="30">
        <v>22.0032</v>
      </c>
      <c r="H443" s="30">
        <v>120.7457</v>
      </c>
      <c r="I443" s="30">
        <v>21.887</v>
      </c>
      <c r="J443" s="30">
        <v>120.5684</v>
      </c>
      <c r="K443" s="30">
        <v>44.1</v>
      </c>
      <c r="L443" s="22"/>
      <c r="M443" s="22">
        <f t="shared" si="48"/>
        <v>22.390610547926379</v>
      </c>
      <c r="N443" s="22">
        <f t="shared" si="49"/>
        <v>49.458562865381687</v>
      </c>
      <c r="O443" s="22" t="str">
        <f t="shared" si="50"/>
        <v/>
      </c>
      <c r="P443" s="22" t="str">
        <f t="shared" si="51"/>
        <v/>
      </c>
      <c r="Q443" s="22">
        <f t="shared" si="52"/>
        <v>2.4729281432690846</v>
      </c>
      <c r="R443" s="29" t="str">
        <f t="shared" si="53"/>
        <v>No original Rhyp to compare</v>
      </c>
      <c r="S443" s="29" t="str">
        <f t="shared" si="54"/>
        <v/>
      </c>
      <c r="T443" s="22">
        <v>40.848100000000002</v>
      </c>
      <c r="U443" s="29" t="s">
        <v>4576</v>
      </c>
      <c r="V443" s="29" t="str">
        <f t="shared" si="55"/>
        <v>No geometric exceedance</v>
      </c>
      <c r="W443" s="30">
        <v>21.887</v>
      </c>
      <c r="X443" s="30">
        <v>120.5684</v>
      </c>
      <c r="Y443" s="30">
        <v>44.1</v>
      </c>
      <c r="Z443" s="30">
        <v>49.458562865381666</v>
      </c>
      <c r="AA443" s="29" t="s">
        <v>2812</v>
      </c>
      <c r="AB443" s="29" t="s">
        <v>4577</v>
      </c>
      <c r="AC443" s="39"/>
      <c r="AD443" s="39"/>
    </row>
    <row r="444" spans="1:30" ht="58" customHeight="1">
      <c r="A444" s="1" t="s">
        <v>1263</v>
      </c>
      <c r="B444" s="1">
        <v>201</v>
      </c>
      <c r="C444" s="1" t="s">
        <v>4014</v>
      </c>
      <c r="D444" s="29" t="s">
        <v>566</v>
      </c>
      <c r="E444" s="29" t="s">
        <v>567</v>
      </c>
      <c r="F444" s="1" t="s">
        <v>1128</v>
      </c>
      <c r="G444" s="30">
        <v>22.003170000000001</v>
      </c>
      <c r="H444" s="30">
        <v>120.7457</v>
      </c>
      <c r="I444" s="30">
        <v>22.029699999999998</v>
      </c>
      <c r="J444" s="30">
        <v>120.4051</v>
      </c>
      <c r="K444" s="30">
        <v>33.799999999999997</v>
      </c>
      <c r="L444" s="22"/>
      <c r="M444" s="22">
        <f t="shared" si="48"/>
        <v>35.234857994958659</v>
      </c>
      <c r="N444" s="22">
        <f t="shared" si="49"/>
        <v>48.825559064130559</v>
      </c>
      <c r="O444" s="22" t="str">
        <f t="shared" si="50"/>
        <v/>
      </c>
      <c r="P444" s="22" t="str">
        <f t="shared" si="51"/>
        <v/>
      </c>
      <c r="Q444" s="22">
        <f t="shared" si="52"/>
        <v>2.4412779532065283</v>
      </c>
      <c r="R444" s="29" t="str">
        <f t="shared" si="53"/>
        <v>No original Rhyp to compare</v>
      </c>
      <c r="S444" s="29" t="str">
        <f t="shared" si="54"/>
        <v/>
      </c>
      <c r="T444" s="22">
        <v>34.815899999999999</v>
      </c>
      <c r="U444" s="29" t="s">
        <v>4576</v>
      </c>
      <c r="V444" s="29" t="str">
        <f t="shared" si="55"/>
        <v>No geometric exceedance</v>
      </c>
      <c r="W444" s="30">
        <v>22.029699999999998</v>
      </c>
      <c r="X444" s="30">
        <v>120.4051</v>
      </c>
      <c r="Y444" s="30">
        <v>33.799999999999997</v>
      </c>
      <c r="Z444" s="30">
        <v>48.825559064130545</v>
      </c>
      <c r="AA444" s="29" t="s">
        <v>2812</v>
      </c>
      <c r="AB444" s="29" t="s">
        <v>4577</v>
      </c>
      <c r="AC444" s="39"/>
      <c r="AD444" s="39"/>
    </row>
    <row r="445" spans="1:30" ht="58" customHeight="1">
      <c r="A445" s="1" t="s">
        <v>1263</v>
      </c>
      <c r="B445" s="1">
        <v>202</v>
      </c>
      <c r="C445" s="1" t="s">
        <v>4016</v>
      </c>
      <c r="D445" s="29" t="s">
        <v>566</v>
      </c>
      <c r="E445" s="29" t="s">
        <v>567</v>
      </c>
      <c r="F445" s="1" t="s">
        <v>1129</v>
      </c>
      <c r="G445" s="30">
        <v>22.008500000000002</v>
      </c>
      <c r="H445" s="30">
        <v>120.7452</v>
      </c>
      <c r="I445" s="30">
        <v>22.029699999999998</v>
      </c>
      <c r="J445" s="30">
        <v>120.4051</v>
      </c>
      <c r="K445" s="30">
        <v>33.799999999999997</v>
      </c>
      <c r="L445" s="22"/>
      <c r="M445" s="22">
        <f t="shared" si="48"/>
        <v>35.138108703717059</v>
      </c>
      <c r="N445" s="22">
        <f t="shared" si="49"/>
        <v>48.755786151740352</v>
      </c>
      <c r="O445" s="22" t="str">
        <f t="shared" si="50"/>
        <v/>
      </c>
      <c r="P445" s="22" t="str">
        <f t="shared" si="51"/>
        <v/>
      </c>
      <c r="Q445" s="22">
        <f t="shared" si="52"/>
        <v>2.4377893075870176</v>
      </c>
      <c r="R445" s="29" t="str">
        <f t="shared" si="53"/>
        <v>No original Rhyp to compare</v>
      </c>
      <c r="S445" s="29" t="str">
        <f t="shared" si="54"/>
        <v/>
      </c>
      <c r="T445" s="22">
        <v>34.978319999999997</v>
      </c>
      <c r="U445" s="29" t="s">
        <v>4576</v>
      </c>
      <c r="V445" s="29" t="str">
        <f t="shared" si="55"/>
        <v>No geometric exceedance</v>
      </c>
      <c r="W445" s="30">
        <v>22.029699999999998</v>
      </c>
      <c r="X445" s="30">
        <v>120.4051</v>
      </c>
      <c r="Y445" s="30">
        <v>33.799999999999997</v>
      </c>
      <c r="Z445" s="30">
        <v>48.755786151740345</v>
      </c>
      <c r="AA445" s="29" t="s">
        <v>2812</v>
      </c>
      <c r="AB445" s="29" t="s">
        <v>4577</v>
      </c>
      <c r="AC445" s="39"/>
      <c r="AD445" s="39"/>
    </row>
    <row r="446" spans="1:30" ht="58" customHeight="1">
      <c r="A446" s="1" t="s">
        <v>1263</v>
      </c>
      <c r="B446" s="1">
        <v>203</v>
      </c>
      <c r="C446" s="1" t="s">
        <v>4018</v>
      </c>
      <c r="D446" s="29" t="s">
        <v>566</v>
      </c>
      <c r="E446" s="29" t="s">
        <v>567</v>
      </c>
      <c r="F446" s="1" t="s">
        <v>1130</v>
      </c>
      <c r="G446" s="30">
        <v>21.940329999999999</v>
      </c>
      <c r="H446" s="30">
        <v>120.73220000000001</v>
      </c>
      <c r="I446" s="30">
        <v>22.029699999999998</v>
      </c>
      <c r="J446" s="30">
        <v>120.4051</v>
      </c>
      <c r="K446" s="30">
        <v>33.799999999999997</v>
      </c>
      <c r="L446" s="22"/>
      <c r="M446" s="22">
        <f t="shared" si="48"/>
        <v>35.160504176511644</v>
      </c>
      <c r="N446" s="22">
        <f t="shared" si="49"/>
        <v>48.771928954537906</v>
      </c>
      <c r="O446" s="22" t="str">
        <f t="shared" si="50"/>
        <v/>
      </c>
      <c r="P446" s="22" t="str">
        <f t="shared" si="51"/>
        <v/>
      </c>
      <c r="Q446" s="22">
        <f t="shared" si="52"/>
        <v>2.4385964477268955</v>
      </c>
      <c r="R446" s="29" t="str">
        <f t="shared" si="53"/>
        <v>No original Rhyp to compare</v>
      </c>
      <c r="S446" s="29" t="str">
        <f t="shared" si="54"/>
        <v/>
      </c>
      <c r="T446" s="22">
        <v>31.883759999999999</v>
      </c>
      <c r="U446" s="29" t="s">
        <v>4576</v>
      </c>
      <c r="V446" s="29" t="str">
        <f t="shared" si="55"/>
        <v>No geometric exceedance</v>
      </c>
      <c r="W446" s="30">
        <v>22.029699999999998</v>
      </c>
      <c r="X446" s="30">
        <v>120.4051</v>
      </c>
      <c r="Y446" s="30">
        <v>33.799999999999997</v>
      </c>
      <c r="Z446" s="30">
        <v>48.771928954537863</v>
      </c>
      <c r="AA446" s="29" t="s">
        <v>2812</v>
      </c>
      <c r="AB446" s="29" t="s">
        <v>4577</v>
      </c>
      <c r="AC446" s="39"/>
      <c r="AD446" s="39"/>
    </row>
    <row r="447" spans="1:30" ht="58" customHeight="1">
      <c r="A447" s="1" t="s">
        <v>1263</v>
      </c>
      <c r="B447" s="1">
        <v>204</v>
      </c>
      <c r="C447" s="1" t="s">
        <v>4020</v>
      </c>
      <c r="D447" s="29" t="s">
        <v>576</v>
      </c>
      <c r="E447" s="29" t="s">
        <v>577</v>
      </c>
      <c r="F447" s="1" t="s">
        <v>1131</v>
      </c>
      <c r="G447" s="30">
        <v>22.781333</v>
      </c>
      <c r="H447" s="30">
        <v>121.119333</v>
      </c>
      <c r="I447" s="30">
        <v>22.881</v>
      </c>
      <c r="J447" s="30">
        <v>121.06480000000001</v>
      </c>
      <c r="K447" s="30">
        <v>9.7100000000000009</v>
      </c>
      <c r="L447" s="22"/>
      <c r="M447" s="22">
        <f t="shared" si="48"/>
        <v>12.411876263177113</v>
      </c>
      <c r="N447" s="22">
        <f t="shared" si="49"/>
        <v>15.758768110877813</v>
      </c>
      <c r="O447" s="22" t="str">
        <f t="shared" si="50"/>
        <v/>
      </c>
      <c r="P447" s="22" t="str">
        <f t="shared" si="51"/>
        <v/>
      </c>
      <c r="Q447" s="22">
        <f t="shared" si="52"/>
        <v>1</v>
      </c>
      <c r="R447" s="29" t="str">
        <f t="shared" si="53"/>
        <v>No original Rhyp to compare</v>
      </c>
      <c r="S447" s="29" t="str">
        <f t="shared" si="54"/>
        <v/>
      </c>
      <c r="T447" s="22">
        <v>11.114708</v>
      </c>
      <c r="U447" s="29" t="s">
        <v>4576</v>
      </c>
      <c r="V447" s="29" t="str">
        <f t="shared" si="55"/>
        <v>No geometric exceedance</v>
      </c>
      <c r="W447" s="30">
        <v>22.881</v>
      </c>
      <c r="X447" s="30">
        <v>121.06480000000001</v>
      </c>
      <c r="Y447" s="30">
        <v>9.7100000000000009</v>
      </c>
      <c r="Z447" s="30">
        <v>15.758768110877815</v>
      </c>
      <c r="AA447" s="29" t="s">
        <v>2812</v>
      </c>
      <c r="AB447" s="29"/>
      <c r="AC447" s="39"/>
      <c r="AD447" s="39"/>
    </row>
    <row r="448" spans="1:30" ht="58" customHeight="1">
      <c r="A448" s="1" t="s">
        <v>1263</v>
      </c>
      <c r="B448" s="1">
        <v>205</v>
      </c>
      <c r="C448" s="1" t="s">
        <v>4022</v>
      </c>
      <c r="D448" s="29" t="s">
        <v>576</v>
      </c>
      <c r="E448" s="29" t="s">
        <v>577</v>
      </c>
      <c r="F448" s="1" t="s">
        <v>1132</v>
      </c>
      <c r="G448" s="30">
        <v>22.763999999999999</v>
      </c>
      <c r="H448" s="30">
        <v>121.14149999999999</v>
      </c>
      <c r="I448" s="30">
        <v>22.881</v>
      </c>
      <c r="J448" s="30">
        <v>121.06480000000001</v>
      </c>
      <c r="K448" s="30">
        <v>9.7100000000000009</v>
      </c>
      <c r="L448" s="22"/>
      <c r="M448" s="22">
        <f t="shared" si="48"/>
        <v>15.200314850329653</v>
      </c>
      <c r="N448" s="22">
        <f t="shared" si="49"/>
        <v>18.037008386901419</v>
      </c>
      <c r="O448" s="22" t="str">
        <f t="shared" si="50"/>
        <v/>
      </c>
      <c r="P448" s="22" t="str">
        <f t="shared" si="51"/>
        <v/>
      </c>
      <c r="Q448" s="22">
        <f t="shared" si="52"/>
        <v>1</v>
      </c>
      <c r="R448" s="29" t="str">
        <f t="shared" si="53"/>
        <v>No original Rhyp to compare</v>
      </c>
      <c r="S448" s="29" t="str">
        <f t="shared" si="54"/>
        <v/>
      </c>
      <c r="T448" s="22">
        <v>12.358326</v>
      </c>
      <c r="U448" s="29" t="s">
        <v>4576</v>
      </c>
      <c r="V448" s="29" t="str">
        <f t="shared" si="55"/>
        <v>No geometric exceedance</v>
      </c>
      <c r="W448" s="30">
        <v>22.881</v>
      </c>
      <c r="X448" s="30">
        <v>121.06480000000001</v>
      </c>
      <c r="Y448" s="30">
        <v>9.7100000000000009</v>
      </c>
      <c r="Z448" s="30">
        <v>18.037008386901377</v>
      </c>
      <c r="AA448" s="29" t="s">
        <v>2812</v>
      </c>
      <c r="AB448" s="29"/>
      <c r="AC448" s="39"/>
      <c r="AD448" s="39"/>
    </row>
    <row r="449" spans="1:30" ht="58" customHeight="1">
      <c r="A449" s="1" t="s">
        <v>1263</v>
      </c>
      <c r="B449" s="1">
        <v>206</v>
      </c>
      <c r="C449" s="1" t="s">
        <v>4024</v>
      </c>
      <c r="D449" s="29" t="s">
        <v>576</v>
      </c>
      <c r="E449" s="29" t="s">
        <v>577</v>
      </c>
      <c r="F449" s="1" t="s">
        <v>1133</v>
      </c>
      <c r="G449" s="30">
        <v>22.807333</v>
      </c>
      <c r="H449" s="30">
        <v>121.093833</v>
      </c>
      <c r="I449" s="30">
        <v>22.881</v>
      </c>
      <c r="J449" s="30">
        <v>121.06480000000001</v>
      </c>
      <c r="K449" s="30">
        <v>9.7100000000000009</v>
      </c>
      <c r="L449" s="22"/>
      <c r="M449" s="22">
        <f t="shared" si="48"/>
        <v>8.7149431373719324</v>
      </c>
      <c r="N449" s="22">
        <f t="shared" si="49"/>
        <v>13.047388010158439</v>
      </c>
      <c r="O449" s="22" t="str">
        <f t="shared" si="50"/>
        <v/>
      </c>
      <c r="P449" s="22" t="str">
        <f t="shared" si="51"/>
        <v/>
      </c>
      <c r="Q449" s="22">
        <f t="shared" si="52"/>
        <v>1</v>
      </c>
      <c r="R449" s="29" t="str">
        <f t="shared" si="53"/>
        <v>No original Rhyp to compare</v>
      </c>
      <c r="S449" s="29" t="str">
        <f t="shared" si="54"/>
        <v/>
      </c>
      <c r="T449" s="22">
        <v>9.1040759999999992</v>
      </c>
      <c r="U449" s="29" t="s">
        <v>4576</v>
      </c>
      <c r="V449" s="29" t="str">
        <f t="shared" si="55"/>
        <v>No geometric exceedance</v>
      </c>
      <c r="W449" s="30">
        <v>22.881</v>
      </c>
      <c r="X449" s="30">
        <v>121.06480000000001</v>
      </c>
      <c r="Y449" s="30">
        <v>9.7100000000000009</v>
      </c>
      <c r="Z449" s="30">
        <v>13.047388010158272</v>
      </c>
      <c r="AA449" s="29" t="s">
        <v>2812</v>
      </c>
      <c r="AB449" s="29"/>
      <c r="AC449" s="39"/>
      <c r="AD449" s="39"/>
    </row>
    <row r="450" spans="1:30" ht="58" customHeight="1">
      <c r="A450" s="1" t="s">
        <v>1263</v>
      </c>
      <c r="B450" s="1">
        <v>207</v>
      </c>
      <c r="C450" s="1" t="s">
        <v>4026</v>
      </c>
      <c r="D450" s="29" t="s">
        <v>576</v>
      </c>
      <c r="E450" s="29" t="s">
        <v>577</v>
      </c>
      <c r="F450" s="1" t="s">
        <v>1134</v>
      </c>
      <c r="G450" s="30">
        <v>22.772167</v>
      </c>
      <c r="H450" s="30">
        <v>121.09099999999999</v>
      </c>
      <c r="I450" s="30">
        <v>22.881</v>
      </c>
      <c r="J450" s="30">
        <v>121.06480000000001</v>
      </c>
      <c r="K450" s="30">
        <v>9.7100000000000009</v>
      </c>
      <c r="L450" s="22"/>
      <c r="M450" s="22">
        <f t="shared" ref="M450:M513" si="56">IF(OR(G450="",H450="",I450="",J450="",K450=""),"",12742*ASIN(SQRT(MIN(1,SIN(RADIANS(I450-G450)/2)^2+COS(RADIANS(I450))*COS(RADIANS(G450))*SIN(RADIANS(J450-H450)/2)^2))))</f>
        <v>12.395991479314221</v>
      </c>
      <c r="N450" s="22">
        <f t="shared" ref="N450:N513" si="57">IF(M450="","",SQRT(M450^2+K450^2))</f>
        <v>15.746260024375019</v>
      </c>
      <c r="O450" s="22" t="str">
        <f t="shared" ref="O450:O513" si="58">IF(OR(L450="",N450=""),"",L450-N450)</f>
        <v/>
      </c>
      <c r="P450" s="22" t="str">
        <f t="shared" ref="P450:P513" si="59">IF(OR(L450="",N450="",N450=0),"",100*O450/N450)</f>
        <v/>
      </c>
      <c r="Q450" s="22">
        <f t="shared" ref="Q450:Q513" si="60">IF(N450="","",MAX(1,0.05*N450))</f>
        <v>1</v>
      </c>
      <c r="R450" s="29" t="str">
        <f t="shared" ref="R450:R513" si="61">IF(N450="","Missing station coordinates",IF(L450="","No original Rhyp to compare",IF(ABS(O450)&gt;Q450,"Review: Rhyp mismatch","Within screening tolerance")))</f>
        <v>No original Rhyp to compare</v>
      </c>
      <c r="S450" s="29" t="str">
        <f t="shared" ref="S450:S513" si="62">IF(L450="","",IF(L450&lt;K450-1,"Rhyp below depth by &gt;1 km",IF(L450&lt;K450,"Rhyp below depth by &lt;=1 km","")))</f>
        <v/>
      </c>
      <c r="T450" s="22">
        <v>12.710732999999999</v>
      </c>
      <c r="U450" s="29" t="s">
        <v>4576</v>
      </c>
      <c r="V450" s="29" t="str">
        <f t="shared" ref="V450:V513" si="63">IF(T450="","Missing Rrup/closest distance",IF(N450="","Cannot check without coordinates",IF(T450&gt;N450+1,"Review: distance &gt; recalculated Rhyp +1 km","No geometric exceedance")))</f>
        <v>No geometric exceedance</v>
      </c>
      <c r="W450" s="30">
        <v>22.881</v>
      </c>
      <c r="X450" s="30">
        <v>121.06480000000001</v>
      </c>
      <c r="Y450" s="30">
        <v>9.7100000000000009</v>
      </c>
      <c r="Z450" s="30">
        <v>15.746260024374982</v>
      </c>
      <c r="AA450" s="29" t="s">
        <v>2812</v>
      </c>
      <c r="AB450" s="29"/>
      <c r="AC450" s="39"/>
      <c r="AD450" s="39"/>
    </row>
    <row r="451" spans="1:30" ht="58" customHeight="1">
      <c r="A451" s="1" t="s">
        <v>1263</v>
      </c>
      <c r="B451" s="1">
        <v>208</v>
      </c>
      <c r="C451" s="1" t="s">
        <v>4028</v>
      </c>
      <c r="D451" s="29" t="s">
        <v>576</v>
      </c>
      <c r="E451" s="29" t="s">
        <v>577</v>
      </c>
      <c r="F451" s="1" t="s">
        <v>1135</v>
      </c>
      <c r="G451" s="30">
        <v>22.730499999999999</v>
      </c>
      <c r="H451" s="30">
        <v>121.107333</v>
      </c>
      <c r="I451" s="30">
        <v>22.881</v>
      </c>
      <c r="J451" s="30">
        <v>121.06480000000001</v>
      </c>
      <c r="K451" s="30">
        <v>9.7100000000000009</v>
      </c>
      <c r="L451" s="22"/>
      <c r="M451" s="22">
        <f t="shared" si="56"/>
        <v>17.293407378087288</v>
      </c>
      <c r="N451" s="22">
        <f t="shared" si="57"/>
        <v>19.832953354064134</v>
      </c>
      <c r="O451" s="22" t="str">
        <f t="shared" si="58"/>
        <v/>
      </c>
      <c r="P451" s="22" t="str">
        <f t="shared" si="59"/>
        <v/>
      </c>
      <c r="Q451" s="22">
        <f t="shared" si="60"/>
        <v>1</v>
      </c>
      <c r="R451" s="29" t="str">
        <f t="shared" si="61"/>
        <v>No original Rhyp to compare</v>
      </c>
      <c r="S451" s="29" t="str">
        <f t="shared" si="62"/>
        <v/>
      </c>
      <c r="T451" s="22">
        <v>16.662562000000001</v>
      </c>
      <c r="U451" s="29" t="s">
        <v>4576</v>
      </c>
      <c r="V451" s="29" t="str">
        <f t="shared" si="63"/>
        <v>No geometric exceedance</v>
      </c>
      <c r="W451" s="30">
        <v>22.881</v>
      </c>
      <c r="X451" s="30">
        <v>121.06480000000001</v>
      </c>
      <c r="Y451" s="30">
        <v>9.7100000000000009</v>
      </c>
      <c r="Z451" s="30">
        <v>19.832953354063942</v>
      </c>
      <c r="AA451" s="29" t="s">
        <v>2812</v>
      </c>
      <c r="AB451" s="29"/>
      <c r="AC451" s="39"/>
      <c r="AD451" s="39"/>
    </row>
    <row r="452" spans="1:30" ht="58" customHeight="1">
      <c r="A452" s="1" t="s">
        <v>1263</v>
      </c>
      <c r="B452" s="1">
        <v>209</v>
      </c>
      <c r="C452" s="1" t="s">
        <v>4030</v>
      </c>
      <c r="D452" s="29" t="s">
        <v>576</v>
      </c>
      <c r="E452" s="29" t="s">
        <v>577</v>
      </c>
      <c r="F452" s="1" t="s">
        <v>1136</v>
      </c>
      <c r="G452" s="30">
        <v>22.764973000000001</v>
      </c>
      <c r="H452" s="30">
        <v>121.145516</v>
      </c>
      <c r="I452" s="30">
        <v>22.881</v>
      </c>
      <c r="J452" s="30">
        <v>121.06480000000001</v>
      </c>
      <c r="K452" s="30">
        <v>9.7100000000000009</v>
      </c>
      <c r="L452" s="22"/>
      <c r="M452" s="22">
        <f t="shared" si="56"/>
        <v>15.325996603139957</v>
      </c>
      <c r="N452" s="22">
        <f t="shared" si="57"/>
        <v>18.143050236370332</v>
      </c>
      <c r="O452" s="22" t="str">
        <f t="shared" si="58"/>
        <v/>
      </c>
      <c r="P452" s="22" t="str">
        <f t="shared" si="59"/>
        <v/>
      </c>
      <c r="Q452" s="22">
        <f t="shared" si="60"/>
        <v>1</v>
      </c>
      <c r="R452" s="29" t="str">
        <f t="shared" si="61"/>
        <v>No original Rhyp to compare</v>
      </c>
      <c r="S452" s="29" t="str">
        <f t="shared" si="62"/>
        <v/>
      </c>
      <c r="T452" s="22">
        <v>12.161220999999999</v>
      </c>
      <c r="U452" s="29" t="s">
        <v>4576</v>
      </c>
      <c r="V452" s="29" t="str">
        <f t="shared" si="63"/>
        <v>No geometric exceedance</v>
      </c>
      <c r="W452" s="30">
        <v>22.881</v>
      </c>
      <c r="X452" s="30">
        <v>121.06480000000001</v>
      </c>
      <c r="Y452" s="30">
        <v>9.7100000000000009</v>
      </c>
      <c r="Z452" s="30">
        <v>18.143050236370282</v>
      </c>
      <c r="AA452" s="29" t="s">
        <v>2812</v>
      </c>
      <c r="AB452" s="29"/>
      <c r="AC452" s="39"/>
      <c r="AD452" s="39"/>
    </row>
    <row r="453" spans="1:30" ht="58" customHeight="1">
      <c r="A453" s="1" t="s">
        <v>1263</v>
      </c>
      <c r="B453" s="1">
        <v>210</v>
      </c>
      <c r="C453" s="1" t="s">
        <v>4032</v>
      </c>
      <c r="D453" s="29" t="s">
        <v>581</v>
      </c>
      <c r="E453" s="29" t="s">
        <v>1137</v>
      </c>
      <c r="F453" s="1" t="s">
        <v>955</v>
      </c>
      <c r="G453" s="30">
        <v>37.273600000000002</v>
      </c>
      <c r="H453" s="30">
        <v>138.39439999999999</v>
      </c>
      <c r="I453" s="30">
        <v>37.538200000000003</v>
      </c>
      <c r="J453" s="30">
        <v>138.6174</v>
      </c>
      <c r="K453" s="30">
        <v>9</v>
      </c>
      <c r="L453" s="22"/>
      <c r="M453" s="22">
        <f t="shared" si="56"/>
        <v>35.406768230988312</v>
      </c>
      <c r="N453" s="22">
        <f t="shared" si="57"/>
        <v>36.532714607087762</v>
      </c>
      <c r="O453" s="22" t="str">
        <f t="shared" si="58"/>
        <v/>
      </c>
      <c r="P453" s="22" t="str">
        <f t="shared" si="59"/>
        <v/>
      </c>
      <c r="Q453" s="22">
        <f t="shared" si="60"/>
        <v>1.8266357303543881</v>
      </c>
      <c r="R453" s="29" t="str">
        <f t="shared" si="61"/>
        <v>No original Rhyp to compare</v>
      </c>
      <c r="S453" s="29" t="str">
        <f t="shared" si="62"/>
        <v/>
      </c>
      <c r="T453" s="22">
        <v>11.94</v>
      </c>
      <c r="U453" s="29" t="s">
        <v>4576</v>
      </c>
      <c r="V453" s="29" t="str">
        <f t="shared" si="63"/>
        <v>No geometric exceedance</v>
      </c>
      <c r="W453" s="30">
        <v>37.538200000000003</v>
      </c>
      <c r="X453" s="30">
        <v>138.6174</v>
      </c>
      <c r="Y453" s="30">
        <v>9</v>
      </c>
      <c r="Z453" s="30">
        <v>36.532714607088067</v>
      </c>
      <c r="AA453" s="29" t="s">
        <v>2812</v>
      </c>
      <c r="AB453" s="29"/>
      <c r="AC453" s="39"/>
      <c r="AD453" s="39"/>
    </row>
    <row r="454" spans="1:30" ht="58" customHeight="1">
      <c r="A454" s="1" t="s">
        <v>1263</v>
      </c>
      <c r="B454" s="1">
        <v>211</v>
      </c>
      <c r="C454" s="1" t="s">
        <v>4034</v>
      </c>
      <c r="D454" s="29" t="s">
        <v>588</v>
      </c>
      <c r="E454" s="29" t="s">
        <v>589</v>
      </c>
      <c r="F454" s="1" t="s">
        <v>1134</v>
      </c>
      <c r="G454" s="30">
        <v>22.772200000000002</v>
      </c>
      <c r="H454" s="30">
        <v>121.09099999999999</v>
      </c>
      <c r="I454" s="30">
        <v>22.645800000000001</v>
      </c>
      <c r="J454" s="30">
        <v>121.0633</v>
      </c>
      <c r="K454" s="30">
        <v>5.62</v>
      </c>
      <c r="L454" s="22"/>
      <c r="M454" s="22">
        <f t="shared" si="56"/>
        <v>14.339359163869711</v>
      </c>
      <c r="N454" s="22">
        <f t="shared" si="57"/>
        <v>15.401351279366828</v>
      </c>
      <c r="O454" s="22" t="str">
        <f t="shared" si="58"/>
        <v/>
      </c>
      <c r="P454" s="22" t="str">
        <f t="shared" si="59"/>
        <v/>
      </c>
      <c r="Q454" s="22">
        <f t="shared" si="60"/>
        <v>1</v>
      </c>
      <c r="R454" s="29" t="str">
        <f t="shared" si="61"/>
        <v>No original Rhyp to compare</v>
      </c>
      <c r="S454" s="29" t="str">
        <f t="shared" si="62"/>
        <v/>
      </c>
      <c r="T454" s="22">
        <v>13.6015</v>
      </c>
      <c r="U454" s="29" t="s">
        <v>4576</v>
      </c>
      <c r="V454" s="29" t="str">
        <f t="shared" si="63"/>
        <v>No geometric exceedance</v>
      </c>
      <c r="W454" s="30">
        <v>22.645800000000001</v>
      </c>
      <c r="X454" s="30">
        <v>121.0633</v>
      </c>
      <c r="Y454" s="30">
        <v>5.62</v>
      </c>
      <c r="Z454" s="30">
        <v>15.401351279366798</v>
      </c>
      <c r="AA454" s="29" t="s">
        <v>2812</v>
      </c>
      <c r="AB454" s="29"/>
      <c r="AC454" s="39"/>
      <c r="AD454" s="39"/>
    </row>
    <row r="455" spans="1:30" ht="58" customHeight="1">
      <c r="A455" s="1" t="s">
        <v>1263</v>
      </c>
      <c r="B455" s="1">
        <v>212</v>
      </c>
      <c r="C455" s="1" t="s">
        <v>4036</v>
      </c>
      <c r="D455" s="29" t="s">
        <v>603</v>
      </c>
      <c r="E455" s="29" t="s">
        <v>604</v>
      </c>
      <c r="F455" s="1" t="s">
        <v>1138</v>
      </c>
      <c r="G455" s="30">
        <v>23.972829999999998</v>
      </c>
      <c r="H455" s="30">
        <v>121.56270000000001</v>
      </c>
      <c r="I455" s="30">
        <v>23.7988</v>
      </c>
      <c r="J455" s="30">
        <v>121.657</v>
      </c>
      <c r="K455" s="30">
        <v>43.05</v>
      </c>
      <c r="L455" s="22"/>
      <c r="M455" s="22">
        <f t="shared" si="56"/>
        <v>21.596144973528975</v>
      </c>
      <c r="N455" s="22">
        <f t="shared" si="57"/>
        <v>48.163222252229765</v>
      </c>
      <c r="O455" s="22" t="str">
        <f t="shared" si="58"/>
        <v/>
      </c>
      <c r="P455" s="22" t="str">
        <f t="shared" si="59"/>
        <v/>
      </c>
      <c r="Q455" s="22">
        <f t="shared" si="60"/>
        <v>2.4081611126114884</v>
      </c>
      <c r="R455" s="29" t="str">
        <f t="shared" si="61"/>
        <v>No original Rhyp to compare</v>
      </c>
      <c r="S455" s="29" t="str">
        <f t="shared" si="62"/>
        <v/>
      </c>
      <c r="T455" s="22">
        <v>37.689619999999998</v>
      </c>
      <c r="U455" s="29" t="s">
        <v>4576</v>
      </c>
      <c r="V455" s="29" t="str">
        <f t="shared" si="63"/>
        <v>No geometric exceedance</v>
      </c>
      <c r="W455" s="30">
        <v>23.7988</v>
      </c>
      <c r="X455" s="30">
        <v>121.657</v>
      </c>
      <c r="Y455" s="30">
        <v>43.05</v>
      </c>
      <c r="Z455" s="30">
        <v>48.163222252229801</v>
      </c>
      <c r="AA455" s="29" t="s">
        <v>2812</v>
      </c>
      <c r="AB455" s="29"/>
      <c r="AC455" s="39"/>
      <c r="AD455" s="39"/>
    </row>
    <row r="456" spans="1:30" ht="58" customHeight="1">
      <c r="A456" s="1" t="s">
        <v>1263</v>
      </c>
      <c r="B456" s="1">
        <v>213</v>
      </c>
      <c r="C456" s="1" t="s">
        <v>4038</v>
      </c>
      <c r="D456" s="29" t="s">
        <v>603</v>
      </c>
      <c r="E456" s="29" t="s">
        <v>604</v>
      </c>
      <c r="F456" s="1" t="s">
        <v>1139</v>
      </c>
      <c r="G456" s="30">
        <v>23.963170000000002</v>
      </c>
      <c r="H456" s="30">
        <v>121.5685</v>
      </c>
      <c r="I456" s="30">
        <v>23.7988</v>
      </c>
      <c r="J456" s="30">
        <v>121.657</v>
      </c>
      <c r="K456" s="30">
        <v>43.05</v>
      </c>
      <c r="L456" s="22"/>
      <c r="M456" s="22">
        <f t="shared" si="56"/>
        <v>20.372076301693145</v>
      </c>
      <c r="N456" s="22">
        <f t="shared" si="57"/>
        <v>47.626925082793313</v>
      </c>
      <c r="O456" s="22" t="str">
        <f t="shared" si="58"/>
        <v/>
      </c>
      <c r="P456" s="22" t="str">
        <f t="shared" si="59"/>
        <v/>
      </c>
      <c r="Q456" s="22">
        <f t="shared" si="60"/>
        <v>2.3813462541396659</v>
      </c>
      <c r="R456" s="29" t="str">
        <f t="shared" si="61"/>
        <v>No original Rhyp to compare</v>
      </c>
      <c r="S456" s="29" t="str">
        <f t="shared" si="62"/>
        <v/>
      </c>
      <c r="T456" s="22">
        <v>37.21181</v>
      </c>
      <c r="U456" s="29" t="s">
        <v>4576</v>
      </c>
      <c r="V456" s="29" t="str">
        <f t="shared" si="63"/>
        <v>No geometric exceedance</v>
      </c>
      <c r="W456" s="30">
        <v>23.7988</v>
      </c>
      <c r="X456" s="30">
        <v>121.657</v>
      </c>
      <c r="Y456" s="30">
        <v>43.05</v>
      </c>
      <c r="Z456" s="30">
        <v>47.626925082793321</v>
      </c>
      <c r="AA456" s="29" t="s">
        <v>2812</v>
      </c>
      <c r="AB456" s="29"/>
      <c r="AC456" s="39"/>
      <c r="AD456" s="39"/>
    </row>
    <row r="457" spans="1:30" ht="58" customHeight="1">
      <c r="A457" s="1" t="s">
        <v>1263</v>
      </c>
      <c r="B457" s="1">
        <v>214</v>
      </c>
      <c r="C457" s="1" t="s">
        <v>4040</v>
      </c>
      <c r="D457" s="29" t="s">
        <v>603</v>
      </c>
      <c r="E457" s="29" t="s">
        <v>604</v>
      </c>
      <c r="F457" s="1" t="s">
        <v>1140</v>
      </c>
      <c r="G457" s="30">
        <v>24.05367</v>
      </c>
      <c r="H457" s="30">
        <v>121.5985</v>
      </c>
      <c r="I457" s="30">
        <v>23.7988</v>
      </c>
      <c r="J457" s="30">
        <v>121.657</v>
      </c>
      <c r="K457" s="30">
        <v>43.05</v>
      </c>
      <c r="L457" s="22"/>
      <c r="M457" s="22">
        <f t="shared" si="56"/>
        <v>28.957274882431101</v>
      </c>
      <c r="N457" s="22">
        <f t="shared" si="57"/>
        <v>51.882812844107391</v>
      </c>
      <c r="O457" s="22" t="str">
        <f t="shared" si="58"/>
        <v/>
      </c>
      <c r="P457" s="22" t="str">
        <f t="shared" si="59"/>
        <v/>
      </c>
      <c r="Q457" s="22">
        <f t="shared" si="60"/>
        <v>2.5941406422053697</v>
      </c>
      <c r="R457" s="29" t="str">
        <f t="shared" si="61"/>
        <v>No original Rhyp to compare</v>
      </c>
      <c r="S457" s="29" t="str">
        <f t="shared" si="62"/>
        <v/>
      </c>
      <c r="T457" s="22">
        <v>41.091760000000001</v>
      </c>
      <c r="U457" s="29" t="s">
        <v>4576</v>
      </c>
      <c r="V457" s="29" t="str">
        <f t="shared" si="63"/>
        <v>No geometric exceedance</v>
      </c>
      <c r="W457" s="30">
        <v>23.7988</v>
      </c>
      <c r="X457" s="30">
        <v>121.657</v>
      </c>
      <c r="Y457" s="30">
        <v>43.05</v>
      </c>
      <c r="Z457" s="30">
        <v>51.882812844107448</v>
      </c>
      <c r="AA457" s="29" t="s">
        <v>2812</v>
      </c>
      <c r="AB457" s="29"/>
      <c r="AC457" s="39"/>
      <c r="AD457" s="39"/>
    </row>
    <row r="458" spans="1:30" ht="58" customHeight="1">
      <c r="A458" s="1" t="s">
        <v>1263</v>
      </c>
      <c r="B458" s="1">
        <v>215</v>
      </c>
      <c r="C458" s="1" t="s">
        <v>4042</v>
      </c>
      <c r="D458" s="29" t="s">
        <v>603</v>
      </c>
      <c r="E458" s="29" t="s">
        <v>604</v>
      </c>
      <c r="F458" s="1" t="s">
        <v>1141</v>
      </c>
      <c r="G458" s="30">
        <v>24.014330000000001</v>
      </c>
      <c r="H458" s="30">
        <v>121.6095</v>
      </c>
      <c r="I458" s="30">
        <v>23.7988</v>
      </c>
      <c r="J458" s="30">
        <v>121.657</v>
      </c>
      <c r="K458" s="30">
        <v>43.05</v>
      </c>
      <c r="L458" s="22"/>
      <c r="M458" s="22">
        <f t="shared" si="56"/>
        <v>24.447436941742893</v>
      </c>
      <c r="N458" s="22">
        <f t="shared" si="57"/>
        <v>49.507369885911885</v>
      </c>
      <c r="O458" s="22" t="str">
        <f t="shared" si="58"/>
        <v/>
      </c>
      <c r="P458" s="22" t="str">
        <f t="shared" si="59"/>
        <v/>
      </c>
      <c r="Q458" s="22">
        <f t="shared" si="60"/>
        <v>2.4753684942955942</v>
      </c>
      <c r="R458" s="29" t="str">
        <f t="shared" si="61"/>
        <v>No original Rhyp to compare</v>
      </c>
      <c r="S458" s="29" t="str">
        <f t="shared" si="62"/>
        <v/>
      </c>
      <c r="T458" s="22">
        <v>38.81382</v>
      </c>
      <c r="U458" s="29" t="s">
        <v>4576</v>
      </c>
      <c r="V458" s="29" t="str">
        <f t="shared" si="63"/>
        <v>No geometric exceedance</v>
      </c>
      <c r="W458" s="30">
        <v>23.7988</v>
      </c>
      <c r="X458" s="30">
        <v>121.657</v>
      </c>
      <c r="Y458" s="30">
        <v>43.05</v>
      </c>
      <c r="Z458" s="30">
        <v>49.507369885911942</v>
      </c>
      <c r="AA458" s="29" t="s">
        <v>2812</v>
      </c>
      <c r="AB458" s="29"/>
      <c r="AC458" s="39"/>
      <c r="AD458" s="39"/>
    </row>
    <row r="459" spans="1:30" ht="58" customHeight="1">
      <c r="A459" s="1" t="s">
        <v>1263</v>
      </c>
      <c r="B459" s="1">
        <v>216</v>
      </c>
      <c r="C459" s="1" t="s">
        <v>4044</v>
      </c>
      <c r="D459" s="29" t="s">
        <v>603</v>
      </c>
      <c r="E459" s="29" t="s">
        <v>604</v>
      </c>
      <c r="F459" s="1" t="s">
        <v>1142</v>
      </c>
      <c r="G459" s="30">
        <v>24.009499999999999</v>
      </c>
      <c r="H459" s="30">
        <v>121.5805</v>
      </c>
      <c r="I459" s="30">
        <v>23.7988</v>
      </c>
      <c r="J459" s="30">
        <v>121.657</v>
      </c>
      <c r="K459" s="30">
        <v>43.05</v>
      </c>
      <c r="L459" s="22"/>
      <c r="M459" s="22">
        <f t="shared" si="56"/>
        <v>24.685732137566738</v>
      </c>
      <c r="N459" s="22">
        <f t="shared" si="57"/>
        <v>49.625476029633155</v>
      </c>
      <c r="O459" s="22" t="str">
        <f t="shared" si="58"/>
        <v/>
      </c>
      <c r="P459" s="22" t="str">
        <f t="shared" si="59"/>
        <v/>
      </c>
      <c r="Q459" s="22">
        <f t="shared" si="60"/>
        <v>2.4812738014816578</v>
      </c>
      <c r="R459" s="29" t="str">
        <f t="shared" si="61"/>
        <v>No original Rhyp to compare</v>
      </c>
      <c r="S459" s="29" t="str">
        <f t="shared" si="62"/>
        <v/>
      </c>
      <c r="T459" s="22">
        <v>38.945039999999999</v>
      </c>
      <c r="U459" s="29" t="s">
        <v>4576</v>
      </c>
      <c r="V459" s="29" t="str">
        <f t="shared" si="63"/>
        <v>No geometric exceedance</v>
      </c>
      <c r="W459" s="30">
        <v>23.7988</v>
      </c>
      <c r="X459" s="30">
        <v>121.657</v>
      </c>
      <c r="Y459" s="30">
        <v>43.05</v>
      </c>
      <c r="Z459" s="30">
        <v>49.625476029633219</v>
      </c>
      <c r="AA459" s="29" t="s">
        <v>2812</v>
      </c>
      <c r="AB459" s="29"/>
      <c r="AC459" s="39"/>
      <c r="AD459" s="39"/>
    </row>
    <row r="460" spans="1:30" ht="58" customHeight="1">
      <c r="A460" s="1" t="s">
        <v>1263</v>
      </c>
      <c r="B460" s="1">
        <v>217</v>
      </c>
      <c r="C460" s="1" t="s">
        <v>4046</v>
      </c>
      <c r="D460" s="29" t="s">
        <v>603</v>
      </c>
      <c r="E460" s="29" t="s">
        <v>604</v>
      </c>
      <c r="F460" s="1" t="s">
        <v>1143</v>
      </c>
      <c r="G460" s="30">
        <v>23.9878</v>
      </c>
      <c r="H460" s="30">
        <v>121.5908</v>
      </c>
      <c r="I460" s="30">
        <v>23.7988</v>
      </c>
      <c r="J460" s="30">
        <v>121.657</v>
      </c>
      <c r="K460" s="30">
        <v>43.05</v>
      </c>
      <c r="L460" s="22"/>
      <c r="M460" s="22">
        <f t="shared" si="56"/>
        <v>22.067215731130151</v>
      </c>
      <c r="N460" s="22">
        <f t="shared" si="57"/>
        <v>48.376280449454129</v>
      </c>
      <c r="O460" s="22" t="str">
        <f t="shared" si="58"/>
        <v/>
      </c>
      <c r="P460" s="22" t="str">
        <f t="shared" si="59"/>
        <v/>
      </c>
      <c r="Q460" s="22">
        <f t="shared" si="60"/>
        <v>2.4188140224727066</v>
      </c>
      <c r="R460" s="29" t="str">
        <f t="shared" si="61"/>
        <v>No original Rhyp to compare</v>
      </c>
      <c r="S460" s="29" t="str">
        <f t="shared" si="62"/>
        <v/>
      </c>
      <c r="T460" s="22">
        <v>37.798000000000002</v>
      </c>
      <c r="U460" s="29" t="s">
        <v>4576</v>
      </c>
      <c r="V460" s="29" t="str">
        <f t="shared" si="63"/>
        <v>No geometric exceedance</v>
      </c>
      <c r="W460" s="30">
        <v>23.7988</v>
      </c>
      <c r="X460" s="30">
        <v>121.657</v>
      </c>
      <c r="Y460" s="30">
        <v>43.05</v>
      </c>
      <c r="Z460" s="30">
        <v>48.376280449454143</v>
      </c>
      <c r="AA460" s="29" t="s">
        <v>2812</v>
      </c>
      <c r="AB460" s="29"/>
      <c r="AC460" s="39"/>
      <c r="AD460" s="39"/>
    </row>
    <row r="461" spans="1:30" ht="58" customHeight="1">
      <c r="A461" s="1" t="s">
        <v>1263</v>
      </c>
      <c r="B461" s="1">
        <v>218</v>
      </c>
      <c r="C461" s="1" t="s">
        <v>4048</v>
      </c>
      <c r="D461" s="29" t="s">
        <v>603</v>
      </c>
      <c r="E461" s="29" t="s">
        <v>604</v>
      </c>
      <c r="F461" s="1" t="s">
        <v>1144</v>
      </c>
      <c r="G461" s="30">
        <v>24.018000000000001</v>
      </c>
      <c r="H461" s="30">
        <v>121.61069999999999</v>
      </c>
      <c r="I461" s="30">
        <v>23.7988</v>
      </c>
      <c r="J461" s="30">
        <v>121.657</v>
      </c>
      <c r="K461" s="30">
        <v>43.05</v>
      </c>
      <c r="L461" s="22"/>
      <c r="M461" s="22">
        <f t="shared" si="56"/>
        <v>24.824184322836722</v>
      </c>
      <c r="N461" s="22">
        <f t="shared" si="57"/>
        <v>49.694492927226577</v>
      </c>
      <c r="O461" s="22" t="str">
        <f t="shared" si="58"/>
        <v/>
      </c>
      <c r="P461" s="22" t="str">
        <f t="shared" si="59"/>
        <v/>
      </c>
      <c r="Q461" s="22">
        <f t="shared" si="60"/>
        <v>2.4847246463613288</v>
      </c>
      <c r="R461" s="29" t="str">
        <f t="shared" si="61"/>
        <v>No original Rhyp to compare</v>
      </c>
      <c r="S461" s="29" t="str">
        <f t="shared" si="62"/>
        <v/>
      </c>
      <c r="T461" s="22">
        <v>38.991430000000001</v>
      </c>
      <c r="U461" s="29" t="s">
        <v>4576</v>
      </c>
      <c r="V461" s="29" t="str">
        <f t="shared" si="63"/>
        <v>No geometric exceedance</v>
      </c>
      <c r="W461" s="30">
        <v>23.7988</v>
      </c>
      <c r="X461" s="30">
        <v>121.657</v>
      </c>
      <c r="Y461" s="30">
        <v>43.05</v>
      </c>
      <c r="Z461" s="30">
        <v>49.694492927226563</v>
      </c>
      <c r="AA461" s="29" t="s">
        <v>2812</v>
      </c>
      <c r="AB461" s="29"/>
      <c r="AC461" s="39"/>
      <c r="AD461" s="39"/>
    </row>
    <row r="462" spans="1:30" ht="58" customHeight="1">
      <c r="A462" s="1" t="s">
        <v>1263</v>
      </c>
      <c r="B462" s="1">
        <v>219</v>
      </c>
      <c r="C462" s="1" t="s">
        <v>4050</v>
      </c>
      <c r="D462" s="29" t="s">
        <v>608</v>
      </c>
      <c r="E462" s="29" t="s">
        <v>1145</v>
      </c>
      <c r="F462" s="1" t="s">
        <v>974</v>
      </c>
      <c r="G462" s="30">
        <v>42.344999999999999</v>
      </c>
      <c r="H462" s="30">
        <v>13.401</v>
      </c>
      <c r="I462" s="30">
        <v>42.3476</v>
      </c>
      <c r="J462" s="30">
        <v>13.38</v>
      </c>
      <c r="K462" s="30">
        <v>9.27</v>
      </c>
      <c r="L462" s="22"/>
      <c r="M462" s="22">
        <f t="shared" si="56"/>
        <v>1.7498848087704739</v>
      </c>
      <c r="N462" s="22">
        <f t="shared" si="57"/>
        <v>9.4337159615904103</v>
      </c>
      <c r="O462" s="22" t="str">
        <f t="shared" si="58"/>
        <v/>
      </c>
      <c r="P462" s="22" t="str">
        <f t="shared" si="59"/>
        <v/>
      </c>
      <c r="Q462" s="22">
        <f t="shared" si="60"/>
        <v>1</v>
      </c>
      <c r="R462" s="29" t="str">
        <f t="shared" si="61"/>
        <v>No original Rhyp to compare</v>
      </c>
      <c r="S462" s="29" t="str">
        <f t="shared" si="62"/>
        <v/>
      </c>
      <c r="T462" s="22">
        <v>5.38</v>
      </c>
      <c r="U462" s="29" t="s">
        <v>4576</v>
      </c>
      <c r="V462" s="29" t="str">
        <f t="shared" si="63"/>
        <v>No geometric exceedance</v>
      </c>
      <c r="W462" s="30">
        <v>42.3476</v>
      </c>
      <c r="X462" s="30">
        <v>13.38</v>
      </c>
      <c r="Y462" s="30">
        <v>9.27</v>
      </c>
      <c r="Z462" s="30">
        <v>9.4337159615904085</v>
      </c>
      <c r="AA462" s="29" t="s">
        <v>2812</v>
      </c>
      <c r="AB462" s="29"/>
      <c r="AC462" s="39"/>
      <c r="AD462" s="39"/>
    </row>
    <row r="463" spans="1:30" ht="58" customHeight="1">
      <c r="A463" s="1" t="s">
        <v>1263</v>
      </c>
      <c r="B463" s="1">
        <v>220</v>
      </c>
      <c r="C463" s="1" t="s">
        <v>4052</v>
      </c>
      <c r="D463" s="29" t="s">
        <v>608</v>
      </c>
      <c r="E463" s="29" t="s">
        <v>1145</v>
      </c>
      <c r="F463" s="1" t="s">
        <v>972</v>
      </c>
      <c r="G463" s="30">
        <v>42.377000000000002</v>
      </c>
      <c r="H463" s="30">
        <v>13.343999999999999</v>
      </c>
      <c r="I463" s="30">
        <v>42.3476</v>
      </c>
      <c r="J463" s="30">
        <v>13.38</v>
      </c>
      <c r="K463" s="30">
        <v>9.27</v>
      </c>
      <c r="L463" s="22"/>
      <c r="M463" s="22">
        <f t="shared" si="56"/>
        <v>4.4086215857598683</v>
      </c>
      <c r="N463" s="22">
        <f t="shared" si="57"/>
        <v>10.264932746317816</v>
      </c>
      <c r="O463" s="22" t="str">
        <f t="shared" si="58"/>
        <v/>
      </c>
      <c r="P463" s="22" t="str">
        <f t="shared" si="59"/>
        <v/>
      </c>
      <c r="Q463" s="22">
        <f t="shared" si="60"/>
        <v>1</v>
      </c>
      <c r="R463" s="29" t="str">
        <f t="shared" si="61"/>
        <v>No original Rhyp to compare</v>
      </c>
      <c r="S463" s="29" t="str">
        <f t="shared" si="62"/>
        <v/>
      </c>
      <c r="T463" s="22">
        <v>6.27</v>
      </c>
      <c r="U463" s="29" t="s">
        <v>4576</v>
      </c>
      <c r="V463" s="29" t="str">
        <f t="shared" si="63"/>
        <v>No geometric exceedance</v>
      </c>
      <c r="W463" s="30">
        <v>42.3476</v>
      </c>
      <c r="X463" s="30">
        <v>13.38</v>
      </c>
      <c r="Y463" s="30">
        <v>9.27</v>
      </c>
      <c r="Z463" s="30">
        <v>10.264932746317896</v>
      </c>
      <c r="AA463" s="29" t="s">
        <v>2812</v>
      </c>
      <c r="AB463" s="29"/>
      <c r="AC463" s="39"/>
      <c r="AD463" s="39"/>
    </row>
    <row r="464" spans="1:30" ht="58" customHeight="1">
      <c r="A464" s="1" t="s">
        <v>1263</v>
      </c>
      <c r="B464" s="1">
        <v>221</v>
      </c>
      <c r="C464" s="1" t="s">
        <v>4054</v>
      </c>
      <c r="D464" s="29" t="s">
        <v>608</v>
      </c>
      <c r="E464" s="29" t="s">
        <v>1145</v>
      </c>
      <c r="F464" s="1" t="s">
        <v>973</v>
      </c>
      <c r="G464" s="30">
        <v>42.375999999999998</v>
      </c>
      <c r="H464" s="30">
        <v>13.339</v>
      </c>
      <c r="I464" s="30">
        <v>42.3476</v>
      </c>
      <c r="J464" s="30">
        <v>13.38</v>
      </c>
      <c r="K464" s="30">
        <v>9.27</v>
      </c>
      <c r="L464" s="22"/>
      <c r="M464" s="22">
        <f t="shared" si="56"/>
        <v>4.6174055374984748</v>
      </c>
      <c r="N464" s="22">
        <f t="shared" si="57"/>
        <v>10.356318549451903</v>
      </c>
      <c r="O464" s="22" t="str">
        <f t="shared" si="58"/>
        <v/>
      </c>
      <c r="P464" s="22" t="str">
        <f t="shared" si="59"/>
        <v/>
      </c>
      <c r="Q464" s="22">
        <f t="shared" si="60"/>
        <v>1</v>
      </c>
      <c r="R464" s="29" t="str">
        <f t="shared" si="61"/>
        <v>No original Rhyp to compare</v>
      </c>
      <c r="S464" s="29" t="str">
        <f t="shared" si="62"/>
        <v/>
      </c>
      <c r="T464" s="22">
        <v>6.55</v>
      </c>
      <c r="U464" s="29" t="s">
        <v>4576</v>
      </c>
      <c r="V464" s="29" t="str">
        <f t="shared" si="63"/>
        <v>No geometric exceedance</v>
      </c>
      <c r="W464" s="30">
        <v>42.3476</v>
      </c>
      <c r="X464" s="30">
        <v>13.38</v>
      </c>
      <c r="Y464" s="30">
        <v>9.27</v>
      </c>
      <c r="Z464" s="30">
        <v>10.356318549452014</v>
      </c>
      <c r="AA464" s="29" t="s">
        <v>2812</v>
      </c>
      <c r="AB464" s="29"/>
      <c r="AC464" s="39"/>
      <c r="AD464" s="39"/>
    </row>
    <row r="465" spans="1:30" ht="58" customHeight="1">
      <c r="A465" s="1" t="s">
        <v>1263</v>
      </c>
      <c r="B465" s="1">
        <v>222</v>
      </c>
      <c r="C465" s="1" t="s">
        <v>4056</v>
      </c>
      <c r="D465" s="29" t="s">
        <v>615</v>
      </c>
      <c r="E465" s="29" t="s">
        <v>616</v>
      </c>
      <c r="F465" s="1" t="s">
        <v>1070</v>
      </c>
      <c r="G465" s="30">
        <v>23.836829999999999</v>
      </c>
      <c r="H465" s="30">
        <v>120.90219999999999</v>
      </c>
      <c r="I465" s="30">
        <v>23.787800000000001</v>
      </c>
      <c r="J465" s="30">
        <v>120.7282</v>
      </c>
      <c r="K465" s="30">
        <v>23.55</v>
      </c>
      <c r="L465" s="22"/>
      <c r="M465" s="22">
        <f t="shared" si="56"/>
        <v>18.521456392538209</v>
      </c>
      <c r="N465" s="22">
        <f t="shared" si="57"/>
        <v>29.960755112324765</v>
      </c>
      <c r="O465" s="22" t="str">
        <f t="shared" si="58"/>
        <v/>
      </c>
      <c r="P465" s="22" t="str">
        <f t="shared" si="59"/>
        <v/>
      </c>
      <c r="Q465" s="22">
        <f t="shared" si="60"/>
        <v>1.4980377556162383</v>
      </c>
      <c r="R465" s="29" t="str">
        <f t="shared" si="61"/>
        <v>No original Rhyp to compare</v>
      </c>
      <c r="S465" s="29" t="str">
        <f t="shared" si="62"/>
        <v/>
      </c>
      <c r="T465" s="22">
        <v>16.829160000000002</v>
      </c>
      <c r="U465" s="29" t="s">
        <v>4576</v>
      </c>
      <c r="V465" s="29" t="str">
        <f t="shared" si="63"/>
        <v>No geometric exceedance</v>
      </c>
      <c r="W465" s="30">
        <v>23.787800000000001</v>
      </c>
      <c r="X465" s="30">
        <v>120.7282</v>
      </c>
      <c r="Y465" s="30">
        <v>23.55</v>
      </c>
      <c r="Z465" s="30">
        <v>29.960755112324744</v>
      </c>
      <c r="AA465" s="29" t="s">
        <v>2812</v>
      </c>
      <c r="AB465" s="29"/>
      <c r="AC465" s="39"/>
      <c r="AD465" s="39"/>
    </row>
    <row r="466" spans="1:30" ht="58" customHeight="1">
      <c r="A466" s="1" t="s">
        <v>1263</v>
      </c>
      <c r="B466" s="1">
        <v>223</v>
      </c>
      <c r="C466" s="1" t="s">
        <v>4058</v>
      </c>
      <c r="D466" s="29" t="s">
        <v>615</v>
      </c>
      <c r="E466" s="29" t="s">
        <v>616</v>
      </c>
      <c r="F466" s="1" t="s">
        <v>1146</v>
      </c>
      <c r="G466" s="30">
        <v>23.913830000000001</v>
      </c>
      <c r="H466" s="30">
        <v>120.6918</v>
      </c>
      <c r="I466" s="30">
        <v>23.787800000000001</v>
      </c>
      <c r="J466" s="30">
        <v>120.7282</v>
      </c>
      <c r="K466" s="30">
        <v>23.55</v>
      </c>
      <c r="L466" s="22"/>
      <c r="M466" s="22">
        <f t="shared" si="56"/>
        <v>14.494583301616327</v>
      </c>
      <c r="N466" s="22">
        <f t="shared" si="57"/>
        <v>27.653127220759227</v>
      </c>
      <c r="O466" s="22" t="str">
        <f t="shared" si="58"/>
        <v/>
      </c>
      <c r="P466" s="22" t="str">
        <f t="shared" si="59"/>
        <v/>
      </c>
      <c r="Q466" s="22">
        <f t="shared" si="60"/>
        <v>1.3826563610379614</v>
      </c>
      <c r="R466" s="29" t="str">
        <f t="shared" si="61"/>
        <v>No original Rhyp to compare</v>
      </c>
      <c r="S466" s="29" t="str">
        <f t="shared" si="62"/>
        <v/>
      </c>
      <c r="T466" s="22">
        <v>23.785319999999999</v>
      </c>
      <c r="U466" s="29" t="s">
        <v>4576</v>
      </c>
      <c r="V466" s="29" t="str">
        <f t="shared" si="63"/>
        <v>No geometric exceedance</v>
      </c>
      <c r="W466" s="30">
        <v>23.787800000000001</v>
      </c>
      <c r="X466" s="30">
        <v>120.7282</v>
      </c>
      <c r="Y466" s="30">
        <v>23.55</v>
      </c>
      <c r="Z466" s="30">
        <v>27.653127220759227</v>
      </c>
      <c r="AA466" s="29" t="s">
        <v>2812</v>
      </c>
      <c r="AB466" s="29"/>
      <c r="AC466" s="39"/>
      <c r="AD466" s="39"/>
    </row>
    <row r="467" spans="1:30" ht="58" customHeight="1">
      <c r="A467" s="1" t="s">
        <v>1263</v>
      </c>
      <c r="B467" s="1">
        <v>224</v>
      </c>
      <c r="C467" s="1" t="s">
        <v>4060</v>
      </c>
      <c r="D467" s="29" t="s">
        <v>620</v>
      </c>
      <c r="E467" s="29" t="s">
        <v>1147</v>
      </c>
      <c r="F467" s="1" t="s">
        <v>1148</v>
      </c>
      <c r="G467" s="30">
        <v>-43.530999999999999</v>
      </c>
      <c r="H467" s="30">
        <v>172.61969999999999</v>
      </c>
      <c r="I467" s="30">
        <v>-43.615000000000002</v>
      </c>
      <c r="J467" s="30">
        <v>172.04900000000001</v>
      </c>
      <c r="K467" s="30">
        <v>10.9</v>
      </c>
      <c r="L467" s="22"/>
      <c r="M467" s="22">
        <f t="shared" si="56"/>
        <v>46.914891231435924</v>
      </c>
      <c r="N467" s="22">
        <f t="shared" si="57"/>
        <v>48.16447881226852</v>
      </c>
      <c r="O467" s="22" t="str">
        <f t="shared" si="58"/>
        <v/>
      </c>
      <c r="P467" s="22" t="str">
        <f t="shared" si="59"/>
        <v/>
      </c>
      <c r="Q467" s="22">
        <f t="shared" si="60"/>
        <v>2.4082239406134263</v>
      </c>
      <c r="R467" s="29" t="str">
        <f t="shared" si="61"/>
        <v>No original Rhyp to compare</v>
      </c>
      <c r="S467" s="29" t="str">
        <f t="shared" si="62"/>
        <v/>
      </c>
      <c r="T467" s="22">
        <v>18.05</v>
      </c>
      <c r="U467" s="29" t="s">
        <v>4576</v>
      </c>
      <c r="V467" s="29" t="str">
        <f t="shared" si="63"/>
        <v>No geometric exceedance</v>
      </c>
      <c r="W467" s="30">
        <v>-43.615000000000002</v>
      </c>
      <c r="X467" s="30">
        <v>172.04900000000001</v>
      </c>
      <c r="Y467" s="30">
        <v>10.9</v>
      </c>
      <c r="Z467" s="30">
        <v>48.164478812268534</v>
      </c>
      <c r="AA467" s="29" t="s">
        <v>2812</v>
      </c>
      <c r="AB467" s="29"/>
      <c r="AC467" s="39"/>
      <c r="AD467" s="39"/>
    </row>
    <row r="468" spans="1:30" ht="58" customHeight="1">
      <c r="A468" s="1" t="s">
        <v>1263</v>
      </c>
      <c r="B468" s="1">
        <v>225</v>
      </c>
      <c r="C468" s="1" t="s">
        <v>4062</v>
      </c>
      <c r="D468" s="29" t="s">
        <v>620</v>
      </c>
      <c r="E468" s="29" t="s">
        <v>1147</v>
      </c>
      <c r="F468" s="1" t="s">
        <v>1149</v>
      </c>
      <c r="G468" s="30">
        <v>-43.523600000000002</v>
      </c>
      <c r="H468" s="30">
        <v>172.63499999999999</v>
      </c>
      <c r="I468" s="30">
        <v>-43.615000000000002</v>
      </c>
      <c r="J468" s="30">
        <v>172.04900000000001</v>
      </c>
      <c r="K468" s="30">
        <v>10.9</v>
      </c>
      <c r="L468" s="22"/>
      <c r="M468" s="22">
        <f t="shared" si="56"/>
        <v>48.292694247869541</v>
      </c>
      <c r="N468" s="22">
        <f t="shared" si="57"/>
        <v>49.507517789909564</v>
      </c>
      <c r="O468" s="22" t="str">
        <f t="shared" si="58"/>
        <v/>
      </c>
      <c r="P468" s="22" t="str">
        <f t="shared" si="59"/>
        <v/>
      </c>
      <c r="Q468" s="22">
        <f t="shared" si="60"/>
        <v>2.4753758894954783</v>
      </c>
      <c r="R468" s="29" t="str">
        <f t="shared" si="61"/>
        <v>No original Rhyp to compare</v>
      </c>
      <c r="S468" s="29" t="str">
        <f t="shared" si="62"/>
        <v/>
      </c>
      <c r="T468" s="22">
        <v>19.48</v>
      </c>
      <c r="U468" s="29" t="s">
        <v>4576</v>
      </c>
      <c r="V468" s="29" t="str">
        <f t="shared" si="63"/>
        <v>No geometric exceedance</v>
      </c>
      <c r="W468" s="30">
        <v>-43.615000000000002</v>
      </c>
      <c r="X468" s="30">
        <v>172.04900000000001</v>
      </c>
      <c r="Y468" s="30">
        <v>10.9</v>
      </c>
      <c r="Z468" s="30">
        <v>49.507517789909599</v>
      </c>
      <c r="AA468" s="29" t="s">
        <v>2812</v>
      </c>
      <c r="AB468" s="29"/>
      <c r="AC468" s="39"/>
      <c r="AD468" s="39"/>
    </row>
    <row r="469" spans="1:30" ht="58" customHeight="1">
      <c r="A469" s="1" t="s">
        <v>1263</v>
      </c>
      <c r="B469" s="1">
        <v>226</v>
      </c>
      <c r="C469" s="1" t="s">
        <v>4064</v>
      </c>
      <c r="D469" s="29" t="s">
        <v>620</v>
      </c>
      <c r="E469" s="29" t="s">
        <v>1147</v>
      </c>
      <c r="F469" s="1" t="s">
        <v>977</v>
      </c>
      <c r="G469" s="30">
        <v>-43.669199999999996</v>
      </c>
      <c r="H469" s="30">
        <v>172.1978</v>
      </c>
      <c r="I469" s="30">
        <v>-43.615000000000002</v>
      </c>
      <c r="J469" s="30">
        <v>172.04900000000001</v>
      </c>
      <c r="K469" s="30">
        <v>10.9</v>
      </c>
      <c r="L469" s="22"/>
      <c r="M469" s="22">
        <f t="shared" si="56"/>
        <v>13.404826494271717</v>
      </c>
      <c r="N469" s="22">
        <f t="shared" si="57"/>
        <v>17.277134407694149</v>
      </c>
      <c r="O469" s="22" t="str">
        <f t="shared" si="58"/>
        <v/>
      </c>
      <c r="P469" s="22" t="str">
        <f t="shared" si="59"/>
        <v/>
      </c>
      <c r="Q469" s="22">
        <f t="shared" si="60"/>
        <v>1</v>
      </c>
      <c r="R469" s="29" t="str">
        <f t="shared" si="61"/>
        <v>No original Rhyp to compare</v>
      </c>
      <c r="S469" s="29" t="str">
        <f t="shared" si="62"/>
        <v/>
      </c>
      <c r="T469" s="22">
        <v>8.4600000000000009</v>
      </c>
      <c r="U469" s="29" t="s">
        <v>4576</v>
      </c>
      <c r="V469" s="29" t="str">
        <f t="shared" si="63"/>
        <v>No geometric exceedance</v>
      </c>
      <c r="W469" s="30">
        <v>-43.615000000000002</v>
      </c>
      <c r="X469" s="30">
        <v>172.04900000000001</v>
      </c>
      <c r="Y469" s="30">
        <v>10.9</v>
      </c>
      <c r="Z469" s="30">
        <v>17.277134407694163</v>
      </c>
      <c r="AA469" s="29" t="s">
        <v>2812</v>
      </c>
      <c r="AB469" s="29"/>
      <c r="AC469" s="39"/>
      <c r="AD469" s="39"/>
    </row>
    <row r="470" spans="1:30" ht="58" customHeight="1">
      <c r="A470" s="1" t="s">
        <v>1263</v>
      </c>
      <c r="B470" s="1">
        <v>227</v>
      </c>
      <c r="C470" s="1" t="s">
        <v>4066</v>
      </c>
      <c r="D470" s="29" t="s">
        <v>620</v>
      </c>
      <c r="E470" s="29" t="s">
        <v>1147</v>
      </c>
      <c r="F470" s="1" t="s">
        <v>978</v>
      </c>
      <c r="G470" s="30">
        <v>-43.588000000000001</v>
      </c>
      <c r="H470" s="30">
        <v>172.08930000000001</v>
      </c>
      <c r="I470" s="30">
        <v>-43.615000000000002</v>
      </c>
      <c r="J470" s="30">
        <v>172.04900000000001</v>
      </c>
      <c r="K470" s="30">
        <v>10.9</v>
      </c>
      <c r="L470" s="22"/>
      <c r="M470" s="22">
        <f t="shared" si="56"/>
        <v>4.4208488838255429</v>
      </c>
      <c r="N470" s="22">
        <f t="shared" si="57"/>
        <v>11.762393670236579</v>
      </c>
      <c r="O470" s="22" t="str">
        <f t="shared" si="58"/>
        <v/>
      </c>
      <c r="P470" s="22" t="str">
        <f t="shared" si="59"/>
        <v/>
      </c>
      <c r="Q470" s="22">
        <f t="shared" si="60"/>
        <v>1</v>
      </c>
      <c r="R470" s="29" t="str">
        <f t="shared" si="61"/>
        <v>No original Rhyp to compare</v>
      </c>
      <c r="S470" s="29" t="str">
        <f t="shared" si="62"/>
        <v/>
      </c>
      <c r="T470" s="22">
        <v>1.22</v>
      </c>
      <c r="U470" s="29" t="s">
        <v>4576</v>
      </c>
      <c r="V470" s="29" t="str">
        <f t="shared" si="63"/>
        <v>No geometric exceedance</v>
      </c>
      <c r="W470" s="30">
        <v>-43.615000000000002</v>
      </c>
      <c r="X470" s="30">
        <v>172.04900000000001</v>
      </c>
      <c r="Y470" s="30">
        <v>10.9</v>
      </c>
      <c r="Z470" s="30">
        <v>11.762393670236539</v>
      </c>
      <c r="AA470" s="29" t="s">
        <v>2812</v>
      </c>
      <c r="AB470" s="29"/>
      <c r="AC470" s="39"/>
      <c r="AD470" s="39"/>
    </row>
    <row r="471" spans="1:30" ht="58" customHeight="1">
      <c r="A471" s="1" t="s">
        <v>1263</v>
      </c>
      <c r="B471" s="1">
        <v>228</v>
      </c>
      <c r="C471" s="1" t="s">
        <v>4068</v>
      </c>
      <c r="D471" s="29" t="s">
        <v>620</v>
      </c>
      <c r="E471" s="29" t="s">
        <v>1147</v>
      </c>
      <c r="F471" s="1" t="s">
        <v>979</v>
      </c>
      <c r="G471" s="30">
        <v>-43.5413</v>
      </c>
      <c r="H471" s="30">
        <v>171.9598</v>
      </c>
      <c r="I471" s="30">
        <v>-43.615000000000002</v>
      </c>
      <c r="J471" s="30">
        <v>172.04900000000001</v>
      </c>
      <c r="K471" s="30">
        <v>10.9</v>
      </c>
      <c r="L471" s="22"/>
      <c r="M471" s="22">
        <f t="shared" si="56"/>
        <v>10.899019107833944</v>
      </c>
      <c r="N471" s="22">
        <f t="shared" si="57"/>
        <v>15.414234249969391</v>
      </c>
      <c r="O471" s="22" t="str">
        <f t="shared" si="58"/>
        <v/>
      </c>
      <c r="P471" s="22" t="str">
        <f t="shared" si="59"/>
        <v/>
      </c>
      <c r="Q471" s="22">
        <f t="shared" si="60"/>
        <v>1</v>
      </c>
      <c r="R471" s="29" t="str">
        <f t="shared" si="61"/>
        <v>No original Rhyp to compare</v>
      </c>
      <c r="S471" s="29" t="str">
        <f t="shared" si="62"/>
        <v/>
      </c>
      <c r="T471" s="22">
        <v>7.29</v>
      </c>
      <c r="U471" s="29" t="s">
        <v>4576</v>
      </c>
      <c r="V471" s="29" t="str">
        <f t="shared" si="63"/>
        <v>No geometric exceedance</v>
      </c>
      <c r="W471" s="30">
        <v>-43.615000000000002</v>
      </c>
      <c r="X471" s="30">
        <v>172.04900000000001</v>
      </c>
      <c r="Y471" s="30">
        <v>10.9</v>
      </c>
      <c r="Z471" s="30">
        <v>15.414234249969329</v>
      </c>
      <c r="AA471" s="29" t="s">
        <v>2812</v>
      </c>
      <c r="AB471" s="29"/>
      <c r="AC471" s="39"/>
      <c r="AD471" s="39"/>
    </row>
    <row r="472" spans="1:30" ht="58" customHeight="1">
      <c r="A472" s="1" t="s">
        <v>1263</v>
      </c>
      <c r="B472" s="1">
        <v>229</v>
      </c>
      <c r="C472" s="1" t="s">
        <v>4070</v>
      </c>
      <c r="D472" s="29" t="s">
        <v>620</v>
      </c>
      <c r="E472" s="29" t="s">
        <v>1147</v>
      </c>
      <c r="F472" s="1" t="s">
        <v>980</v>
      </c>
      <c r="G472" s="30">
        <v>-43.6248</v>
      </c>
      <c r="H472" s="30">
        <v>172.46789999999999</v>
      </c>
      <c r="I472" s="30">
        <v>-43.615000000000002</v>
      </c>
      <c r="J472" s="30">
        <v>172.04900000000001</v>
      </c>
      <c r="K472" s="30">
        <v>10.9</v>
      </c>
      <c r="L472" s="22"/>
      <c r="M472" s="22">
        <f t="shared" si="56"/>
        <v>33.738011233205853</v>
      </c>
      <c r="N472" s="22">
        <f t="shared" si="57"/>
        <v>35.455089930388333</v>
      </c>
      <c r="O472" s="22" t="str">
        <f t="shared" si="58"/>
        <v/>
      </c>
      <c r="P472" s="22" t="str">
        <f t="shared" si="59"/>
        <v/>
      </c>
      <c r="Q472" s="22">
        <f t="shared" si="60"/>
        <v>1.7727544965194166</v>
      </c>
      <c r="R472" s="29" t="str">
        <f t="shared" si="61"/>
        <v>No original Rhyp to compare</v>
      </c>
      <c r="S472" s="29" t="str">
        <f t="shared" si="62"/>
        <v/>
      </c>
      <c r="T472" s="22">
        <v>7.11</v>
      </c>
      <c r="U472" s="29" t="s">
        <v>4576</v>
      </c>
      <c r="V472" s="29" t="str">
        <f t="shared" si="63"/>
        <v>No geometric exceedance</v>
      </c>
      <c r="W472" s="30">
        <v>-43.615000000000002</v>
      </c>
      <c r="X472" s="30">
        <v>172.04900000000001</v>
      </c>
      <c r="Y472" s="30">
        <v>10.9</v>
      </c>
      <c r="Z472" s="30">
        <v>35.455089930388326</v>
      </c>
      <c r="AA472" s="29" t="s">
        <v>2812</v>
      </c>
      <c r="AB472" s="29"/>
      <c r="AC472" s="39"/>
      <c r="AD472" s="39"/>
    </row>
    <row r="473" spans="1:30" ht="58" customHeight="1">
      <c r="A473" s="1" t="s">
        <v>1263</v>
      </c>
      <c r="B473" s="1">
        <v>230</v>
      </c>
      <c r="C473" s="1" t="s">
        <v>4072</v>
      </c>
      <c r="D473" s="29" t="s">
        <v>620</v>
      </c>
      <c r="E473" s="29" t="s">
        <v>1147</v>
      </c>
      <c r="F473" s="1" t="s">
        <v>981</v>
      </c>
      <c r="G473" s="30">
        <v>-43.605600000000003</v>
      </c>
      <c r="H473" s="30">
        <v>172.72229999999999</v>
      </c>
      <c r="I473" s="30">
        <v>-43.615000000000002</v>
      </c>
      <c r="J473" s="30">
        <v>172.04900000000001</v>
      </c>
      <c r="K473" s="30">
        <v>10.9</v>
      </c>
      <c r="L473" s="22"/>
      <c r="M473" s="22">
        <f t="shared" si="56"/>
        <v>54.217613968080343</v>
      </c>
      <c r="N473" s="22">
        <f t="shared" si="57"/>
        <v>55.30243814147601</v>
      </c>
      <c r="O473" s="22" t="str">
        <f t="shared" si="58"/>
        <v/>
      </c>
      <c r="P473" s="22" t="str">
        <f t="shared" si="59"/>
        <v/>
      </c>
      <c r="Q473" s="22">
        <f t="shared" si="60"/>
        <v>2.7651219070738007</v>
      </c>
      <c r="R473" s="29" t="str">
        <f t="shared" si="61"/>
        <v>No original Rhyp to compare</v>
      </c>
      <c r="S473" s="29" t="str">
        <f t="shared" si="62"/>
        <v/>
      </c>
      <c r="T473" s="22">
        <v>25.67</v>
      </c>
      <c r="U473" s="29" t="s">
        <v>4576</v>
      </c>
      <c r="V473" s="29" t="str">
        <f t="shared" si="63"/>
        <v>No geometric exceedance</v>
      </c>
      <c r="W473" s="30">
        <v>-43.615000000000002</v>
      </c>
      <c r="X473" s="30">
        <v>172.04900000000001</v>
      </c>
      <c r="Y473" s="30">
        <v>10.9</v>
      </c>
      <c r="Z473" s="30">
        <v>55.30243814147601</v>
      </c>
      <c r="AA473" s="29" t="s">
        <v>2812</v>
      </c>
      <c r="AB473" s="29"/>
      <c r="AC473" s="39"/>
      <c r="AD473" s="39"/>
    </row>
    <row r="474" spans="1:30" ht="58" customHeight="1">
      <c r="A474" s="1" t="s">
        <v>1263</v>
      </c>
      <c r="B474" s="1">
        <v>231</v>
      </c>
      <c r="C474" s="1" t="s">
        <v>4074</v>
      </c>
      <c r="D474" s="29" t="s">
        <v>620</v>
      </c>
      <c r="E474" s="29" t="s">
        <v>1147</v>
      </c>
      <c r="F474" s="1" t="s">
        <v>1150</v>
      </c>
      <c r="G474" s="30">
        <v>-43.497100000000003</v>
      </c>
      <c r="H474" s="30">
        <v>172.71789999999999</v>
      </c>
      <c r="I474" s="30">
        <v>-43.615000000000002</v>
      </c>
      <c r="J474" s="30">
        <v>172.04900000000001</v>
      </c>
      <c r="K474" s="30">
        <v>10.9</v>
      </c>
      <c r="L474" s="22"/>
      <c r="M474" s="22">
        <f t="shared" si="56"/>
        <v>55.473184659143357</v>
      </c>
      <c r="N474" s="22">
        <f t="shared" si="57"/>
        <v>56.533920934492222</v>
      </c>
      <c r="O474" s="22" t="str">
        <f t="shared" si="58"/>
        <v/>
      </c>
      <c r="P474" s="22" t="str">
        <f t="shared" si="59"/>
        <v/>
      </c>
      <c r="Q474" s="22">
        <f t="shared" si="60"/>
        <v>2.8266960467246114</v>
      </c>
      <c r="R474" s="29" t="str">
        <f t="shared" si="61"/>
        <v>No original Rhyp to compare</v>
      </c>
      <c r="S474" s="29" t="str">
        <f t="shared" si="62"/>
        <v/>
      </c>
      <c r="T474" s="22">
        <v>26.76</v>
      </c>
      <c r="U474" s="29" t="s">
        <v>4576</v>
      </c>
      <c r="V474" s="29" t="str">
        <f t="shared" si="63"/>
        <v>No geometric exceedance</v>
      </c>
      <c r="W474" s="30">
        <v>-43.615000000000002</v>
      </c>
      <c r="X474" s="30">
        <v>172.04900000000001</v>
      </c>
      <c r="Y474" s="30">
        <v>10.9</v>
      </c>
      <c r="Z474" s="30">
        <v>56.533920934492173</v>
      </c>
      <c r="AA474" s="29" t="s">
        <v>2812</v>
      </c>
      <c r="AB474" s="29"/>
      <c r="AC474" s="39"/>
      <c r="AD474" s="39"/>
    </row>
    <row r="475" spans="1:30" ht="58" customHeight="1">
      <c r="A475" s="1" t="s">
        <v>1263</v>
      </c>
      <c r="B475" s="1">
        <v>232</v>
      </c>
      <c r="C475" s="1" t="s">
        <v>4076</v>
      </c>
      <c r="D475" s="29" t="s">
        <v>620</v>
      </c>
      <c r="E475" s="29" t="s">
        <v>1147</v>
      </c>
      <c r="F475" s="1" t="s">
        <v>1151</v>
      </c>
      <c r="G475" s="30">
        <v>-43.536200000000001</v>
      </c>
      <c r="H475" s="30">
        <v>172.56440000000001</v>
      </c>
      <c r="I475" s="30">
        <v>-43.615000000000002</v>
      </c>
      <c r="J475" s="30">
        <v>172.04900000000001</v>
      </c>
      <c r="K475" s="30">
        <v>10.9</v>
      </c>
      <c r="L475" s="22"/>
      <c r="M475" s="22">
        <f t="shared" si="56"/>
        <v>42.433451953723349</v>
      </c>
      <c r="N475" s="22">
        <f t="shared" si="57"/>
        <v>43.811047062458435</v>
      </c>
      <c r="O475" s="22" t="str">
        <f t="shared" si="58"/>
        <v/>
      </c>
      <c r="P475" s="22" t="str">
        <f t="shared" si="59"/>
        <v/>
      </c>
      <c r="Q475" s="22">
        <f t="shared" si="60"/>
        <v>2.1905523531229218</v>
      </c>
      <c r="R475" s="29" t="str">
        <f t="shared" si="61"/>
        <v>No original Rhyp to compare</v>
      </c>
      <c r="S475" s="29" t="str">
        <f t="shared" si="62"/>
        <v/>
      </c>
      <c r="T475" s="22">
        <v>13.64</v>
      </c>
      <c r="U475" s="29" t="s">
        <v>4576</v>
      </c>
      <c r="V475" s="29" t="str">
        <f t="shared" si="63"/>
        <v>No geometric exceedance</v>
      </c>
      <c r="W475" s="30">
        <v>-43.615000000000002</v>
      </c>
      <c r="X475" s="30">
        <v>172.04900000000001</v>
      </c>
      <c r="Y475" s="30">
        <v>10.9</v>
      </c>
      <c r="Z475" s="30">
        <v>43.811047062458456</v>
      </c>
      <c r="AA475" s="29" t="s">
        <v>2812</v>
      </c>
      <c r="AB475" s="29"/>
      <c r="AC475" s="39"/>
      <c r="AD475" s="39"/>
    </row>
    <row r="476" spans="1:30" ht="58" customHeight="1">
      <c r="A476" s="1" t="s">
        <v>1263</v>
      </c>
      <c r="B476" s="1">
        <v>233</v>
      </c>
      <c r="C476" s="1" t="s">
        <v>4078</v>
      </c>
      <c r="D476" s="29" t="s">
        <v>620</v>
      </c>
      <c r="E476" s="29" t="s">
        <v>1147</v>
      </c>
      <c r="F476" s="1" t="s">
        <v>985</v>
      </c>
      <c r="G476" s="30">
        <v>-43.594499999999996</v>
      </c>
      <c r="H476" s="30">
        <v>172.381</v>
      </c>
      <c r="I476" s="30">
        <v>-43.615000000000002</v>
      </c>
      <c r="J476" s="30">
        <v>172.04900000000001</v>
      </c>
      <c r="K476" s="30">
        <v>10.9</v>
      </c>
      <c r="L476" s="22"/>
      <c r="M476" s="22">
        <f t="shared" si="56"/>
        <v>26.828930751244105</v>
      </c>
      <c r="N476" s="22">
        <f t="shared" si="57"/>
        <v>28.95861746104347</v>
      </c>
      <c r="O476" s="22" t="str">
        <f t="shared" si="58"/>
        <v/>
      </c>
      <c r="P476" s="22" t="str">
        <f t="shared" si="59"/>
        <v/>
      </c>
      <c r="Q476" s="22">
        <f t="shared" si="60"/>
        <v>1.4479308730521736</v>
      </c>
      <c r="R476" s="29" t="str">
        <f t="shared" si="61"/>
        <v>No original Rhyp to compare</v>
      </c>
      <c r="S476" s="29" t="str">
        <f t="shared" si="62"/>
        <v/>
      </c>
      <c r="T476" s="22">
        <v>1.54</v>
      </c>
      <c r="U476" s="29" t="s">
        <v>4576</v>
      </c>
      <c r="V476" s="29" t="str">
        <f t="shared" si="63"/>
        <v>No geometric exceedance</v>
      </c>
      <c r="W476" s="30">
        <v>-43.615000000000002</v>
      </c>
      <c r="X476" s="30">
        <v>172.04900000000001</v>
      </c>
      <c r="Y476" s="30">
        <v>10.9</v>
      </c>
      <c r="Z476" s="30">
        <v>28.958617461043449</v>
      </c>
      <c r="AA476" s="29" t="s">
        <v>2812</v>
      </c>
      <c r="AB476" s="29"/>
      <c r="AC476" s="39"/>
      <c r="AD476" s="39"/>
    </row>
    <row r="477" spans="1:30" ht="58" customHeight="1">
      <c r="A477" s="1" t="s">
        <v>1263</v>
      </c>
      <c r="B477" s="1">
        <v>234</v>
      </c>
      <c r="C477" s="1" t="s">
        <v>4080</v>
      </c>
      <c r="D477" s="29" t="s">
        <v>620</v>
      </c>
      <c r="E477" s="29" t="s">
        <v>1147</v>
      </c>
      <c r="F477" s="1" t="s">
        <v>1152</v>
      </c>
      <c r="G477" s="30">
        <v>-43.505299999999998</v>
      </c>
      <c r="H477" s="30">
        <v>172.6634</v>
      </c>
      <c r="I477" s="30">
        <v>-43.615000000000002</v>
      </c>
      <c r="J477" s="30">
        <v>172.04900000000001</v>
      </c>
      <c r="K477" s="30">
        <v>10.9</v>
      </c>
      <c r="L477" s="22"/>
      <c r="M477" s="22">
        <f t="shared" si="56"/>
        <v>50.98732433459584</v>
      </c>
      <c r="N477" s="22">
        <f t="shared" si="57"/>
        <v>52.139402018063741</v>
      </c>
      <c r="O477" s="22" t="str">
        <f t="shared" si="58"/>
        <v/>
      </c>
      <c r="P477" s="22" t="str">
        <f t="shared" si="59"/>
        <v/>
      </c>
      <c r="Q477" s="22">
        <f t="shared" si="60"/>
        <v>2.6069701009031871</v>
      </c>
      <c r="R477" s="29" t="str">
        <f t="shared" si="61"/>
        <v>No original Rhyp to compare</v>
      </c>
      <c r="S477" s="29" t="str">
        <f t="shared" si="62"/>
        <v/>
      </c>
      <c r="T477" s="22">
        <v>22.33</v>
      </c>
      <c r="U477" s="29" t="s">
        <v>4576</v>
      </c>
      <c r="V477" s="29" t="str">
        <f t="shared" si="63"/>
        <v>No geometric exceedance</v>
      </c>
      <c r="W477" s="30">
        <v>-43.615000000000002</v>
      </c>
      <c r="X477" s="30">
        <v>172.04900000000001</v>
      </c>
      <c r="Y477" s="30">
        <v>10.9</v>
      </c>
      <c r="Z477" s="30">
        <v>52.139402018063727</v>
      </c>
      <c r="AA477" s="29" t="s">
        <v>2812</v>
      </c>
      <c r="AB477" s="29"/>
      <c r="AC477" s="39"/>
      <c r="AD477" s="39"/>
    </row>
    <row r="478" spans="1:30" ht="58" customHeight="1">
      <c r="A478" s="1" t="s">
        <v>1263</v>
      </c>
      <c r="B478" s="1">
        <v>235</v>
      </c>
      <c r="C478" s="1" t="s">
        <v>4082</v>
      </c>
      <c r="D478" s="29" t="s">
        <v>620</v>
      </c>
      <c r="E478" s="29" t="s">
        <v>1147</v>
      </c>
      <c r="F478" s="1" t="s">
        <v>1153</v>
      </c>
      <c r="G478" s="30">
        <v>-43.467500000000001</v>
      </c>
      <c r="H478" s="30">
        <v>172.6139</v>
      </c>
      <c r="I478" s="30">
        <v>-43.615000000000002</v>
      </c>
      <c r="J478" s="30">
        <v>172.04900000000001</v>
      </c>
      <c r="K478" s="30">
        <v>10.9</v>
      </c>
      <c r="L478" s="22"/>
      <c r="M478" s="22">
        <f t="shared" si="56"/>
        <v>48.396286670696597</v>
      </c>
      <c r="N478" s="22">
        <f t="shared" si="57"/>
        <v>49.608573487979321</v>
      </c>
      <c r="O478" s="22" t="str">
        <f t="shared" si="58"/>
        <v/>
      </c>
      <c r="P478" s="22" t="str">
        <f t="shared" si="59"/>
        <v/>
      </c>
      <c r="Q478" s="22">
        <f t="shared" si="60"/>
        <v>2.4804286743989663</v>
      </c>
      <c r="R478" s="29" t="str">
        <f t="shared" si="61"/>
        <v>No original Rhyp to compare</v>
      </c>
      <c r="S478" s="29" t="str">
        <f t="shared" si="62"/>
        <v/>
      </c>
      <c r="T478" s="22">
        <v>20.86</v>
      </c>
      <c r="U478" s="29" t="s">
        <v>4576</v>
      </c>
      <c r="V478" s="29" t="str">
        <f t="shared" si="63"/>
        <v>No geometric exceedance</v>
      </c>
      <c r="W478" s="30">
        <v>-43.615000000000002</v>
      </c>
      <c r="X478" s="30">
        <v>172.04900000000001</v>
      </c>
      <c r="Y478" s="30">
        <v>10.9</v>
      </c>
      <c r="Z478" s="30">
        <v>49.60857348797942</v>
      </c>
      <c r="AA478" s="29" t="s">
        <v>2812</v>
      </c>
      <c r="AB478" s="29"/>
      <c r="AC478" s="39"/>
      <c r="AD478" s="39"/>
    </row>
    <row r="479" spans="1:30" ht="58" customHeight="1">
      <c r="A479" s="1" t="s">
        <v>1263</v>
      </c>
      <c r="B479" s="1">
        <v>236</v>
      </c>
      <c r="C479" s="1" t="s">
        <v>4084</v>
      </c>
      <c r="D479" s="29" t="s">
        <v>620</v>
      </c>
      <c r="E479" s="29" t="s">
        <v>1147</v>
      </c>
      <c r="F479" s="1" t="s">
        <v>988</v>
      </c>
      <c r="G479" s="30">
        <v>-43.551699999999997</v>
      </c>
      <c r="H479" s="30">
        <v>172.4718</v>
      </c>
      <c r="I479" s="30">
        <v>-43.615000000000002</v>
      </c>
      <c r="J479" s="30">
        <v>172.04900000000001</v>
      </c>
      <c r="K479" s="30">
        <v>10.9</v>
      </c>
      <c r="L479" s="22"/>
      <c r="M479" s="22">
        <f t="shared" si="56"/>
        <v>34.774805810424752</v>
      </c>
      <c r="N479" s="22">
        <f t="shared" si="57"/>
        <v>36.443066818707109</v>
      </c>
      <c r="O479" s="22" t="str">
        <f t="shared" si="58"/>
        <v/>
      </c>
      <c r="P479" s="22" t="str">
        <f t="shared" si="59"/>
        <v/>
      </c>
      <c r="Q479" s="22">
        <f t="shared" si="60"/>
        <v>1.8221533409353556</v>
      </c>
      <c r="R479" s="29" t="str">
        <f t="shared" si="61"/>
        <v>No original Rhyp to compare</v>
      </c>
      <c r="S479" s="29" t="str">
        <f t="shared" si="62"/>
        <v/>
      </c>
      <c r="T479" s="22">
        <v>6.11</v>
      </c>
      <c r="U479" s="29" t="s">
        <v>4576</v>
      </c>
      <c r="V479" s="29" t="str">
        <f t="shared" si="63"/>
        <v>No geometric exceedance</v>
      </c>
      <c r="W479" s="30">
        <v>-43.615000000000002</v>
      </c>
      <c r="X479" s="30">
        <v>172.04900000000001</v>
      </c>
      <c r="Y479" s="30">
        <v>10.9</v>
      </c>
      <c r="Z479" s="30">
        <v>36.443066818707081</v>
      </c>
      <c r="AA479" s="29" t="s">
        <v>2812</v>
      </c>
      <c r="AB479" s="29"/>
      <c r="AC479" s="39"/>
      <c r="AD479" s="39"/>
    </row>
    <row r="480" spans="1:30" ht="58" customHeight="1">
      <c r="A480" s="1" t="s">
        <v>1263</v>
      </c>
      <c r="B480" s="1">
        <v>237</v>
      </c>
      <c r="C480" s="1" t="s">
        <v>4086</v>
      </c>
      <c r="D480" s="29" t="s">
        <v>626</v>
      </c>
      <c r="E480" s="29" t="s">
        <v>1154</v>
      </c>
      <c r="F480" s="1" t="s">
        <v>1155</v>
      </c>
      <c r="G480" s="30">
        <v>32.718000000000004</v>
      </c>
      <c r="H480" s="30">
        <v>-115.637</v>
      </c>
      <c r="I480" s="30">
        <v>32.299999999999997</v>
      </c>
      <c r="J480" s="30">
        <v>-115.267</v>
      </c>
      <c r="K480" s="30">
        <v>5.45</v>
      </c>
      <c r="L480" s="22"/>
      <c r="M480" s="22">
        <f t="shared" si="56"/>
        <v>58.000884664970528</v>
      </c>
      <c r="N480" s="22">
        <f t="shared" si="57"/>
        <v>58.256374088327988</v>
      </c>
      <c r="O480" s="22" t="str">
        <f t="shared" si="58"/>
        <v/>
      </c>
      <c r="P480" s="22" t="str">
        <f t="shared" si="59"/>
        <v/>
      </c>
      <c r="Q480" s="22">
        <f t="shared" si="60"/>
        <v>2.9128187044163996</v>
      </c>
      <c r="R480" s="29" t="str">
        <f t="shared" si="61"/>
        <v>No original Rhyp to compare</v>
      </c>
      <c r="S480" s="29" t="str">
        <f t="shared" si="62"/>
        <v/>
      </c>
      <c r="T480" s="22">
        <v>11.26</v>
      </c>
      <c r="U480" s="29" t="s">
        <v>4576</v>
      </c>
      <c r="V480" s="29" t="str">
        <f t="shared" si="63"/>
        <v>No geometric exceedance</v>
      </c>
      <c r="W480" s="30">
        <v>32.299999999999997</v>
      </c>
      <c r="X480" s="30">
        <v>-115.267</v>
      </c>
      <c r="Y480" s="30">
        <v>5.45</v>
      </c>
      <c r="Z480" s="30">
        <v>58.256374088328393</v>
      </c>
      <c r="AA480" s="29" t="s">
        <v>2812</v>
      </c>
      <c r="AB480" s="29"/>
      <c r="AC480" s="39"/>
      <c r="AD480" s="39"/>
    </row>
    <row r="481" spans="1:30" ht="58" customHeight="1">
      <c r="A481" s="1" t="s">
        <v>1263</v>
      </c>
      <c r="B481" s="1">
        <v>238</v>
      </c>
      <c r="C481" s="1" t="s">
        <v>4088</v>
      </c>
      <c r="D481" s="29" t="s">
        <v>626</v>
      </c>
      <c r="E481" s="29" t="s">
        <v>1154</v>
      </c>
      <c r="F481" s="1" t="s">
        <v>992</v>
      </c>
      <c r="G481" s="30">
        <v>32.759039999999999</v>
      </c>
      <c r="H481" s="30">
        <v>-115.7316</v>
      </c>
      <c r="I481" s="30">
        <v>32.299999999999997</v>
      </c>
      <c r="J481" s="30">
        <v>-115.267</v>
      </c>
      <c r="K481" s="30">
        <v>5.45</v>
      </c>
      <c r="L481" s="22"/>
      <c r="M481" s="22">
        <f t="shared" si="56"/>
        <v>67.100694633240963</v>
      </c>
      <c r="N481" s="22">
        <f t="shared" si="57"/>
        <v>67.321658626800428</v>
      </c>
      <c r="O481" s="22" t="str">
        <f t="shared" si="58"/>
        <v/>
      </c>
      <c r="P481" s="22" t="str">
        <f t="shared" si="59"/>
        <v/>
      </c>
      <c r="Q481" s="22">
        <f t="shared" si="60"/>
        <v>3.3660829313400216</v>
      </c>
      <c r="R481" s="29" t="str">
        <f t="shared" si="61"/>
        <v>No original Rhyp to compare</v>
      </c>
      <c r="S481" s="29" t="str">
        <f t="shared" si="62"/>
        <v/>
      </c>
      <c r="T481" s="22">
        <v>11.44</v>
      </c>
      <c r="U481" s="29" t="s">
        <v>4576</v>
      </c>
      <c r="V481" s="29" t="str">
        <f t="shared" si="63"/>
        <v>No geometric exceedance</v>
      </c>
      <c r="W481" s="30">
        <v>32.299999999999997</v>
      </c>
      <c r="X481" s="30">
        <v>-115.267</v>
      </c>
      <c r="Y481" s="30">
        <v>5.45</v>
      </c>
      <c r="Z481" s="30">
        <v>67.321658626800712</v>
      </c>
      <c r="AA481" s="29" t="s">
        <v>2812</v>
      </c>
      <c r="AB481" s="29"/>
      <c r="AC481" s="39"/>
      <c r="AD481" s="39"/>
    </row>
    <row r="482" spans="1:30" ht="58" customHeight="1">
      <c r="A482" s="1" t="s">
        <v>1263</v>
      </c>
      <c r="B482" s="1">
        <v>239</v>
      </c>
      <c r="C482" s="1" t="s">
        <v>4090</v>
      </c>
      <c r="D482" s="29" t="s">
        <v>633</v>
      </c>
      <c r="E482" s="29" t="s">
        <v>634</v>
      </c>
      <c r="F482" s="1" t="s">
        <v>1092</v>
      </c>
      <c r="G482" s="30">
        <v>23.48367</v>
      </c>
      <c r="H482" s="30">
        <v>120.2775</v>
      </c>
      <c r="I482" s="30">
        <v>22.978999999999999</v>
      </c>
      <c r="J482" s="30">
        <v>120.7316</v>
      </c>
      <c r="K482" s="30">
        <v>22.6</v>
      </c>
      <c r="L482" s="22"/>
      <c r="M482" s="22">
        <f t="shared" si="56"/>
        <v>72.814742370184803</v>
      </c>
      <c r="N482" s="22">
        <f t="shared" si="57"/>
        <v>76.241371357264995</v>
      </c>
      <c r="O482" s="22" t="str">
        <f t="shared" si="58"/>
        <v/>
      </c>
      <c r="P482" s="22" t="str">
        <f t="shared" si="59"/>
        <v/>
      </c>
      <c r="Q482" s="22">
        <f t="shared" si="60"/>
        <v>3.8120685678632498</v>
      </c>
      <c r="R482" s="29" t="str">
        <f t="shared" si="61"/>
        <v>No original Rhyp to compare</v>
      </c>
      <c r="S482" s="29" t="str">
        <f t="shared" si="62"/>
        <v/>
      </c>
      <c r="T482" s="22">
        <v>50.913269999999997</v>
      </c>
      <c r="U482" s="29" t="s">
        <v>4576</v>
      </c>
      <c r="V482" s="29" t="str">
        <f t="shared" si="63"/>
        <v>No geometric exceedance</v>
      </c>
      <c r="W482" s="30">
        <v>22.978999999999999</v>
      </c>
      <c r="X482" s="30">
        <v>120.7316</v>
      </c>
      <c r="Y482" s="30">
        <v>22.6</v>
      </c>
      <c r="Z482" s="30">
        <v>76.241371357265137</v>
      </c>
      <c r="AA482" s="29" t="s">
        <v>2812</v>
      </c>
      <c r="AB482" s="29"/>
      <c r="AC482" s="39"/>
      <c r="AD482" s="39"/>
    </row>
    <row r="483" spans="1:30" ht="58" customHeight="1">
      <c r="A483" s="1" t="s">
        <v>1263</v>
      </c>
      <c r="B483" s="1">
        <v>240</v>
      </c>
      <c r="C483" s="1" t="s">
        <v>4092</v>
      </c>
      <c r="D483" s="29" t="s">
        <v>633</v>
      </c>
      <c r="E483" s="29" t="s">
        <v>634</v>
      </c>
      <c r="F483" s="1" t="s">
        <v>1156</v>
      </c>
      <c r="G483" s="30">
        <v>23.219169999999998</v>
      </c>
      <c r="H483" s="30">
        <v>120.1622</v>
      </c>
      <c r="I483" s="30">
        <v>22.978999999999999</v>
      </c>
      <c r="J483" s="30">
        <v>120.7316</v>
      </c>
      <c r="K483" s="30">
        <v>22.6</v>
      </c>
      <c r="L483" s="22"/>
      <c r="M483" s="22">
        <f t="shared" si="56"/>
        <v>64.069378887364763</v>
      </c>
      <c r="N483" s="22">
        <f t="shared" si="57"/>
        <v>67.938540689454783</v>
      </c>
      <c r="O483" s="22" t="str">
        <f t="shared" si="58"/>
        <v/>
      </c>
      <c r="P483" s="22" t="str">
        <f t="shared" si="59"/>
        <v/>
      </c>
      <c r="Q483" s="22">
        <f t="shared" si="60"/>
        <v>3.3969270344727391</v>
      </c>
      <c r="R483" s="29" t="str">
        <f t="shared" si="61"/>
        <v>No original Rhyp to compare</v>
      </c>
      <c r="S483" s="29" t="str">
        <f t="shared" si="62"/>
        <v/>
      </c>
      <c r="T483" s="22">
        <v>32.505690000000001</v>
      </c>
      <c r="U483" s="29" t="s">
        <v>4576</v>
      </c>
      <c r="V483" s="29" t="str">
        <f t="shared" si="63"/>
        <v>No geometric exceedance</v>
      </c>
      <c r="W483" s="30">
        <v>22.978999999999999</v>
      </c>
      <c r="X483" s="30">
        <v>120.7316</v>
      </c>
      <c r="Y483" s="30">
        <v>22.6</v>
      </c>
      <c r="Z483" s="30">
        <v>67.938540689454911</v>
      </c>
      <c r="AA483" s="29" t="s">
        <v>2812</v>
      </c>
      <c r="AB483" s="29"/>
      <c r="AC483" s="39"/>
      <c r="AD483" s="39"/>
    </row>
    <row r="484" spans="1:30" ht="58" customHeight="1">
      <c r="A484" s="1" t="s">
        <v>1263</v>
      </c>
      <c r="B484" s="1">
        <v>241</v>
      </c>
      <c r="C484" s="1" t="s">
        <v>4094</v>
      </c>
      <c r="D484" s="29" t="s">
        <v>633</v>
      </c>
      <c r="E484" s="29" t="s">
        <v>634</v>
      </c>
      <c r="F484" s="1" t="s">
        <v>1157</v>
      </c>
      <c r="G484" s="30">
        <v>23.21367</v>
      </c>
      <c r="H484" s="30">
        <v>120.277</v>
      </c>
      <c r="I484" s="30">
        <v>22.978999999999999</v>
      </c>
      <c r="J484" s="30">
        <v>120.7316</v>
      </c>
      <c r="K484" s="30">
        <v>22.6</v>
      </c>
      <c r="L484" s="22"/>
      <c r="M484" s="22">
        <f t="shared" si="56"/>
        <v>53.319001132378673</v>
      </c>
      <c r="N484" s="22">
        <f t="shared" si="57"/>
        <v>57.910930589609748</v>
      </c>
      <c r="O484" s="22" t="str">
        <f t="shared" si="58"/>
        <v/>
      </c>
      <c r="P484" s="22" t="str">
        <f t="shared" si="59"/>
        <v/>
      </c>
      <c r="Q484" s="22">
        <f t="shared" si="60"/>
        <v>2.8955465294804874</v>
      </c>
      <c r="R484" s="29" t="str">
        <f t="shared" si="61"/>
        <v>No original Rhyp to compare</v>
      </c>
      <c r="S484" s="29" t="str">
        <f t="shared" si="62"/>
        <v/>
      </c>
      <c r="T484" s="22">
        <v>24.77478</v>
      </c>
      <c r="U484" s="29" t="s">
        <v>4576</v>
      </c>
      <c r="V484" s="29" t="str">
        <f t="shared" si="63"/>
        <v>No geometric exceedance</v>
      </c>
      <c r="W484" s="30">
        <v>22.978999999999999</v>
      </c>
      <c r="X484" s="30">
        <v>120.7316</v>
      </c>
      <c r="Y484" s="30">
        <v>22.6</v>
      </c>
      <c r="Z484" s="30">
        <v>57.910930589609876</v>
      </c>
      <c r="AA484" s="29" t="s">
        <v>2812</v>
      </c>
      <c r="AB484" s="29"/>
      <c r="AC484" s="39"/>
      <c r="AD484" s="39"/>
    </row>
    <row r="485" spans="1:30" ht="58" customHeight="1">
      <c r="A485" s="1" t="s">
        <v>1263</v>
      </c>
      <c r="B485" s="1">
        <v>242</v>
      </c>
      <c r="C485" s="1" t="s">
        <v>4096</v>
      </c>
      <c r="D485" s="29" t="s">
        <v>633</v>
      </c>
      <c r="E485" s="29" t="s">
        <v>634</v>
      </c>
      <c r="F485" s="1" t="s">
        <v>1158</v>
      </c>
      <c r="G485" s="30">
        <v>23.381170000000001</v>
      </c>
      <c r="H485" s="30">
        <v>120.1722</v>
      </c>
      <c r="I485" s="30">
        <v>22.978999999999999</v>
      </c>
      <c r="J485" s="30">
        <v>120.7316</v>
      </c>
      <c r="K485" s="30">
        <v>22.6</v>
      </c>
      <c r="L485" s="22"/>
      <c r="M485" s="22">
        <f t="shared" si="56"/>
        <v>72.590989559724889</v>
      </c>
      <c r="N485" s="22">
        <f t="shared" si="57"/>
        <v>76.027703932580309</v>
      </c>
      <c r="O485" s="22" t="str">
        <f t="shared" si="58"/>
        <v/>
      </c>
      <c r="P485" s="22" t="str">
        <f t="shared" si="59"/>
        <v/>
      </c>
      <c r="Q485" s="22">
        <f t="shared" si="60"/>
        <v>3.8013851966290155</v>
      </c>
      <c r="R485" s="29" t="str">
        <f t="shared" si="61"/>
        <v>No original Rhyp to compare</v>
      </c>
      <c r="S485" s="29" t="str">
        <f t="shared" si="62"/>
        <v/>
      </c>
      <c r="T485" s="22">
        <v>46.147289999999998</v>
      </c>
      <c r="U485" s="29" t="s">
        <v>4576</v>
      </c>
      <c r="V485" s="29" t="str">
        <f t="shared" si="63"/>
        <v>No geometric exceedance</v>
      </c>
      <c r="W485" s="30">
        <v>22.978999999999999</v>
      </c>
      <c r="X485" s="30">
        <v>120.7316</v>
      </c>
      <c r="Y485" s="30">
        <v>22.6</v>
      </c>
      <c r="Z485" s="30">
        <v>76.027703932580366</v>
      </c>
      <c r="AA485" s="29" t="s">
        <v>2812</v>
      </c>
      <c r="AB485" s="29"/>
      <c r="AC485" s="39"/>
      <c r="AD485" s="39"/>
    </row>
    <row r="486" spans="1:30" ht="58" customHeight="1">
      <c r="A486" s="1" t="s">
        <v>1263</v>
      </c>
      <c r="B486" s="1">
        <v>243</v>
      </c>
      <c r="C486" s="1" t="s">
        <v>4098</v>
      </c>
      <c r="D486" s="29" t="s">
        <v>633</v>
      </c>
      <c r="E486" s="29" t="s">
        <v>634</v>
      </c>
      <c r="F486" s="1" t="s">
        <v>1159</v>
      </c>
      <c r="G486" s="30">
        <v>23.365500000000001</v>
      </c>
      <c r="H486" s="30">
        <v>120.36669999999999</v>
      </c>
      <c r="I486" s="30">
        <v>22.978999999999999</v>
      </c>
      <c r="J486" s="30">
        <v>120.7316</v>
      </c>
      <c r="K486" s="30">
        <v>22.6</v>
      </c>
      <c r="L486" s="22"/>
      <c r="M486" s="22">
        <f t="shared" si="56"/>
        <v>56.907074535660726</v>
      </c>
      <c r="N486" s="22">
        <f t="shared" si="57"/>
        <v>61.230508181847107</v>
      </c>
      <c r="O486" s="22" t="str">
        <f t="shared" si="58"/>
        <v/>
      </c>
      <c r="P486" s="22" t="str">
        <f t="shared" si="59"/>
        <v/>
      </c>
      <c r="Q486" s="22">
        <f t="shared" si="60"/>
        <v>3.0615254090923556</v>
      </c>
      <c r="R486" s="29" t="str">
        <f t="shared" si="61"/>
        <v>No original Rhyp to compare</v>
      </c>
      <c r="S486" s="29" t="str">
        <f t="shared" si="62"/>
        <v/>
      </c>
      <c r="T486" s="22">
        <v>35.810319999999997</v>
      </c>
      <c r="U486" s="29" t="s">
        <v>4576</v>
      </c>
      <c r="V486" s="29" t="str">
        <f t="shared" si="63"/>
        <v>No geometric exceedance</v>
      </c>
      <c r="W486" s="30">
        <v>22.978999999999999</v>
      </c>
      <c r="X486" s="30">
        <v>120.7316</v>
      </c>
      <c r="Y486" s="30">
        <v>22.6</v>
      </c>
      <c r="Z486" s="30">
        <v>61.230508181847291</v>
      </c>
      <c r="AA486" s="29" t="s">
        <v>2812</v>
      </c>
      <c r="AB486" s="29"/>
      <c r="AC486" s="39"/>
      <c r="AD486" s="39"/>
    </row>
    <row r="487" spans="1:30" ht="58" customHeight="1">
      <c r="A487" s="1" t="s">
        <v>1263</v>
      </c>
      <c r="B487" s="1">
        <v>244</v>
      </c>
      <c r="C487" s="1" t="s">
        <v>4100</v>
      </c>
      <c r="D487" s="29" t="s">
        <v>633</v>
      </c>
      <c r="E487" s="29" t="s">
        <v>634</v>
      </c>
      <c r="F487" s="1" t="s">
        <v>1160</v>
      </c>
      <c r="G487" s="30">
        <v>23.26867</v>
      </c>
      <c r="H487" s="30">
        <v>120.27679999999999</v>
      </c>
      <c r="I487" s="30">
        <v>22.978999999999999</v>
      </c>
      <c r="J487" s="30">
        <v>120.7316</v>
      </c>
      <c r="K487" s="30">
        <v>22.6</v>
      </c>
      <c r="L487" s="22"/>
      <c r="M487" s="22">
        <f t="shared" si="56"/>
        <v>56.572967079430988</v>
      </c>
      <c r="N487" s="22">
        <f t="shared" si="57"/>
        <v>60.920116580407019</v>
      </c>
      <c r="O487" s="22" t="str">
        <f t="shared" si="58"/>
        <v/>
      </c>
      <c r="P487" s="22" t="str">
        <f t="shared" si="59"/>
        <v/>
      </c>
      <c r="Q487" s="22">
        <f t="shared" si="60"/>
        <v>3.0460058290203511</v>
      </c>
      <c r="R487" s="29" t="str">
        <f t="shared" si="61"/>
        <v>No original Rhyp to compare</v>
      </c>
      <c r="S487" s="29" t="str">
        <f t="shared" si="62"/>
        <v/>
      </c>
      <c r="T487" s="22">
        <v>30.038119999999999</v>
      </c>
      <c r="U487" s="29" t="s">
        <v>4576</v>
      </c>
      <c r="V487" s="29" t="str">
        <f t="shared" si="63"/>
        <v>No geometric exceedance</v>
      </c>
      <c r="W487" s="30">
        <v>22.978999999999999</v>
      </c>
      <c r="X487" s="30">
        <v>120.7316</v>
      </c>
      <c r="Y487" s="30">
        <v>22.6</v>
      </c>
      <c r="Z487" s="30">
        <v>60.920116580407168</v>
      </c>
      <c r="AA487" s="29" t="s">
        <v>2812</v>
      </c>
      <c r="AB487" s="29"/>
      <c r="AC487" s="39"/>
      <c r="AD487" s="39"/>
    </row>
    <row r="488" spans="1:30" ht="58" customHeight="1">
      <c r="A488" s="1" t="s">
        <v>1263</v>
      </c>
      <c r="B488" s="1">
        <v>245</v>
      </c>
      <c r="C488" s="1" t="s">
        <v>4102</v>
      </c>
      <c r="D488" s="29" t="s">
        <v>633</v>
      </c>
      <c r="E488" s="29" t="s">
        <v>634</v>
      </c>
      <c r="F488" s="1" t="s">
        <v>1161</v>
      </c>
      <c r="G488" s="30">
        <v>23.262170000000001</v>
      </c>
      <c r="H488" s="30">
        <v>120.1392</v>
      </c>
      <c r="I488" s="30">
        <v>22.978999999999999</v>
      </c>
      <c r="J488" s="30">
        <v>120.7316</v>
      </c>
      <c r="K488" s="30">
        <v>22.6</v>
      </c>
      <c r="L488" s="22"/>
      <c r="M488" s="22">
        <f t="shared" si="56"/>
        <v>68.275074037168508</v>
      </c>
      <c r="N488" s="22">
        <f t="shared" si="57"/>
        <v>71.91832683524305</v>
      </c>
      <c r="O488" s="22" t="str">
        <f t="shared" si="58"/>
        <v/>
      </c>
      <c r="P488" s="22" t="str">
        <f t="shared" si="59"/>
        <v/>
      </c>
      <c r="Q488" s="22">
        <f t="shared" si="60"/>
        <v>3.5959163417621527</v>
      </c>
      <c r="R488" s="29" t="str">
        <f t="shared" si="61"/>
        <v>No original Rhyp to compare</v>
      </c>
      <c r="S488" s="29" t="str">
        <f t="shared" si="62"/>
        <v/>
      </c>
      <c r="T488" s="22">
        <v>37.542009999999998</v>
      </c>
      <c r="U488" s="29" t="s">
        <v>4576</v>
      </c>
      <c r="V488" s="29" t="str">
        <f t="shared" si="63"/>
        <v>No geometric exceedance</v>
      </c>
      <c r="W488" s="30">
        <v>22.978999999999999</v>
      </c>
      <c r="X488" s="30">
        <v>120.7316</v>
      </c>
      <c r="Y488" s="30">
        <v>22.6</v>
      </c>
      <c r="Z488" s="30">
        <v>71.918326835243192</v>
      </c>
      <c r="AA488" s="29" t="s">
        <v>2812</v>
      </c>
      <c r="AB488" s="29"/>
      <c r="AC488" s="39"/>
      <c r="AD488" s="39"/>
    </row>
    <row r="489" spans="1:30" ht="58" customHeight="1">
      <c r="A489" s="1" t="s">
        <v>1263</v>
      </c>
      <c r="B489" s="1">
        <v>246</v>
      </c>
      <c r="C489" s="1" t="s">
        <v>4104</v>
      </c>
      <c r="D489" s="29" t="s">
        <v>633</v>
      </c>
      <c r="E489" s="29" t="s">
        <v>634</v>
      </c>
      <c r="F489" s="1" t="s">
        <v>1162</v>
      </c>
      <c r="G489" s="30">
        <v>23.171330000000001</v>
      </c>
      <c r="H489" s="30">
        <v>120.3272</v>
      </c>
      <c r="I489" s="30">
        <v>22.978999999999999</v>
      </c>
      <c r="J489" s="30">
        <v>120.7316</v>
      </c>
      <c r="K489" s="30">
        <v>22.6</v>
      </c>
      <c r="L489" s="22"/>
      <c r="M489" s="22">
        <f t="shared" si="56"/>
        <v>46.570326661656665</v>
      </c>
      <c r="N489" s="22">
        <f t="shared" si="57"/>
        <v>51.764421424115326</v>
      </c>
      <c r="O489" s="22" t="str">
        <f t="shared" si="58"/>
        <v/>
      </c>
      <c r="P489" s="22" t="str">
        <f t="shared" si="59"/>
        <v/>
      </c>
      <c r="Q489" s="22">
        <f t="shared" si="60"/>
        <v>2.5882210712057665</v>
      </c>
      <c r="R489" s="29" t="str">
        <f t="shared" si="61"/>
        <v>No original Rhyp to compare</v>
      </c>
      <c r="S489" s="29" t="str">
        <f t="shared" si="62"/>
        <v/>
      </c>
      <c r="T489" s="22">
        <v>18.22719</v>
      </c>
      <c r="U489" s="29" t="s">
        <v>4576</v>
      </c>
      <c r="V489" s="29" t="str">
        <f t="shared" si="63"/>
        <v>No geometric exceedance</v>
      </c>
      <c r="W489" s="30">
        <v>22.978999999999999</v>
      </c>
      <c r="X489" s="30">
        <v>120.7316</v>
      </c>
      <c r="Y489" s="30">
        <v>22.6</v>
      </c>
      <c r="Z489" s="30">
        <v>51.764421424115362</v>
      </c>
      <c r="AA489" s="29" t="s">
        <v>2812</v>
      </c>
      <c r="AB489" s="29"/>
      <c r="AC489" s="39"/>
      <c r="AD489" s="39"/>
    </row>
    <row r="490" spans="1:30" ht="58" customHeight="1">
      <c r="A490" s="1" t="s">
        <v>1263</v>
      </c>
      <c r="B490" s="1">
        <v>247</v>
      </c>
      <c r="C490" s="1" t="s">
        <v>4106</v>
      </c>
      <c r="D490" s="29" t="s">
        <v>633</v>
      </c>
      <c r="E490" s="29" t="s">
        <v>634</v>
      </c>
      <c r="F490" s="1" t="s">
        <v>1163</v>
      </c>
      <c r="G490" s="30">
        <v>23.183</v>
      </c>
      <c r="H490" s="30">
        <v>120.1113</v>
      </c>
      <c r="I490" s="30">
        <v>22.978999999999999</v>
      </c>
      <c r="J490" s="30">
        <v>120.7316</v>
      </c>
      <c r="K490" s="30">
        <v>22.6</v>
      </c>
      <c r="L490" s="22"/>
      <c r="M490" s="22">
        <f t="shared" si="56"/>
        <v>67.385572939562493</v>
      </c>
      <c r="N490" s="22">
        <f t="shared" si="57"/>
        <v>71.074435913295133</v>
      </c>
      <c r="O490" s="22" t="str">
        <f t="shared" si="58"/>
        <v/>
      </c>
      <c r="P490" s="22" t="str">
        <f t="shared" si="59"/>
        <v/>
      </c>
      <c r="Q490" s="22">
        <f t="shared" si="60"/>
        <v>3.5537217956647567</v>
      </c>
      <c r="R490" s="29" t="str">
        <f t="shared" si="61"/>
        <v>No original Rhyp to compare</v>
      </c>
      <c r="S490" s="29" t="str">
        <f t="shared" si="62"/>
        <v/>
      </c>
      <c r="T490" s="22">
        <v>34.124870000000001</v>
      </c>
      <c r="U490" s="29" t="s">
        <v>4576</v>
      </c>
      <c r="V490" s="29" t="str">
        <f t="shared" si="63"/>
        <v>No geometric exceedance</v>
      </c>
      <c r="W490" s="30">
        <v>22.978999999999999</v>
      </c>
      <c r="X490" s="30">
        <v>120.7316</v>
      </c>
      <c r="Y490" s="30">
        <v>22.6</v>
      </c>
      <c r="Z490" s="30">
        <v>71.07443591329519</v>
      </c>
      <c r="AA490" s="29" t="s">
        <v>2812</v>
      </c>
      <c r="AB490" s="29"/>
      <c r="AC490" s="39"/>
      <c r="AD490" s="39"/>
    </row>
    <row r="491" spans="1:30" ht="58" customHeight="1">
      <c r="A491" s="1" t="s">
        <v>1263</v>
      </c>
      <c r="B491" s="1">
        <v>248</v>
      </c>
      <c r="C491" s="1" t="s">
        <v>4108</v>
      </c>
      <c r="D491" s="29" t="s">
        <v>633</v>
      </c>
      <c r="E491" s="29" t="s">
        <v>634</v>
      </c>
      <c r="F491" s="1" t="s">
        <v>1164</v>
      </c>
      <c r="G491" s="30">
        <v>23.025829999999999</v>
      </c>
      <c r="H491" s="30">
        <v>120.34950000000001</v>
      </c>
      <c r="I491" s="30">
        <v>22.978999999999999</v>
      </c>
      <c r="J491" s="30">
        <v>120.7316</v>
      </c>
      <c r="K491" s="30">
        <v>22.6</v>
      </c>
      <c r="L491" s="22"/>
      <c r="M491" s="22">
        <f t="shared" si="56"/>
        <v>39.454452977363154</v>
      </c>
      <c r="N491" s="22">
        <f t="shared" si="57"/>
        <v>45.468822942132121</v>
      </c>
      <c r="O491" s="22" t="str">
        <f t="shared" si="58"/>
        <v/>
      </c>
      <c r="P491" s="22" t="str">
        <f t="shared" si="59"/>
        <v/>
      </c>
      <c r="Q491" s="22">
        <f t="shared" si="60"/>
        <v>2.2734411471066061</v>
      </c>
      <c r="R491" s="29" t="str">
        <f t="shared" si="61"/>
        <v>No original Rhyp to compare</v>
      </c>
      <c r="S491" s="29" t="str">
        <f t="shared" si="62"/>
        <v/>
      </c>
      <c r="T491" s="22">
        <v>4.8063630000000002</v>
      </c>
      <c r="U491" s="29" t="s">
        <v>4576</v>
      </c>
      <c r="V491" s="29" t="str">
        <f t="shared" si="63"/>
        <v>No geometric exceedance</v>
      </c>
      <c r="W491" s="30">
        <v>22.978999999999999</v>
      </c>
      <c r="X491" s="30">
        <v>120.7316</v>
      </c>
      <c r="Y491" s="30">
        <v>22.6</v>
      </c>
      <c r="Z491" s="30">
        <v>45.468822942132128</v>
      </c>
      <c r="AA491" s="29" t="s">
        <v>2812</v>
      </c>
      <c r="AB491" s="29"/>
      <c r="AC491" s="39"/>
      <c r="AD491" s="39"/>
    </row>
    <row r="492" spans="1:30" ht="58" customHeight="1">
      <c r="A492" s="1" t="s">
        <v>1263</v>
      </c>
      <c r="B492" s="1">
        <v>249</v>
      </c>
      <c r="C492" s="1" t="s">
        <v>4110</v>
      </c>
      <c r="D492" s="29" t="s">
        <v>633</v>
      </c>
      <c r="E492" s="29" t="s">
        <v>634</v>
      </c>
      <c r="F492" s="1" t="s">
        <v>1165</v>
      </c>
      <c r="G492" s="30">
        <v>23.075330000000001</v>
      </c>
      <c r="H492" s="30">
        <v>120.364</v>
      </c>
      <c r="I492" s="30">
        <v>22.978999999999999</v>
      </c>
      <c r="J492" s="30">
        <v>120.7316</v>
      </c>
      <c r="K492" s="30">
        <v>22.6</v>
      </c>
      <c r="L492" s="22"/>
      <c r="M492" s="22">
        <f t="shared" si="56"/>
        <v>39.113540423110244</v>
      </c>
      <c r="N492" s="22">
        <f t="shared" si="57"/>
        <v>45.173322264698207</v>
      </c>
      <c r="O492" s="22" t="str">
        <f t="shared" si="58"/>
        <v/>
      </c>
      <c r="P492" s="22" t="str">
        <f t="shared" si="59"/>
        <v/>
      </c>
      <c r="Q492" s="22">
        <f t="shared" si="60"/>
        <v>2.2586661132349106</v>
      </c>
      <c r="R492" s="29" t="str">
        <f t="shared" si="61"/>
        <v>No original Rhyp to compare</v>
      </c>
      <c r="S492" s="29" t="str">
        <f t="shared" si="62"/>
        <v/>
      </c>
      <c r="T492" s="22">
        <v>7.239649</v>
      </c>
      <c r="U492" s="29" t="s">
        <v>4576</v>
      </c>
      <c r="V492" s="29" t="str">
        <f t="shared" si="63"/>
        <v>No geometric exceedance</v>
      </c>
      <c r="W492" s="30">
        <v>22.978999999999999</v>
      </c>
      <c r="X492" s="30">
        <v>120.7316</v>
      </c>
      <c r="Y492" s="30">
        <v>22.6</v>
      </c>
      <c r="Z492" s="30">
        <v>45.173322264698214</v>
      </c>
      <c r="AA492" s="29" t="s">
        <v>2812</v>
      </c>
      <c r="AB492" s="29"/>
      <c r="AC492" s="39"/>
      <c r="AD492" s="39"/>
    </row>
    <row r="493" spans="1:30" ht="58" customHeight="1">
      <c r="A493" s="1" t="s">
        <v>1263</v>
      </c>
      <c r="B493" s="1">
        <v>250</v>
      </c>
      <c r="C493" s="1" t="s">
        <v>4112</v>
      </c>
      <c r="D493" s="29" t="s">
        <v>633</v>
      </c>
      <c r="E493" s="29" t="s">
        <v>634</v>
      </c>
      <c r="F493" s="1" t="s">
        <v>1096</v>
      </c>
      <c r="G493" s="30">
        <v>23.456</v>
      </c>
      <c r="H493" s="30">
        <v>120.33069999999999</v>
      </c>
      <c r="I493" s="30">
        <v>22.978999999999999</v>
      </c>
      <c r="J493" s="30">
        <v>120.7316</v>
      </c>
      <c r="K493" s="30">
        <v>22.6</v>
      </c>
      <c r="L493" s="22"/>
      <c r="M493" s="22">
        <f t="shared" si="56"/>
        <v>67.019337008836217</v>
      </c>
      <c r="N493" s="22">
        <f t="shared" si="57"/>
        <v>70.727304014107347</v>
      </c>
      <c r="O493" s="22" t="str">
        <f t="shared" si="58"/>
        <v/>
      </c>
      <c r="P493" s="22" t="str">
        <f t="shared" si="59"/>
        <v/>
      </c>
      <c r="Q493" s="22">
        <f t="shared" si="60"/>
        <v>3.5363652007053674</v>
      </c>
      <c r="R493" s="29" t="str">
        <f t="shared" si="61"/>
        <v>No original Rhyp to compare</v>
      </c>
      <c r="S493" s="29" t="str">
        <f t="shared" si="62"/>
        <v/>
      </c>
      <c r="T493" s="22">
        <v>46.0471</v>
      </c>
      <c r="U493" s="29" t="s">
        <v>4576</v>
      </c>
      <c r="V493" s="29" t="str">
        <f t="shared" si="63"/>
        <v>No geometric exceedance</v>
      </c>
      <c r="W493" s="30">
        <v>22.978999999999999</v>
      </c>
      <c r="X493" s="30">
        <v>120.7316</v>
      </c>
      <c r="Y493" s="30">
        <v>22.6</v>
      </c>
      <c r="Z493" s="30">
        <v>70.727304014107588</v>
      </c>
      <c r="AA493" s="29" t="s">
        <v>2812</v>
      </c>
      <c r="AB493" s="29"/>
      <c r="AC493" s="39"/>
      <c r="AD493" s="39"/>
    </row>
    <row r="494" spans="1:30" ht="58" customHeight="1">
      <c r="A494" s="1" t="s">
        <v>1263</v>
      </c>
      <c r="B494" s="1">
        <v>251</v>
      </c>
      <c r="C494" s="1" t="s">
        <v>4114</v>
      </c>
      <c r="D494" s="29" t="s">
        <v>633</v>
      </c>
      <c r="E494" s="29" t="s">
        <v>634</v>
      </c>
      <c r="F494" s="1" t="s">
        <v>1166</v>
      </c>
      <c r="G494" s="30">
        <v>23.29767</v>
      </c>
      <c r="H494" s="30">
        <v>120.2992</v>
      </c>
      <c r="I494" s="30">
        <v>22.978999999999999</v>
      </c>
      <c r="J494" s="30">
        <v>120.7316</v>
      </c>
      <c r="K494" s="30">
        <v>22.6</v>
      </c>
      <c r="L494" s="22"/>
      <c r="M494" s="22">
        <f t="shared" si="56"/>
        <v>56.660255812797942</v>
      </c>
      <c r="N494" s="22">
        <f t="shared" si="57"/>
        <v>61.001185142353613</v>
      </c>
      <c r="O494" s="22" t="str">
        <f t="shared" si="58"/>
        <v/>
      </c>
      <c r="P494" s="22" t="str">
        <f t="shared" si="59"/>
        <v/>
      </c>
      <c r="Q494" s="22">
        <f t="shared" si="60"/>
        <v>3.050059257117681</v>
      </c>
      <c r="R494" s="29" t="str">
        <f t="shared" si="61"/>
        <v>No original Rhyp to compare</v>
      </c>
      <c r="S494" s="29" t="str">
        <f t="shared" si="62"/>
        <v/>
      </c>
      <c r="T494" s="22">
        <v>31.794350000000001</v>
      </c>
      <c r="U494" s="29" t="s">
        <v>4576</v>
      </c>
      <c r="V494" s="29" t="str">
        <f t="shared" si="63"/>
        <v>No geometric exceedance</v>
      </c>
      <c r="W494" s="30">
        <v>22.978999999999999</v>
      </c>
      <c r="X494" s="30">
        <v>120.7316</v>
      </c>
      <c r="Y494" s="30">
        <v>22.6</v>
      </c>
      <c r="Z494" s="30">
        <v>61.001185142353613</v>
      </c>
      <c r="AA494" s="29" t="s">
        <v>2812</v>
      </c>
      <c r="AB494" s="29"/>
      <c r="AC494" s="39"/>
      <c r="AD494" s="39"/>
    </row>
    <row r="495" spans="1:30" ht="58" customHeight="1">
      <c r="A495" s="1" t="s">
        <v>1263</v>
      </c>
      <c r="B495" s="1">
        <v>252</v>
      </c>
      <c r="C495" s="1" t="s">
        <v>4116</v>
      </c>
      <c r="D495" s="29" t="s">
        <v>633</v>
      </c>
      <c r="E495" s="29" t="s">
        <v>634</v>
      </c>
      <c r="F495" s="1" t="s">
        <v>1167</v>
      </c>
      <c r="G495" s="30">
        <v>23.420169999999999</v>
      </c>
      <c r="H495" s="30">
        <v>120.21380000000001</v>
      </c>
      <c r="I495" s="30">
        <v>22.978999999999999</v>
      </c>
      <c r="J495" s="30">
        <v>120.7316</v>
      </c>
      <c r="K495" s="30">
        <v>22.6</v>
      </c>
      <c r="L495" s="22"/>
      <c r="M495" s="22">
        <f t="shared" si="56"/>
        <v>72.160121056755642</v>
      </c>
      <c r="N495" s="22">
        <f t="shared" si="57"/>
        <v>75.616420643439795</v>
      </c>
      <c r="O495" s="22" t="str">
        <f t="shared" si="58"/>
        <v/>
      </c>
      <c r="P495" s="22" t="str">
        <f t="shared" si="59"/>
        <v/>
      </c>
      <c r="Q495" s="22">
        <f t="shared" si="60"/>
        <v>3.7808210321719899</v>
      </c>
      <c r="R495" s="29" t="str">
        <f t="shared" si="61"/>
        <v>No original Rhyp to compare</v>
      </c>
      <c r="S495" s="29" t="str">
        <f t="shared" si="62"/>
        <v/>
      </c>
      <c r="T495" s="22">
        <v>47.687190000000001</v>
      </c>
      <c r="U495" s="29" t="s">
        <v>4576</v>
      </c>
      <c r="V495" s="29" t="str">
        <f t="shared" si="63"/>
        <v>No geometric exceedance</v>
      </c>
      <c r="W495" s="30">
        <v>22.978999999999999</v>
      </c>
      <c r="X495" s="30">
        <v>120.7316</v>
      </c>
      <c r="Y495" s="30">
        <v>22.6</v>
      </c>
      <c r="Z495" s="30">
        <v>75.616420643439795</v>
      </c>
      <c r="AA495" s="29" t="s">
        <v>2812</v>
      </c>
      <c r="AB495" s="29"/>
      <c r="AC495" s="39"/>
      <c r="AD495" s="39"/>
    </row>
    <row r="496" spans="1:30" ht="58" customHeight="1">
      <c r="A496" s="1" t="s">
        <v>1263</v>
      </c>
      <c r="B496" s="1">
        <v>253</v>
      </c>
      <c r="C496" s="1" t="s">
        <v>4118</v>
      </c>
      <c r="D496" s="29" t="s">
        <v>633</v>
      </c>
      <c r="E496" s="29" t="s">
        <v>634</v>
      </c>
      <c r="F496" s="1" t="s">
        <v>1168</v>
      </c>
      <c r="G496" s="30">
        <v>23.146999999999998</v>
      </c>
      <c r="H496" s="30">
        <v>120.08580000000001</v>
      </c>
      <c r="I496" s="30">
        <v>22.978999999999999</v>
      </c>
      <c r="J496" s="30">
        <v>120.7316</v>
      </c>
      <c r="K496" s="30">
        <v>22.6</v>
      </c>
      <c r="L496" s="22"/>
      <c r="M496" s="22">
        <f t="shared" si="56"/>
        <v>68.660316619490644</v>
      </c>
      <c r="N496" s="22">
        <f t="shared" si="57"/>
        <v>72.284155098394166</v>
      </c>
      <c r="O496" s="22" t="str">
        <f t="shared" si="58"/>
        <v/>
      </c>
      <c r="P496" s="22" t="str">
        <f t="shared" si="59"/>
        <v/>
      </c>
      <c r="Q496" s="22">
        <f t="shared" si="60"/>
        <v>3.6142077549197085</v>
      </c>
      <c r="R496" s="29" t="str">
        <f t="shared" si="61"/>
        <v>No original Rhyp to compare</v>
      </c>
      <c r="S496" s="29" t="str">
        <f t="shared" si="62"/>
        <v/>
      </c>
      <c r="T496" s="22">
        <v>34.500979999999998</v>
      </c>
      <c r="U496" s="29" t="s">
        <v>4576</v>
      </c>
      <c r="V496" s="29" t="str">
        <f t="shared" si="63"/>
        <v>No geometric exceedance</v>
      </c>
      <c r="W496" s="30">
        <v>22.978999999999999</v>
      </c>
      <c r="X496" s="30">
        <v>120.7316</v>
      </c>
      <c r="Y496" s="30">
        <v>22.6</v>
      </c>
      <c r="Z496" s="30">
        <v>72.284155098394208</v>
      </c>
      <c r="AA496" s="29" t="s">
        <v>2812</v>
      </c>
      <c r="AB496" s="29"/>
      <c r="AC496" s="39"/>
      <c r="AD496" s="39"/>
    </row>
    <row r="497" spans="1:30" ht="58" customHeight="1">
      <c r="A497" s="1" t="s">
        <v>1263</v>
      </c>
      <c r="B497" s="1">
        <v>254</v>
      </c>
      <c r="C497" s="1" t="s">
        <v>4120</v>
      </c>
      <c r="D497" s="29" t="s">
        <v>633</v>
      </c>
      <c r="E497" s="29" t="s">
        <v>634</v>
      </c>
      <c r="F497" s="1" t="s">
        <v>1169</v>
      </c>
      <c r="G497" s="30">
        <v>23.32283</v>
      </c>
      <c r="H497" s="30">
        <v>120.3095</v>
      </c>
      <c r="I497" s="30">
        <v>22.978999999999999</v>
      </c>
      <c r="J497" s="30">
        <v>120.7316</v>
      </c>
      <c r="K497" s="30">
        <v>22.6</v>
      </c>
      <c r="L497" s="22"/>
      <c r="M497" s="22">
        <f t="shared" si="56"/>
        <v>57.655091861504729</v>
      </c>
      <c r="N497" s="22">
        <f t="shared" si="57"/>
        <v>61.926324108238084</v>
      </c>
      <c r="O497" s="22" t="str">
        <f t="shared" si="58"/>
        <v/>
      </c>
      <c r="P497" s="22" t="str">
        <f t="shared" si="59"/>
        <v/>
      </c>
      <c r="Q497" s="22">
        <f t="shared" si="60"/>
        <v>3.0963162054119042</v>
      </c>
      <c r="R497" s="29" t="str">
        <f t="shared" si="61"/>
        <v>No original Rhyp to compare</v>
      </c>
      <c r="S497" s="29" t="str">
        <f t="shared" si="62"/>
        <v/>
      </c>
      <c r="T497" s="22">
        <v>33.795450000000002</v>
      </c>
      <c r="U497" s="29" t="s">
        <v>4576</v>
      </c>
      <c r="V497" s="29" t="str">
        <f t="shared" si="63"/>
        <v>No geometric exceedance</v>
      </c>
      <c r="W497" s="30">
        <v>22.978999999999999</v>
      </c>
      <c r="X497" s="30">
        <v>120.7316</v>
      </c>
      <c r="Y497" s="30">
        <v>22.6</v>
      </c>
      <c r="Z497" s="30">
        <v>61.926324108238198</v>
      </c>
      <c r="AA497" s="29" t="s">
        <v>2812</v>
      </c>
      <c r="AB497" s="29"/>
      <c r="AC497" s="39"/>
      <c r="AD497" s="39"/>
    </row>
    <row r="498" spans="1:30" ht="58" customHeight="1">
      <c r="A498" s="1" t="s">
        <v>1263</v>
      </c>
      <c r="B498" s="1">
        <v>255</v>
      </c>
      <c r="C498" s="1" t="s">
        <v>4122</v>
      </c>
      <c r="D498" s="29" t="s">
        <v>633</v>
      </c>
      <c r="E498" s="29" t="s">
        <v>634</v>
      </c>
      <c r="F498" s="1" t="s">
        <v>1170</v>
      </c>
      <c r="G498" s="30">
        <v>23.483499999999999</v>
      </c>
      <c r="H498" s="30">
        <v>120.23950000000001</v>
      </c>
      <c r="I498" s="30">
        <v>22.978999999999999</v>
      </c>
      <c r="J498" s="30">
        <v>120.7316</v>
      </c>
      <c r="K498" s="30">
        <v>22.6</v>
      </c>
      <c r="L498" s="22"/>
      <c r="M498" s="22">
        <f t="shared" si="56"/>
        <v>75.334335132914546</v>
      </c>
      <c r="N498" s="22">
        <f t="shared" si="57"/>
        <v>78.651268584291017</v>
      </c>
      <c r="O498" s="22" t="str">
        <f t="shared" si="58"/>
        <v/>
      </c>
      <c r="P498" s="22" t="str">
        <f t="shared" si="59"/>
        <v/>
      </c>
      <c r="Q498" s="22">
        <f t="shared" si="60"/>
        <v>3.932563429214551</v>
      </c>
      <c r="R498" s="29" t="str">
        <f t="shared" si="61"/>
        <v>No original Rhyp to compare</v>
      </c>
      <c r="S498" s="29" t="str">
        <f t="shared" si="62"/>
        <v/>
      </c>
      <c r="T498" s="22">
        <v>52.573830000000001</v>
      </c>
      <c r="U498" s="29" t="s">
        <v>4576</v>
      </c>
      <c r="V498" s="29" t="str">
        <f t="shared" si="63"/>
        <v>No geometric exceedance</v>
      </c>
      <c r="W498" s="30">
        <v>22.978999999999999</v>
      </c>
      <c r="X498" s="30">
        <v>120.7316</v>
      </c>
      <c r="Y498" s="30">
        <v>22.6</v>
      </c>
      <c r="Z498" s="30">
        <v>78.651268584291145</v>
      </c>
      <c r="AA498" s="29" t="s">
        <v>2812</v>
      </c>
      <c r="AB498" s="29"/>
      <c r="AC498" s="39"/>
      <c r="AD498" s="39"/>
    </row>
    <row r="499" spans="1:30" ht="58" customHeight="1">
      <c r="A499" s="1" t="s">
        <v>1263</v>
      </c>
      <c r="B499" s="1">
        <v>256</v>
      </c>
      <c r="C499" s="1" t="s">
        <v>4124</v>
      </c>
      <c r="D499" s="29" t="s">
        <v>633</v>
      </c>
      <c r="E499" s="29" t="s">
        <v>634</v>
      </c>
      <c r="F499" s="1" t="s">
        <v>1171</v>
      </c>
      <c r="G499" s="30">
        <v>23.294499999999999</v>
      </c>
      <c r="H499" s="30">
        <v>120.3867</v>
      </c>
      <c r="I499" s="30">
        <v>22.978999999999999</v>
      </c>
      <c r="J499" s="30">
        <v>120.7316</v>
      </c>
      <c r="K499" s="30">
        <v>22.6</v>
      </c>
      <c r="L499" s="22"/>
      <c r="M499" s="22">
        <f t="shared" si="56"/>
        <v>49.744042645570943</v>
      </c>
      <c r="N499" s="22">
        <f t="shared" si="57"/>
        <v>54.637256325005751</v>
      </c>
      <c r="O499" s="22" t="str">
        <f t="shared" si="58"/>
        <v/>
      </c>
      <c r="P499" s="22" t="str">
        <f t="shared" si="59"/>
        <v/>
      </c>
      <c r="Q499" s="22">
        <f t="shared" si="60"/>
        <v>2.7318628162502878</v>
      </c>
      <c r="R499" s="29" t="str">
        <f t="shared" si="61"/>
        <v>No original Rhyp to compare</v>
      </c>
      <c r="S499" s="29" t="str">
        <f t="shared" si="62"/>
        <v/>
      </c>
      <c r="T499" s="22">
        <v>28.142230000000001</v>
      </c>
      <c r="U499" s="29" t="s">
        <v>4576</v>
      </c>
      <c r="V499" s="29" t="str">
        <f t="shared" si="63"/>
        <v>No geometric exceedance</v>
      </c>
      <c r="W499" s="30">
        <v>22.978999999999999</v>
      </c>
      <c r="X499" s="30">
        <v>120.7316</v>
      </c>
      <c r="Y499" s="30">
        <v>22.6</v>
      </c>
      <c r="Z499" s="30">
        <v>54.637256325005836</v>
      </c>
      <c r="AA499" s="29" t="s">
        <v>2812</v>
      </c>
      <c r="AB499" s="29"/>
      <c r="AC499" s="39"/>
      <c r="AD499" s="39"/>
    </row>
    <row r="500" spans="1:30" ht="58" customHeight="1">
      <c r="A500" s="1" t="s">
        <v>1263</v>
      </c>
      <c r="B500" s="1">
        <v>257</v>
      </c>
      <c r="C500" s="1" t="s">
        <v>4126</v>
      </c>
      <c r="D500" s="29" t="s">
        <v>633</v>
      </c>
      <c r="E500" s="29" t="s">
        <v>634</v>
      </c>
      <c r="F500" s="1" t="s">
        <v>1172</v>
      </c>
      <c r="G500" s="30">
        <v>23.292670000000001</v>
      </c>
      <c r="H500" s="30">
        <v>120.244</v>
      </c>
      <c r="I500" s="30">
        <v>22.978999999999999</v>
      </c>
      <c r="J500" s="30">
        <v>120.7316</v>
      </c>
      <c r="K500" s="30">
        <v>22.6</v>
      </c>
      <c r="L500" s="22"/>
      <c r="M500" s="22">
        <f t="shared" si="56"/>
        <v>60.846816391349009</v>
      </c>
      <c r="N500" s="22">
        <f t="shared" si="57"/>
        <v>64.908358976040503</v>
      </c>
      <c r="O500" s="22" t="str">
        <f t="shared" si="58"/>
        <v/>
      </c>
      <c r="P500" s="22" t="str">
        <f t="shared" si="59"/>
        <v/>
      </c>
      <c r="Q500" s="22">
        <f t="shared" si="60"/>
        <v>3.2454179488020252</v>
      </c>
      <c r="R500" s="29" t="str">
        <f t="shared" si="61"/>
        <v>No original Rhyp to compare</v>
      </c>
      <c r="S500" s="29" t="str">
        <f t="shared" si="62"/>
        <v/>
      </c>
      <c r="T500" s="22">
        <v>33.986379999999997</v>
      </c>
      <c r="U500" s="29" t="s">
        <v>4576</v>
      </c>
      <c r="V500" s="29" t="str">
        <f t="shared" si="63"/>
        <v>No geometric exceedance</v>
      </c>
      <c r="W500" s="30">
        <v>22.978999999999999</v>
      </c>
      <c r="X500" s="30">
        <v>120.7316</v>
      </c>
      <c r="Y500" s="30">
        <v>22.6</v>
      </c>
      <c r="Z500" s="30">
        <v>64.908358976040645</v>
      </c>
      <c r="AA500" s="29" t="s">
        <v>2812</v>
      </c>
      <c r="AB500" s="29"/>
      <c r="AC500" s="39"/>
      <c r="AD500" s="39"/>
    </row>
    <row r="501" spans="1:30" ht="58" customHeight="1">
      <c r="A501" s="1" t="s">
        <v>1263</v>
      </c>
      <c r="B501" s="1">
        <v>258</v>
      </c>
      <c r="C501" s="1" t="s">
        <v>4128</v>
      </c>
      <c r="D501" s="29" t="s">
        <v>633</v>
      </c>
      <c r="E501" s="29" t="s">
        <v>634</v>
      </c>
      <c r="F501" s="1" t="s">
        <v>1173</v>
      </c>
      <c r="G501" s="30">
        <v>23.119700000000002</v>
      </c>
      <c r="H501" s="30">
        <v>120.3613</v>
      </c>
      <c r="I501" s="30">
        <v>22.978999999999999</v>
      </c>
      <c r="J501" s="30">
        <v>120.7316</v>
      </c>
      <c r="K501" s="30">
        <v>22.6</v>
      </c>
      <c r="L501" s="22"/>
      <c r="M501" s="22">
        <f t="shared" si="56"/>
        <v>40.99141177899201</v>
      </c>
      <c r="N501" s="22">
        <f t="shared" si="57"/>
        <v>46.80871542389179</v>
      </c>
      <c r="O501" s="22" t="str">
        <f t="shared" si="58"/>
        <v/>
      </c>
      <c r="P501" s="22" t="str">
        <f t="shared" si="59"/>
        <v/>
      </c>
      <c r="Q501" s="22">
        <f t="shared" si="60"/>
        <v>2.3404357711945898</v>
      </c>
      <c r="R501" s="29" t="str">
        <f t="shared" si="61"/>
        <v>No original Rhyp to compare</v>
      </c>
      <c r="S501" s="29" t="str">
        <f t="shared" si="62"/>
        <v/>
      </c>
      <c r="T501" s="22">
        <v>11.535399999999999</v>
      </c>
      <c r="U501" s="29" t="s">
        <v>4576</v>
      </c>
      <c r="V501" s="29" t="str">
        <f t="shared" si="63"/>
        <v>No geometric exceedance</v>
      </c>
      <c r="W501" s="30">
        <v>22.978999999999999</v>
      </c>
      <c r="X501" s="30">
        <v>120.7316</v>
      </c>
      <c r="Y501" s="30">
        <v>22.6</v>
      </c>
      <c r="Z501" s="30">
        <v>46.808715423891876</v>
      </c>
      <c r="AA501" s="29" t="s">
        <v>2812</v>
      </c>
      <c r="AB501" s="29"/>
      <c r="AC501" s="39"/>
      <c r="AD501" s="39"/>
    </row>
    <row r="502" spans="1:30" ht="58" customHeight="1">
      <c r="A502" s="1" t="s">
        <v>1263</v>
      </c>
      <c r="B502" s="1">
        <v>259</v>
      </c>
      <c r="C502" s="1" t="s">
        <v>4130</v>
      </c>
      <c r="D502" s="29" t="s">
        <v>633</v>
      </c>
      <c r="E502" s="29" t="s">
        <v>634</v>
      </c>
      <c r="F502" s="1" t="s">
        <v>1174</v>
      </c>
      <c r="G502" s="30">
        <v>23.347329999999999</v>
      </c>
      <c r="H502" s="30">
        <v>120.2227</v>
      </c>
      <c r="I502" s="30">
        <v>22.978999999999999</v>
      </c>
      <c r="J502" s="30">
        <v>120.7316</v>
      </c>
      <c r="K502" s="30">
        <v>22.6</v>
      </c>
      <c r="L502" s="22"/>
      <c r="M502" s="22">
        <f t="shared" si="56"/>
        <v>66.212285235621806</v>
      </c>
      <c r="N502" s="22">
        <f t="shared" si="57"/>
        <v>69.963038213926509</v>
      </c>
      <c r="O502" s="22" t="str">
        <f t="shared" si="58"/>
        <v/>
      </c>
      <c r="P502" s="22" t="str">
        <f t="shared" si="59"/>
        <v/>
      </c>
      <c r="Q502" s="22">
        <f t="shared" si="60"/>
        <v>3.4981519106963255</v>
      </c>
      <c r="R502" s="29" t="str">
        <f t="shared" si="61"/>
        <v>No original Rhyp to compare</v>
      </c>
      <c r="S502" s="29" t="str">
        <f t="shared" si="62"/>
        <v/>
      </c>
      <c r="T502" s="22">
        <v>40.274970000000003</v>
      </c>
      <c r="U502" s="29" t="s">
        <v>4576</v>
      </c>
      <c r="V502" s="29" t="str">
        <f t="shared" si="63"/>
        <v>No geometric exceedance</v>
      </c>
      <c r="W502" s="30">
        <v>22.978999999999999</v>
      </c>
      <c r="X502" s="30">
        <v>120.7316</v>
      </c>
      <c r="Y502" s="30">
        <v>22.6</v>
      </c>
      <c r="Z502" s="30">
        <v>69.963038213926623</v>
      </c>
      <c r="AA502" s="29" t="s">
        <v>2812</v>
      </c>
      <c r="AB502" s="29"/>
      <c r="AC502" s="39"/>
      <c r="AD502" s="39"/>
    </row>
    <row r="503" spans="1:30" ht="58" customHeight="1">
      <c r="A503" s="1" t="s">
        <v>1263</v>
      </c>
      <c r="B503" s="1">
        <v>260</v>
      </c>
      <c r="C503" s="1" t="s">
        <v>4132</v>
      </c>
      <c r="D503" s="29" t="s">
        <v>638</v>
      </c>
      <c r="E503" s="29" t="s">
        <v>1175</v>
      </c>
      <c r="F503" s="1" t="s">
        <v>1149</v>
      </c>
      <c r="G503" s="30">
        <v>-43.523600000000002</v>
      </c>
      <c r="H503" s="30">
        <v>172.63499999999999</v>
      </c>
      <c r="I503" s="30">
        <v>-43.570999999999998</v>
      </c>
      <c r="J503" s="30">
        <v>172.703</v>
      </c>
      <c r="K503" s="30">
        <v>6</v>
      </c>
      <c r="L503" s="22"/>
      <c r="M503" s="22">
        <f t="shared" si="56"/>
        <v>7.6036094557645528</v>
      </c>
      <c r="N503" s="22">
        <f t="shared" si="57"/>
        <v>9.685808007378224</v>
      </c>
      <c r="O503" s="22" t="str">
        <f t="shared" si="58"/>
        <v/>
      </c>
      <c r="P503" s="22" t="str">
        <f t="shared" si="59"/>
        <v/>
      </c>
      <c r="Q503" s="22">
        <f t="shared" si="60"/>
        <v>1</v>
      </c>
      <c r="R503" s="29" t="str">
        <f t="shared" si="61"/>
        <v>No original Rhyp to compare</v>
      </c>
      <c r="S503" s="29" t="str">
        <f t="shared" si="62"/>
        <v/>
      </c>
      <c r="T503" s="22">
        <v>5.13</v>
      </c>
      <c r="U503" s="29" t="s">
        <v>4576</v>
      </c>
      <c r="V503" s="29" t="str">
        <f t="shared" si="63"/>
        <v>No geometric exceedance</v>
      </c>
      <c r="W503" s="30">
        <v>-43.570999999999998</v>
      </c>
      <c r="X503" s="30">
        <v>172.703</v>
      </c>
      <c r="Y503" s="30">
        <v>6</v>
      </c>
      <c r="Z503" s="30">
        <v>9.6858080073782187</v>
      </c>
      <c r="AA503" s="29" t="s">
        <v>2812</v>
      </c>
      <c r="AB503" s="29"/>
      <c r="AC503" s="39"/>
      <c r="AD503" s="39"/>
    </row>
    <row r="504" spans="1:30" ht="58" customHeight="1">
      <c r="A504" s="1" t="s">
        <v>1263</v>
      </c>
      <c r="B504" s="1">
        <v>261</v>
      </c>
      <c r="C504" s="1" t="s">
        <v>4135</v>
      </c>
      <c r="D504" s="29" t="s">
        <v>638</v>
      </c>
      <c r="E504" s="29" t="s">
        <v>1175</v>
      </c>
      <c r="F504" s="1" t="s">
        <v>1176</v>
      </c>
      <c r="G504" s="30">
        <v>-43.527000000000001</v>
      </c>
      <c r="H504" s="30">
        <v>172.70169999999999</v>
      </c>
      <c r="I504" s="30">
        <v>-43.570999999999998</v>
      </c>
      <c r="J504" s="30">
        <v>172.703</v>
      </c>
      <c r="K504" s="30">
        <v>6</v>
      </c>
      <c r="L504" s="22"/>
      <c r="M504" s="22">
        <f t="shared" si="56"/>
        <v>4.8936984241143628</v>
      </c>
      <c r="N504" s="22">
        <f t="shared" si="57"/>
        <v>7.7426277365103511</v>
      </c>
      <c r="O504" s="22" t="str">
        <f t="shared" si="58"/>
        <v/>
      </c>
      <c r="P504" s="22" t="str">
        <f t="shared" si="59"/>
        <v/>
      </c>
      <c r="Q504" s="22">
        <f t="shared" si="60"/>
        <v>1</v>
      </c>
      <c r="R504" s="29" t="str">
        <f t="shared" si="61"/>
        <v>No original Rhyp to compare</v>
      </c>
      <c r="S504" s="29" t="str">
        <f t="shared" si="62"/>
        <v/>
      </c>
      <c r="T504" s="22">
        <v>1.98</v>
      </c>
      <c r="U504" s="29" t="s">
        <v>4576</v>
      </c>
      <c r="V504" s="29" t="str">
        <f t="shared" si="63"/>
        <v>No geometric exceedance</v>
      </c>
      <c r="W504" s="30">
        <v>-43.570999999999998</v>
      </c>
      <c r="X504" s="30">
        <v>172.703</v>
      </c>
      <c r="Y504" s="30">
        <v>6</v>
      </c>
      <c r="Z504" s="30">
        <v>7.7426277365101068</v>
      </c>
      <c r="AA504" s="29" t="s">
        <v>2812</v>
      </c>
      <c r="AB504" s="29"/>
      <c r="AC504" s="39"/>
      <c r="AD504" s="39"/>
    </row>
    <row r="505" spans="1:30" ht="58" customHeight="1">
      <c r="A505" s="1" t="s">
        <v>1263</v>
      </c>
      <c r="B505" s="1">
        <v>262</v>
      </c>
      <c r="C505" s="1" t="s">
        <v>4137</v>
      </c>
      <c r="D505" s="29" t="s">
        <v>646</v>
      </c>
      <c r="E505" s="29" t="s">
        <v>647</v>
      </c>
      <c r="F505" s="1" t="s">
        <v>894</v>
      </c>
      <c r="G505" s="30">
        <v>24.056170000000002</v>
      </c>
      <c r="H505" s="30">
        <v>120.6998</v>
      </c>
      <c r="I505" s="30">
        <v>23.900400000000001</v>
      </c>
      <c r="J505" s="30">
        <v>121.05370000000001</v>
      </c>
      <c r="K505" s="30">
        <v>19.399999999999999</v>
      </c>
      <c r="L505" s="22"/>
      <c r="M505" s="22">
        <f t="shared" si="56"/>
        <v>39.910259500263606</v>
      </c>
      <c r="N505" s="22">
        <f t="shared" si="57"/>
        <v>44.37554296432193</v>
      </c>
      <c r="O505" s="22" t="str">
        <f t="shared" si="58"/>
        <v/>
      </c>
      <c r="P505" s="22" t="str">
        <f t="shared" si="59"/>
        <v/>
      </c>
      <c r="Q505" s="22">
        <f t="shared" si="60"/>
        <v>2.2187771482160965</v>
      </c>
      <c r="R505" s="29" t="str">
        <f t="shared" si="61"/>
        <v>No original Rhyp to compare</v>
      </c>
      <c r="S505" s="29" t="str">
        <f t="shared" si="62"/>
        <v/>
      </c>
      <c r="T505" s="22">
        <v>29.757010000000001</v>
      </c>
      <c r="U505" s="29" t="s">
        <v>4576</v>
      </c>
      <c r="V505" s="29" t="str">
        <f t="shared" si="63"/>
        <v>No geometric exceedance</v>
      </c>
      <c r="W505" s="30">
        <v>23.900400000000001</v>
      </c>
      <c r="X505" s="30">
        <v>121.05370000000001</v>
      </c>
      <c r="Y505" s="30">
        <v>19.399999999999999</v>
      </c>
      <c r="Z505" s="30">
        <v>44.375542964321937</v>
      </c>
      <c r="AA505" s="29" t="s">
        <v>2812</v>
      </c>
      <c r="AB505" s="29"/>
      <c r="AC505" s="39"/>
      <c r="AD505" s="39"/>
    </row>
    <row r="506" spans="1:30" ht="58" customHeight="1">
      <c r="A506" s="1" t="s">
        <v>1263</v>
      </c>
      <c r="B506" s="1">
        <v>263</v>
      </c>
      <c r="C506" s="1" t="s">
        <v>4139</v>
      </c>
      <c r="D506" s="29" t="s">
        <v>646</v>
      </c>
      <c r="E506" s="29" t="s">
        <v>647</v>
      </c>
      <c r="F506" s="1" t="s">
        <v>1177</v>
      </c>
      <c r="G506" s="30">
        <v>23.827169999999999</v>
      </c>
      <c r="H506" s="30">
        <v>120.7873</v>
      </c>
      <c r="I506" s="30">
        <v>23.900400000000001</v>
      </c>
      <c r="J506" s="30">
        <v>121.05370000000001</v>
      </c>
      <c r="K506" s="30">
        <v>19.399999999999999</v>
      </c>
      <c r="L506" s="22"/>
      <c r="M506" s="22">
        <f t="shared" si="56"/>
        <v>28.287244078286321</v>
      </c>
      <c r="N506" s="22">
        <f t="shared" si="57"/>
        <v>34.300556519458169</v>
      </c>
      <c r="O506" s="22" t="str">
        <f t="shared" si="58"/>
        <v/>
      </c>
      <c r="P506" s="22" t="str">
        <f t="shared" si="59"/>
        <v/>
      </c>
      <c r="Q506" s="22">
        <f t="shared" si="60"/>
        <v>1.7150278259729086</v>
      </c>
      <c r="R506" s="29" t="str">
        <f t="shared" si="61"/>
        <v>No original Rhyp to compare</v>
      </c>
      <c r="S506" s="29" t="str">
        <f t="shared" si="62"/>
        <v/>
      </c>
      <c r="T506" s="22">
        <v>22.29589</v>
      </c>
      <c r="U506" s="29" t="s">
        <v>4576</v>
      </c>
      <c r="V506" s="29" t="str">
        <f t="shared" si="63"/>
        <v>No geometric exceedance</v>
      </c>
      <c r="W506" s="30">
        <v>23.900400000000001</v>
      </c>
      <c r="X506" s="30">
        <v>121.05370000000001</v>
      </c>
      <c r="Y506" s="30">
        <v>19.399999999999999</v>
      </c>
      <c r="Z506" s="30">
        <v>34.300556519458205</v>
      </c>
      <c r="AA506" s="29" t="s">
        <v>2812</v>
      </c>
      <c r="AB506" s="29"/>
      <c r="AC506" s="39"/>
      <c r="AD506" s="39"/>
    </row>
    <row r="507" spans="1:30" ht="58" customHeight="1">
      <c r="A507" s="1" t="s">
        <v>1263</v>
      </c>
      <c r="B507" s="1">
        <v>264</v>
      </c>
      <c r="C507" s="1" t="s">
        <v>4141</v>
      </c>
      <c r="D507" s="29" t="s">
        <v>646</v>
      </c>
      <c r="E507" s="29" t="s">
        <v>647</v>
      </c>
      <c r="F507" s="1" t="s">
        <v>1071</v>
      </c>
      <c r="G507" s="30">
        <v>23.881329999999998</v>
      </c>
      <c r="H507" s="30">
        <v>120.90819999999999</v>
      </c>
      <c r="I507" s="30">
        <v>23.900400000000001</v>
      </c>
      <c r="J507" s="30">
        <v>121.05370000000001</v>
      </c>
      <c r="K507" s="30">
        <v>19.399999999999999</v>
      </c>
      <c r="L507" s="22"/>
      <c r="M507" s="22">
        <f t="shared" si="56"/>
        <v>14.943842988031339</v>
      </c>
      <c r="N507" s="22">
        <f t="shared" si="57"/>
        <v>24.488332798517202</v>
      </c>
      <c r="O507" s="22" t="str">
        <f t="shared" si="58"/>
        <v/>
      </c>
      <c r="P507" s="22" t="str">
        <f t="shared" si="59"/>
        <v/>
      </c>
      <c r="Q507" s="22">
        <f t="shared" si="60"/>
        <v>1.2244166399258603</v>
      </c>
      <c r="R507" s="29" t="str">
        <f t="shared" si="61"/>
        <v>No original Rhyp to compare</v>
      </c>
      <c r="S507" s="29" t="str">
        <f t="shared" si="62"/>
        <v/>
      </c>
      <c r="T507" s="22">
        <v>14.90794</v>
      </c>
      <c r="U507" s="29" t="s">
        <v>4576</v>
      </c>
      <c r="V507" s="29" t="str">
        <f t="shared" si="63"/>
        <v>No geometric exceedance</v>
      </c>
      <c r="W507" s="30">
        <v>23.900400000000001</v>
      </c>
      <c r="X507" s="30">
        <v>121.05370000000001</v>
      </c>
      <c r="Y507" s="30">
        <v>19.399999999999999</v>
      </c>
      <c r="Z507" s="30">
        <v>24.488332798517224</v>
      </c>
      <c r="AA507" s="29" t="s">
        <v>2812</v>
      </c>
      <c r="AB507" s="29"/>
      <c r="AC507" s="39"/>
      <c r="AD507" s="39"/>
    </row>
    <row r="508" spans="1:30" ht="58" customHeight="1">
      <c r="A508" s="1" t="s">
        <v>1263</v>
      </c>
      <c r="B508" s="1">
        <v>265</v>
      </c>
      <c r="C508" s="1" t="s">
        <v>4143</v>
      </c>
      <c r="D508" s="29" t="s">
        <v>646</v>
      </c>
      <c r="E508" s="29" t="s">
        <v>647</v>
      </c>
      <c r="F508" s="1" t="s">
        <v>1146</v>
      </c>
      <c r="G508" s="30">
        <v>23.913830000000001</v>
      </c>
      <c r="H508" s="30">
        <v>120.6918</v>
      </c>
      <c r="I508" s="30">
        <v>23.900400000000001</v>
      </c>
      <c r="J508" s="30">
        <v>121.05370000000001</v>
      </c>
      <c r="K508" s="30">
        <v>19.399999999999999</v>
      </c>
      <c r="L508" s="22"/>
      <c r="M508" s="22">
        <f t="shared" si="56"/>
        <v>36.819161070495582</v>
      </c>
      <c r="N508" s="22">
        <f t="shared" si="57"/>
        <v>41.617431707580145</v>
      </c>
      <c r="O508" s="22" t="str">
        <f t="shared" si="58"/>
        <v/>
      </c>
      <c r="P508" s="22" t="str">
        <f t="shared" si="59"/>
        <v/>
      </c>
      <c r="Q508" s="22">
        <f t="shared" si="60"/>
        <v>2.0808715853790072</v>
      </c>
      <c r="R508" s="29" t="str">
        <f t="shared" si="61"/>
        <v>No original Rhyp to compare</v>
      </c>
      <c r="S508" s="29" t="str">
        <f t="shared" si="62"/>
        <v/>
      </c>
      <c r="T508" s="22">
        <v>29.404250000000001</v>
      </c>
      <c r="U508" s="29" t="s">
        <v>4576</v>
      </c>
      <c r="V508" s="29" t="str">
        <f t="shared" si="63"/>
        <v>No geometric exceedance</v>
      </c>
      <c r="W508" s="30">
        <v>23.900400000000001</v>
      </c>
      <c r="X508" s="30">
        <v>121.05370000000001</v>
      </c>
      <c r="Y508" s="30">
        <v>19.399999999999999</v>
      </c>
      <c r="Z508" s="30">
        <v>41.617431707580145</v>
      </c>
      <c r="AA508" s="29" t="s">
        <v>2812</v>
      </c>
      <c r="AB508" s="29"/>
      <c r="AC508" s="39"/>
      <c r="AD508" s="39"/>
    </row>
    <row r="509" spans="1:30" ht="58" customHeight="1">
      <c r="A509" s="1" t="s">
        <v>1263</v>
      </c>
      <c r="B509" s="1">
        <v>266</v>
      </c>
      <c r="C509" s="1" t="s">
        <v>4146</v>
      </c>
      <c r="D509" s="29" t="s">
        <v>646</v>
      </c>
      <c r="E509" s="29" t="s">
        <v>647</v>
      </c>
      <c r="F509" s="1" t="s">
        <v>1178</v>
      </c>
      <c r="G509" s="30">
        <v>23.95317</v>
      </c>
      <c r="H509" s="30">
        <v>120.6905</v>
      </c>
      <c r="I509" s="30">
        <v>23.900400000000001</v>
      </c>
      <c r="J509" s="30">
        <v>121.05370000000001</v>
      </c>
      <c r="K509" s="30">
        <v>19.399999999999999</v>
      </c>
      <c r="L509" s="22"/>
      <c r="M509" s="22">
        <f t="shared" si="56"/>
        <v>37.378827801510226</v>
      </c>
      <c r="N509" s="22">
        <f t="shared" si="57"/>
        <v>42.113379914404327</v>
      </c>
      <c r="O509" s="22" t="str">
        <f t="shared" si="58"/>
        <v/>
      </c>
      <c r="P509" s="22" t="str">
        <f t="shared" si="59"/>
        <v/>
      </c>
      <c r="Q509" s="22">
        <f t="shared" si="60"/>
        <v>2.1056689957202166</v>
      </c>
      <c r="R509" s="29" t="str">
        <f t="shared" si="61"/>
        <v>No original Rhyp to compare</v>
      </c>
      <c r="S509" s="29" t="str">
        <f t="shared" si="62"/>
        <v/>
      </c>
      <c r="T509" s="22">
        <v>29.178920000000002</v>
      </c>
      <c r="U509" s="29" t="s">
        <v>4576</v>
      </c>
      <c r="V509" s="29" t="str">
        <f t="shared" si="63"/>
        <v>No geometric exceedance</v>
      </c>
      <c r="W509" s="30">
        <v>23.900400000000001</v>
      </c>
      <c r="X509" s="30">
        <v>121.05370000000001</v>
      </c>
      <c r="Y509" s="30">
        <v>19.399999999999999</v>
      </c>
      <c r="Z509" s="30">
        <v>42.113379914404327</v>
      </c>
      <c r="AA509" s="29" t="s">
        <v>2812</v>
      </c>
      <c r="AB509" s="29"/>
      <c r="AC509" s="39"/>
      <c r="AD509" s="39"/>
    </row>
    <row r="510" spans="1:30" ht="58" customHeight="1">
      <c r="A510" s="1" t="s">
        <v>1263</v>
      </c>
      <c r="B510" s="1">
        <v>267</v>
      </c>
      <c r="C510" s="1" t="s">
        <v>4148</v>
      </c>
      <c r="D510" s="29" t="s">
        <v>646</v>
      </c>
      <c r="E510" s="29" t="s">
        <v>647</v>
      </c>
      <c r="F510" s="1" t="s">
        <v>1179</v>
      </c>
      <c r="G510" s="30">
        <v>23.879829999999998</v>
      </c>
      <c r="H510" s="30">
        <v>120.7632</v>
      </c>
      <c r="I510" s="30">
        <v>23.900400000000001</v>
      </c>
      <c r="J510" s="30">
        <v>121.05370000000001</v>
      </c>
      <c r="K510" s="30">
        <v>19.399999999999999</v>
      </c>
      <c r="L510" s="22"/>
      <c r="M510" s="22">
        <f t="shared" si="56"/>
        <v>29.623034310753198</v>
      </c>
      <c r="N510" s="22">
        <f t="shared" si="57"/>
        <v>35.410226796450502</v>
      </c>
      <c r="O510" s="22" t="str">
        <f t="shared" si="58"/>
        <v/>
      </c>
      <c r="P510" s="22" t="str">
        <f t="shared" si="59"/>
        <v/>
      </c>
      <c r="Q510" s="22">
        <f t="shared" si="60"/>
        <v>1.7705113398225252</v>
      </c>
      <c r="R510" s="29" t="str">
        <f t="shared" si="61"/>
        <v>No original Rhyp to compare</v>
      </c>
      <c r="S510" s="29" t="str">
        <f t="shared" si="62"/>
        <v/>
      </c>
      <c r="T510" s="22">
        <v>23.625789999999999</v>
      </c>
      <c r="U510" s="29" t="s">
        <v>4576</v>
      </c>
      <c r="V510" s="29" t="str">
        <f t="shared" si="63"/>
        <v>No geometric exceedance</v>
      </c>
      <c r="W510" s="30">
        <v>23.900400000000001</v>
      </c>
      <c r="X510" s="30">
        <v>121.05370000000001</v>
      </c>
      <c r="Y510" s="30">
        <v>19.399999999999999</v>
      </c>
      <c r="Z510" s="30">
        <v>35.410226796450509</v>
      </c>
      <c r="AA510" s="29" t="s">
        <v>2812</v>
      </c>
      <c r="AB510" s="29"/>
      <c r="AC510" s="39"/>
      <c r="AD510" s="39"/>
    </row>
    <row r="511" spans="1:30" ht="58" customHeight="1">
      <c r="A511" s="1" t="s">
        <v>1263</v>
      </c>
      <c r="B511" s="1">
        <v>268</v>
      </c>
      <c r="C511" s="1" t="s">
        <v>4150</v>
      </c>
      <c r="D511" s="29" t="s">
        <v>651</v>
      </c>
      <c r="E511" s="29" t="s">
        <v>652</v>
      </c>
      <c r="F511" s="1" t="s">
        <v>1180</v>
      </c>
      <c r="G511" s="30">
        <v>23.722169999999998</v>
      </c>
      <c r="H511" s="30">
        <v>120.58580000000001</v>
      </c>
      <c r="I511" s="30">
        <v>23.8583</v>
      </c>
      <c r="J511" s="30">
        <v>120.97620000000001</v>
      </c>
      <c r="K511" s="30">
        <v>14.5</v>
      </c>
      <c r="L511" s="22"/>
      <c r="M511" s="22">
        <f t="shared" si="56"/>
        <v>42.508237028669043</v>
      </c>
      <c r="N511" s="22">
        <f t="shared" si="57"/>
        <v>44.913252112105063</v>
      </c>
      <c r="O511" s="22" t="str">
        <f t="shared" si="58"/>
        <v/>
      </c>
      <c r="P511" s="22" t="str">
        <f t="shared" si="59"/>
        <v/>
      </c>
      <c r="Q511" s="22">
        <f t="shared" si="60"/>
        <v>2.2456626056052533</v>
      </c>
      <c r="R511" s="29" t="str">
        <f t="shared" si="61"/>
        <v>No original Rhyp to compare</v>
      </c>
      <c r="S511" s="29" t="str">
        <f t="shared" si="62"/>
        <v/>
      </c>
      <c r="T511" s="22">
        <v>27.398119999999999</v>
      </c>
      <c r="U511" s="29" t="s">
        <v>4576</v>
      </c>
      <c r="V511" s="29" t="str">
        <f t="shared" si="63"/>
        <v>No geometric exceedance</v>
      </c>
      <c r="W511" s="30">
        <v>23.8583</v>
      </c>
      <c r="X511" s="30">
        <v>120.97620000000001</v>
      </c>
      <c r="Y511" s="30">
        <v>14.5</v>
      </c>
      <c r="Z511" s="30">
        <v>44.913252112105027</v>
      </c>
      <c r="AA511" s="29" t="s">
        <v>2812</v>
      </c>
      <c r="AB511" s="29"/>
      <c r="AC511" s="39"/>
      <c r="AD511" s="39"/>
    </row>
    <row r="512" spans="1:30" ht="58" customHeight="1">
      <c r="A512" s="1" t="s">
        <v>1263</v>
      </c>
      <c r="B512" s="1">
        <v>269</v>
      </c>
      <c r="C512" s="1" t="s">
        <v>4152</v>
      </c>
      <c r="D512" s="29" t="s">
        <v>651</v>
      </c>
      <c r="E512" s="29" t="s">
        <v>652</v>
      </c>
      <c r="F512" s="1" t="s">
        <v>144</v>
      </c>
      <c r="G512" s="30">
        <v>23.96133</v>
      </c>
      <c r="H512" s="30">
        <v>120.9712</v>
      </c>
      <c r="I512" s="30">
        <v>23.8583</v>
      </c>
      <c r="J512" s="30">
        <v>120.97620000000001</v>
      </c>
      <c r="K512" s="30">
        <v>14.5</v>
      </c>
      <c r="L512" s="22"/>
      <c r="M512" s="22">
        <f t="shared" si="56"/>
        <v>11.46768229019149</v>
      </c>
      <c r="N512" s="22">
        <f t="shared" si="57"/>
        <v>18.486690810114489</v>
      </c>
      <c r="O512" s="22" t="str">
        <f t="shared" si="58"/>
        <v/>
      </c>
      <c r="P512" s="22" t="str">
        <f t="shared" si="59"/>
        <v/>
      </c>
      <c r="Q512" s="22">
        <f t="shared" si="60"/>
        <v>1</v>
      </c>
      <c r="R512" s="29" t="str">
        <f t="shared" si="61"/>
        <v>No original Rhyp to compare</v>
      </c>
      <c r="S512" s="29" t="str">
        <f t="shared" si="62"/>
        <v/>
      </c>
      <c r="T512" s="22">
        <v>13.38852</v>
      </c>
      <c r="U512" s="29" t="s">
        <v>4576</v>
      </c>
      <c r="V512" s="29" t="str">
        <f t="shared" si="63"/>
        <v>No geometric exceedance</v>
      </c>
      <c r="W512" s="30">
        <v>23.8583</v>
      </c>
      <c r="X512" s="30">
        <v>120.97620000000001</v>
      </c>
      <c r="Y512" s="30">
        <v>14.5</v>
      </c>
      <c r="Z512" s="30">
        <v>18.486690810114435</v>
      </c>
      <c r="AA512" s="29" t="s">
        <v>2812</v>
      </c>
      <c r="AB512" s="29"/>
      <c r="AC512" s="39"/>
      <c r="AD512" s="39"/>
    </row>
    <row r="513" spans="1:30" ht="58" customHeight="1">
      <c r="A513" s="1" t="s">
        <v>1263</v>
      </c>
      <c r="B513" s="1">
        <v>270</v>
      </c>
      <c r="C513" s="1" t="s">
        <v>4154</v>
      </c>
      <c r="D513" s="29" t="s">
        <v>651</v>
      </c>
      <c r="E513" s="29" t="s">
        <v>652</v>
      </c>
      <c r="F513" s="1" t="s">
        <v>1177</v>
      </c>
      <c r="G513" s="30">
        <v>23.827169999999999</v>
      </c>
      <c r="H513" s="30">
        <v>120.7873</v>
      </c>
      <c r="I513" s="30">
        <v>23.8583</v>
      </c>
      <c r="J513" s="30">
        <v>120.97620000000001</v>
      </c>
      <c r="K513" s="30">
        <v>14.5</v>
      </c>
      <c r="L513" s="22"/>
      <c r="M513" s="22">
        <f t="shared" si="56"/>
        <v>19.521486545660441</v>
      </c>
      <c r="N513" s="22">
        <f t="shared" si="57"/>
        <v>24.317451284055277</v>
      </c>
      <c r="O513" s="22" t="str">
        <f t="shared" si="58"/>
        <v/>
      </c>
      <c r="P513" s="22" t="str">
        <f t="shared" si="59"/>
        <v/>
      </c>
      <c r="Q513" s="22">
        <f t="shared" si="60"/>
        <v>1.2158725642027639</v>
      </c>
      <c r="R513" s="29" t="str">
        <f t="shared" si="61"/>
        <v>No original Rhyp to compare</v>
      </c>
      <c r="S513" s="29" t="str">
        <f t="shared" si="62"/>
        <v/>
      </c>
      <c r="T513" s="22">
        <v>9.3433170000000008</v>
      </c>
      <c r="U513" s="29" t="s">
        <v>4576</v>
      </c>
      <c r="V513" s="29" t="str">
        <f t="shared" si="63"/>
        <v>No geometric exceedance</v>
      </c>
      <c r="W513" s="30">
        <v>23.8583</v>
      </c>
      <c r="X513" s="30">
        <v>120.97620000000001</v>
      </c>
      <c r="Y513" s="30">
        <v>14.5</v>
      </c>
      <c r="Z513" s="30">
        <v>24.317451284055277</v>
      </c>
      <c r="AA513" s="29" t="s">
        <v>2812</v>
      </c>
      <c r="AB513" s="29"/>
      <c r="AC513" s="39"/>
      <c r="AD513" s="39"/>
    </row>
    <row r="514" spans="1:30" ht="58" customHeight="1">
      <c r="A514" s="1" t="s">
        <v>1263</v>
      </c>
      <c r="B514" s="1">
        <v>271</v>
      </c>
      <c r="C514" s="1" t="s">
        <v>4157</v>
      </c>
      <c r="D514" s="29" t="s">
        <v>651</v>
      </c>
      <c r="E514" s="29" t="s">
        <v>652</v>
      </c>
      <c r="F514" s="1" t="s">
        <v>1181</v>
      </c>
      <c r="G514" s="30">
        <v>23.76333</v>
      </c>
      <c r="H514" s="30">
        <v>120.6862</v>
      </c>
      <c r="I514" s="30">
        <v>23.8583</v>
      </c>
      <c r="J514" s="30">
        <v>120.97620000000001</v>
      </c>
      <c r="K514" s="30">
        <v>14.5</v>
      </c>
      <c r="L514" s="22"/>
      <c r="M514" s="22">
        <f t="shared" ref="M514:M577" si="64">IF(OR(G514="",H514="",I514="",J514="",K514=""),"",12742*ASIN(SQRT(MIN(1,SIN(RADIANS(I514-G514)/2)^2+COS(RADIANS(I514))*COS(RADIANS(G514))*SIN(RADIANS(J514-H514)/2)^2))))</f>
        <v>31.334868759027469</v>
      </c>
      <c r="N514" s="22">
        <f t="shared" ref="N514:N577" si="65">IF(M514="","",SQRT(M514^2+K514^2))</f>
        <v>34.527148740454599</v>
      </c>
      <c r="O514" s="22" t="str">
        <f t="shared" ref="O514:O577" si="66">IF(OR(L514="",N514=""),"",L514-N514)</f>
        <v/>
      </c>
      <c r="P514" s="22" t="str">
        <f t="shared" ref="P514:P577" si="67">IF(OR(L514="",N514="",N514=0),"",100*O514/N514)</f>
        <v/>
      </c>
      <c r="Q514" s="22">
        <f t="shared" ref="Q514:Q577" si="68">IF(N514="","",MAX(1,0.05*N514))</f>
        <v>1.7263574370227301</v>
      </c>
      <c r="R514" s="29" t="str">
        <f t="shared" ref="R514:R577" si="69">IF(N514="","Missing station coordinates",IF(L514="","No original Rhyp to compare",IF(ABS(O514)&gt;Q514,"Review: Rhyp mismatch","Within screening tolerance")))</f>
        <v>No original Rhyp to compare</v>
      </c>
      <c r="S514" s="29" t="str">
        <f t="shared" ref="S514:S577" si="70">IF(L514="","",IF(L514&lt;K514-1,"Rhyp below depth by &gt;1 km",IF(L514&lt;K514,"Rhyp below depth by &lt;=1 km","")))</f>
        <v/>
      </c>
      <c r="T514" s="22">
        <v>17.531199999999998</v>
      </c>
      <c r="U514" s="29" t="s">
        <v>4576</v>
      </c>
      <c r="V514" s="29" t="str">
        <f t="shared" ref="V514:V577" si="71">IF(T514="","Missing Rrup/closest distance",IF(N514="","Cannot check without coordinates",IF(T514&gt;N514+1,"Review: distance &gt; recalculated Rhyp +1 km","No geometric exceedance")))</f>
        <v>No geometric exceedance</v>
      </c>
      <c r="W514" s="30">
        <v>23.8583</v>
      </c>
      <c r="X514" s="30">
        <v>120.97620000000001</v>
      </c>
      <c r="Y514" s="30">
        <v>14.5</v>
      </c>
      <c r="Z514" s="30">
        <v>34.527148740454585</v>
      </c>
      <c r="AA514" s="29" t="s">
        <v>2812</v>
      </c>
      <c r="AB514" s="29"/>
      <c r="AC514" s="39"/>
      <c r="AD514" s="39"/>
    </row>
    <row r="515" spans="1:30" ht="58" customHeight="1">
      <c r="A515" s="1" t="s">
        <v>1263</v>
      </c>
      <c r="B515" s="1">
        <v>272</v>
      </c>
      <c r="C515" s="1" t="s">
        <v>4159</v>
      </c>
      <c r="D515" s="29" t="s">
        <v>651</v>
      </c>
      <c r="E515" s="29" t="s">
        <v>652</v>
      </c>
      <c r="F515" s="1" t="s">
        <v>1182</v>
      </c>
      <c r="G515" s="30">
        <v>23.6645</v>
      </c>
      <c r="H515" s="30">
        <v>120.7685</v>
      </c>
      <c r="I515" s="30">
        <v>23.8583</v>
      </c>
      <c r="J515" s="30">
        <v>120.97620000000001</v>
      </c>
      <c r="K515" s="30">
        <v>14.5</v>
      </c>
      <c r="L515" s="22"/>
      <c r="M515" s="22">
        <f t="shared" si="64"/>
        <v>30.185671947884252</v>
      </c>
      <c r="N515" s="22">
        <f t="shared" si="65"/>
        <v>33.487681181970281</v>
      </c>
      <c r="O515" s="22" t="str">
        <f t="shared" si="66"/>
        <v/>
      </c>
      <c r="P515" s="22" t="str">
        <f t="shared" si="67"/>
        <v/>
      </c>
      <c r="Q515" s="22">
        <f t="shared" si="68"/>
        <v>1.6743840590985142</v>
      </c>
      <c r="R515" s="29" t="str">
        <f t="shared" si="69"/>
        <v>No original Rhyp to compare</v>
      </c>
      <c r="S515" s="29" t="str">
        <f t="shared" si="70"/>
        <v/>
      </c>
      <c r="T515" s="22">
        <v>14.518269999999999</v>
      </c>
      <c r="U515" s="29" t="s">
        <v>4576</v>
      </c>
      <c r="V515" s="29" t="str">
        <f t="shared" si="71"/>
        <v>No geometric exceedance</v>
      </c>
      <c r="W515" s="30">
        <v>23.8583</v>
      </c>
      <c r="X515" s="30">
        <v>120.97620000000001</v>
      </c>
      <c r="Y515" s="30">
        <v>14.5</v>
      </c>
      <c r="Z515" s="30">
        <v>33.487681181970167</v>
      </c>
      <c r="AA515" s="29" t="s">
        <v>2812</v>
      </c>
      <c r="AB515" s="29"/>
      <c r="AC515" s="39"/>
      <c r="AD515" s="39"/>
    </row>
    <row r="516" spans="1:30" ht="58" customHeight="1">
      <c r="A516" s="1" t="s">
        <v>1263</v>
      </c>
      <c r="B516" s="1">
        <v>273</v>
      </c>
      <c r="C516" s="1" t="s">
        <v>4161</v>
      </c>
      <c r="D516" s="29" t="s">
        <v>656</v>
      </c>
      <c r="E516" s="29" t="s">
        <v>657</v>
      </c>
      <c r="F516" s="1" t="s">
        <v>1183</v>
      </c>
      <c r="G516" s="30">
        <v>23.66067</v>
      </c>
      <c r="H516" s="30">
        <v>121.4248</v>
      </c>
      <c r="I516" s="30">
        <v>23.567900000000002</v>
      </c>
      <c r="J516" s="30">
        <v>121.3463</v>
      </c>
      <c r="K516" s="30">
        <v>14.98</v>
      </c>
      <c r="L516" s="22"/>
      <c r="M516" s="22">
        <f t="shared" si="64"/>
        <v>13.052840875359617</v>
      </c>
      <c r="N516" s="22">
        <f t="shared" si="65"/>
        <v>19.868997330450746</v>
      </c>
      <c r="O516" s="22" t="str">
        <f t="shared" si="66"/>
        <v/>
      </c>
      <c r="P516" s="22" t="str">
        <f t="shared" si="67"/>
        <v/>
      </c>
      <c r="Q516" s="22">
        <f t="shared" si="68"/>
        <v>1</v>
      </c>
      <c r="R516" s="29" t="str">
        <f t="shared" si="69"/>
        <v>No original Rhyp to compare</v>
      </c>
      <c r="S516" s="29" t="str">
        <f t="shared" si="70"/>
        <v/>
      </c>
      <c r="T516" s="22">
        <v>7.7320880000000001</v>
      </c>
      <c r="U516" s="29" t="s">
        <v>4576</v>
      </c>
      <c r="V516" s="29" t="str">
        <f t="shared" si="71"/>
        <v>No geometric exceedance</v>
      </c>
      <c r="W516" s="30">
        <v>23.567900000000002</v>
      </c>
      <c r="X516" s="30">
        <v>121.3463</v>
      </c>
      <c r="Y516" s="30">
        <v>14.98</v>
      </c>
      <c r="Z516" s="30">
        <v>19.868997330450831</v>
      </c>
      <c r="AA516" s="29" t="s">
        <v>2812</v>
      </c>
      <c r="AB516" s="29"/>
      <c r="AC516" s="39"/>
      <c r="AD516" s="39"/>
    </row>
    <row r="517" spans="1:30" ht="58" customHeight="1">
      <c r="A517" s="1" t="s">
        <v>1263</v>
      </c>
      <c r="B517" s="1">
        <v>274</v>
      </c>
      <c r="C517" s="1" t="s">
        <v>4163</v>
      </c>
      <c r="D517" s="29" t="s">
        <v>656</v>
      </c>
      <c r="E517" s="29" t="s">
        <v>657</v>
      </c>
      <c r="F517" s="1" t="s">
        <v>1184</v>
      </c>
      <c r="G517" s="30">
        <v>23.670829999999999</v>
      </c>
      <c r="H517" s="30">
        <v>121.42449999999999</v>
      </c>
      <c r="I517" s="30">
        <v>23.567900000000002</v>
      </c>
      <c r="J517" s="30">
        <v>121.3463</v>
      </c>
      <c r="K517" s="30">
        <v>14.98</v>
      </c>
      <c r="L517" s="22"/>
      <c r="M517" s="22">
        <f t="shared" si="64"/>
        <v>13.945173349892698</v>
      </c>
      <c r="N517" s="22">
        <f t="shared" si="65"/>
        <v>20.466271271498321</v>
      </c>
      <c r="O517" s="22" t="str">
        <f t="shared" si="66"/>
        <v/>
      </c>
      <c r="P517" s="22" t="str">
        <f t="shared" si="67"/>
        <v/>
      </c>
      <c r="Q517" s="22">
        <f t="shared" si="68"/>
        <v>1.0233135635749162</v>
      </c>
      <c r="R517" s="29" t="str">
        <f t="shared" si="69"/>
        <v>No original Rhyp to compare</v>
      </c>
      <c r="S517" s="29" t="str">
        <f t="shared" si="70"/>
        <v/>
      </c>
      <c r="T517" s="22">
        <v>7.9445920000000001</v>
      </c>
      <c r="U517" s="29" t="s">
        <v>4576</v>
      </c>
      <c r="V517" s="29" t="str">
        <f t="shared" si="71"/>
        <v>No geometric exceedance</v>
      </c>
      <c r="W517" s="30">
        <v>23.567900000000002</v>
      </c>
      <c r="X517" s="30">
        <v>121.3463</v>
      </c>
      <c r="Y517" s="30">
        <v>14.98</v>
      </c>
      <c r="Z517" s="30">
        <v>20.466271271498414</v>
      </c>
      <c r="AA517" s="29" t="s">
        <v>2812</v>
      </c>
      <c r="AB517" s="29"/>
      <c r="AC517" s="39"/>
      <c r="AD517" s="39"/>
    </row>
    <row r="518" spans="1:30" ht="58" customHeight="1">
      <c r="A518" s="1" t="s">
        <v>1263</v>
      </c>
      <c r="B518" s="1">
        <v>275</v>
      </c>
      <c r="C518" s="1" t="s">
        <v>4165</v>
      </c>
      <c r="D518" s="29" t="s">
        <v>656</v>
      </c>
      <c r="E518" s="29" t="s">
        <v>657</v>
      </c>
      <c r="F518" s="1" t="s">
        <v>1185</v>
      </c>
      <c r="G518" s="30">
        <v>23.783999999999999</v>
      </c>
      <c r="H518" s="30">
        <v>121.456</v>
      </c>
      <c r="I518" s="30">
        <v>23.567900000000002</v>
      </c>
      <c r="J518" s="30">
        <v>121.3463</v>
      </c>
      <c r="K518" s="30">
        <v>14.98</v>
      </c>
      <c r="L518" s="22"/>
      <c r="M518" s="22">
        <f t="shared" si="64"/>
        <v>26.499117155593478</v>
      </c>
      <c r="N518" s="22">
        <f t="shared" si="65"/>
        <v>30.44016442179425</v>
      </c>
      <c r="O518" s="22" t="str">
        <f t="shared" si="66"/>
        <v/>
      </c>
      <c r="P518" s="22" t="str">
        <f t="shared" si="67"/>
        <v/>
      </c>
      <c r="Q518" s="22">
        <f t="shared" si="68"/>
        <v>1.5220082210897126</v>
      </c>
      <c r="R518" s="29" t="str">
        <f t="shared" si="69"/>
        <v>No original Rhyp to compare</v>
      </c>
      <c r="S518" s="29" t="str">
        <f t="shared" si="70"/>
        <v/>
      </c>
      <c r="T518" s="22">
        <v>11.158160000000001</v>
      </c>
      <c r="U518" s="29" t="s">
        <v>4576</v>
      </c>
      <c r="V518" s="29" t="str">
        <f t="shared" si="71"/>
        <v>No geometric exceedance</v>
      </c>
      <c r="W518" s="30">
        <v>23.567900000000002</v>
      </c>
      <c r="X518" s="30">
        <v>121.3463</v>
      </c>
      <c r="Y518" s="30">
        <v>14.98</v>
      </c>
      <c r="Z518" s="30">
        <v>30.440164421794297</v>
      </c>
      <c r="AA518" s="29" t="s">
        <v>2812</v>
      </c>
      <c r="AB518" s="29"/>
      <c r="AC518" s="39"/>
      <c r="AD518" s="39"/>
    </row>
    <row r="519" spans="1:30" ht="58" customHeight="1">
      <c r="A519" s="1" t="s">
        <v>1263</v>
      </c>
      <c r="B519" s="1">
        <v>276</v>
      </c>
      <c r="C519" s="1" t="s">
        <v>4167</v>
      </c>
      <c r="D519" s="29" t="s">
        <v>656</v>
      </c>
      <c r="E519" s="29" t="s">
        <v>657</v>
      </c>
      <c r="F519" s="1" t="s">
        <v>1186</v>
      </c>
      <c r="G519" s="30">
        <v>23.70833</v>
      </c>
      <c r="H519" s="30">
        <v>121.4198</v>
      </c>
      <c r="I519" s="30">
        <v>23.567900000000002</v>
      </c>
      <c r="J519" s="30">
        <v>121.3463</v>
      </c>
      <c r="K519" s="30">
        <v>14.98</v>
      </c>
      <c r="L519" s="22"/>
      <c r="M519" s="22">
        <f t="shared" si="64"/>
        <v>17.317275132052938</v>
      </c>
      <c r="N519" s="22">
        <f t="shared" si="65"/>
        <v>22.897345217278335</v>
      </c>
      <c r="O519" s="22" t="str">
        <f t="shared" si="66"/>
        <v/>
      </c>
      <c r="P519" s="22" t="str">
        <f t="shared" si="67"/>
        <v/>
      </c>
      <c r="Q519" s="22">
        <f t="shared" si="68"/>
        <v>1.1448672608639168</v>
      </c>
      <c r="R519" s="29" t="str">
        <f t="shared" si="69"/>
        <v>No original Rhyp to compare</v>
      </c>
      <c r="S519" s="29" t="str">
        <f t="shared" si="70"/>
        <v/>
      </c>
      <c r="T519" s="22">
        <v>9.2026039999999991</v>
      </c>
      <c r="U519" s="29" t="s">
        <v>4576</v>
      </c>
      <c r="V519" s="29" t="str">
        <f t="shared" si="71"/>
        <v>No geometric exceedance</v>
      </c>
      <c r="W519" s="30">
        <v>23.567900000000002</v>
      </c>
      <c r="X519" s="30">
        <v>121.3463</v>
      </c>
      <c r="Y519" s="30">
        <v>14.98</v>
      </c>
      <c r="Z519" s="30">
        <v>22.89734521727841</v>
      </c>
      <c r="AA519" s="29" t="s">
        <v>2812</v>
      </c>
      <c r="AB519" s="29"/>
      <c r="AC519" s="39"/>
      <c r="AD519" s="39"/>
    </row>
    <row r="520" spans="1:30" ht="58" customHeight="1">
      <c r="A520" s="1" t="s">
        <v>1263</v>
      </c>
      <c r="B520" s="1">
        <v>277</v>
      </c>
      <c r="C520" s="1" t="s">
        <v>4169</v>
      </c>
      <c r="D520" s="29" t="s">
        <v>656</v>
      </c>
      <c r="E520" s="29" t="s">
        <v>657</v>
      </c>
      <c r="F520" s="1" t="s">
        <v>1187</v>
      </c>
      <c r="G520" s="30">
        <v>23.730329999999999</v>
      </c>
      <c r="H520" s="30">
        <v>121.4447</v>
      </c>
      <c r="I520" s="30">
        <v>23.567900000000002</v>
      </c>
      <c r="J520" s="30">
        <v>121.3463</v>
      </c>
      <c r="K520" s="30">
        <v>14.98</v>
      </c>
      <c r="L520" s="22"/>
      <c r="M520" s="22">
        <f t="shared" si="64"/>
        <v>20.655949427513033</v>
      </c>
      <c r="N520" s="22">
        <f t="shared" si="65"/>
        <v>25.516046848051836</v>
      </c>
      <c r="O520" s="22" t="str">
        <f t="shared" si="66"/>
        <v/>
      </c>
      <c r="P520" s="22" t="str">
        <f t="shared" si="67"/>
        <v/>
      </c>
      <c r="Q520" s="22">
        <f t="shared" si="68"/>
        <v>1.2758023424025919</v>
      </c>
      <c r="R520" s="29" t="str">
        <f t="shared" si="69"/>
        <v>No original Rhyp to compare</v>
      </c>
      <c r="S520" s="29" t="str">
        <f t="shared" si="70"/>
        <v/>
      </c>
      <c r="T520" s="22">
        <v>8.6083590000000001</v>
      </c>
      <c r="U520" s="29" t="s">
        <v>4576</v>
      </c>
      <c r="V520" s="29" t="str">
        <f t="shared" si="71"/>
        <v>No geometric exceedance</v>
      </c>
      <c r="W520" s="30">
        <v>23.567900000000002</v>
      </c>
      <c r="X520" s="30">
        <v>121.3463</v>
      </c>
      <c r="Y520" s="30">
        <v>14.98</v>
      </c>
      <c r="Z520" s="30">
        <v>25.516046848052021</v>
      </c>
      <c r="AA520" s="29" t="s">
        <v>2812</v>
      </c>
      <c r="AB520" s="29"/>
      <c r="AC520" s="39"/>
      <c r="AD520" s="39"/>
    </row>
    <row r="521" spans="1:30" ht="58" customHeight="1">
      <c r="A521" s="1" t="s">
        <v>1263</v>
      </c>
      <c r="B521" s="1">
        <v>278</v>
      </c>
      <c r="C521" s="1" t="s">
        <v>4171</v>
      </c>
      <c r="D521" s="29" t="s">
        <v>656</v>
      </c>
      <c r="E521" s="29" t="s">
        <v>657</v>
      </c>
      <c r="F521" s="1" t="s">
        <v>1188</v>
      </c>
      <c r="G521" s="30">
        <v>23.651669999999999</v>
      </c>
      <c r="H521" s="30">
        <v>121.5363</v>
      </c>
      <c r="I521" s="30">
        <v>23.567900000000002</v>
      </c>
      <c r="J521" s="30">
        <v>121.3463</v>
      </c>
      <c r="K521" s="30">
        <v>14.98</v>
      </c>
      <c r="L521" s="22"/>
      <c r="M521" s="22">
        <f t="shared" si="64"/>
        <v>21.483018448174597</v>
      </c>
      <c r="N521" s="22">
        <f t="shared" si="65"/>
        <v>26.190083650966258</v>
      </c>
      <c r="O521" s="22" t="str">
        <f t="shared" si="66"/>
        <v/>
      </c>
      <c r="P521" s="22" t="str">
        <f t="shared" si="67"/>
        <v/>
      </c>
      <c r="Q521" s="22">
        <f t="shared" si="68"/>
        <v>1.3095041825483129</v>
      </c>
      <c r="R521" s="29" t="str">
        <f t="shared" si="69"/>
        <v>No original Rhyp to compare</v>
      </c>
      <c r="S521" s="29" t="str">
        <f t="shared" si="70"/>
        <v/>
      </c>
      <c r="T521" s="22">
        <v>10.65174</v>
      </c>
      <c r="U521" s="29" t="s">
        <v>4576</v>
      </c>
      <c r="V521" s="29" t="str">
        <f t="shared" si="71"/>
        <v>No geometric exceedance</v>
      </c>
      <c r="W521" s="30">
        <v>23.567900000000002</v>
      </c>
      <c r="X521" s="30">
        <v>121.3463</v>
      </c>
      <c r="Y521" s="30">
        <v>14.98</v>
      </c>
      <c r="Z521" s="30">
        <v>26.190083650966255</v>
      </c>
      <c r="AA521" s="29" t="s">
        <v>2812</v>
      </c>
      <c r="AB521" s="29"/>
      <c r="AC521" s="39"/>
      <c r="AD521" s="39"/>
    </row>
    <row r="522" spans="1:30" ht="58" customHeight="1">
      <c r="A522" s="1" t="s">
        <v>1263</v>
      </c>
      <c r="B522" s="1">
        <v>279</v>
      </c>
      <c r="C522" s="1" t="s">
        <v>4173</v>
      </c>
      <c r="D522" s="29" t="s">
        <v>220</v>
      </c>
      <c r="E522" s="29" t="s">
        <v>661</v>
      </c>
      <c r="F522" s="1" t="s">
        <v>1189</v>
      </c>
      <c r="G522" s="30">
        <v>27.712350000000001</v>
      </c>
      <c r="H522" s="30">
        <v>85.315610000000007</v>
      </c>
      <c r="I522" s="30">
        <v>28.231000000000002</v>
      </c>
      <c r="J522" s="30">
        <v>84.730999999999995</v>
      </c>
      <c r="K522" s="30">
        <v>8.1999999999999993</v>
      </c>
      <c r="L522" s="22"/>
      <c r="M522" s="22">
        <f t="shared" si="64"/>
        <v>81.375829868162143</v>
      </c>
      <c r="N522" s="22">
        <f t="shared" si="65"/>
        <v>81.787931180169053</v>
      </c>
      <c r="O522" s="22" t="str">
        <f t="shared" si="66"/>
        <v/>
      </c>
      <c r="P522" s="22" t="str">
        <f t="shared" si="67"/>
        <v/>
      </c>
      <c r="Q522" s="22">
        <f t="shared" si="68"/>
        <v>4.0893965590084527</v>
      </c>
      <c r="R522" s="29" t="str">
        <f t="shared" si="69"/>
        <v>No original Rhyp to compare</v>
      </c>
      <c r="S522" s="29" t="str">
        <f t="shared" si="70"/>
        <v/>
      </c>
      <c r="T522" s="22">
        <v>13.21</v>
      </c>
      <c r="U522" s="29" t="s">
        <v>4576</v>
      </c>
      <c r="V522" s="29" t="str">
        <f t="shared" si="71"/>
        <v>No geometric exceedance</v>
      </c>
      <c r="W522" s="30">
        <v>28.231000000000002</v>
      </c>
      <c r="X522" s="30">
        <v>84.730999999999995</v>
      </c>
      <c r="Y522" s="30">
        <v>8.1999999999999993</v>
      </c>
      <c r="Z522" s="30">
        <v>81.787931180169124</v>
      </c>
      <c r="AA522" s="29" t="s">
        <v>2812</v>
      </c>
      <c r="AB522" s="29"/>
      <c r="AC522" s="39"/>
      <c r="AD522" s="39"/>
    </row>
    <row r="523" spans="1:30" ht="58" customHeight="1">
      <c r="A523" s="1" t="s">
        <v>1263</v>
      </c>
      <c r="B523" s="1">
        <v>280</v>
      </c>
      <c r="C523" s="1" t="s">
        <v>4176</v>
      </c>
      <c r="D523" s="29" t="s">
        <v>223</v>
      </c>
      <c r="E523" s="29" t="s">
        <v>664</v>
      </c>
      <c r="F523" s="1" t="s">
        <v>1191</v>
      </c>
      <c r="G523" s="30">
        <v>-42.425812000000001</v>
      </c>
      <c r="H523" s="30">
        <v>173.68212500000001</v>
      </c>
      <c r="I523" s="30">
        <v>-42.737000000000002</v>
      </c>
      <c r="J523" s="30">
        <v>173.054</v>
      </c>
      <c r="K523" s="30">
        <v>15.1</v>
      </c>
      <c r="L523" s="22"/>
      <c r="M523" s="22">
        <f t="shared" si="64"/>
        <v>61.984604023691965</v>
      </c>
      <c r="N523" s="22">
        <f t="shared" si="65"/>
        <v>63.797344270540684</v>
      </c>
      <c r="O523" s="22" t="str">
        <f t="shared" si="66"/>
        <v/>
      </c>
      <c r="P523" s="22" t="str">
        <f t="shared" si="67"/>
        <v/>
      </c>
      <c r="Q523" s="22">
        <f t="shared" si="68"/>
        <v>3.1898672135270343</v>
      </c>
      <c r="R523" s="29" t="str">
        <f t="shared" si="69"/>
        <v>No original Rhyp to compare</v>
      </c>
      <c r="S523" s="29" t="str">
        <f t="shared" si="70"/>
        <v/>
      </c>
      <c r="T523" s="22">
        <v>0.7</v>
      </c>
      <c r="U523" s="29" t="s">
        <v>4576</v>
      </c>
      <c r="V523" s="29" t="str">
        <f t="shared" si="71"/>
        <v>No geometric exceedance</v>
      </c>
      <c r="W523" s="30">
        <v>-42.737000000000002</v>
      </c>
      <c r="X523" s="30">
        <v>173.054</v>
      </c>
      <c r="Y523" s="30">
        <v>15.1</v>
      </c>
      <c r="Z523" s="30">
        <v>63.797344270540755</v>
      </c>
      <c r="AA523" s="29" t="s">
        <v>2812</v>
      </c>
      <c r="AB523" s="29"/>
      <c r="AC523" s="39"/>
      <c r="AD523" s="39"/>
    </row>
    <row r="524" spans="1:30" ht="58" customHeight="1">
      <c r="A524" s="1" t="s">
        <v>1263</v>
      </c>
      <c r="B524" s="1">
        <v>281</v>
      </c>
      <c r="C524" s="1" t="s">
        <v>4178</v>
      </c>
      <c r="D524" s="29" t="s">
        <v>223</v>
      </c>
      <c r="E524" s="29" t="s">
        <v>664</v>
      </c>
      <c r="F524" s="1" t="s">
        <v>1193</v>
      </c>
      <c r="G524" s="30">
        <v>-41.672289999999997</v>
      </c>
      <c r="H524" s="30">
        <v>174.07644999999999</v>
      </c>
      <c r="I524" s="30">
        <v>-42.737000000000002</v>
      </c>
      <c r="J524" s="30">
        <v>173.054</v>
      </c>
      <c r="K524" s="30">
        <v>15.1</v>
      </c>
      <c r="L524" s="22"/>
      <c r="M524" s="22">
        <f t="shared" si="64"/>
        <v>145.28576561868707</v>
      </c>
      <c r="N524" s="22">
        <f t="shared" si="65"/>
        <v>146.06835280582879</v>
      </c>
      <c r="O524" s="22" t="str">
        <f t="shared" si="66"/>
        <v/>
      </c>
      <c r="P524" s="22" t="str">
        <f t="shared" si="67"/>
        <v/>
      </c>
      <c r="Q524" s="22">
        <f t="shared" si="68"/>
        <v>7.3034176402914399</v>
      </c>
      <c r="R524" s="29" t="str">
        <f t="shared" si="69"/>
        <v>No original Rhyp to compare</v>
      </c>
      <c r="S524" s="29" t="str">
        <f t="shared" si="70"/>
        <v/>
      </c>
      <c r="T524" s="22">
        <v>23.2</v>
      </c>
      <c r="U524" s="29" t="s">
        <v>4576</v>
      </c>
      <c r="V524" s="29" t="str">
        <f t="shared" si="71"/>
        <v>No geometric exceedance</v>
      </c>
      <c r="W524" s="30">
        <v>-42.737000000000002</v>
      </c>
      <c r="X524" s="30">
        <v>173.054</v>
      </c>
      <c r="Y524" s="30">
        <v>15.1</v>
      </c>
      <c r="Z524" s="30">
        <v>146.06835280582851</v>
      </c>
      <c r="AA524" s="29" t="s">
        <v>2812</v>
      </c>
      <c r="AB524" s="29"/>
      <c r="AC524" s="39"/>
      <c r="AD524" s="39"/>
    </row>
    <row r="525" spans="1:30" ht="58" customHeight="1">
      <c r="A525" s="1" t="s">
        <v>1263</v>
      </c>
      <c r="B525" s="1">
        <v>282</v>
      </c>
      <c r="C525" s="1" t="s">
        <v>4180</v>
      </c>
      <c r="D525" s="29" t="s">
        <v>226</v>
      </c>
      <c r="E525" s="29" t="s">
        <v>1194</v>
      </c>
      <c r="F525" s="1" t="s">
        <v>1195</v>
      </c>
      <c r="G525" s="30">
        <v>32.932000000000002</v>
      </c>
      <c r="H525" s="30">
        <v>131.12139999999999</v>
      </c>
      <c r="I525" s="30">
        <v>32.790999999999997</v>
      </c>
      <c r="J525" s="30">
        <v>130.75399999999999</v>
      </c>
      <c r="K525" s="30">
        <v>15.1</v>
      </c>
      <c r="L525" s="22"/>
      <c r="M525" s="22">
        <f t="shared" si="64"/>
        <v>37.727891799774078</v>
      </c>
      <c r="N525" s="22">
        <f t="shared" si="65"/>
        <v>40.637468174770191</v>
      </c>
      <c r="O525" s="22" t="str">
        <f t="shared" si="66"/>
        <v/>
      </c>
      <c r="P525" s="22" t="str">
        <f t="shared" si="67"/>
        <v/>
      </c>
      <c r="Q525" s="22">
        <f t="shared" si="68"/>
        <v>2.0318734087385097</v>
      </c>
      <c r="R525" s="29" t="str">
        <f t="shared" si="69"/>
        <v>No original Rhyp to compare</v>
      </c>
      <c r="S525" s="29" t="str">
        <f t="shared" si="70"/>
        <v/>
      </c>
      <c r="T525" s="22">
        <v>10.61</v>
      </c>
      <c r="U525" s="29" t="s">
        <v>4576</v>
      </c>
      <c r="V525" s="29" t="str">
        <f t="shared" si="71"/>
        <v>No geometric exceedance</v>
      </c>
      <c r="W525" s="30">
        <v>32.790999999999997</v>
      </c>
      <c r="X525" s="30">
        <v>130.75399999999999</v>
      </c>
      <c r="Y525" s="30">
        <v>15.1</v>
      </c>
      <c r="Z525" s="30">
        <v>40.637468174770035</v>
      </c>
      <c r="AA525" s="29" t="s">
        <v>2812</v>
      </c>
      <c r="AB525" s="29"/>
      <c r="AC525" s="39"/>
      <c r="AD525" s="39"/>
    </row>
    <row r="526" spans="1:30" ht="58" customHeight="1">
      <c r="A526" s="1" t="s">
        <v>1263</v>
      </c>
      <c r="B526" s="1">
        <v>283</v>
      </c>
      <c r="C526" s="1" t="s">
        <v>4182</v>
      </c>
      <c r="D526" s="29" t="s">
        <v>226</v>
      </c>
      <c r="E526" s="29" t="s">
        <v>1194</v>
      </c>
      <c r="F526" s="1" t="s">
        <v>1197</v>
      </c>
      <c r="G526" s="30">
        <v>32.876100000000001</v>
      </c>
      <c r="H526" s="30">
        <v>130.87739999999999</v>
      </c>
      <c r="I526" s="30">
        <v>32.790999999999997</v>
      </c>
      <c r="J526" s="30">
        <v>130.75399999999999</v>
      </c>
      <c r="K526" s="30">
        <v>15.1</v>
      </c>
      <c r="L526" s="22"/>
      <c r="M526" s="22">
        <f t="shared" si="64"/>
        <v>14.915442340322732</v>
      </c>
      <c r="N526" s="22">
        <f t="shared" si="65"/>
        <v>21.224524027819612</v>
      </c>
      <c r="O526" s="22" t="str">
        <f t="shared" si="66"/>
        <v/>
      </c>
      <c r="P526" s="22" t="str">
        <f t="shared" si="67"/>
        <v/>
      </c>
      <c r="Q526" s="22">
        <f t="shared" si="68"/>
        <v>1.0612262013909806</v>
      </c>
      <c r="R526" s="29" t="str">
        <f t="shared" si="69"/>
        <v>No original Rhyp to compare</v>
      </c>
      <c r="S526" s="29" t="str">
        <f t="shared" si="70"/>
        <v/>
      </c>
      <c r="T526" s="22">
        <v>3.27</v>
      </c>
      <c r="U526" s="29" t="s">
        <v>4576</v>
      </c>
      <c r="V526" s="29" t="str">
        <f t="shared" si="71"/>
        <v>No geometric exceedance</v>
      </c>
      <c r="W526" s="30">
        <v>32.790999999999997</v>
      </c>
      <c r="X526" s="30">
        <v>130.75399999999999</v>
      </c>
      <c r="Y526" s="30">
        <v>15.1</v>
      </c>
      <c r="Z526" s="30">
        <v>21.224524027819509</v>
      </c>
      <c r="AA526" s="29" t="s">
        <v>2812</v>
      </c>
      <c r="AB526" s="29"/>
      <c r="AC526" s="39"/>
      <c r="AD526" s="39"/>
    </row>
    <row r="527" spans="1:30" ht="58" customHeight="1">
      <c r="A527" s="1" t="s">
        <v>1263</v>
      </c>
      <c r="B527" s="1">
        <v>284</v>
      </c>
      <c r="C527" s="1" t="s">
        <v>4184</v>
      </c>
      <c r="D527" s="29" t="s">
        <v>226</v>
      </c>
      <c r="E527" s="29" t="s">
        <v>1194</v>
      </c>
      <c r="F527" s="1" t="s">
        <v>1198</v>
      </c>
      <c r="G527" s="30">
        <v>32.793399999999998</v>
      </c>
      <c r="H527" s="30">
        <v>130.77719999999999</v>
      </c>
      <c r="I527" s="30">
        <v>32.790999999999997</v>
      </c>
      <c r="J527" s="30">
        <v>130.75399999999999</v>
      </c>
      <c r="K527" s="30">
        <v>15.1</v>
      </c>
      <c r="L527" s="22"/>
      <c r="M527" s="22">
        <f t="shared" si="64"/>
        <v>2.1849771609179247</v>
      </c>
      <c r="N527" s="22">
        <f t="shared" si="65"/>
        <v>15.257264669452809</v>
      </c>
      <c r="O527" s="22" t="str">
        <f t="shared" si="66"/>
        <v/>
      </c>
      <c r="P527" s="22" t="str">
        <f t="shared" si="67"/>
        <v/>
      </c>
      <c r="Q527" s="22">
        <f t="shared" si="68"/>
        <v>1</v>
      </c>
      <c r="R527" s="29" t="str">
        <f t="shared" si="69"/>
        <v>No original Rhyp to compare</v>
      </c>
      <c r="S527" s="29" t="str">
        <f t="shared" si="70"/>
        <v/>
      </c>
      <c r="T527" s="22">
        <v>2.69</v>
      </c>
      <c r="U527" s="29" t="s">
        <v>4576</v>
      </c>
      <c r="V527" s="29" t="str">
        <f t="shared" si="71"/>
        <v>No geometric exceedance</v>
      </c>
      <c r="W527" s="30">
        <v>32.790999999999997</v>
      </c>
      <c r="X527" s="30">
        <v>130.75399999999999</v>
      </c>
      <c r="Y527" s="30">
        <v>15.1</v>
      </c>
      <c r="Z527" s="30">
        <v>15.257264669452804</v>
      </c>
      <c r="AA527" s="29" t="s">
        <v>2812</v>
      </c>
      <c r="AB527" s="29"/>
      <c r="AC527" s="39"/>
      <c r="AD527" s="39"/>
    </row>
    <row r="528" spans="1:30" ht="58" customHeight="1">
      <c r="A528" s="1" t="s">
        <v>1263</v>
      </c>
      <c r="B528" s="1">
        <v>285</v>
      </c>
      <c r="C528" s="1" t="s">
        <v>4186</v>
      </c>
      <c r="D528" s="29" t="s">
        <v>226</v>
      </c>
      <c r="E528" s="29" t="s">
        <v>1194</v>
      </c>
      <c r="F528" s="1" t="s">
        <v>1199</v>
      </c>
      <c r="G528" s="30">
        <v>32.826700000000002</v>
      </c>
      <c r="H528" s="30">
        <v>131.12260000000001</v>
      </c>
      <c r="I528" s="30">
        <v>32.790999999999997</v>
      </c>
      <c r="J528" s="30">
        <v>130.75399999999999</v>
      </c>
      <c r="K528" s="30">
        <v>15.1</v>
      </c>
      <c r="L528" s="22"/>
      <c r="M528" s="22">
        <f t="shared" si="64"/>
        <v>34.676359887272511</v>
      </c>
      <c r="N528" s="22">
        <f t="shared" si="65"/>
        <v>37.821421642128186</v>
      </c>
      <c r="O528" s="22" t="str">
        <f t="shared" si="66"/>
        <v/>
      </c>
      <c r="P528" s="22" t="str">
        <f t="shared" si="67"/>
        <v/>
      </c>
      <c r="Q528" s="22">
        <f t="shared" si="68"/>
        <v>1.8910710821064094</v>
      </c>
      <c r="R528" s="29" t="str">
        <f t="shared" si="69"/>
        <v>No original Rhyp to compare</v>
      </c>
      <c r="S528" s="29" t="str">
        <f t="shared" si="70"/>
        <v/>
      </c>
      <c r="T528" s="22">
        <v>18.54</v>
      </c>
      <c r="U528" s="29" t="s">
        <v>4576</v>
      </c>
      <c r="V528" s="29" t="str">
        <f t="shared" si="71"/>
        <v>No geometric exceedance</v>
      </c>
      <c r="W528" s="30">
        <v>32.790999999999997</v>
      </c>
      <c r="X528" s="30">
        <v>130.75399999999999</v>
      </c>
      <c r="Y528" s="30">
        <v>15.1</v>
      </c>
      <c r="Z528" s="30">
        <v>37.821421642128179</v>
      </c>
      <c r="AA528" s="29" t="s">
        <v>2812</v>
      </c>
      <c r="AB528" s="29"/>
      <c r="AC528" s="39"/>
      <c r="AD528" s="39"/>
    </row>
    <row r="529" spans="1:30" ht="58" customHeight="1">
      <c r="A529" s="1" t="s">
        <v>1263</v>
      </c>
      <c r="B529" s="1">
        <v>286</v>
      </c>
      <c r="C529" s="1" t="s">
        <v>4188</v>
      </c>
      <c r="D529" s="29" t="s">
        <v>226</v>
      </c>
      <c r="E529" s="29" t="s">
        <v>1194</v>
      </c>
      <c r="F529" s="1" t="s">
        <v>1200</v>
      </c>
      <c r="G529" s="30">
        <v>32.998399999999997</v>
      </c>
      <c r="H529" s="30">
        <v>130.83009999999999</v>
      </c>
      <c r="I529" s="30">
        <v>32.790999999999997</v>
      </c>
      <c r="J529" s="30">
        <v>130.75399999999999</v>
      </c>
      <c r="K529" s="30">
        <v>15.1</v>
      </c>
      <c r="L529" s="22"/>
      <c r="M529" s="22">
        <f t="shared" si="64"/>
        <v>24.131558374751346</v>
      </c>
      <c r="N529" s="22">
        <f t="shared" si="65"/>
        <v>28.466508559955713</v>
      </c>
      <c r="O529" s="22" t="str">
        <f t="shared" si="66"/>
        <v/>
      </c>
      <c r="P529" s="22" t="str">
        <f t="shared" si="67"/>
        <v/>
      </c>
      <c r="Q529" s="22">
        <f t="shared" si="68"/>
        <v>1.4233254279977858</v>
      </c>
      <c r="R529" s="29" t="str">
        <f t="shared" si="69"/>
        <v>No original Rhyp to compare</v>
      </c>
      <c r="S529" s="29" t="str">
        <f t="shared" si="70"/>
        <v/>
      </c>
      <c r="T529" s="22">
        <v>13.83</v>
      </c>
      <c r="U529" s="29" t="s">
        <v>4576</v>
      </c>
      <c r="V529" s="29" t="str">
        <f t="shared" si="71"/>
        <v>No geometric exceedance</v>
      </c>
      <c r="W529" s="30">
        <v>32.790999999999997</v>
      </c>
      <c r="X529" s="30">
        <v>130.75399999999999</v>
      </c>
      <c r="Y529" s="30">
        <v>15.1</v>
      </c>
      <c r="Z529" s="30">
        <v>28.466508559955621</v>
      </c>
      <c r="AA529" s="29" t="s">
        <v>2812</v>
      </c>
      <c r="AB529" s="29"/>
      <c r="AC529" s="39"/>
      <c r="AD529" s="39"/>
    </row>
    <row r="530" spans="1:30" ht="58" customHeight="1">
      <c r="A530" s="1" t="s">
        <v>1263</v>
      </c>
      <c r="B530" s="1">
        <v>287</v>
      </c>
      <c r="C530" s="1" t="s">
        <v>4190</v>
      </c>
      <c r="D530" s="29" t="s">
        <v>226</v>
      </c>
      <c r="E530" s="29" t="s">
        <v>1194</v>
      </c>
      <c r="F530" s="1" t="s">
        <v>1201</v>
      </c>
      <c r="G530" s="30">
        <v>32.796700000000001</v>
      </c>
      <c r="H530" s="30">
        <v>130.81989999999999</v>
      </c>
      <c r="I530" s="30">
        <v>32.790999999999997</v>
      </c>
      <c r="J530" s="30">
        <v>130.75399999999999</v>
      </c>
      <c r="K530" s="30">
        <v>15.1</v>
      </c>
      <c r="L530" s="22"/>
      <c r="M530" s="22">
        <f t="shared" si="64"/>
        <v>6.1924058423649528</v>
      </c>
      <c r="N530" s="22">
        <f t="shared" si="65"/>
        <v>16.320413294906338</v>
      </c>
      <c r="O530" s="22" t="str">
        <f t="shared" si="66"/>
        <v/>
      </c>
      <c r="P530" s="22" t="str">
        <f t="shared" si="67"/>
        <v/>
      </c>
      <c r="Q530" s="22">
        <f t="shared" si="68"/>
        <v>1</v>
      </c>
      <c r="R530" s="29" t="str">
        <f t="shared" si="69"/>
        <v>No original Rhyp to compare</v>
      </c>
      <c r="S530" s="29" t="str">
        <f t="shared" si="70"/>
        <v/>
      </c>
      <c r="T530" s="22">
        <v>2.71</v>
      </c>
      <c r="U530" s="29" t="s">
        <v>4576</v>
      </c>
      <c r="V530" s="29" t="str">
        <f t="shared" si="71"/>
        <v>No geometric exceedance</v>
      </c>
      <c r="W530" s="30">
        <v>32.790999999999997</v>
      </c>
      <c r="X530" s="30">
        <v>130.75399999999999</v>
      </c>
      <c r="Y530" s="30">
        <v>15.1</v>
      </c>
      <c r="Z530" s="30">
        <v>16.32041329490632</v>
      </c>
      <c r="AA530" s="29" t="s">
        <v>2812</v>
      </c>
      <c r="AB530" s="29"/>
      <c r="AC530" s="39"/>
      <c r="AD530" s="39"/>
    </row>
    <row r="531" spans="1:30" ht="58" customHeight="1">
      <c r="A531" s="1" t="s">
        <v>1263</v>
      </c>
      <c r="B531" s="1">
        <v>288</v>
      </c>
      <c r="C531" s="1" t="s">
        <v>4192</v>
      </c>
      <c r="D531" s="29" t="s">
        <v>672</v>
      </c>
      <c r="E531" s="29" t="s">
        <v>1202</v>
      </c>
      <c r="F531" s="1" t="s">
        <v>1203</v>
      </c>
      <c r="G531" s="30">
        <v>23.61</v>
      </c>
      <c r="H531" s="30">
        <v>120.4217</v>
      </c>
      <c r="I531" s="30">
        <v>22.922000000000001</v>
      </c>
      <c r="J531" s="30">
        <v>120.544</v>
      </c>
      <c r="K531" s="30">
        <v>14.6</v>
      </c>
      <c r="L531" s="22"/>
      <c r="M531" s="22">
        <f t="shared" si="64"/>
        <v>77.515492907579784</v>
      </c>
      <c r="N531" s="22">
        <f t="shared" si="65"/>
        <v>78.878461196356085</v>
      </c>
      <c r="O531" s="22" t="str">
        <f t="shared" si="66"/>
        <v/>
      </c>
      <c r="P531" s="22" t="str">
        <f t="shared" si="67"/>
        <v/>
      </c>
      <c r="Q531" s="22">
        <f t="shared" si="68"/>
        <v>3.9439230598178043</v>
      </c>
      <c r="R531" s="29" t="str">
        <f t="shared" si="69"/>
        <v>No original Rhyp to compare</v>
      </c>
      <c r="S531" s="29" t="str">
        <f t="shared" si="70"/>
        <v/>
      </c>
      <c r="T531" s="22">
        <v>63.165080000000003</v>
      </c>
      <c r="U531" s="29" t="s">
        <v>4576</v>
      </c>
      <c r="V531" s="29" t="str">
        <f t="shared" si="71"/>
        <v>No geometric exceedance</v>
      </c>
      <c r="W531" s="30">
        <v>22.922000000000001</v>
      </c>
      <c r="X531" s="30">
        <v>120.544</v>
      </c>
      <c r="Y531" s="30">
        <v>14.6</v>
      </c>
      <c r="Z531" s="30">
        <v>78.878461196356227</v>
      </c>
      <c r="AA531" s="29" t="s">
        <v>2812</v>
      </c>
      <c r="AB531" s="29"/>
      <c r="AC531" s="39"/>
      <c r="AD531" s="39"/>
    </row>
    <row r="532" spans="1:30" ht="58" customHeight="1">
      <c r="A532" s="1" t="s">
        <v>1263</v>
      </c>
      <c r="B532" s="1">
        <v>289</v>
      </c>
      <c r="C532" s="1" t="s">
        <v>4194</v>
      </c>
      <c r="D532" s="29" t="s">
        <v>672</v>
      </c>
      <c r="E532" s="29" t="s">
        <v>1202</v>
      </c>
      <c r="F532" s="1" t="s">
        <v>1204</v>
      </c>
      <c r="G532" s="30">
        <v>23.330500000000001</v>
      </c>
      <c r="H532" s="30">
        <v>120.1598</v>
      </c>
      <c r="I532" s="30">
        <v>22.922000000000001</v>
      </c>
      <c r="J532" s="30">
        <v>120.544</v>
      </c>
      <c r="K532" s="30">
        <v>14.6</v>
      </c>
      <c r="L532" s="22"/>
      <c r="M532" s="22">
        <f t="shared" si="64"/>
        <v>60.056672222550894</v>
      </c>
      <c r="N532" s="22">
        <f t="shared" si="65"/>
        <v>61.80585634425686</v>
      </c>
      <c r="O532" s="22" t="str">
        <f t="shared" si="66"/>
        <v/>
      </c>
      <c r="P532" s="22" t="str">
        <f t="shared" si="67"/>
        <v/>
      </c>
      <c r="Q532" s="22">
        <f t="shared" si="68"/>
        <v>3.090292817212843</v>
      </c>
      <c r="R532" s="29" t="str">
        <f t="shared" si="69"/>
        <v>No original Rhyp to compare</v>
      </c>
      <c r="S532" s="29" t="str">
        <f t="shared" si="70"/>
        <v/>
      </c>
      <c r="T532" s="22">
        <v>42.787909999999997</v>
      </c>
      <c r="U532" s="29" t="s">
        <v>4576</v>
      </c>
      <c r="V532" s="29" t="str">
        <f t="shared" si="71"/>
        <v>No geometric exceedance</v>
      </c>
      <c r="W532" s="30">
        <v>22.922000000000001</v>
      </c>
      <c r="X532" s="30">
        <v>120.544</v>
      </c>
      <c r="Y532" s="30">
        <v>14.6</v>
      </c>
      <c r="Z532" s="30">
        <v>61.805856344256902</v>
      </c>
      <c r="AA532" s="29" t="s">
        <v>2812</v>
      </c>
      <c r="AB532" s="29"/>
      <c r="AC532" s="39"/>
      <c r="AD532" s="39"/>
    </row>
    <row r="533" spans="1:30" ht="58" customHeight="1">
      <c r="A533" s="1" t="s">
        <v>1263</v>
      </c>
      <c r="B533" s="1">
        <v>290</v>
      </c>
      <c r="C533" s="1" t="s">
        <v>4196</v>
      </c>
      <c r="D533" s="29" t="s">
        <v>672</v>
      </c>
      <c r="E533" s="29" t="s">
        <v>1202</v>
      </c>
      <c r="F533" s="1" t="s">
        <v>1157</v>
      </c>
      <c r="G533" s="30">
        <v>23.21367</v>
      </c>
      <c r="H533" s="30">
        <v>120.277</v>
      </c>
      <c r="I533" s="30">
        <v>22.922000000000001</v>
      </c>
      <c r="J533" s="30">
        <v>120.544</v>
      </c>
      <c r="K533" s="30">
        <v>14.6</v>
      </c>
      <c r="L533" s="22"/>
      <c r="M533" s="22">
        <f t="shared" si="64"/>
        <v>42.402408844228766</v>
      </c>
      <c r="N533" s="22">
        <f t="shared" si="65"/>
        <v>44.845560268471729</v>
      </c>
      <c r="O533" s="22" t="str">
        <f t="shared" si="66"/>
        <v/>
      </c>
      <c r="P533" s="22" t="str">
        <f t="shared" si="67"/>
        <v/>
      </c>
      <c r="Q533" s="22">
        <f t="shared" si="68"/>
        <v>2.2422780134235865</v>
      </c>
      <c r="R533" s="29" t="str">
        <f t="shared" si="69"/>
        <v>No original Rhyp to compare</v>
      </c>
      <c r="S533" s="29" t="str">
        <f t="shared" si="70"/>
        <v/>
      </c>
      <c r="T533" s="22">
        <v>28.65258</v>
      </c>
      <c r="U533" s="29" t="s">
        <v>4576</v>
      </c>
      <c r="V533" s="29" t="str">
        <f t="shared" si="71"/>
        <v>No geometric exceedance</v>
      </c>
      <c r="W533" s="30">
        <v>22.922000000000001</v>
      </c>
      <c r="X533" s="30">
        <v>120.544</v>
      </c>
      <c r="Y533" s="30">
        <v>14.6</v>
      </c>
      <c r="Z533" s="30">
        <v>44.84556026847185</v>
      </c>
      <c r="AA533" s="29" t="s">
        <v>2812</v>
      </c>
      <c r="AB533" s="29"/>
      <c r="AC533" s="39"/>
      <c r="AD533" s="39"/>
    </row>
    <row r="534" spans="1:30" ht="58" customHeight="1">
      <c r="A534" s="1" t="s">
        <v>1263</v>
      </c>
      <c r="B534" s="1">
        <v>291</v>
      </c>
      <c r="C534" s="1" t="s">
        <v>4199</v>
      </c>
      <c r="D534" s="29" t="s">
        <v>672</v>
      </c>
      <c r="E534" s="29" t="s">
        <v>1202</v>
      </c>
      <c r="F534" s="1" t="s">
        <v>1205</v>
      </c>
      <c r="G534" s="30">
        <v>23.2225</v>
      </c>
      <c r="H534" s="30">
        <v>120.4003</v>
      </c>
      <c r="I534" s="30">
        <v>22.922000000000001</v>
      </c>
      <c r="J534" s="30">
        <v>120.544</v>
      </c>
      <c r="K534" s="30">
        <v>14.6</v>
      </c>
      <c r="L534" s="22"/>
      <c r="M534" s="22">
        <f t="shared" si="64"/>
        <v>36.504892692893648</v>
      </c>
      <c r="N534" s="22">
        <f t="shared" si="65"/>
        <v>39.316245885380255</v>
      </c>
      <c r="O534" s="22" t="str">
        <f t="shared" si="66"/>
        <v/>
      </c>
      <c r="P534" s="22" t="str">
        <f t="shared" si="67"/>
        <v/>
      </c>
      <c r="Q534" s="22">
        <f t="shared" si="68"/>
        <v>1.9658122942690128</v>
      </c>
      <c r="R534" s="29" t="str">
        <f t="shared" si="69"/>
        <v>No original Rhyp to compare</v>
      </c>
      <c r="S534" s="29" t="str">
        <f t="shared" si="70"/>
        <v/>
      </c>
      <c r="T534" s="22">
        <v>26.49578</v>
      </c>
      <c r="U534" s="29" t="s">
        <v>4576</v>
      </c>
      <c r="V534" s="29" t="str">
        <f t="shared" si="71"/>
        <v>No geometric exceedance</v>
      </c>
      <c r="W534" s="30">
        <v>22.922000000000001</v>
      </c>
      <c r="X534" s="30">
        <v>120.544</v>
      </c>
      <c r="Y534" s="30">
        <v>14.6</v>
      </c>
      <c r="Z534" s="30">
        <v>39.316245885380226</v>
      </c>
      <c r="AA534" s="29" t="s">
        <v>2812</v>
      </c>
      <c r="AB534" s="29"/>
      <c r="AC534" s="39"/>
      <c r="AD534" s="39"/>
    </row>
    <row r="535" spans="1:30" ht="58" customHeight="1">
      <c r="A535" s="1" t="s">
        <v>1263</v>
      </c>
      <c r="B535" s="1">
        <v>292</v>
      </c>
      <c r="C535" s="1" t="s">
        <v>4201</v>
      </c>
      <c r="D535" s="29" t="s">
        <v>672</v>
      </c>
      <c r="E535" s="29" t="s">
        <v>1202</v>
      </c>
      <c r="F535" s="1" t="s">
        <v>1206</v>
      </c>
      <c r="G535" s="30">
        <v>23.102333000000002</v>
      </c>
      <c r="H535" s="30">
        <v>120.158333</v>
      </c>
      <c r="I535" s="30">
        <v>22.922000000000001</v>
      </c>
      <c r="J535" s="30">
        <v>120.544</v>
      </c>
      <c r="K535" s="30">
        <v>14.6</v>
      </c>
      <c r="L535" s="22"/>
      <c r="M535" s="22">
        <f t="shared" si="64"/>
        <v>44.272893482476007</v>
      </c>
      <c r="N535" s="22">
        <f t="shared" si="65"/>
        <v>46.618119838863798</v>
      </c>
      <c r="O535" s="22" t="str">
        <f t="shared" si="66"/>
        <v/>
      </c>
      <c r="P535" s="22" t="str">
        <f t="shared" si="67"/>
        <v/>
      </c>
      <c r="Q535" s="22">
        <f t="shared" si="68"/>
        <v>2.3309059919431898</v>
      </c>
      <c r="R535" s="29" t="str">
        <f t="shared" si="69"/>
        <v>No original Rhyp to compare</v>
      </c>
      <c r="S535" s="29" t="str">
        <f t="shared" si="70"/>
        <v/>
      </c>
      <c r="T535" s="22">
        <v>37.143805999999998</v>
      </c>
      <c r="U535" s="29" t="s">
        <v>4576</v>
      </c>
      <c r="V535" s="29" t="str">
        <f t="shared" si="71"/>
        <v>No geometric exceedance</v>
      </c>
      <c r="W535" s="30">
        <v>22.922000000000001</v>
      </c>
      <c r="X535" s="30">
        <v>120.544</v>
      </c>
      <c r="Y535" s="30">
        <v>14.6</v>
      </c>
      <c r="Z535" s="30">
        <v>46.618119838863819</v>
      </c>
      <c r="AA535" s="29" t="s">
        <v>2812</v>
      </c>
      <c r="AB535" s="29"/>
      <c r="AC535" s="39"/>
      <c r="AD535" s="39"/>
    </row>
    <row r="536" spans="1:30" ht="58" customHeight="1">
      <c r="A536" s="1" t="s">
        <v>1263</v>
      </c>
      <c r="B536" s="1">
        <v>293</v>
      </c>
      <c r="C536" s="1" t="s">
        <v>4203</v>
      </c>
      <c r="D536" s="29" t="s">
        <v>672</v>
      </c>
      <c r="E536" s="29" t="s">
        <v>1202</v>
      </c>
      <c r="F536" s="1" t="s">
        <v>1086</v>
      </c>
      <c r="G536" s="30">
        <v>23.554500000000001</v>
      </c>
      <c r="H536" s="30">
        <v>120.42919999999999</v>
      </c>
      <c r="I536" s="30">
        <v>22.922000000000001</v>
      </c>
      <c r="J536" s="30">
        <v>120.544</v>
      </c>
      <c r="K536" s="30">
        <v>14.6</v>
      </c>
      <c r="L536" s="22"/>
      <c r="M536" s="22">
        <f t="shared" si="64"/>
        <v>71.302178931693106</v>
      </c>
      <c r="N536" s="22">
        <f t="shared" si="65"/>
        <v>72.781596028166206</v>
      </c>
      <c r="O536" s="22" t="str">
        <f t="shared" si="66"/>
        <v/>
      </c>
      <c r="P536" s="22" t="str">
        <f t="shared" si="67"/>
        <v/>
      </c>
      <c r="Q536" s="22">
        <f t="shared" si="68"/>
        <v>3.6390798014083106</v>
      </c>
      <c r="R536" s="29" t="str">
        <f t="shared" si="69"/>
        <v>No original Rhyp to compare</v>
      </c>
      <c r="S536" s="29" t="str">
        <f t="shared" si="70"/>
        <v/>
      </c>
      <c r="T536" s="22">
        <v>57.414790000000004</v>
      </c>
      <c r="U536" s="29" t="s">
        <v>4576</v>
      </c>
      <c r="V536" s="29" t="str">
        <f t="shared" si="71"/>
        <v>No geometric exceedance</v>
      </c>
      <c r="W536" s="30">
        <v>22.922000000000001</v>
      </c>
      <c r="X536" s="30">
        <v>120.544</v>
      </c>
      <c r="Y536" s="30">
        <v>14.6</v>
      </c>
      <c r="Z536" s="30">
        <v>72.781596028166391</v>
      </c>
      <c r="AA536" s="29" t="s">
        <v>2812</v>
      </c>
      <c r="AB536" s="29"/>
      <c r="AC536" s="39"/>
      <c r="AD536" s="39"/>
    </row>
    <row r="537" spans="1:30" ht="58" customHeight="1">
      <c r="A537" s="1" t="s">
        <v>1263</v>
      </c>
      <c r="B537" s="1">
        <v>294</v>
      </c>
      <c r="C537" s="1" t="s">
        <v>4205</v>
      </c>
      <c r="D537" s="29" t="s">
        <v>672</v>
      </c>
      <c r="E537" s="29" t="s">
        <v>1202</v>
      </c>
      <c r="F537" s="1" t="s">
        <v>1095</v>
      </c>
      <c r="G537" s="30">
        <v>23.51933</v>
      </c>
      <c r="H537" s="30">
        <v>120.35120000000001</v>
      </c>
      <c r="I537" s="30">
        <v>22.922000000000001</v>
      </c>
      <c r="J537" s="30">
        <v>120.544</v>
      </c>
      <c r="K537" s="30">
        <v>14.6</v>
      </c>
      <c r="L537" s="22"/>
      <c r="M537" s="22">
        <f t="shared" si="64"/>
        <v>69.280427539933683</v>
      </c>
      <c r="N537" s="22">
        <f t="shared" si="65"/>
        <v>70.8021019470185</v>
      </c>
      <c r="O537" s="22" t="str">
        <f t="shared" si="66"/>
        <v/>
      </c>
      <c r="P537" s="22" t="str">
        <f t="shared" si="67"/>
        <v/>
      </c>
      <c r="Q537" s="22">
        <f t="shared" si="68"/>
        <v>3.5401050973509252</v>
      </c>
      <c r="R537" s="29" t="str">
        <f t="shared" si="69"/>
        <v>No original Rhyp to compare</v>
      </c>
      <c r="S537" s="29" t="str">
        <f t="shared" si="70"/>
        <v/>
      </c>
      <c r="T537" s="22">
        <v>53.892139999999998</v>
      </c>
      <c r="U537" s="29" t="s">
        <v>4576</v>
      </c>
      <c r="V537" s="29" t="str">
        <f t="shared" si="71"/>
        <v>No geometric exceedance</v>
      </c>
      <c r="W537" s="30">
        <v>22.922000000000001</v>
      </c>
      <c r="X537" s="30">
        <v>120.544</v>
      </c>
      <c r="Y537" s="30">
        <v>14.6</v>
      </c>
      <c r="Z537" s="30">
        <v>70.802101947018542</v>
      </c>
      <c r="AA537" s="29" t="s">
        <v>2812</v>
      </c>
      <c r="AB537" s="29"/>
      <c r="AC537" s="39"/>
      <c r="AD537" s="39"/>
    </row>
    <row r="538" spans="1:30" ht="58" customHeight="1">
      <c r="A538" s="1" t="s">
        <v>1263</v>
      </c>
      <c r="B538" s="1">
        <v>295</v>
      </c>
      <c r="C538" s="1" t="s">
        <v>4207</v>
      </c>
      <c r="D538" s="29" t="s">
        <v>672</v>
      </c>
      <c r="E538" s="29" t="s">
        <v>1202</v>
      </c>
      <c r="F538" s="1" t="s">
        <v>1207</v>
      </c>
      <c r="G538" s="30">
        <v>23.28</v>
      </c>
      <c r="H538" s="30">
        <v>120.46729999999999</v>
      </c>
      <c r="I538" s="30">
        <v>22.922000000000001</v>
      </c>
      <c r="J538" s="30">
        <v>120.544</v>
      </c>
      <c r="K538" s="30">
        <v>14.6</v>
      </c>
      <c r="L538" s="22"/>
      <c r="M538" s="22">
        <f t="shared" si="64"/>
        <v>40.573388783464566</v>
      </c>
      <c r="N538" s="22">
        <f t="shared" si="65"/>
        <v>43.120295423085501</v>
      </c>
      <c r="O538" s="22" t="str">
        <f t="shared" si="66"/>
        <v/>
      </c>
      <c r="P538" s="22" t="str">
        <f t="shared" si="67"/>
        <v/>
      </c>
      <c r="Q538" s="22">
        <f t="shared" si="68"/>
        <v>2.156014771154275</v>
      </c>
      <c r="R538" s="29" t="str">
        <f t="shared" si="69"/>
        <v>No original Rhyp to compare</v>
      </c>
      <c r="S538" s="29" t="str">
        <f t="shared" si="70"/>
        <v/>
      </c>
      <c r="T538" s="22">
        <v>31.778199999999998</v>
      </c>
      <c r="U538" s="29" t="s">
        <v>4576</v>
      </c>
      <c r="V538" s="29" t="str">
        <f t="shared" si="71"/>
        <v>No geometric exceedance</v>
      </c>
      <c r="W538" s="30">
        <v>22.922000000000001</v>
      </c>
      <c r="X538" s="30">
        <v>120.544</v>
      </c>
      <c r="Y538" s="30">
        <v>14.6</v>
      </c>
      <c r="Z538" s="30">
        <v>43.120295423085636</v>
      </c>
      <c r="AA538" s="29" t="s">
        <v>2812</v>
      </c>
      <c r="AB538" s="29"/>
      <c r="AC538" s="39"/>
      <c r="AD538" s="39"/>
    </row>
    <row r="539" spans="1:30" ht="58" customHeight="1">
      <c r="A539" s="1" t="s">
        <v>1263</v>
      </c>
      <c r="B539" s="1">
        <v>296</v>
      </c>
      <c r="C539" s="1" t="s">
        <v>4209</v>
      </c>
      <c r="D539" s="29" t="s">
        <v>672</v>
      </c>
      <c r="E539" s="29" t="s">
        <v>1202</v>
      </c>
      <c r="F539" s="1" t="s">
        <v>1160</v>
      </c>
      <c r="G539" s="30">
        <v>23.26867</v>
      </c>
      <c r="H539" s="30">
        <v>120.27679999999999</v>
      </c>
      <c r="I539" s="30">
        <v>22.922000000000001</v>
      </c>
      <c r="J539" s="30">
        <v>120.544</v>
      </c>
      <c r="K539" s="30">
        <v>14.6</v>
      </c>
      <c r="L539" s="22"/>
      <c r="M539" s="22">
        <f t="shared" si="64"/>
        <v>47.253261604602358</v>
      </c>
      <c r="N539" s="22">
        <f t="shared" si="65"/>
        <v>49.45736277110808</v>
      </c>
      <c r="O539" s="22" t="str">
        <f t="shared" si="66"/>
        <v/>
      </c>
      <c r="P539" s="22" t="str">
        <f t="shared" si="67"/>
        <v/>
      </c>
      <c r="Q539" s="22">
        <f t="shared" si="68"/>
        <v>2.4728681385554041</v>
      </c>
      <c r="R539" s="29" t="str">
        <f t="shared" si="69"/>
        <v>No original Rhyp to compare</v>
      </c>
      <c r="S539" s="29" t="str">
        <f t="shared" si="70"/>
        <v/>
      </c>
      <c r="T539" s="22">
        <v>32.389749999999999</v>
      </c>
      <c r="U539" s="29" t="s">
        <v>4576</v>
      </c>
      <c r="V539" s="29" t="str">
        <f t="shared" si="71"/>
        <v>No geometric exceedance</v>
      </c>
      <c r="W539" s="30">
        <v>22.922000000000001</v>
      </c>
      <c r="X539" s="30">
        <v>120.544</v>
      </c>
      <c r="Y539" s="30">
        <v>14.6</v>
      </c>
      <c r="Z539" s="30">
        <v>49.457362771108208</v>
      </c>
      <c r="AA539" s="29" t="s">
        <v>2812</v>
      </c>
      <c r="AB539" s="29"/>
      <c r="AC539" s="39"/>
      <c r="AD539" s="39"/>
    </row>
    <row r="540" spans="1:30" ht="58" customHeight="1">
      <c r="A540" s="1" t="s">
        <v>1263</v>
      </c>
      <c r="B540" s="1">
        <v>297</v>
      </c>
      <c r="C540" s="1" t="s">
        <v>4212</v>
      </c>
      <c r="D540" s="29" t="s">
        <v>672</v>
      </c>
      <c r="E540" s="29" t="s">
        <v>1202</v>
      </c>
      <c r="F540" s="1" t="s">
        <v>1161</v>
      </c>
      <c r="G540" s="30">
        <v>23.2622</v>
      </c>
      <c r="H540" s="30">
        <v>120.1392</v>
      </c>
      <c r="I540" s="30">
        <v>22.922000000000001</v>
      </c>
      <c r="J540" s="30">
        <v>120.544</v>
      </c>
      <c r="K540" s="30">
        <v>14.6</v>
      </c>
      <c r="L540" s="22"/>
      <c r="M540" s="22">
        <f t="shared" si="64"/>
        <v>56.083648840763502</v>
      </c>
      <c r="N540" s="22">
        <f t="shared" si="65"/>
        <v>57.952874538663508</v>
      </c>
      <c r="O540" s="22" t="str">
        <f t="shared" si="66"/>
        <v/>
      </c>
      <c r="P540" s="22" t="str">
        <f t="shared" si="67"/>
        <v/>
      </c>
      <c r="Q540" s="22">
        <f t="shared" si="68"/>
        <v>2.8976437269331754</v>
      </c>
      <c r="R540" s="29" t="str">
        <f t="shared" si="69"/>
        <v>No original Rhyp to compare</v>
      </c>
      <c r="S540" s="29" t="str">
        <f t="shared" si="70"/>
        <v/>
      </c>
      <c r="T540" s="22">
        <v>45.304400000000001</v>
      </c>
      <c r="U540" s="29" t="s">
        <v>4576</v>
      </c>
      <c r="V540" s="29" t="str">
        <f t="shared" si="71"/>
        <v>No geometric exceedance</v>
      </c>
      <c r="W540" s="30">
        <v>22.922000000000001</v>
      </c>
      <c r="X540" s="30">
        <v>120.544</v>
      </c>
      <c r="Y540" s="30">
        <v>14.6</v>
      </c>
      <c r="Z540" s="30">
        <v>57.952874538663551</v>
      </c>
      <c r="AA540" s="29" t="s">
        <v>2812</v>
      </c>
      <c r="AB540" s="29"/>
      <c r="AC540" s="39"/>
      <c r="AD540" s="39"/>
    </row>
    <row r="541" spans="1:30" ht="58" customHeight="1">
      <c r="A541" s="1" t="s">
        <v>1263</v>
      </c>
      <c r="B541" s="1">
        <v>298</v>
      </c>
      <c r="C541" s="1" t="s">
        <v>4214</v>
      </c>
      <c r="D541" s="29" t="s">
        <v>672</v>
      </c>
      <c r="E541" s="29" t="s">
        <v>1202</v>
      </c>
      <c r="F541" s="1" t="s">
        <v>1162</v>
      </c>
      <c r="G541" s="30">
        <v>23.171330000000001</v>
      </c>
      <c r="H541" s="30">
        <v>120.3272</v>
      </c>
      <c r="I541" s="30">
        <v>22.922000000000001</v>
      </c>
      <c r="J541" s="30">
        <v>120.544</v>
      </c>
      <c r="K541" s="30">
        <v>14.6</v>
      </c>
      <c r="L541" s="22"/>
      <c r="M541" s="22">
        <f t="shared" si="64"/>
        <v>35.506571250427577</v>
      </c>
      <c r="N541" s="22">
        <f t="shared" si="65"/>
        <v>38.391100556791677</v>
      </c>
      <c r="O541" s="22" t="str">
        <f t="shared" si="66"/>
        <v/>
      </c>
      <c r="P541" s="22" t="str">
        <f t="shared" si="67"/>
        <v/>
      </c>
      <c r="Q541" s="22">
        <f t="shared" si="68"/>
        <v>1.9195550278395839</v>
      </c>
      <c r="R541" s="29" t="str">
        <f t="shared" si="69"/>
        <v>No original Rhyp to compare</v>
      </c>
      <c r="S541" s="29" t="str">
        <f t="shared" si="70"/>
        <v/>
      </c>
      <c r="T541" s="22">
        <v>24.43253</v>
      </c>
      <c r="U541" s="29" t="s">
        <v>4576</v>
      </c>
      <c r="V541" s="29" t="str">
        <f t="shared" si="71"/>
        <v>No geometric exceedance</v>
      </c>
      <c r="W541" s="30">
        <v>22.922000000000001</v>
      </c>
      <c r="X541" s="30">
        <v>120.544</v>
      </c>
      <c r="Y541" s="30">
        <v>14.6</v>
      </c>
      <c r="Z541" s="30">
        <v>38.391100556791685</v>
      </c>
      <c r="AA541" s="29" t="s">
        <v>2812</v>
      </c>
      <c r="AB541" s="29"/>
      <c r="AC541" s="39"/>
      <c r="AD541" s="39"/>
    </row>
    <row r="542" spans="1:30" ht="58" customHeight="1">
      <c r="A542" s="1" t="s">
        <v>1263</v>
      </c>
      <c r="B542" s="1">
        <v>299</v>
      </c>
      <c r="C542" s="1" t="s">
        <v>4216</v>
      </c>
      <c r="D542" s="29" t="s">
        <v>672</v>
      </c>
      <c r="E542" s="29" t="s">
        <v>1202</v>
      </c>
      <c r="F542" s="1" t="s">
        <v>1208</v>
      </c>
      <c r="G542" s="30">
        <v>23.1235</v>
      </c>
      <c r="H542" s="30">
        <v>120.2458</v>
      </c>
      <c r="I542" s="30">
        <v>22.922000000000001</v>
      </c>
      <c r="J542" s="30">
        <v>120.544</v>
      </c>
      <c r="K542" s="30">
        <v>14.6</v>
      </c>
      <c r="L542" s="22"/>
      <c r="M542" s="22">
        <f t="shared" si="64"/>
        <v>37.859211353428591</v>
      </c>
      <c r="N542" s="22">
        <f t="shared" si="65"/>
        <v>40.576839259651265</v>
      </c>
      <c r="O542" s="22" t="str">
        <f t="shared" si="66"/>
        <v/>
      </c>
      <c r="P542" s="22" t="str">
        <f t="shared" si="67"/>
        <v/>
      </c>
      <c r="Q542" s="22">
        <f t="shared" si="68"/>
        <v>2.0288419629825634</v>
      </c>
      <c r="R542" s="29" t="str">
        <f t="shared" si="69"/>
        <v>No original Rhyp to compare</v>
      </c>
      <c r="S542" s="29" t="str">
        <f t="shared" si="70"/>
        <v/>
      </c>
      <c r="T542" s="22">
        <v>25.69933</v>
      </c>
      <c r="U542" s="29" t="s">
        <v>4576</v>
      </c>
      <c r="V542" s="29" t="str">
        <f t="shared" si="71"/>
        <v>No geometric exceedance</v>
      </c>
      <c r="W542" s="30">
        <v>22.922000000000001</v>
      </c>
      <c r="X542" s="30">
        <v>120.544</v>
      </c>
      <c r="Y542" s="30">
        <v>14.6</v>
      </c>
      <c r="Z542" s="30">
        <v>40.57683925965128</v>
      </c>
      <c r="AA542" s="29" t="s">
        <v>2812</v>
      </c>
      <c r="AB542" s="29"/>
      <c r="AC542" s="39"/>
      <c r="AD542" s="39"/>
    </row>
    <row r="543" spans="1:30" ht="58" customHeight="1">
      <c r="A543" s="1" t="s">
        <v>1263</v>
      </c>
      <c r="B543" s="1">
        <v>300</v>
      </c>
      <c r="C543" s="1" t="s">
        <v>4218</v>
      </c>
      <c r="D543" s="29" t="s">
        <v>672</v>
      </c>
      <c r="E543" s="29" t="s">
        <v>1202</v>
      </c>
      <c r="F543" s="1" t="s">
        <v>1209</v>
      </c>
      <c r="G543" s="30">
        <v>23.121500000000001</v>
      </c>
      <c r="H543" s="30">
        <v>120.459</v>
      </c>
      <c r="I543" s="30">
        <v>22.922000000000001</v>
      </c>
      <c r="J543" s="30">
        <v>120.544</v>
      </c>
      <c r="K543" s="30">
        <v>14.6</v>
      </c>
      <c r="L543" s="22"/>
      <c r="M543" s="22">
        <f t="shared" si="64"/>
        <v>23.827964961165538</v>
      </c>
      <c r="N543" s="22">
        <f t="shared" si="65"/>
        <v>27.945159047508255</v>
      </c>
      <c r="O543" s="22" t="str">
        <f t="shared" si="66"/>
        <v/>
      </c>
      <c r="P543" s="22" t="str">
        <f t="shared" si="67"/>
        <v/>
      </c>
      <c r="Q543" s="22">
        <f t="shared" si="68"/>
        <v>1.3972579523754129</v>
      </c>
      <c r="R543" s="29" t="str">
        <f t="shared" si="69"/>
        <v>No original Rhyp to compare</v>
      </c>
      <c r="S543" s="29" t="str">
        <f t="shared" si="70"/>
        <v/>
      </c>
      <c r="T543" s="22">
        <v>21.519100000000002</v>
      </c>
      <c r="U543" s="29" t="s">
        <v>4576</v>
      </c>
      <c r="V543" s="29" t="str">
        <f t="shared" si="71"/>
        <v>No geometric exceedance</v>
      </c>
      <c r="W543" s="30">
        <v>22.922000000000001</v>
      </c>
      <c r="X543" s="30">
        <v>120.544</v>
      </c>
      <c r="Y543" s="30">
        <v>14.6</v>
      </c>
      <c r="Z543" s="30">
        <v>27.945159047508355</v>
      </c>
      <c r="AA543" s="29" t="s">
        <v>2812</v>
      </c>
      <c r="AB543" s="29"/>
      <c r="AC543" s="39"/>
      <c r="AD543" s="39"/>
    </row>
    <row r="544" spans="1:30" ht="58" customHeight="1">
      <c r="A544" s="1" t="s">
        <v>1263</v>
      </c>
      <c r="B544" s="1">
        <v>301</v>
      </c>
      <c r="C544" s="1" t="s">
        <v>4220</v>
      </c>
      <c r="D544" s="29" t="s">
        <v>672</v>
      </c>
      <c r="E544" s="29" t="s">
        <v>1202</v>
      </c>
      <c r="F544" s="1" t="s">
        <v>1164</v>
      </c>
      <c r="G544" s="30">
        <v>23.025829999999999</v>
      </c>
      <c r="H544" s="30">
        <v>120.34950000000001</v>
      </c>
      <c r="I544" s="30">
        <v>22.922000000000001</v>
      </c>
      <c r="J544" s="30">
        <v>120.544</v>
      </c>
      <c r="K544" s="30">
        <v>14.6</v>
      </c>
      <c r="L544" s="22"/>
      <c r="M544" s="22">
        <f t="shared" si="64"/>
        <v>23.017003151186298</v>
      </c>
      <c r="N544" s="22">
        <f t="shared" si="65"/>
        <v>27.256970375698764</v>
      </c>
      <c r="O544" s="22" t="str">
        <f t="shared" si="66"/>
        <v/>
      </c>
      <c r="P544" s="22" t="str">
        <f t="shared" si="67"/>
        <v/>
      </c>
      <c r="Q544" s="22">
        <f t="shared" si="68"/>
        <v>1.3628485187849382</v>
      </c>
      <c r="R544" s="29" t="str">
        <f t="shared" si="69"/>
        <v>No original Rhyp to compare</v>
      </c>
      <c r="S544" s="29" t="str">
        <f t="shared" si="70"/>
        <v/>
      </c>
      <c r="T544" s="22">
        <v>16.82912</v>
      </c>
      <c r="U544" s="29" t="s">
        <v>4576</v>
      </c>
      <c r="V544" s="29" t="str">
        <f t="shared" si="71"/>
        <v>No geometric exceedance</v>
      </c>
      <c r="W544" s="30">
        <v>22.922000000000001</v>
      </c>
      <c r="X544" s="30">
        <v>120.544</v>
      </c>
      <c r="Y544" s="30">
        <v>14.6</v>
      </c>
      <c r="Z544" s="30">
        <v>27.256970375698746</v>
      </c>
      <c r="AA544" s="29" t="s">
        <v>2812</v>
      </c>
      <c r="AB544" s="29"/>
      <c r="AC544" s="39"/>
      <c r="AD544" s="39"/>
    </row>
    <row r="545" spans="1:30" ht="58" customHeight="1">
      <c r="A545" s="1" t="s">
        <v>1263</v>
      </c>
      <c r="B545" s="1">
        <v>302</v>
      </c>
      <c r="C545" s="1" t="s">
        <v>4222</v>
      </c>
      <c r="D545" s="29" t="s">
        <v>672</v>
      </c>
      <c r="E545" s="29" t="s">
        <v>1202</v>
      </c>
      <c r="F545" s="1" t="s">
        <v>1210</v>
      </c>
      <c r="G545" s="30">
        <v>22.904299999999999</v>
      </c>
      <c r="H545" s="30">
        <v>120.35169999999999</v>
      </c>
      <c r="I545" s="30">
        <v>22.922000000000001</v>
      </c>
      <c r="J545" s="30">
        <v>120.544</v>
      </c>
      <c r="K545" s="30">
        <v>14.6</v>
      </c>
      <c r="L545" s="22"/>
      <c r="M545" s="22">
        <f t="shared" si="64"/>
        <v>19.79369002833997</v>
      </c>
      <c r="N545" s="22">
        <f t="shared" si="65"/>
        <v>24.595734689941775</v>
      </c>
      <c r="O545" s="22" t="str">
        <f t="shared" si="66"/>
        <v/>
      </c>
      <c r="P545" s="22" t="str">
        <f t="shared" si="67"/>
        <v/>
      </c>
      <c r="Q545" s="22">
        <f t="shared" si="68"/>
        <v>1.2297867344970888</v>
      </c>
      <c r="R545" s="29" t="str">
        <f t="shared" si="69"/>
        <v>No original Rhyp to compare</v>
      </c>
      <c r="S545" s="29" t="str">
        <f t="shared" si="70"/>
        <v/>
      </c>
      <c r="T545" s="22">
        <v>14.825100000000001</v>
      </c>
      <c r="U545" s="29" t="s">
        <v>4576</v>
      </c>
      <c r="V545" s="29" t="str">
        <f t="shared" si="71"/>
        <v>No geometric exceedance</v>
      </c>
      <c r="W545" s="30">
        <v>22.922000000000001</v>
      </c>
      <c r="X545" s="30">
        <v>120.544</v>
      </c>
      <c r="Y545" s="30">
        <v>14.6</v>
      </c>
      <c r="Z545" s="30">
        <v>24.595734689941775</v>
      </c>
      <c r="AA545" s="29" t="s">
        <v>2812</v>
      </c>
      <c r="AB545" s="29"/>
      <c r="AC545" s="39"/>
      <c r="AD545" s="39"/>
    </row>
    <row r="546" spans="1:30" ht="58" customHeight="1">
      <c r="A546" s="1" t="s">
        <v>1263</v>
      </c>
      <c r="B546" s="1">
        <v>303</v>
      </c>
      <c r="C546" s="1" t="s">
        <v>4224</v>
      </c>
      <c r="D546" s="29" t="s">
        <v>672</v>
      </c>
      <c r="E546" s="29" t="s">
        <v>1202</v>
      </c>
      <c r="F546" s="1" t="s">
        <v>1211</v>
      </c>
      <c r="G546" s="30">
        <v>22.997330000000002</v>
      </c>
      <c r="H546" s="30">
        <v>120.1923</v>
      </c>
      <c r="I546" s="30">
        <v>22.922000000000001</v>
      </c>
      <c r="J546" s="30">
        <v>120.544</v>
      </c>
      <c r="K546" s="30">
        <v>14.6</v>
      </c>
      <c r="L546" s="22"/>
      <c r="M546" s="22">
        <f t="shared" si="64"/>
        <v>36.97055346312758</v>
      </c>
      <c r="N546" s="22">
        <f t="shared" si="65"/>
        <v>39.748985186668286</v>
      </c>
      <c r="O546" s="22" t="str">
        <f t="shared" si="66"/>
        <v/>
      </c>
      <c r="P546" s="22" t="str">
        <f t="shared" si="67"/>
        <v/>
      </c>
      <c r="Q546" s="22">
        <f t="shared" si="68"/>
        <v>1.9874492593334143</v>
      </c>
      <c r="R546" s="29" t="str">
        <f t="shared" si="69"/>
        <v>No original Rhyp to compare</v>
      </c>
      <c r="S546" s="29" t="str">
        <f t="shared" si="70"/>
        <v/>
      </c>
      <c r="T546" s="22">
        <v>23.507909999999999</v>
      </c>
      <c r="U546" s="29" t="s">
        <v>4576</v>
      </c>
      <c r="V546" s="29" t="str">
        <f t="shared" si="71"/>
        <v>No geometric exceedance</v>
      </c>
      <c r="W546" s="30">
        <v>22.922000000000001</v>
      </c>
      <c r="X546" s="30">
        <v>120.544</v>
      </c>
      <c r="Y546" s="30">
        <v>14.6</v>
      </c>
      <c r="Z546" s="30">
        <v>39.748985186668321</v>
      </c>
      <c r="AA546" s="29" t="s">
        <v>2812</v>
      </c>
      <c r="AB546" s="29"/>
      <c r="AC546" s="39"/>
      <c r="AD546" s="39"/>
    </row>
    <row r="547" spans="1:30" ht="58" customHeight="1">
      <c r="A547" s="1" t="s">
        <v>1263</v>
      </c>
      <c r="B547" s="1">
        <v>304</v>
      </c>
      <c r="C547" s="1" t="s">
        <v>4226</v>
      </c>
      <c r="D547" s="29" t="s">
        <v>672</v>
      </c>
      <c r="E547" s="29" t="s">
        <v>1202</v>
      </c>
      <c r="F547" s="1" t="s">
        <v>1212</v>
      </c>
      <c r="G547" s="30">
        <v>22.986170000000001</v>
      </c>
      <c r="H547" s="30">
        <v>120.20950000000001</v>
      </c>
      <c r="I547" s="30">
        <v>22.922000000000001</v>
      </c>
      <c r="J547" s="30">
        <v>120.544</v>
      </c>
      <c r="K547" s="30">
        <v>14.6</v>
      </c>
      <c r="L547" s="22"/>
      <c r="M547" s="22">
        <f t="shared" si="64"/>
        <v>34.984909883404981</v>
      </c>
      <c r="N547" s="22">
        <f t="shared" si="65"/>
        <v>37.909153506112055</v>
      </c>
      <c r="O547" s="22" t="str">
        <f t="shared" si="66"/>
        <v/>
      </c>
      <c r="P547" s="22" t="str">
        <f t="shared" si="67"/>
        <v/>
      </c>
      <c r="Q547" s="22">
        <f t="shared" si="68"/>
        <v>1.8954576753056029</v>
      </c>
      <c r="R547" s="29" t="str">
        <f t="shared" si="69"/>
        <v>No original Rhyp to compare</v>
      </c>
      <c r="S547" s="29" t="str">
        <f t="shared" si="70"/>
        <v/>
      </c>
      <c r="T547" s="22">
        <v>21.731729999999999</v>
      </c>
      <c r="U547" s="29" t="s">
        <v>4576</v>
      </c>
      <c r="V547" s="29" t="str">
        <f t="shared" si="71"/>
        <v>No geometric exceedance</v>
      </c>
      <c r="W547" s="30">
        <v>22.922000000000001</v>
      </c>
      <c r="X547" s="30">
        <v>120.544</v>
      </c>
      <c r="Y547" s="30">
        <v>14.6</v>
      </c>
      <c r="Z547" s="30">
        <v>37.909153506112098</v>
      </c>
      <c r="AA547" s="29" t="s">
        <v>2812</v>
      </c>
      <c r="AB547" s="29"/>
      <c r="AC547" s="39"/>
      <c r="AD547" s="39"/>
    </row>
    <row r="548" spans="1:30" ht="58" customHeight="1">
      <c r="A548" s="1" t="s">
        <v>1263</v>
      </c>
      <c r="B548" s="1">
        <v>305</v>
      </c>
      <c r="C548" s="1" t="s">
        <v>4228</v>
      </c>
      <c r="D548" s="29" t="s">
        <v>672</v>
      </c>
      <c r="E548" s="29" t="s">
        <v>1202</v>
      </c>
      <c r="F548" s="1" t="s">
        <v>1213</v>
      </c>
      <c r="G548" s="30">
        <v>22.97317</v>
      </c>
      <c r="H548" s="30">
        <v>120.1897</v>
      </c>
      <c r="I548" s="30">
        <v>22.922000000000001</v>
      </c>
      <c r="J548" s="30">
        <v>120.544</v>
      </c>
      <c r="K548" s="30">
        <v>14.6</v>
      </c>
      <c r="L548" s="22"/>
      <c r="M548" s="22">
        <f t="shared" si="64"/>
        <v>36.72207901345481</v>
      </c>
      <c r="N548" s="22">
        <f t="shared" si="65"/>
        <v>39.517984349792165</v>
      </c>
      <c r="O548" s="22" t="str">
        <f t="shared" si="66"/>
        <v/>
      </c>
      <c r="P548" s="22" t="str">
        <f t="shared" si="67"/>
        <v/>
      </c>
      <c r="Q548" s="22">
        <f t="shared" si="68"/>
        <v>1.9758992174896084</v>
      </c>
      <c r="R548" s="29" t="str">
        <f t="shared" si="69"/>
        <v>No original Rhyp to compare</v>
      </c>
      <c r="S548" s="29" t="str">
        <f t="shared" si="70"/>
        <v/>
      </c>
      <c r="T548" s="22">
        <v>22.678290000000001</v>
      </c>
      <c r="U548" s="29" t="s">
        <v>4576</v>
      </c>
      <c r="V548" s="29" t="str">
        <f t="shared" si="71"/>
        <v>No geometric exceedance</v>
      </c>
      <c r="W548" s="30">
        <v>22.922000000000001</v>
      </c>
      <c r="X548" s="30">
        <v>120.544</v>
      </c>
      <c r="Y548" s="30">
        <v>14.6</v>
      </c>
      <c r="Z548" s="30">
        <v>39.517984349792151</v>
      </c>
      <c r="AA548" s="29" t="s">
        <v>2812</v>
      </c>
      <c r="AB548" s="29"/>
      <c r="AC548" s="39"/>
      <c r="AD548" s="39"/>
    </row>
    <row r="549" spans="1:30" ht="58" customHeight="1">
      <c r="A549" s="1" t="s">
        <v>1263</v>
      </c>
      <c r="B549" s="1">
        <v>306</v>
      </c>
      <c r="C549" s="1" t="s">
        <v>4230</v>
      </c>
      <c r="D549" s="29" t="s">
        <v>672</v>
      </c>
      <c r="E549" s="29" t="s">
        <v>1202</v>
      </c>
      <c r="F549" s="1" t="s">
        <v>1214</v>
      </c>
      <c r="G549" s="30">
        <v>22.963830000000002</v>
      </c>
      <c r="H549" s="30">
        <v>120.2363</v>
      </c>
      <c r="I549" s="30">
        <v>22.922000000000001</v>
      </c>
      <c r="J549" s="30">
        <v>120.544</v>
      </c>
      <c r="K549" s="30">
        <v>14.6</v>
      </c>
      <c r="L549" s="22"/>
      <c r="M549" s="22">
        <f t="shared" si="64"/>
        <v>31.849540622793842</v>
      </c>
      <c r="N549" s="22">
        <f t="shared" si="65"/>
        <v>35.036455840780974</v>
      </c>
      <c r="O549" s="22" t="str">
        <f t="shared" si="66"/>
        <v/>
      </c>
      <c r="P549" s="22" t="str">
        <f t="shared" si="67"/>
        <v/>
      </c>
      <c r="Q549" s="22">
        <f t="shared" si="68"/>
        <v>1.7518227920390488</v>
      </c>
      <c r="R549" s="29" t="str">
        <f t="shared" si="69"/>
        <v>No original Rhyp to compare</v>
      </c>
      <c r="S549" s="29" t="str">
        <f t="shared" si="70"/>
        <v/>
      </c>
      <c r="T549" s="22">
        <v>18.817440000000001</v>
      </c>
      <c r="U549" s="29" t="s">
        <v>4576</v>
      </c>
      <c r="V549" s="29" t="str">
        <f t="shared" si="71"/>
        <v>No geometric exceedance</v>
      </c>
      <c r="W549" s="30">
        <v>22.922000000000001</v>
      </c>
      <c r="X549" s="30">
        <v>120.544</v>
      </c>
      <c r="Y549" s="30">
        <v>14.6</v>
      </c>
      <c r="Z549" s="30">
        <v>35.03645584078096</v>
      </c>
      <c r="AA549" s="29" t="s">
        <v>2812</v>
      </c>
      <c r="AB549" s="29"/>
      <c r="AC549" s="39"/>
      <c r="AD549" s="39"/>
    </row>
    <row r="550" spans="1:30" ht="58" customHeight="1">
      <c r="A550" s="1" t="s">
        <v>1263</v>
      </c>
      <c r="B550" s="1">
        <v>307</v>
      </c>
      <c r="C550" s="1" t="s">
        <v>4232</v>
      </c>
      <c r="D550" s="29" t="s">
        <v>672</v>
      </c>
      <c r="E550" s="29" t="s">
        <v>1202</v>
      </c>
      <c r="F550" s="1" t="s">
        <v>1215</v>
      </c>
      <c r="G550" s="30">
        <v>23.062999999999999</v>
      </c>
      <c r="H550" s="30">
        <v>120.1728</v>
      </c>
      <c r="I550" s="30">
        <v>22.922000000000001</v>
      </c>
      <c r="J550" s="30">
        <v>120.544</v>
      </c>
      <c r="K550" s="30">
        <v>14.6</v>
      </c>
      <c r="L550" s="22"/>
      <c r="M550" s="22">
        <f t="shared" si="64"/>
        <v>41.104063615369164</v>
      </c>
      <c r="N550" s="22">
        <f t="shared" si="65"/>
        <v>43.619995938747117</v>
      </c>
      <c r="O550" s="22" t="str">
        <f t="shared" si="66"/>
        <v/>
      </c>
      <c r="P550" s="22" t="str">
        <f t="shared" si="67"/>
        <v/>
      </c>
      <c r="Q550" s="22">
        <f t="shared" si="68"/>
        <v>2.180999796937356</v>
      </c>
      <c r="R550" s="29" t="str">
        <f t="shared" si="69"/>
        <v>No original Rhyp to compare</v>
      </c>
      <c r="S550" s="29" t="str">
        <f t="shared" si="70"/>
        <v/>
      </c>
      <c r="T550" s="22">
        <v>27.834620000000001</v>
      </c>
      <c r="U550" s="29" t="s">
        <v>4576</v>
      </c>
      <c r="V550" s="29" t="str">
        <f t="shared" si="71"/>
        <v>No geometric exceedance</v>
      </c>
      <c r="W550" s="30">
        <v>22.922000000000001</v>
      </c>
      <c r="X550" s="30">
        <v>120.544</v>
      </c>
      <c r="Y550" s="30">
        <v>14.6</v>
      </c>
      <c r="Z550" s="30">
        <v>43.619995938747124</v>
      </c>
      <c r="AA550" s="29" t="s">
        <v>2812</v>
      </c>
      <c r="AB550" s="29"/>
      <c r="AC550" s="39"/>
      <c r="AD550" s="39"/>
    </row>
    <row r="551" spans="1:30" ht="58" customHeight="1">
      <c r="A551" s="1" t="s">
        <v>1263</v>
      </c>
      <c r="B551" s="1">
        <v>308</v>
      </c>
      <c r="C551" s="1" t="s">
        <v>4234</v>
      </c>
      <c r="D551" s="29" t="s">
        <v>672</v>
      </c>
      <c r="E551" s="29" t="s">
        <v>1202</v>
      </c>
      <c r="F551" s="1" t="s">
        <v>915</v>
      </c>
      <c r="G551" s="30">
        <v>23.597169999999998</v>
      </c>
      <c r="H551" s="30">
        <v>120.6768</v>
      </c>
      <c r="I551" s="30">
        <v>22.922000000000001</v>
      </c>
      <c r="J551" s="30">
        <v>120.544</v>
      </c>
      <c r="K551" s="30">
        <v>14.6</v>
      </c>
      <c r="L551" s="22"/>
      <c r="M551" s="22">
        <f t="shared" si="64"/>
        <v>76.291380906100287</v>
      </c>
      <c r="N551" s="22">
        <f t="shared" si="65"/>
        <v>77.67583150864678</v>
      </c>
      <c r="O551" s="22" t="str">
        <f t="shared" si="66"/>
        <v/>
      </c>
      <c r="P551" s="22" t="str">
        <f t="shared" si="67"/>
        <v/>
      </c>
      <c r="Q551" s="22">
        <f t="shared" si="68"/>
        <v>3.8837915754323391</v>
      </c>
      <c r="R551" s="29" t="str">
        <f t="shared" si="69"/>
        <v>No original Rhyp to compare</v>
      </c>
      <c r="S551" s="29" t="str">
        <f t="shared" si="70"/>
        <v/>
      </c>
      <c r="T551" s="22">
        <v>65.91619</v>
      </c>
      <c r="U551" s="29" t="s">
        <v>4576</v>
      </c>
      <c r="V551" s="29" t="str">
        <f t="shared" si="71"/>
        <v>No geometric exceedance</v>
      </c>
      <c r="W551" s="30">
        <v>22.922000000000001</v>
      </c>
      <c r="X551" s="30">
        <v>120.544</v>
      </c>
      <c r="Y551" s="30">
        <v>14.6</v>
      </c>
      <c r="Z551" s="30">
        <v>77.675831508646695</v>
      </c>
      <c r="AA551" s="29" t="s">
        <v>2812</v>
      </c>
      <c r="AB551" s="29"/>
      <c r="AC551" s="39"/>
      <c r="AD551" s="39"/>
    </row>
    <row r="552" spans="1:30" ht="58" customHeight="1">
      <c r="A552" s="1" t="s">
        <v>1263</v>
      </c>
      <c r="B552" s="1">
        <v>309</v>
      </c>
      <c r="C552" s="1" t="s">
        <v>4236</v>
      </c>
      <c r="D552" s="29" t="s">
        <v>672</v>
      </c>
      <c r="E552" s="29" t="s">
        <v>1202</v>
      </c>
      <c r="F552" s="1" t="s">
        <v>1216</v>
      </c>
      <c r="G552" s="30">
        <v>22.99333</v>
      </c>
      <c r="H552" s="30">
        <v>120.2047</v>
      </c>
      <c r="I552" s="30">
        <v>22.922000000000001</v>
      </c>
      <c r="J552" s="30">
        <v>120.544</v>
      </c>
      <c r="K552" s="30">
        <v>14.6</v>
      </c>
      <c r="L552" s="22"/>
      <c r="M552" s="22">
        <f t="shared" si="64"/>
        <v>35.634008654167239</v>
      </c>
      <c r="N552" s="22">
        <f t="shared" si="65"/>
        <v>38.50899340109094</v>
      </c>
      <c r="O552" s="22" t="str">
        <f t="shared" si="66"/>
        <v/>
      </c>
      <c r="P552" s="22" t="str">
        <f t="shared" si="67"/>
        <v/>
      </c>
      <c r="Q552" s="22">
        <f t="shared" si="68"/>
        <v>1.9254496700545471</v>
      </c>
      <c r="R552" s="29" t="str">
        <f t="shared" si="69"/>
        <v>No original Rhyp to compare</v>
      </c>
      <c r="S552" s="29" t="str">
        <f t="shared" si="70"/>
        <v/>
      </c>
      <c r="T552" s="22">
        <v>22.399249999999999</v>
      </c>
      <c r="U552" s="29" t="s">
        <v>4576</v>
      </c>
      <c r="V552" s="29" t="str">
        <f t="shared" si="71"/>
        <v>No geometric exceedance</v>
      </c>
      <c r="W552" s="30">
        <v>22.922000000000001</v>
      </c>
      <c r="X552" s="30">
        <v>120.544</v>
      </c>
      <c r="Y552" s="30">
        <v>14.6</v>
      </c>
      <c r="Z552" s="30">
        <v>38.508993401090954</v>
      </c>
      <c r="AA552" s="29" t="s">
        <v>2812</v>
      </c>
      <c r="AB552" s="29"/>
      <c r="AC552" s="39"/>
      <c r="AD552" s="39"/>
    </row>
    <row r="553" spans="1:30" ht="58" customHeight="1">
      <c r="A553" s="1" t="s">
        <v>1263</v>
      </c>
      <c r="B553" s="1">
        <v>310</v>
      </c>
      <c r="C553" s="1" t="s">
        <v>4238</v>
      </c>
      <c r="D553" s="29" t="s">
        <v>672</v>
      </c>
      <c r="E553" s="29" t="s">
        <v>1202</v>
      </c>
      <c r="F553" s="1" t="s">
        <v>1165</v>
      </c>
      <c r="G553" s="30">
        <v>23.075330000000001</v>
      </c>
      <c r="H553" s="30">
        <v>120.364</v>
      </c>
      <c r="I553" s="30">
        <v>22.922000000000001</v>
      </c>
      <c r="J553" s="30">
        <v>120.544</v>
      </c>
      <c r="K553" s="30">
        <v>14.6</v>
      </c>
      <c r="L553" s="22"/>
      <c r="M553" s="22">
        <f t="shared" si="64"/>
        <v>25.102502531531378</v>
      </c>
      <c r="N553" s="22">
        <f t="shared" si="65"/>
        <v>29.039552912287395</v>
      </c>
      <c r="O553" s="22" t="str">
        <f t="shared" si="66"/>
        <v/>
      </c>
      <c r="P553" s="22" t="str">
        <f t="shared" si="67"/>
        <v/>
      </c>
      <c r="Q553" s="22">
        <f t="shared" si="68"/>
        <v>1.4519776456143698</v>
      </c>
      <c r="R553" s="29" t="str">
        <f t="shared" si="69"/>
        <v>No original Rhyp to compare</v>
      </c>
      <c r="S553" s="29" t="str">
        <f t="shared" si="70"/>
        <v/>
      </c>
      <c r="T553" s="22">
        <v>19.013269999999999</v>
      </c>
      <c r="U553" s="29" t="s">
        <v>4576</v>
      </c>
      <c r="V553" s="29" t="str">
        <f t="shared" si="71"/>
        <v>No geometric exceedance</v>
      </c>
      <c r="W553" s="30">
        <v>22.922000000000001</v>
      </c>
      <c r="X553" s="30">
        <v>120.544</v>
      </c>
      <c r="Y553" s="30">
        <v>14.6</v>
      </c>
      <c r="Z553" s="30">
        <v>29.039552912287338</v>
      </c>
      <c r="AA553" s="29" t="s">
        <v>2812</v>
      </c>
      <c r="AB553" s="29"/>
      <c r="AC553" s="39"/>
      <c r="AD553" s="39"/>
    </row>
    <row r="554" spans="1:30" ht="58" customHeight="1">
      <c r="A554" s="1" t="s">
        <v>1263</v>
      </c>
      <c r="B554" s="1">
        <v>311</v>
      </c>
      <c r="C554" s="1" t="s">
        <v>4240</v>
      </c>
      <c r="D554" s="29" t="s">
        <v>672</v>
      </c>
      <c r="E554" s="29" t="s">
        <v>1202</v>
      </c>
      <c r="F554" s="1" t="s">
        <v>1217</v>
      </c>
      <c r="G554" s="30">
        <v>23.009</v>
      </c>
      <c r="H554" s="30">
        <v>120.2115</v>
      </c>
      <c r="I554" s="30">
        <v>22.922000000000001</v>
      </c>
      <c r="J554" s="30">
        <v>120.544</v>
      </c>
      <c r="K554" s="30">
        <v>14.6</v>
      </c>
      <c r="L554" s="22"/>
      <c r="M554" s="22">
        <f t="shared" si="64"/>
        <v>35.38975344028465</v>
      </c>
      <c r="N554" s="22">
        <f t="shared" si="65"/>
        <v>38.283085671927481</v>
      </c>
      <c r="O554" s="22" t="str">
        <f t="shared" si="66"/>
        <v/>
      </c>
      <c r="P554" s="22" t="str">
        <f t="shared" si="67"/>
        <v/>
      </c>
      <c r="Q554" s="22">
        <f t="shared" si="68"/>
        <v>1.9141542835963741</v>
      </c>
      <c r="R554" s="29" t="str">
        <f t="shared" si="69"/>
        <v>No original Rhyp to compare</v>
      </c>
      <c r="S554" s="29" t="str">
        <f t="shared" si="70"/>
        <v/>
      </c>
      <c r="T554" s="22">
        <v>22.59815</v>
      </c>
      <c r="U554" s="29" t="s">
        <v>4576</v>
      </c>
      <c r="V554" s="29" t="str">
        <f t="shared" si="71"/>
        <v>No geometric exceedance</v>
      </c>
      <c r="W554" s="30">
        <v>22.922000000000001</v>
      </c>
      <c r="X554" s="30">
        <v>120.544</v>
      </c>
      <c r="Y554" s="30">
        <v>14.6</v>
      </c>
      <c r="Z554" s="30">
        <v>38.283085671927459</v>
      </c>
      <c r="AA554" s="29" t="s">
        <v>2812</v>
      </c>
      <c r="AB554" s="29"/>
      <c r="AC554" s="39"/>
      <c r="AD554" s="39"/>
    </row>
    <row r="555" spans="1:30" ht="58" customHeight="1">
      <c r="A555" s="1" t="s">
        <v>1263</v>
      </c>
      <c r="B555" s="1">
        <v>312</v>
      </c>
      <c r="C555" s="1" t="s">
        <v>4242</v>
      </c>
      <c r="D555" s="29" t="s">
        <v>672</v>
      </c>
      <c r="E555" s="29" t="s">
        <v>1202</v>
      </c>
      <c r="F555" s="1" t="s">
        <v>1218</v>
      </c>
      <c r="G555" s="30">
        <v>23.00067</v>
      </c>
      <c r="H555" s="30">
        <v>120.1662</v>
      </c>
      <c r="I555" s="30">
        <v>22.922000000000001</v>
      </c>
      <c r="J555" s="30">
        <v>120.544</v>
      </c>
      <c r="K555" s="30">
        <v>14.6</v>
      </c>
      <c r="L555" s="22"/>
      <c r="M555" s="22">
        <f t="shared" si="64"/>
        <v>39.657763112153376</v>
      </c>
      <c r="N555" s="22">
        <f t="shared" si="65"/>
        <v>42.259888488490752</v>
      </c>
      <c r="O555" s="22" t="str">
        <f t="shared" si="66"/>
        <v/>
      </c>
      <c r="P555" s="22" t="str">
        <f t="shared" si="67"/>
        <v/>
      </c>
      <c r="Q555" s="22">
        <f t="shared" si="68"/>
        <v>2.1129944244245378</v>
      </c>
      <c r="R555" s="29" t="str">
        <f t="shared" si="69"/>
        <v>No original Rhyp to compare</v>
      </c>
      <c r="S555" s="29" t="str">
        <f t="shared" si="70"/>
        <v/>
      </c>
      <c r="T555" s="22">
        <v>25.701509999999999</v>
      </c>
      <c r="U555" s="29" t="s">
        <v>4576</v>
      </c>
      <c r="V555" s="29" t="str">
        <f t="shared" si="71"/>
        <v>No geometric exceedance</v>
      </c>
      <c r="W555" s="30">
        <v>22.922000000000001</v>
      </c>
      <c r="X555" s="30">
        <v>120.544</v>
      </c>
      <c r="Y555" s="30">
        <v>14.6</v>
      </c>
      <c r="Z555" s="30">
        <v>42.259888488490766</v>
      </c>
      <c r="AA555" s="29" t="s">
        <v>2812</v>
      </c>
      <c r="AB555" s="29"/>
      <c r="AC555" s="39"/>
      <c r="AD555" s="39"/>
    </row>
    <row r="556" spans="1:30" ht="58" customHeight="1">
      <c r="A556" s="1" t="s">
        <v>1263</v>
      </c>
      <c r="B556" s="1">
        <v>313</v>
      </c>
      <c r="C556" s="1" t="s">
        <v>4244</v>
      </c>
      <c r="D556" s="29" t="s">
        <v>672</v>
      </c>
      <c r="E556" s="29" t="s">
        <v>1202</v>
      </c>
      <c r="F556" s="1" t="s">
        <v>1219</v>
      </c>
      <c r="G556" s="30">
        <v>23.554670000000002</v>
      </c>
      <c r="H556" s="30">
        <v>120.34529999999999</v>
      </c>
      <c r="I556" s="30">
        <v>22.922000000000001</v>
      </c>
      <c r="J556" s="30">
        <v>120.544</v>
      </c>
      <c r="K556" s="30">
        <v>14.6</v>
      </c>
      <c r="L556" s="22"/>
      <c r="M556" s="22">
        <f t="shared" si="64"/>
        <v>73.22050180909072</v>
      </c>
      <c r="N556" s="22">
        <f t="shared" si="65"/>
        <v>74.661917234792853</v>
      </c>
      <c r="O556" s="22" t="str">
        <f t="shared" si="66"/>
        <v/>
      </c>
      <c r="P556" s="22" t="str">
        <f t="shared" si="67"/>
        <v/>
      </c>
      <c r="Q556" s="22">
        <f t="shared" si="68"/>
        <v>3.7330958617396428</v>
      </c>
      <c r="R556" s="29" t="str">
        <f t="shared" si="69"/>
        <v>No original Rhyp to compare</v>
      </c>
      <c r="S556" s="29" t="str">
        <f t="shared" si="70"/>
        <v/>
      </c>
      <c r="T556" s="22">
        <v>57.583329999999997</v>
      </c>
      <c r="U556" s="29" t="s">
        <v>4576</v>
      </c>
      <c r="V556" s="29" t="str">
        <f t="shared" si="71"/>
        <v>No geometric exceedance</v>
      </c>
      <c r="W556" s="30">
        <v>22.922000000000001</v>
      </c>
      <c r="X556" s="30">
        <v>120.544</v>
      </c>
      <c r="Y556" s="30">
        <v>14.6</v>
      </c>
      <c r="Z556" s="30">
        <v>74.661917234793066</v>
      </c>
      <c r="AA556" s="29" t="s">
        <v>2812</v>
      </c>
      <c r="AB556" s="29"/>
      <c r="AC556" s="39"/>
      <c r="AD556" s="39"/>
    </row>
    <row r="557" spans="1:30" ht="58" customHeight="1">
      <c r="A557" s="1" t="s">
        <v>1263</v>
      </c>
      <c r="B557" s="1">
        <v>314</v>
      </c>
      <c r="C557" s="1" t="s">
        <v>4246</v>
      </c>
      <c r="D557" s="29" t="s">
        <v>672</v>
      </c>
      <c r="E557" s="29" t="s">
        <v>1202</v>
      </c>
      <c r="F557" s="1" t="s">
        <v>1166</v>
      </c>
      <c r="G557" s="30">
        <v>23.29767</v>
      </c>
      <c r="H557" s="30">
        <v>120.2992</v>
      </c>
      <c r="I557" s="30">
        <v>22.922000000000001</v>
      </c>
      <c r="J557" s="30">
        <v>120.544</v>
      </c>
      <c r="K557" s="30">
        <v>14.6</v>
      </c>
      <c r="L557" s="22"/>
      <c r="M557" s="22">
        <f t="shared" si="64"/>
        <v>48.70068630620424</v>
      </c>
      <c r="N557" s="22">
        <f t="shared" si="65"/>
        <v>50.842077521432081</v>
      </c>
      <c r="O557" s="22" t="str">
        <f t="shared" si="66"/>
        <v/>
      </c>
      <c r="P557" s="22" t="str">
        <f t="shared" si="67"/>
        <v/>
      </c>
      <c r="Q557" s="22">
        <f t="shared" si="68"/>
        <v>2.5421038760716042</v>
      </c>
      <c r="R557" s="29" t="str">
        <f t="shared" si="69"/>
        <v>No original Rhyp to compare</v>
      </c>
      <c r="S557" s="29" t="str">
        <f t="shared" si="70"/>
        <v/>
      </c>
      <c r="T557" s="22">
        <v>33.885559999999998</v>
      </c>
      <c r="U557" s="29" t="s">
        <v>4576</v>
      </c>
      <c r="V557" s="29" t="str">
        <f t="shared" si="71"/>
        <v>No geometric exceedance</v>
      </c>
      <c r="W557" s="30">
        <v>22.922000000000001</v>
      </c>
      <c r="X557" s="30">
        <v>120.544</v>
      </c>
      <c r="Y557" s="30">
        <v>14.6</v>
      </c>
      <c r="Z557" s="30">
        <v>50.842077521432003</v>
      </c>
      <c r="AA557" s="29" t="s">
        <v>2812</v>
      </c>
      <c r="AB557" s="29"/>
      <c r="AC557" s="39"/>
      <c r="AD557" s="39"/>
    </row>
    <row r="558" spans="1:30" ht="58" customHeight="1">
      <c r="A558" s="1" t="s">
        <v>1263</v>
      </c>
      <c r="B558" s="1">
        <v>315</v>
      </c>
      <c r="C558" s="1" t="s">
        <v>4249</v>
      </c>
      <c r="D558" s="29" t="s">
        <v>672</v>
      </c>
      <c r="E558" s="29" t="s">
        <v>1202</v>
      </c>
      <c r="F558" s="1" t="s">
        <v>1168</v>
      </c>
      <c r="G558" s="30">
        <v>23.146999999999998</v>
      </c>
      <c r="H558" s="30">
        <v>120.08580000000001</v>
      </c>
      <c r="I558" s="30">
        <v>22.922000000000001</v>
      </c>
      <c r="J558" s="30">
        <v>120.544</v>
      </c>
      <c r="K558" s="30">
        <v>14.6</v>
      </c>
      <c r="L558" s="22"/>
      <c r="M558" s="22">
        <f t="shared" si="64"/>
        <v>53.144653631752412</v>
      </c>
      <c r="N558" s="22">
        <f t="shared" si="65"/>
        <v>55.113648124933036</v>
      </c>
      <c r="O558" s="22" t="str">
        <f t="shared" si="66"/>
        <v/>
      </c>
      <c r="P558" s="22" t="str">
        <f t="shared" si="67"/>
        <v/>
      </c>
      <c r="Q558" s="22">
        <f t="shared" si="68"/>
        <v>2.7556824062466521</v>
      </c>
      <c r="R558" s="29" t="str">
        <f t="shared" si="69"/>
        <v>No original Rhyp to compare</v>
      </c>
      <c r="S558" s="29" t="str">
        <f t="shared" si="70"/>
        <v/>
      </c>
      <c r="T558" s="22">
        <v>38.260629999999999</v>
      </c>
      <c r="U558" s="29" t="s">
        <v>4576</v>
      </c>
      <c r="V558" s="29" t="str">
        <f t="shared" si="71"/>
        <v>No geometric exceedance</v>
      </c>
      <c r="W558" s="30">
        <v>22.922000000000001</v>
      </c>
      <c r="X558" s="30">
        <v>120.544</v>
      </c>
      <c r="Y558" s="30">
        <v>14.6</v>
      </c>
      <c r="Z558" s="30">
        <v>55.113648124933093</v>
      </c>
      <c r="AA558" s="29" t="s">
        <v>2812</v>
      </c>
      <c r="AB558" s="29"/>
      <c r="AC558" s="39"/>
      <c r="AD558" s="39"/>
    </row>
    <row r="559" spans="1:30" ht="58" customHeight="1">
      <c r="A559" s="1" t="s">
        <v>1263</v>
      </c>
      <c r="B559" s="1">
        <v>316</v>
      </c>
      <c r="C559" s="1" t="s">
        <v>4251</v>
      </c>
      <c r="D559" s="29" t="s">
        <v>672</v>
      </c>
      <c r="E559" s="29" t="s">
        <v>1202</v>
      </c>
      <c r="F559" s="1" t="s">
        <v>1220</v>
      </c>
      <c r="G559" s="30">
        <v>23.076830000000001</v>
      </c>
      <c r="H559" s="30">
        <v>120.1168</v>
      </c>
      <c r="I559" s="30">
        <v>22.922000000000001</v>
      </c>
      <c r="J559" s="30">
        <v>120.544</v>
      </c>
      <c r="K559" s="30">
        <v>14.6</v>
      </c>
      <c r="L559" s="22"/>
      <c r="M559" s="22">
        <f t="shared" si="64"/>
        <v>46.993619721824132</v>
      </c>
      <c r="N559" s="22">
        <f t="shared" si="65"/>
        <v>49.209351698223152</v>
      </c>
      <c r="O559" s="22" t="str">
        <f t="shared" si="66"/>
        <v/>
      </c>
      <c r="P559" s="22" t="str">
        <f t="shared" si="67"/>
        <v/>
      </c>
      <c r="Q559" s="22">
        <f t="shared" si="68"/>
        <v>2.4604675849111577</v>
      </c>
      <c r="R559" s="29" t="str">
        <f t="shared" si="69"/>
        <v>No original Rhyp to compare</v>
      </c>
      <c r="S559" s="29" t="str">
        <f t="shared" si="70"/>
        <v/>
      </c>
      <c r="T559" s="22">
        <v>32.853389999999997</v>
      </c>
      <c r="U559" s="29" t="s">
        <v>4576</v>
      </c>
      <c r="V559" s="29" t="str">
        <f t="shared" si="71"/>
        <v>No geometric exceedance</v>
      </c>
      <c r="W559" s="30">
        <v>22.922000000000001</v>
      </c>
      <c r="X559" s="30">
        <v>120.544</v>
      </c>
      <c r="Y559" s="30">
        <v>14.6</v>
      </c>
      <c r="Z559" s="30">
        <v>49.209351698223202</v>
      </c>
      <c r="AA559" s="29" t="s">
        <v>2812</v>
      </c>
      <c r="AB559" s="29"/>
      <c r="AC559" s="39"/>
      <c r="AD559" s="39"/>
    </row>
    <row r="560" spans="1:30" ht="58" customHeight="1">
      <c r="A560" s="1" t="s">
        <v>1263</v>
      </c>
      <c r="B560" s="1">
        <v>317</v>
      </c>
      <c r="C560" s="1" t="s">
        <v>4253</v>
      </c>
      <c r="D560" s="29" t="s">
        <v>672</v>
      </c>
      <c r="E560" s="29" t="s">
        <v>1202</v>
      </c>
      <c r="F560" s="1" t="s">
        <v>1221</v>
      </c>
      <c r="G560" s="30">
        <v>22.992170000000002</v>
      </c>
      <c r="H560" s="30">
        <v>120.16679999999999</v>
      </c>
      <c r="I560" s="30">
        <v>22.922000000000001</v>
      </c>
      <c r="J560" s="30">
        <v>120.544</v>
      </c>
      <c r="K560" s="30">
        <v>14.6</v>
      </c>
      <c r="L560" s="22"/>
      <c r="M560" s="22">
        <f t="shared" si="64"/>
        <v>39.401025012253257</v>
      </c>
      <c r="N560" s="22">
        <f t="shared" si="65"/>
        <v>42.019052488320185</v>
      </c>
      <c r="O560" s="22" t="str">
        <f t="shared" si="66"/>
        <v/>
      </c>
      <c r="P560" s="22" t="str">
        <f t="shared" si="67"/>
        <v/>
      </c>
      <c r="Q560" s="22">
        <f t="shared" si="68"/>
        <v>2.1009526244160095</v>
      </c>
      <c r="R560" s="29" t="str">
        <f t="shared" si="69"/>
        <v>No original Rhyp to compare</v>
      </c>
      <c r="S560" s="29" t="str">
        <f t="shared" si="70"/>
        <v/>
      </c>
      <c r="T560" s="22">
        <v>25.300560000000001</v>
      </c>
      <c r="U560" s="29" t="s">
        <v>4576</v>
      </c>
      <c r="V560" s="29" t="str">
        <f t="shared" si="71"/>
        <v>No geometric exceedance</v>
      </c>
      <c r="W560" s="30">
        <v>22.922000000000001</v>
      </c>
      <c r="X560" s="30">
        <v>120.544</v>
      </c>
      <c r="Y560" s="30">
        <v>14.6</v>
      </c>
      <c r="Z560" s="30">
        <v>42.019052488320227</v>
      </c>
      <c r="AA560" s="29" t="s">
        <v>2812</v>
      </c>
      <c r="AB560" s="29"/>
      <c r="AC560" s="39"/>
      <c r="AD560" s="39"/>
    </row>
    <row r="561" spans="1:30" ht="58" customHeight="1">
      <c r="A561" s="1" t="s">
        <v>1263</v>
      </c>
      <c r="B561" s="1">
        <v>318</v>
      </c>
      <c r="C561" s="1" t="s">
        <v>4255</v>
      </c>
      <c r="D561" s="29" t="s">
        <v>672</v>
      </c>
      <c r="E561" s="29" t="s">
        <v>1202</v>
      </c>
      <c r="F561" s="1" t="s">
        <v>1173</v>
      </c>
      <c r="G561" s="30">
        <v>23.119669999999999</v>
      </c>
      <c r="H561" s="30">
        <v>120.3613</v>
      </c>
      <c r="I561" s="30">
        <v>22.922000000000001</v>
      </c>
      <c r="J561" s="30">
        <v>120.544</v>
      </c>
      <c r="K561" s="30">
        <v>14.6</v>
      </c>
      <c r="L561" s="22"/>
      <c r="M561" s="22">
        <f t="shared" si="64"/>
        <v>28.856721169549736</v>
      </c>
      <c r="N561" s="22">
        <f t="shared" si="65"/>
        <v>32.33991893399147</v>
      </c>
      <c r="O561" s="22" t="str">
        <f t="shared" si="66"/>
        <v/>
      </c>
      <c r="P561" s="22" t="str">
        <f t="shared" si="67"/>
        <v/>
      </c>
      <c r="Q561" s="22">
        <f t="shared" si="68"/>
        <v>1.6169959466995736</v>
      </c>
      <c r="R561" s="29" t="str">
        <f t="shared" si="69"/>
        <v>No original Rhyp to compare</v>
      </c>
      <c r="S561" s="29" t="str">
        <f t="shared" si="70"/>
        <v/>
      </c>
      <c r="T561" s="22">
        <v>21.162410000000001</v>
      </c>
      <c r="U561" s="29" t="s">
        <v>4576</v>
      </c>
      <c r="V561" s="29" t="str">
        <f t="shared" si="71"/>
        <v>No geometric exceedance</v>
      </c>
      <c r="W561" s="30">
        <v>22.922000000000001</v>
      </c>
      <c r="X561" s="30">
        <v>120.544</v>
      </c>
      <c r="Y561" s="30">
        <v>14.6</v>
      </c>
      <c r="Z561" s="30">
        <v>32.339918933991441</v>
      </c>
      <c r="AA561" s="29" t="s">
        <v>2812</v>
      </c>
      <c r="AB561" s="29"/>
      <c r="AC561" s="39"/>
      <c r="AD561" s="39"/>
    </row>
    <row r="562" spans="1:30" ht="58" customHeight="1">
      <c r="A562" s="1" t="s">
        <v>1263</v>
      </c>
      <c r="B562" s="1">
        <v>319</v>
      </c>
      <c r="C562" s="1" t="s">
        <v>4257</v>
      </c>
      <c r="D562" s="29" t="s">
        <v>672</v>
      </c>
      <c r="E562" s="29" t="s">
        <v>1202</v>
      </c>
      <c r="F562" s="1" t="s">
        <v>1222</v>
      </c>
      <c r="G562" s="30">
        <v>23.0213</v>
      </c>
      <c r="H562" s="30">
        <v>120.3479</v>
      </c>
      <c r="I562" s="30">
        <v>22.922000000000001</v>
      </c>
      <c r="J562" s="30">
        <v>120.544</v>
      </c>
      <c r="K562" s="30">
        <v>14.6</v>
      </c>
      <c r="L562" s="22"/>
      <c r="M562" s="22">
        <f t="shared" si="64"/>
        <v>22.912192941157954</v>
      </c>
      <c r="N562" s="22">
        <f t="shared" si="65"/>
        <v>27.168521957825536</v>
      </c>
      <c r="O562" s="22" t="str">
        <f t="shared" si="66"/>
        <v/>
      </c>
      <c r="P562" s="22" t="str">
        <f t="shared" si="67"/>
        <v/>
      </c>
      <c r="Q562" s="22">
        <f t="shared" si="68"/>
        <v>1.358426097891277</v>
      </c>
      <c r="R562" s="29" t="str">
        <f t="shared" si="69"/>
        <v>No original Rhyp to compare</v>
      </c>
      <c r="S562" s="29" t="str">
        <f t="shared" si="70"/>
        <v/>
      </c>
      <c r="T562" s="22">
        <v>20.106081</v>
      </c>
      <c r="U562" s="29" t="s">
        <v>4576</v>
      </c>
      <c r="V562" s="29" t="str">
        <f t="shared" si="71"/>
        <v>No geometric exceedance</v>
      </c>
      <c r="W562" s="30">
        <v>22.922000000000001</v>
      </c>
      <c r="X562" s="30">
        <v>120.544</v>
      </c>
      <c r="Y562" s="30">
        <v>14.6</v>
      </c>
      <c r="Z562" s="30">
        <v>27.168521957825536</v>
      </c>
      <c r="AA562" s="29" t="s">
        <v>2812</v>
      </c>
      <c r="AB562" s="29"/>
      <c r="AC562" s="39"/>
      <c r="AD562" s="39"/>
    </row>
    <row r="563" spans="1:30" ht="58" customHeight="1">
      <c r="A563" s="1" t="s">
        <v>1263</v>
      </c>
      <c r="B563" s="1">
        <v>320</v>
      </c>
      <c r="C563" s="1" t="s">
        <v>4260</v>
      </c>
      <c r="D563" s="29" t="s">
        <v>672</v>
      </c>
      <c r="E563" s="29" t="s">
        <v>1202</v>
      </c>
      <c r="F563" s="1" t="s">
        <v>1223</v>
      </c>
      <c r="G563" s="30">
        <v>23.136146</v>
      </c>
      <c r="H563" s="30">
        <v>120.28819300000001</v>
      </c>
      <c r="I563" s="30">
        <v>22.922000000000001</v>
      </c>
      <c r="J563" s="30">
        <v>120.544</v>
      </c>
      <c r="K563" s="30">
        <v>14.6</v>
      </c>
      <c r="L563" s="22"/>
      <c r="M563" s="22">
        <f t="shared" si="64"/>
        <v>35.387489090354698</v>
      </c>
      <c r="N563" s="22">
        <f t="shared" si="65"/>
        <v>38.280992465190515</v>
      </c>
      <c r="O563" s="22" t="str">
        <f t="shared" si="66"/>
        <v/>
      </c>
      <c r="P563" s="22" t="str">
        <f t="shared" si="67"/>
        <v/>
      </c>
      <c r="Q563" s="22">
        <f t="shared" si="68"/>
        <v>1.9140496232595259</v>
      </c>
      <c r="R563" s="29" t="str">
        <f t="shared" si="69"/>
        <v>No original Rhyp to compare</v>
      </c>
      <c r="S563" s="29" t="str">
        <f t="shared" si="70"/>
        <v/>
      </c>
      <c r="T563" s="22">
        <v>28.577749000000001</v>
      </c>
      <c r="U563" s="29" t="s">
        <v>4576</v>
      </c>
      <c r="V563" s="29" t="str">
        <f t="shared" si="71"/>
        <v>No geometric exceedance</v>
      </c>
      <c r="W563" s="30">
        <v>22.922000000000001</v>
      </c>
      <c r="X563" s="30">
        <v>120.544</v>
      </c>
      <c r="Y563" s="30">
        <v>14.6</v>
      </c>
      <c r="Z563" s="30">
        <v>38.280992465190586</v>
      </c>
      <c r="AA563" s="29" t="s">
        <v>2812</v>
      </c>
      <c r="AB563" s="29"/>
      <c r="AC563" s="39"/>
      <c r="AD563" s="39"/>
    </row>
    <row r="564" spans="1:30" ht="58" customHeight="1">
      <c r="A564" s="1" t="s">
        <v>1263</v>
      </c>
      <c r="B564" s="1">
        <v>321</v>
      </c>
      <c r="C564" s="1" t="s">
        <v>4262</v>
      </c>
      <c r="D564" s="29" t="s">
        <v>672</v>
      </c>
      <c r="E564" s="29" t="s">
        <v>1202</v>
      </c>
      <c r="F564" s="1" t="s">
        <v>1224</v>
      </c>
      <c r="G564" s="30">
        <v>23.137080000000001</v>
      </c>
      <c r="H564" s="30">
        <v>120.30697000000001</v>
      </c>
      <c r="I564" s="30">
        <v>22.922000000000001</v>
      </c>
      <c r="J564" s="30">
        <v>120.544</v>
      </c>
      <c r="K564" s="30">
        <v>14.6</v>
      </c>
      <c r="L564" s="22"/>
      <c r="M564" s="22">
        <f t="shared" si="64"/>
        <v>34.063444750201086</v>
      </c>
      <c r="N564" s="22">
        <f t="shared" si="65"/>
        <v>37.060467728430005</v>
      </c>
      <c r="O564" s="22" t="str">
        <f t="shared" si="66"/>
        <v/>
      </c>
      <c r="P564" s="22" t="str">
        <f t="shared" si="67"/>
        <v/>
      </c>
      <c r="Q564" s="22">
        <f t="shared" si="68"/>
        <v>1.8530233864215004</v>
      </c>
      <c r="R564" s="29" t="str">
        <f t="shared" si="69"/>
        <v>No original Rhyp to compare</v>
      </c>
      <c r="S564" s="29" t="str">
        <f t="shared" si="70"/>
        <v/>
      </c>
      <c r="T564" s="22">
        <v>27.437298999999999</v>
      </c>
      <c r="U564" s="29" t="s">
        <v>4576</v>
      </c>
      <c r="V564" s="29" t="str">
        <f t="shared" si="71"/>
        <v>No geometric exceedance</v>
      </c>
      <c r="W564" s="30">
        <v>22.922000000000001</v>
      </c>
      <c r="X564" s="30">
        <v>120.544</v>
      </c>
      <c r="Y564" s="30">
        <v>14.6</v>
      </c>
      <c r="Z564" s="30">
        <v>37.060467728430041</v>
      </c>
      <c r="AA564" s="29" t="s">
        <v>2812</v>
      </c>
      <c r="AB564" s="29"/>
      <c r="AC564" s="39"/>
      <c r="AD564" s="39"/>
    </row>
    <row r="565" spans="1:30" ht="58" customHeight="1">
      <c r="A565" s="1" t="s">
        <v>1263</v>
      </c>
      <c r="B565" s="1">
        <v>322</v>
      </c>
      <c r="C565" s="1" t="s">
        <v>4264</v>
      </c>
      <c r="D565" s="29" t="s">
        <v>676</v>
      </c>
      <c r="E565" s="29" t="s">
        <v>1225</v>
      </c>
      <c r="F565" s="1" t="s">
        <v>1226</v>
      </c>
      <c r="G565" s="30">
        <v>23.986499999999999</v>
      </c>
      <c r="H565" s="30">
        <v>121.626167</v>
      </c>
      <c r="I565" s="30">
        <v>24.116199999999999</v>
      </c>
      <c r="J565" s="30">
        <v>121.7225</v>
      </c>
      <c r="K565" s="30">
        <v>4.8899999999999997</v>
      </c>
      <c r="L565" s="22"/>
      <c r="M565" s="22">
        <f t="shared" si="64"/>
        <v>17.426307639559806</v>
      </c>
      <c r="N565" s="22">
        <f t="shared" si="65"/>
        <v>18.099400485888488</v>
      </c>
      <c r="O565" s="22" t="str">
        <f t="shared" si="66"/>
        <v/>
      </c>
      <c r="P565" s="22" t="str">
        <f t="shared" si="67"/>
        <v/>
      </c>
      <c r="Q565" s="22">
        <f t="shared" si="68"/>
        <v>1</v>
      </c>
      <c r="R565" s="29" t="str">
        <f t="shared" si="69"/>
        <v>No original Rhyp to compare</v>
      </c>
      <c r="S565" s="29" t="str">
        <f t="shared" si="70"/>
        <v/>
      </c>
      <c r="T565" s="22">
        <v>1.7</v>
      </c>
      <c r="U565" s="29" t="s">
        <v>4576</v>
      </c>
      <c r="V565" s="29" t="str">
        <f t="shared" si="71"/>
        <v>No geometric exceedance</v>
      </c>
      <c r="W565" s="30">
        <v>24.116199999999999</v>
      </c>
      <c r="X565" s="30">
        <v>121.7225</v>
      </c>
      <c r="Y565" s="30">
        <v>4.8899999999999997</v>
      </c>
      <c r="Z565" s="30">
        <v>18.099400485888658</v>
      </c>
      <c r="AA565" s="29" t="s">
        <v>2812</v>
      </c>
      <c r="AB565" s="29"/>
      <c r="AC565" s="39"/>
      <c r="AD565" s="39"/>
    </row>
    <row r="566" spans="1:30" ht="58" customHeight="1">
      <c r="A566" s="1" t="s">
        <v>1263</v>
      </c>
      <c r="B566" s="1">
        <v>323</v>
      </c>
      <c r="C566" s="1" t="s">
        <v>4266</v>
      </c>
      <c r="D566" s="29" t="s">
        <v>676</v>
      </c>
      <c r="E566" s="29" t="s">
        <v>1225</v>
      </c>
      <c r="F566" s="1" t="s">
        <v>1227</v>
      </c>
      <c r="G566" s="30">
        <v>23.987333</v>
      </c>
      <c r="H566" s="30">
        <v>121.60299999999999</v>
      </c>
      <c r="I566" s="30">
        <v>24.116199999999999</v>
      </c>
      <c r="J566" s="30">
        <v>121.7225</v>
      </c>
      <c r="K566" s="30">
        <v>4.8899999999999997</v>
      </c>
      <c r="L566" s="22"/>
      <c r="M566" s="22">
        <f t="shared" si="64"/>
        <v>18.776770597026292</v>
      </c>
      <c r="N566" s="22">
        <f t="shared" si="65"/>
        <v>19.403072283876881</v>
      </c>
      <c r="O566" s="22" t="str">
        <f t="shared" si="66"/>
        <v/>
      </c>
      <c r="P566" s="22" t="str">
        <f t="shared" si="67"/>
        <v/>
      </c>
      <c r="Q566" s="22">
        <f t="shared" si="68"/>
        <v>1</v>
      </c>
      <c r="R566" s="29" t="str">
        <f t="shared" si="69"/>
        <v>No original Rhyp to compare</v>
      </c>
      <c r="S566" s="29" t="str">
        <f t="shared" si="70"/>
        <v/>
      </c>
      <c r="T566" s="22">
        <v>0.7</v>
      </c>
      <c r="U566" s="29" t="s">
        <v>4576</v>
      </c>
      <c r="V566" s="29" t="str">
        <f t="shared" si="71"/>
        <v>No geometric exceedance</v>
      </c>
      <c r="W566" s="30">
        <v>24.116199999999999</v>
      </c>
      <c r="X566" s="30">
        <v>121.7225</v>
      </c>
      <c r="Y566" s="30">
        <v>4.8899999999999997</v>
      </c>
      <c r="Z566" s="30">
        <v>19.403072283876895</v>
      </c>
      <c r="AA566" s="29" t="s">
        <v>2812</v>
      </c>
      <c r="AB566" s="29"/>
      <c r="AC566" s="39"/>
      <c r="AD566" s="39"/>
    </row>
    <row r="567" spans="1:30" ht="58" customHeight="1">
      <c r="A567" s="1" t="s">
        <v>1263</v>
      </c>
      <c r="B567" s="1">
        <v>324</v>
      </c>
      <c r="C567" s="1" t="s">
        <v>4268</v>
      </c>
      <c r="D567" s="29" t="s">
        <v>676</v>
      </c>
      <c r="E567" s="29" t="s">
        <v>1225</v>
      </c>
      <c r="F567" s="1" t="s">
        <v>1228</v>
      </c>
      <c r="G567" s="30">
        <v>23.990333</v>
      </c>
      <c r="H567" s="30">
        <v>121.622333</v>
      </c>
      <c r="I567" s="30">
        <v>24.116199999999999</v>
      </c>
      <c r="J567" s="30">
        <v>121.7225</v>
      </c>
      <c r="K567" s="30">
        <v>4.8899999999999997</v>
      </c>
      <c r="L567" s="22"/>
      <c r="M567" s="22">
        <f t="shared" si="64"/>
        <v>17.301126267846978</v>
      </c>
      <c r="N567" s="22">
        <f t="shared" si="65"/>
        <v>17.978906255275508</v>
      </c>
      <c r="O567" s="22" t="str">
        <f t="shared" si="66"/>
        <v/>
      </c>
      <c r="P567" s="22" t="str">
        <f t="shared" si="67"/>
        <v/>
      </c>
      <c r="Q567" s="22">
        <f t="shared" si="68"/>
        <v>1</v>
      </c>
      <c r="R567" s="29" t="str">
        <f t="shared" si="69"/>
        <v>No original Rhyp to compare</v>
      </c>
      <c r="S567" s="29" t="str">
        <f t="shared" si="70"/>
        <v/>
      </c>
      <c r="T567" s="22">
        <v>1.3</v>
      </c>
      <c r="U567" s="29" t="s">
        <v>4576</v>
      </c>
      <c r="V567" s="29" t="str">
        <f t="shared" si="71"/>
        <v>No geometric exceedance</v>
      </c>
      <c r="W567" s="30">
        <v>24.116199999999999</v>
      </c>
      <c r="X567" s="30">
        <v>121.7225</v>
      </c>
      <c r="Y567" s="30">
        <v>4.8899999999999997</v>
      </c>
      <c r="Z567" s="30">
        <v>17.978906255275653</v>
      </c>
      <c r="AA567" s="29" t="s">
        <v>2812</v>
      </c>
      <c r="AB567" s="29"/>
      <c r="AC567" s="39"/>
      <c r="AD567" s="39"/>
    </row>
    <row r="568" spans="1:30" ht="58" customHeight="1">
      <c r="A568" s="1" t="s">
        <v>1263</v>
      </c>
      <c r="B568" s="1">
        <v>325</v>
      </c>
      <c r="C568" s="1" t="s">
        <v>4270</v>
      </c>
      <c r="D568" s="29" t="s">
        <v>676</v>
      </c>
      <c r="E568" s="29" t="s">
        <v>1225</v>
      </c>
      <c r="F568" s="1" t="s">
        <v>1229</v>
      </c>
      <c r="G568" s="30">
        <v>23.978332999999999</v>
      </c>
      <c r="H568" s="30">
        <v>121.602667</v>
      </c>
      <c r="I568" s="30">
        <v>24.116199999999999</v>
      </c>
      <c r="J568" s="30">
        <v>121.7225</v>
      </c>
      <c r="K568" s="30">
        <v>4.8899999999999997</v>
      </c>
      <c r="L568" s="22"/>
      <c r="M568" s="22">
        <f t="shared" si="64"/>
        <v>19.572456295807022</v>
      </c>
      <c r="N568" s="22">
        <f t="shared" si="65"/>
        <v>20.174071117433783</v>
      </c>
      <c r="O568" s="22" t="str">
        <f t="shared" si="66"/>
        <v/>
      </c>
      <c r="P568" s="22" t="str">
        <f t="shared" si="67"/>
        <v/>
      </c>
      <c r="Q568" s="22">
        <f t="shared" si="68"/>
        <v>1.0087035558716893</v>
      </c>
      <c r="R568" s="29" t="str">
        <f t="shared" si="69"/>
        <v>No original Rhyp to compare</v>
      </c>
      <c r="S568" s="29" t="str">
        <f t="shared" si="70"/>
        <v/>
      </c>
      <c r="T568" s="22">
        <v>0.7</v>
      </c>
      <c r="U568" s="29" t="s">
        <v>4576</v>
      </c>
      <c r="V568" s="29" t="str">
        <f t="shared" si="71"/>
        <v>No geometric exceedance</v>
      </c>
      <c r="W568" s="30">
        <v>24.116199999999999</v>
      </c>
      <c r="X568" s="30">
        <v>121.7225</v>
      </c>
      <c r="Y568" s="30">
        <v>4.8899999999999997</v>
      </c>
      <c r="Z568" s="30">
        <v>20.174071117433932</v>
      </c>
      <c r="AA568" s="29" t="s">
        <v>2812</v>
      </c>
      <c r="AB568" s="29"/>
      <c r="AC568" s="39"/>
      <c r="AD568" s="39"/>
    </row>
    <row r="569" spans="1:30" ht="58" customHeight="1">
      <c r="A569" s="1" t="s">
        <v>1263</v>
      </c>
      <c r="B569" s="1">
        <v>326</v>
      </c>
      <c r="C569" s="1" t="s">
        <v>4272</v>
      </c>
      <c r="D569" s="29" t="s">
        <v>676</v>
      </c>
      <c r="E569" s="29" t="s">
        <v>1225</v>
      </c>
      <c r="F569" s="1" t="s">
        <v>1099</v>
      </c>
      <c r="G569" s="30">
        <v>23.995332999999999</v>
      </c>
      <c r="H569" s="30">
        <v>121.59483299999999</v>
      </c>
      <c r="I569" s="30">
        <v>24.116199999999999</v>
      </c>
      <c r="J569" s="30">
        <v>121.7225</v>
      </c>
      <c r="K569" s="30">
        <v>4.8899999999999997</v>
      </c>
      <c r="L569" s="22"/>
      <c r="M569" s="22">
        <f t="shared" si="64"/>
        <v>18.672634212159586</v>
      </c>
      <c r="N569" s="22">
        <f t="shared" si="65"/>
        <v>19.30231510521763</v>
      </c>
      <c r="O569" s="22" t="str">
        <f t="shared" si="66"/>
        <v/>
      </c>
      <c r="P569" s="22" t="str">
        <f t="shared" si="67"/>
        <v/>
      </c>
      <c r="Q569" s="22">
        <f t="shared" si="68"/>
        <v>1</v>
      </c>
      <c r="R569" s="29" t="str">
        <f t="shared" si="69"/>
        <v>No original Rhyp to compare</v>
      </c>
      <c r="S569" s="29" t="str">
        <f t="shared" si="70"/>
        <v/>
      </c>
      <c r="T569" s="22">
        <v>1.6</v>
      </c>
      <c r="U569" s="29" t="s">
        <v>4576</v>
      </c>
      <c r="V569" s="29" t="str">
        <f t="shared" si="71"/>
        <v>No geometric exceedance</v>
      </c>
      <c r="W569" s="30">
        <v>24.116199999999999</v>
      </c>
      <c r="X569" s="30">
        <v>121.7225</v>
      </c>
      <c r="Y569" s="30">
        <v>4.8899999999999997</v>
      </c>
      <c r="Z569" s="30">
        <v>19.302315105217716</v>
      </c>
      <c r="AA569" s="29" t="s">
        <v>2812</v>
      </c>
      <c r="AB569" s="29"/>
      <c r="AC569" s="39"/>
      <c r="AD569" s="39"/>
    </row>
    <row r="570" spans="1:30" ht="58" customHeight="1">
      <c r="A570" s="1" t="s">
        <v>1263</v>
      </c>
      <c r="B570" s="1">
        <v>327</v>
      </c>
      <c r="C570" s="1" t="s">
        <v>4274</v>
      </c>
      <c r="D570" s="29" t="s">
        <v>676</v>
      </c>
      <c r="E570" s="29" t="s">
        <v>1225</v>
      </c>
      <c r="F570" s="1" t="s">
        <v>1230</v>
      </c>
      <c r="G570" s="30">
        <v>23.992000000000001</v>
      </c>
      <c r="H570" s="30">
        <v>121.631333</v>
      </c>
      <c r="I570" s="30">
        <v>24.116199999999999</v>
      </c>
      <c r="J570" s="30">
        <v>121.7225</v>
      </c>
      <c r="K570" s="30">
        <v>4.8899999999999997</v>
      </c>
      <c r="L570" s="22"/>
      <c r="M570" s="22">
        <f t="shared" si="64"/>
        <v>16.625862574534228</v>
      </c>
      <c r="N570" s="22">
        <f t="shared" si="65"/>
        <v>17.330072312235107</v>
      </c>
      <c r="O570" s="22" t="str">
        <f t="shared" si="66"/>
        <v/>
      </c>
      <c r="P570" s="22" t="str">
        <f t="shared" si="67"/>
        <v/>
      </c>
      <c r="Q570" s="22">
        <f t="shared" si="68"/>
        <v>1</v>
      </c>
      <c r="R570" s="29" t="str">
        <f t="shared" si="69"/>
        <v>No original Rhyp to compare</v>
      </c>
      <c r="S570" s="29" t="str">
        <f t="shared" si="70"/>
        <v/>
      </c>
      <c r="T570" s="22">
        <v>2.1</v>
      </c>
      <c r="U570" s="29" t="s">
        <v>4576</v>
      </c>
      <c r="V570" s="29" t="str">
        <f t="shared" si="71"/>
        <v>No geometric exceedance</v>
      </c>
      <c r="W570" s="30">
        <v>24.116199999999999</v>
      </c>
      <c r="X570" s="30">
        <v>121.7225</v>
      </c>
      <c r="Y570" s="30">
        <v>4.8899999999999997</v>
      </c>
      <c r="Z570" s="30">
        <v>17.330072312235259</v>
      </c>
      <c r="AA570" s="29" t="s">
        <v>2812</v>
      </c>
      <c r="AB570" s="29"/>
      <c r="AC570" s="39"/>
      <c r="AD570" s="39"/>
    </row>
    <row r="571" spans="1:30" ht="58" customHeight="1">
      <c r="A571" s="1" t="s">
        <v>1263</v>
      </c>
      <c r="B571" s="1">
        <v>328</v>
      </c>
      <c r="C571" s="1" t="s">
        <v>4276</v>
      </c>
      <c r="D571" s="29" t="s">
        <v>676</v>
      </c>
      <c r="E571" s="29" t="s">
        <v>1225</v>
      </c>
      <c r="F571" s="1" t="s">
        <v>1231</v>
      </c>
      <c r="G571" s="30">
        <v>23.9755</v>
      </c>
      <c r="H571" s="30">
        <v>121.5985</v>
      </c>
      <c r="I571" s="30">
        <v>24.116199999999999</v>
      </c>
      <c r="J571" s="30">
        <v>121.7225</v>
      </c>
      <c r="K571" s="30">
        <v>4.8899999999999997</v>
      </c>
      <c r="L571" s="22"/>
      <c r="M571" s="22">
        <f t="shared" si="64"/>
        <v>20.082802526623812</v>
      </c>
      <c r="N571" s="22">
        <f t="shared" si="65"/>
        <v>20.66956838744747</v>
      </c>
      <c r="O571" s="22" t="str">
        <f t="shared" si="66"/>
        <v/>
      </c>
      <c r="P571" s="22" t="str">
        <f t="shared" si="67"/>
        <v/>
      </c>
      <c r="Q571" s="22">
        <f t="shared" si="68"/>
        <v>1.0334784193723736</v>
      </c>
      <c r="R571" s="29" t="str">
        <f t="shared" si="69"/>
        <v>No original Rhyp to compare</v>
      </c>
      <c r="S571" s="29" t="str">
        <f t="shared" si="70"/>
        <v/>
      </c>
      <c r="T571" s="22">
        <v>1.2</v>
      </c>
      <c r="U571" s="29" t="s">
        <v>4576</v>
      </c>
      <c r="V571" s="29" t="str">
        <f t="shared" si="71"/>
        <v>No geometric exceedance</v>
      </c>
      <c r="W571" s="30">
        <v>24.116199999999999</v>
      </c>
      <c r="X571" s="30">
        <v>121.7225</v>
      </c>
      <c r="Y571" s="30">
        <v>4.8899999999999997</v>
      </c>
      <c r="Z571" s="30">
        <v>20.669568387447427</v>
      </c>
      <c r="AA571" s="29" t="s">
        <v>2812</v>
      </c>
      <c r="AB571" s="29"/>
      <c r="AC571" s="39"/>
      <c r="AD571" s="39"/>
    </row>
    <row r="572" spans="1:30" ht="58" customHeight="1">
      <c r="A572" s="1" t="s">
        <v>1263</v>
      </c>
      <c r="B572" s="1">
        <v>329</v>
      </c>
      <c r="C572" s="1" t="s">
        <v>4278</v>
      </c>
      <c r="D572" s="29" t="s">
        <v>676</v>
      </c>
      <c r="E572" s="29" t="s">
        <v>1225</v>
      </c>
      <c r="F572" s="1" t="s">
        <v>1232</v>
      </c>
      <c r="G572" s="30">
        <v>23.971167000000001</v>
      </c>
      <c r="H572" s="30">
        <v>121.605667</v>
      </c>
      <c r="I572" s="30">
        <v>24.116199999999999</v>
      </c>
      <c r="J572" s="30">
        <v>121.7225</v>
      </c>
      <c r="K572" s="30">
        <v>4.8899999999999997</v>
      </c>
      <c r="L572" s="22"/>
      <c r="M572" s="22">
        <f t="shared" si="64"/>
        <v>20.020829830539906</v>
      </c>
      <c r="N572" s="22">
        <f t="shared" si="65"/>
        <v>20.609360181806629</v>
      </c>
      <c r="O572" s="22" t="str">
        <f t="shared" si="66"/>
        <v/>
      </c>
      <c r="P572" s="22" t="str">
        <f t="shared" si="67"/>
        <v/>
      </c>
      <c r="Q572" s="22">
        <f t="shared" si="68"/>
        <v>1.0304680090903315</v>
      </c>
      <c r="R572" s="29" t="str">
        <f t="shared" si="69"/>
        <v>No original Rhyp to compare</v>
      </c>
      <c r="S572" s="29" t="str">
        <f t="shared" si="70"/>
        <v/>
      </c>
      <c r="T572" s="22">
        <v>0.5</v>
      </c>
      <c r="U572" s="29" t="s">
        <v>4576</v>
      </c>
      <c r="V572" s="29" t="str">
        <f t="shared" si="71"/>
        <v>No geometric exceedance</v>
      </c>
      <c r="W572" s="30">
        <v>24.116199999999999</v>
      </c>
      <c r="X572" s="30">
        <v>121.7225</v>
      </c>
      <c r="Y572" s="30">
        <v>4.8899999999999997</v>
      </c>
      <c r="Z572" s="30">
        <v>20.609360181806579</v>
      </c>
      <c r="AA572" s="29" t="s">
        <v>2812</v>
      </c>
      <c r="AB572" s="29"/>
      <c r="AC572" s="39"/>
      <c r="AD572" s="39"/>
    </row>
    <row r="573" spans="1:30" ht="58" customHeight="1">
      <c r="A573" s="1" t="s">
        <v>1263</v>
      </c>
      <c r="B573" s="1">
        <v>330</v>
      </c>
      <c r="C573" s="1" t="s">
        <v>4280</v>
      </c>
      <c r="D573" s="29" t="s">
        <v>676</v>
      </c>
      <c r="E573" s="29" t="s">
        <v>1225</v>
      </c>
      <c r="F573" s="1" t="s">
        <v>1138</v>
      </c>
      <c r="G573" s="30">
        <v>23.972833000000001</v>
      </c>
      <c r="H573" s="30">
        <v>121.562667</v>
      </c>
      <c r="I573" s="30">
        <v>24.116199999999999</v>
      </c>
      <c r="J573" s="30">
        <v>121.7225</v>
      </c>
      <c r="K573" s="30">
        <v>4.8899999999999997</v>
      </c>
      <c r="L573" s="22"/>
      <c r="M573" s="22">
        <f t="shared" si="64"/>
        <v>22.750061273504834</v>
      </c>
      <c r="N573" s="22">
        <f t="shared" si="65"/>
        <v>23.269666691816287</v>
      </c>
      <c r="O573" s="22" t="str">
        <f t="shared" si="66"/>
        <v/>
      </c>
      <c r="P573" s="22" t="str">
        <f t="shared" si="67"/>
        <v/>
      </c>
      <c r="Q573" s="22">
        <f t="shared" si="68"/>
        <v>1.1634833345908144</v>
      </c>
      <c r="R573" s="29" t="str">
        <f t="shared" si="69"/>
        <v>No original Rhyp to compare</v>
      </c>
      <c r="S573" s="29" t="str">
        <f t="shared" si="70"/>
        <v/>
      </c>
      <c r="T573" s="22">
        <v>22.146996999999999</v>
      </c>
      <c r="U573" s="29" t="s">
        <v>4576</v>
      </c>
      <c r="V573" s="29" t="str">
        <f t="shared" si="71"/>
        <v>No geometric exceedance</v>
      </c>
      <c r="W573" s="30">
        <v>24.116199999999999</v>
      </c>
      <c r="X573" s="30">
        <v>121.7225</v>
      </c>
      <c r="Y573" s="30">
        <v>4.8899999999999997</v>
      </c>
      <c r="Z573" s="30">
        <v>23.269666691816472</v>
      </c>
      <c r="AA573" s="29" t="s">
        <v>2812</v>
      </c>
      <c r="AB573" s="29"/>
      <c r="AC573" s="39"/>
      <c r="AD573" s="39"/>
    </row>
    <row r="574" spans="1:30" ht="58" customHeight="1">
      <c r="A574" s="1" t="s">
        <v>1263</v>
      </c>
      <c r="B574" s="1">
        <v>331</v>
      </c>
      <c r="C574" s="1" t="s">
        <v>4282</v>
      </c>
      <c r="D574" s="29" t="s">
        <v>676</v>
      </c>
      <c r="E574" s="29" t="s">
        <v>1225</v>
      </c>
      <c r="F574" s="1" t="s">
        <v>1139</v>
      </c>
      <c r="G574" s="30">
        <v>23.963166999999999</v>
      </c>
      <c r="H574" s="30">
        <v>121.5685</v>
      </c>
      <c r="I574" s="30">
        <v>24.116199999999999</v>
      </c>
      <c r="J574" s="30">
        <v>121.7225</v>
      </c>
      <c r="K574" s="30">
        <v>4.8899999999999997</v>
      </c>
      <c r="L574" s="22"/>
      <c r="M574" s="22">
        <f t="shared" si="64"/>
        <v>23.111274919841748</v>
      </c>
      <c r="N574" s="22">
        <f t="shared" si="65"/>
        <v>23.622936490210233</v>
      </c>
      <c r="O574" s="22" t="str">
        <f t="shared" si="66"/>
        <v/>
      </c>
      <c r="P574" s="22" t="str">
        <f t="shared" si="67"/>
        <v/>
      </c>
      <c r="Q574" s="22">
        <f t="shared" si="68"/>
        <v>1.1811468245105117</v>
      </c>
      <c r="R574" s="29" t="str">
        <f t="shared" si="69"/>
        <v>No original Rhyp to compare</v>
      </c>
      <c r="S574" s="29" t="str">
        <f t="shared" si="70"/>
        <v/>
      </c>
      <c r="T574" s="22">
        <v>22.448481999999998</v>
      </c>
      <c r="U574" s="29" t="s">
        <v>4576</v>
      </c>
      <c r="V574" s="29" t="str">
        <f t="shared" si="71"/>
        <v>No geometric exceedance</v>
      </c>
      <c r="W574" s="30">
        <v>24.116199999999999</v>
      </c>
      <c r="X574" s="30">
        <v>121.7225</v>
      </c>
      <c r="Y574" s="30">
        <v>4.8899999999999997</v>
      </c>
      <c r="Z574" s="30">
        <v>23.622936490210343</v>
      </c>
      <c r="AA574" s="29" t="s">
        <v>2812</v>
      </c>
      <c r="AB574" s="29"/>
      <c r="AC574" s="39"/>
      <c r="AD574" s="39"/>
    </row>
    <row r="575" spans="1:30" ht="58" customHeight="1">
      <c r="A575" s="1" t="s">
        <v>1263</v>
      </c>
      <c r="B575" s="1">
        <v>332</v>
      </c>
      <c r="C575" s="1" t="s">
        <v>4284</v>
      </c>
      <c r="D575" s="29" t="s">
        <v>676</v>
      </c>
      <c r="E575" s="29" t="s">
        <v>1225</v>
      </c>
      <c r="F575" s="1" t="s">
        <v>1233</v>
      </c>
      <c r="G575" s="30">
        <v>23.9482</v>
      </c>
      <c r="H575" s="30">
        <v>121.547</v>
      </c>
      <c r="I575" s="30">
        <v>24.116199999999999</v>
      </c>
      <c r="J575" s="30">
        <v>121.7225</v>
      </c>
      <c r="K575" s="30">
        <v>4.8899999999999997</v>
      </c>
      <c r="L575" s="22"/>
      <c r="M575" s="22">
        <f t="shared" si="64"/>
        <v>25.819241012987682</v>
      </c>
      <c r="N575" s="22">
        <f t="shared" si="65"/>
        <v>26.278228754745726</v>
      </c>
      <c r="O575" s="22" t="str">
        <f t="shared" si="66"/>
        <v/>
      </c>
      <c r="P575" s="22" t="str">
        <f t="shared" si="67"/>
        <v/>
      </c>
      <c r="Q575" s="22">
        <f t="shared" si="68"/>
        <v>1.3139114377372865</v>
      </c>
      <c r="R575" s="29" t="str">
        <f t="shared" si="69"/>
        <v>No original Rhyp to compare</v>
      </c>
      <c r="S575" s="29" t="str">
        <f t="shared" si="70"/>
        <v/>
      </c>
      <c r="T575" s="22">
        <v>25.163599999999999</v>
      </c>
      <c r="U575" s="29" t="s">
        <v>4576</v>
      </c>
      <c r="V575" s="29" t="str">
        <f t="shared" si="71"/>
        <v>No geometric exceedance</v>
      </c>
      <c r="W575" s="30">
        <v>24.116199999999999</v>
      </c>
      <c r="X575" s="30">
        <v>121.7225</v>
      </c>
      <c r="Y575" s="30">
        <v>4.8899999999999997</v>
      </c>
      <c r="Z575" s="30">
        <v>26.278228754745864</v>
      </c>
      <c r="AA575" s="29" t="s">
        <v>2812</v>
      </c>
      <c r="AB575" s="29"/>
      <c r="AC575" s="39"/>
      <c r="AD575" s="39"/>
    </row>
    <row r="576" spans="1:30" ht="58" customHeight="1">
      <c r="A576" s="1" t="s">
        <v>1263</v>
      </c>
      <c r="B576" s="1">
        <v>333</v>
      </c>
      <c r="C576" s="1" t="s">
        <v>4286</v>
      </c>
      <c r="D576" s="29" t="s">
        <v>676</v>
      </c>
      <c r="E576" s="29" t="s">
        <v>1225</v>
      </c>
      <c r="F576" s="1" t="s">
        <v>1234</v>
      </c>
      <c r="G576" s="30">
        <v>23.975000000000001</v>
      </c>
      <c r="H576" s="30">
        <v>121.6135</v>
      </c>
      <c r="I576" s="30">
        <v>24.116199999999999</v>
      </c>
      <c r="J576" s="30">
        <v>121.7225</v>
      </c>
      <c r="K576" s="30">
        <v>4.8899999999999997</v>
      </c>
      <c r="L576" s="22"/>
      <c r="M576" s="22">
        <f t="shared" si="64"/>
        <v>19.209987978114871</v>
      </c>
      <c r="N576" s="22">
        <f t="shared" si="65"/>
        <v>19.822606743799309</v>
      </c>
      <c r="O576" s="22" t="str">
        <f t="shared" si="66"/>
        <v/>
      </c>
      <c r="P576" s="22" t="str">
        <f t="shared" si="67"/>
        <v/>
      </c>
      <c r="Q576" s="22">
        <f t="shared" si="68"/>
        <v>1</v>
      </c>
      <c r="R576" s="29" t="str">
        <f t="shared" si="69"/>
        <v>No original Rhyp to compare</v>
      </c>
      <c r="S576" s="29" t="str">
        <f t="shared" si="70"/>
        <v/>
      </c>
      <c r="T576" s="22">
        <v>0.3</v>
      </c>
      <c r="U576" s="29" t="s">
        <v>4576</v>
      </c>
      <c r="V576" s="29" t="str">
        <f t="shared" si="71"/>
        <v>No geometric exceedance</v>
      </c>
      <c r="W576" s="30">
        <v>24.116199999999999</v>
      </c>
      <c r="X576" s="30">
        <v>121.7225</v>
      </c>
      <c r="Y576" s="30">
        <v>4.8899999999999997</v>
      </c>
      <c r="Z576" s="30">
        <v>19.822606743799529</v>
      </c>
      <c r="AA576" s="29" t="s">
        <v>2812</v>
      </c>
      <c r="AB576" s="29"/>
      <c r="AC576" s="39"/>
      <c r="AD576" s="39"/>
    </row>
    <row r="577" spans="1:30" ht="58" customHeight="1">
      <c r="A577" s="1" t="s">
        <v>1263</v>
      </c>
      <c r="B577" s="1">
        <v>334</v>
      </c>
      <c r="C577" s="1" t="s">
        <v>4288</v>
      </c>
      <c r="D577" s="29" t="s">
        <v>676</v>
      </c>
      <c r="E577" s="29" t="s">
        <v>1225</v>
      </c>
      <c r="F577" s="1" t="s">
        <v>1141</v>
      </c>
      <c r="G577" s="30">
        <v>24.014333000000001</v>
      </c>
      <c r="H577" s="30">
        <v>121.6095</v>
      </c>
      <c r="I577" s="30">
        <v>24.116199999999999</v>
      </c>
      <c r="J577" s="30">
        <v>121.7225</v>
      </c>
      <c r="K577" s="30">
        <v>4.8899999999999997</v>
      </c>
      <c r="L577" s="22"/>
      <c r="M577" s="22">
        <f t="shared" si="64"/>
        <v>16.122353536409037</v>
      </c>
      <c r="N577" s="22">
        <f t="shared" si="65"/>
        <v>16.847622489626275</v>
      </c>
      <c r="O577" s="22" t="str">
        <f t="shared" si="66"/>
        <v/>
      </c>
      <c r="P577" s="22" t="str">
        <f t="shared" si="67"/>
        <v/>
      </c>
      <c r="Q577" s="22">
        <f t="shared" si="68"/>
        <v>1</v>
      </c>
      <c r="R577" s="29" t="str">
        <f t="shared" si="69"/>
        <v>No original Rhyp to compare</v>
      </c>
      <c r="S577" s="29" t="str">
        <f t="shared" si="70"/>
        <v/>
      </c>
      <c r="T577" s="22">
        <v>0.9</v>
      </c>
      <c r="U577" s="29" t="s">
        <v>4576</v>
      </c>
      <c r="V577" s="29" t="str">
        <f t="shared" si="71"/>
        <v>No geometric exceedance</v>
      </c>
      <c r="W577" s="30">
        <v>24.116199999999999</v>
      </c>
      <c r="X577" s="30">
        <v>121.7225</v>
      </c>
      <c r="Y577" s="30">
        <v>4.8899999999999997</v>
      </c>
      <c r="Z577" s="30">
        <v>16.847622489626392</v>
      </c>
      <c r="AA577" s="29" t="s">
        <v>2812</v>
      </c>
      <c r="AB577" s="29"/>
      <c r="AC577" s="39"/>
      <c r="AD577" s="39"/>
    </row>
    <row r="578" spans="1:30" ht="58" customHeight="1">
      <c r="A578" s="1" t="s">
        <v>1263</v>
      </c>
      <c r="B578" s="1">
        <v>335</v>
      </c>
      <c r="C578" s="1" t="s">
        <v>4290</v>
      </c>
      <c r="D578" s="29" t="s">
        <v>676</v>
      </c>
      <c r="E578" s="29" t="s">
        <v>1225</v>
      </c>
      <c r="F578" s="1" t="s">
        <v>1143</v>
      </c>
      <c r="G578" s="30">
        <v>23.987832999999998</v>
      </c>
      <c r="H578" s="30">
        <v>121.590833</v>
      </c>
      <c r="I578" s="30">
        <v>24.116199999999999</v>
      </c>
      <c r="J578" s="30">
        <v>121.7225</v>
      </c>
      <c r="K578" s="30">
        <v>4.8899999999999997</v>
      </c>
      <c r="L578" s="22"/>
      <c r="M578" s="22">
        <f t="shared" ref="M578:M641" si="72">IF(OR(G578="",H578="",I578="",J578="",K578=""),"",12742*ASIN(SQRT(MIN(1,SIN(RADIANS(I578-G578)/2)^2+COS(RADIANS(I578))*COS(RADIANS(G578))*SIN(RADIANS(J578-H578)/2)^2))))</f>
        <v>19.557212118358834</v>
      </c>
      <c r="N578" s="22">
        <f t="shared" ref="N578:N641" si="73">IF(M578="","",SQRT(M578^2+K578^2))</f>
        <v>20.159281878144412</v>
      </c>
      <c r="O578" s="22" t="str">
        <f t="shared" ref="O578:O641" si="74">IF(OR(L578="",N578=""),"",L578-N578)</f>
        <v/>
      </c>
      <c r="P578" s="22" t="str">
        <f t="shared" ref="P578:P641" si="75">IF(OR(L578="",N578="",N578=0),"",100*O578/N578)</f>
        <v/>
      </c>
      <c r="Q578" s="22">
        <f t="shared" ref="Q578:Q641" si="76">IF(N578="","",MAX(1,0.05*N578))</f>
        <v>1.0079640939072207</v>
      </c>
      <c r="R578" s="29" t="str">
        <f t="shared" ref="R578:R641" si="77">IF(N578="","Missing station coordinates",IF(L578="","No original Rhyp to compare",IF(ABS(O578)&gt;Q578,"Review: Rhyp mismatch","Within screening tolerance")))</f>
        <v>No original Rhyp to compare</v>
      </c>
      <c r="S578" s="29" t="str">
        <f t="shared" ref="S578:S641" si="78">IF(L578="","",IF(L578&lt;K578-1,"Rhyp below depth by &gt;1 km",IF(L578&lt;K578,"Rhyp below depth by &lt;=1 km","")))</f>
        <v/>
      </c>
      <c r="T578" s="22">
        <v>1.9</v>
      </c>
      <c r="U578" s="29" t="s">
        <v>4576</v>
      </c>
      <c r="V578" s="29" t="str">
        <f t="shared" ref="V578:V641" si="79">IF(T578="","Missing Rrup/closest distance",IF(N578="","Cannot check without coordinates",IF(T578&gt;N578+1,"Review: distance &gt; recalculated Rhyp +1 km","No geometric exceedance")))</f>
        <v>No geometric exceedance</v>
      </c>
      <c r="W578" s="30">
        <v>24.116199999999999</v>
      </c>
      <c r="X578" s="30">
        <v>121.7225</v>
      </c>
      <c r="Y578" s="30">
        <v>4.8899999999999997</v>
      </c>
      <c r="Z578" s="30">
        <v>20.159281878144434</v>
      </c>
      <c r="AA578" s="29" t="s">
        <v>2812</v>
      </c>
      <c r="AB578" s="29"/>
      <c r="AC578" s="39"/>
      <c r="AD578" s="39"/>
    </row>
    <row r="579" spans="1:30" ht="58" customHeight="1">
      <c r="A579" s="1" t="s">
        <v>1263</v>
      </c>
      <c r="B579" s="1">
        <v>336</v>
      </c>
      <c r="C579" s="1" t="s">
        <v>4292</v>
      </c>
      <c r="D579" s="29" t="s">
        <v>676</v>
      </c>
      <c r="E579" s="29" t="s">
        <v>1225</v>
      </c>
      <c r="F579" s="1" t="s">
        <v>1235</v>
      </c>
      <c r="G579" s="30">
        <v>23.903500000000001</v>
      </c>
      <c r="H579" s="30">
        <v>121.60169999999999</v>
      </c>
      <c r="I579" s="30">
        <v>24.116199999999999</v>
      </c>
      <c r="J579" s="30">
        <v>121.7225</v>
      </c>
      <c r="K579" s="30">
        <v>4.8899999999999997</v>
      </c>
      <c r="L579" s="22"/>
      <c r="M579" s="22">
        <f t="shared" si="72"/>
        <v>26.644567525320607</v>
      </c>
      <c r="N579" s="22">
        <f t="shared" si="73"/>
        <v>27.089575091008154</v>
      </c>
      <c r="O579" s="22" t="str">
        <f t="shared" si="74"/>
        <v/>
      </c>
      <c r="P579" s="22" t="str">
        <f t="shared" si="75"/>
        <v/>
      </c>
      <c r="Q579" s="22">
        <f t="shared" si="76"/>
        <v>1.3544787545504078</v>
      </c>
      <c r="R579" s="29" t="str">
        <f t="shared" si="77"/>
        <v>No original Rhyp to compare</v>
      </c>
      <c r="S579" s="29" t="str">
        <f t="shared" si="78"/>
        <v/>
      </c>
      <c r="T579" s="22">
        <v>25.629000000000001</v>
      </c>
      <c r="U579" s="29" t="s">
        <v>4576</v>
      </c>
      <c r="V579" s="29" t="str">
        <f t="shared" si="79"/>
        <v>No geometric exceedance</v>
      </c>
      <c r="W579" s="30">
        <v>24.116199999999999</v>
      </c>
      <c r="X579" s="30">
        <v>121.7225</v>
      </c>
      <c r="Y579" s="30">
        <v>4.8899999999999997</v>
      </c>
      <c r="Z579" s="30">
        <v>27.089575091008182</v>
      </c>
      <c r="AA579" s="29" t="s">
        <v>2812</v>
      </c>
      <c r="AB579" s="29"/>
      <c r="AC579" s="39"/>
      <c r="AD579" s="39"/>
    </row>
    <row r="580" spans="1:30" ht="58" customHeight="1">
      <c r="A580" s="1" t="s">
        <v>1263</v>
      </c>
      <c r="B580" s="1">
        <v>337</v>
      </c>
      <c r="C580" s="1" t="s">
        <v>4294</v>
      </c>
      <c r="D580" s="29" t="s">
        <v>676</v>
      </c>
      <c r="E580" s="29" t="s">
        <v>1225</v>
      </c>
      <c r="F580" s="1" t="s">
        <v>1236</v>
      </c>
      <c r="G580" s="30">
        <v>23.979666999999999</v>
      </c>
      <c r="H580" s="30">
        <v>121.619833</v>
      </c>
      <c r="I580" s="30">
        <v>24.116199999999999</v>
      </c>
      <c r="J580" s="30">
        <v>121.7225</v>
      </c>
      <c r="K580" s="30">
        <v>4.8899999999999997</v>
      </c>
      <c r="L580" s="22"/>
      <c r="M580" s="22">
        <f t="shared" si="72"/>
        <v>18.416592809203994</v>
      </c>
      <c r="N580" s="22">
        <f t="shared" si="73"/>
        <v>19.054736699834617</v>
      </c>
      <c r="O580" s="22" t="str">
        <f t="shared" si="74"/>
        <v/>
      </c>
      <c r="P580" s="22" t="str">
        <f t="shared" si="75"/>
        <v/>
      </c>
      <c r="Q580" s="22">
        <f t="shared" si="76"/>
        <v>1</v>
      </c>
      <c r="R580" s="29" t="str">
        <f t="shared" si="77"/>
        <v>No original Rhyp to compare</v>
      </c>
      <c r="S580" s="29" t="str">
        <f t="shared" si="78"/>
        <v/>
      </c>
      <c r="T580" s="22">
        <v>1</v>
      </c>
      <c r="U580" s="29" t="s">
        <v>4576</v>
      </c>
      <c r="V580" s="29" t="str">
        <f t="shared" si="79"/>
        <v>No geometric exceedance</v>
      </c>
      <c r="W580" s="30">
        <v>24.116199999999999</v>
      </c>
      <c r="X580" s="30">
        <v>121.7225</v>
      </c>
      <c r="Y580" s="30">
        <v>4.8899999999999997</v>
      </c>
      <c r="Z580" s="30">
        <v>19.054736699834656</v>
      </c>
      <c r="AA580" s="29" t="s">
        <v>2812</v>
      </c>
      <c r="AB580" s="29"/>
      <c r="AC580" s="39"/>
      <c r="AD580" s="39"/>
    </row>
    <row r="581" spans="1:30" ht="58" customHeight="1">
      <c r="A581" s="1" t="s">
        <v>1263</v>
      </c>
      <c r="B581" s="1">
        <v>338</v>
      </c>
      <c r="C581" s="1" t="s">
        <v>4296</v>
      </c>
      <c r="D581" s="29" t="s">
        <v>676</v>
      </c>
      <c r="E581" s="29" t="s">
        <v>1225</v>
      </c>
      <c r="F581" s="1" t="s">
        <v>1237</v>
      </c>
      <c r="G581" s="30">
        <v>23.993500000000001</v>
      </c>
      <c r="H581" s="30">
        <v>121.593</v>
      </c>
      <c r="I581" s="30">
        <v>24.116199999999999</v>
      </c>
      <c r="J581" s="30">
        <v>121.7225</v>
      </c>
      <c r="K581" s="30">
        <v>4.8899999999999997</v>
      </c>
      <c r="L581" s="22"/>
      <c r="M581" s="22">
        <f t="shared" si="72"/>
        <v>18.948610042816775</v>
      </c>
      <c r="N581" s="22">
        <f t="shared" si="73"/>
        <v>19.569412933318585</v>
      </c>
      <c r="O581" s="22" t="str">
        <f t="shared" si="74"/>
        <v/>
      </c>
      <c r="P581" s="22" t="str">
        <f t="shared" si="75"/>
        <v/>
      </c>
      <c r="Q581" s="22">
        <f t="shared" si="76"/>
        <v>1</v>
      </c>
      <c r="R581" s="29" t="str">
        <f t="shared" si="77"/>
        <v>No original Rhyp to compare</v>
      </c>
      <c r="S581" s="29" t="str">
        <f t="shared" si="78"/>
        <v/>
      </c>
      <c r="T581" s="22">
        <v>1.7</v>
      </c>
      <c r="U581" s="29" t="s">
        <v>4576</v>
      </c>
      <c r="V581" s="29" t="str">
        <f t="shared" si="79"/>
        <v>No geometric exceedance</v>
      </c>
      <c r="W581" s="30">
        <v>24.116199999999999</v>
      </c>
      <c r="X581" s="30">
        <v>121.7225</v>
      </c>
      <c r="Y581" s="30">
        <v>4.8899999999999997</v>
      </c>
      <c r="Z581" s="30">
        <v>19.569412933318777</v>
      </c>
      <c r="AA581" s="29" t="s">
        <v>2812</v>
      </c>
      <c r="AB581" s="29"/>
      <c r="AC581" s="39"/>
      <c r="AD581" s="39"/>
    </row>
    <row r="582" spans="1:30" ht="58" customHeight="1">
      <c r="A582" s="1" t="s">
        <v>1263</v>
      </c>
      <c r="B582" s="1">
        <v>339</v>
      </c>
      <c r="C582" s="1" t="s">
        <v>4298</v>
      </c>
      <c r="D582" s="29" t="s">
        <v>676</v>
      </c>
      <c r="E582" s="29" t="s">
        <v>1225</v>
      </c>
      <c r="F582" s="1" t="s">
        <v>1238</v>
      </c>
      <c r="G582" s="30">
        <v>23.992799999999999</v>
      </c>
      <c r="H582" s="30">
        <v>121.601</v>
      </c>
      <c r="I582" s="30">
        <v>24.116199999999999</v>
      </c>
      <c r="J582" s="30">
        <v>121.7225</v>
      </c>
      <c r="K582" s="30">
        <v>4.8899999999999997</v>
      </c>
      <c r="L582" s="22"/>
      <c r="M582" s="22">
        <f t="shared" si="72"/>
        <v>18.452049838699896</v>
      </c>
      <c r="N582" s="22">
        <f t="shared" si="73"/>
        <v>19.089008440719621</v>
      </c>
      <c r="O582" s="22" t="str">
        <f t="shared" si="74"/>
        <v/>
      </c>
      <c r="P582" s="22" t="str">
        <f t="shared" si="75"/>
        <v/>
      </c>
      <c r="Q582" s="22">
        <f t="shared" si="76"/>
        <v>1</v>
      </c>
      <c r="R582" s="29" t="str">
        <f t="shared" si="77"/>
        <v>No original Rhyp to compare</v>
      </c>
      <c r="S582" s="29" t="str">
        <f t="shared" si="78"/>
        <v/>
      </c>
      <c r="T582" s="22">
        <v>17.802420000000001</v>
      </c>
      <c r="U582" s="29" t="s">
        <v>4576</v>
      </c>
      <c r="V582" s="29" t="str">
        <f t="shared" si="79"/>
        <v>No geometric exceedance</v>
      </c>
      <c r="W582" s="30">
        <v>24.116199999999999</v>
      </c>
      <c r="X582" s="30">
        <v>121.7225</v>
      </c>
      <c r="Y582" s="30">
        <v>4.8899999999999997</v>
      </c>
      <c r="Z582" s="30">
        <v>19.089008440719724</v>
      </c>
      <c r="AA582" s="29" t="s">
        <v>2812</v>
      </c>
      <c r="AB582" s="29"/>
      <c r="AC582" s="39"/>
      <c r="AD582" s="39"/>
    </row>
    <row r="583" spans="1:30" ht="58" customHeight="1">
      <c r="A583" s="1" t="s">
        <v>1263</v>
      </c>
      <c r="B583" s="1">
        <v>340</v>
      </c>
      <c r="C583" s="1" t="s">
        <v>4300</v>
      </c>
      <c r="D583" s="29" t="s">
        <v>676</v>
      </c>
      <c r="E583" s="29" t="s">
        <v>1225</v>
      </c>
      <c r="F583" s="1" t="s">
        <v>1239</v>
      </c>
      <c r="G583" s="30">
        <v>23.963000000000001</v>
      </c>
      <c r="H583" s="30">
        <v>121.5689</v>
      </c>
      <c r="I583" s="30">
        <v>24.116199999999999</v>
      </c>
      <c r="J583" s="30">
        <v>121.7225</v>
      </c>
      <c r="K583" s="30">
        <v>4.8899999999999997</v>
      </c>
      <c r="L583" s="22"/>
      <c r="M583" s="22">
        <f t="shared" si="72"/>
        <v>23.097506858556233</v>
      </c>
      <c r="N583" s="22">
        <f t="shared" si="73"/>
        <v>23.609466810604857</v>
      </c>
      <c r="O583" s="22" t="str">
        <f t="shared" si="74"/>
        <v/>
      </c>
      <c r="P583" s="22" t="str">
        <f t="shared" si="75"/>
        <v/>
      </c>
      <c r="Q583" s="22">
        <f t="shared" si="76"/>
        <v>1.180473340530243</v>
      </c>
      <c r="R583" s="29" t="str">
        <f t="shared" si="77"/>
        <v>No original Rhyp to compare</v>
      </c>
      <c r="S583" s="29" t="str">
        <f t="shared" si="78"/>
        <v/>
      </c>
      <c r="T583" s="22">
        <v>22.432600000000001</v>
      </c>
      <c r="U583" s="29" t="s">
        <v>4576</v>
      </c>
      <c r="V583" s="29" t="str">
        <f t="shared" si="79"/>
        <v>No geometric exceedance</v>
      </c>
      <c r="W583" s="30">
        <v>24.116199999999999</v>
      </c>
      <c r="X583" s="30">
        <v>121.7225</v>
      </c>
      <c r="Y583" s="30">
        <v>4.8899999999999997</v>
      </c>
      <c r="Z583" s="30">
        <v>23.609466810605063</v>
      </c>
      <c r="AA583" s="29" t="s">
        <v>2812</v>
      </c>
      <c r="AB583" s="29"/>
      <c r="AC583" s="39"/>
      <c r="AD583" s="39"/>
    </row>
    <row r="584" spans="1:30" ht="58" customHeight="1">
      <c r="A584" s="1" t="s">
        <v>1263</v>
      </c>
      <c r="B584" s="1">
        <v>341</v>
      </c>
      <c r="C584" s="1" t="s">
        <v>4302</v>
      </c>
      <c r="D584" s="29" t="s">
        <v>676</v>
      </c>
      <c r="E584" s="29" t="s">
        <v>1225</v>
      </c>
      <c r="F584" s="1" t="s">
        <v>1240</v>
      </c>
      <c r="G584" s="30">
        <v>24.000299999999999</v>
      </c>
      <c r="H584" s="30">
        <v>121.60380000000001</v>
      </c>
      <c r="I584" s="30">
        <v>24.116199999999999</v>
      </c>
      <c r="J584" s="30">
        <v>121.7225</v>
      </c>
      <c r="K584" s="30">
        <v>4.8899999999999997</v>
      </c>
      <c r="L584" s="22"/>
      <c r="M584" s="22">
        <f t="shared" si="72"/>
        <v>17.644961778219169</v>
      </c>
      <c r="N584" s="22">
        <f t="shared" si="73"/>
        <v>18.310018464076311</v>
      </c>
      <c r="O584" s="22" t="str">
        <f t="shared" si="74"/>
        <v/>
      </c>
      <c r="P584" s="22" t="str">
        <f t="shared" si="75"/>
        <v/>
      </c>
      <c r="Q584" s="22">
        <f t="shared" si="76"/>
        <v>1</v>
      </c>
      <c r="R584" s="29" t="str">
        <f t="shared" si="77"/>
        <v>No original Rhyp to compare</v>
      </c>
      <c r="S584" s="29" t="str">
        <f t="shared" si="78"/>
        <v/>
      </c>
      <c r="T584" s="22">
        <v>0.9</v>
      </c>
      <c r="U584" s="29" t="s">
        <v>4576</v>
      </c>
      <c r="V584" s="29" t="str">
        <f t="shared" si="79"/>
        <v>No geometric exceedance</v>
      </c>
      <c r="W584" s="30">
        <v>24.116199999999999</v>
      </c>
      <c r="X584" s="30">
        <v>121.7225</v>
      </c>
      <c r="Y584" s="30">
        <v>4.8899999999999997</v>
      </c>
      <c r="Z584" s="30">
        <v>18.310018464076471</v>
      </c>
      <c r="AA584" s="29" t="s">
        <v>2812</v>
      </c>
      <c r="AB584" s="29"/>
      <c r="AC584" s="39"/>
      <c r="AD584" s="39"/>
    </row>
    <row r="585" spans="1:30" ht="58" customHeight="1">
      <c r="A585" s="1" t="s">
        <v>1264</v>
      </c>
      <c r="B585" s="1">
        <v>2</v>
      </c>
      <c r="C585" s="1" t="s">
        <v>4304</v>
      </c>
      <c r="D585" s="29" t="s">
        <v>226</v>
      </c>
      <c r="E585" s="29" t="s">
        <v>1433</v>
      </c>
      <c r="F585" s="1">
        <v>93002</v>
      </c>
      <c r="G585" s="30">
        <v>32.968000000000004</v>
      </c>
      <c r="H585" s="30">
        <v>131.04599999999999</v>
      </c>
      <c r="I585" s="30">
        <v>32.7545</v>
      </c>
      <c r="J585" s="30">
        <v>130.76300000000001</v>
      </c>
      <c r="K585" s="30">
        <v>12.45</v>
      </c>
      <c r="L585" s="22">
        <v>37.700000000000003</v>
      </c>
      <c r="M585" s="22">
        <f t="shared" si="72"/>
        <v>35.528670924246086</v>
      </c>
      <c r="N585" s="22">
        <f t="shared" si="73"/>
        <v>37.646898380123815</v>
      </c>
      <c r="O585" s="22">
        <f t="shared" si="74"/>
        <v>5.3101619876187556E-2</v>
      </c>
      <c r="P585" s="22">
        <f t="shared" si="75"/>
        <v>0.14105177892748602</v>
      </c>
      <c r="Q585" s="22">
        <f t="shared" si="76"/>
        <v>1.8823449190061909</v>
      </c>
      <c r="R585" s="29" t="str">
        <f t="shared" si="77"/>
        <v>Within screening tolerance</v>
      </c>
      <c r="S585" s="29" t="str">
        <f t="shared" si="78"/>
        <v/>
      </c>
      <c r="T585" s="22">
        <v>8.3000000000000007</v>
      </c>
      <c r="U585" s="29" t="s">
        <v>4576</v>
      </c>
      <c r="V585" s="29" t="str">
        <f t="shared" si="79"/>
        <v>No geometric exceedance</v>
      </c>
      <c r="W585" s="30"/>
      <c r="X585" s="30"/>
      <c r="Y585" s="30"/>
      <c r="Z585" s="30"/>
      <c r="AA585" s="29" t="s">
        <v>1357</v>
      </c>
      <c r="AB585" s="29"/>
      <c r="AC585" s="39"/>
      <c r="AD585" s="39"/>
    </row>
    <row r="586" spans="1:30" ht="58" customHeight="1">
      <c r="A586" s="1" t="s">
        <v>1264</v>
      </c>
      <c r="B586" s="1">
        <v>3</v>
      </c>
      <c r="C586" s="1" t="s">
        <v>4306</v>
      </c>
      <c r="D586" s="29" t="s">
        <v>226</v>
      </c>
      <c r="E586" s="29" t="s">
        <v>1433</v>
      </c>
      <c r="F586" s="1">
        <v>93009</v>
      </c>
      <c r="G586" s="30">
        <v>32.822000000000003</v>
      </c>
      <c r="H586" s="30">
        <v>131.084</v>
      </c>
      <c r="I586" s="30">
        <v>32.7545</v>
      </c>
      <c r="J586" s="30">
        <v>130.76300000000001</v>
      </c>
      <c r="K586" s="30">
        <v>12.45</v>
      </c>
      <c r="L586" s="22">
        <v>33.4</v>
      </c>
      <c r="M586" s="22">
        <f t="shared" si="72"/>
        <v>30.931235691751855</v>
      </c>
      <c r="N586" s="22">
        <f t="shared" si="73"/>
        <v>33.342822937158516</v>
      </c>
      <c r="O586" s="22">
        <f t="shared" si="74"/>
        <v>5.7177062841482496E-2</v>
      </c>
      <c r="P586" s="22">
        <f t="shared" si="75"/>
        <v>0.17148236953195165</v>
      </c>
      <c r="Q586" s="22">
        <f t="shared" si="76"/>
        <v>1.6671411468579258</v>
      </c>
      <c r="R586" s="29" t="str">
        <f t="shared" si="77"/>
        <v>Within screening tolerance</v>
      </c>
      <c r="S586" s="29" t="str">
        <f t="shared" si="78"/>
        <v/>
      </c>
      <c r="T586" s="22">
        <v>10.3</v>
      </c>
      <c r="U586" s="29" t="s">
        <v>4576</v>
      </c>
      <c r="V586" s="29" t="str">
        <f t="shared" si="79"/>
        <v>No geometric exceedance</v>
      </c>
      <c r="W586" s="30"/>
      <c r="X586" s="30"/>
      <c r="Y586" s="30"/>
      <c r="Z586" s="30"/>
      <c r="AA586" s="29" t="s">
        <v>1357</v>
      </c>
      <c r="AB586" s="29"/>
      <c r="AC586" s="39"/>
      <c r="AD586" s="39"/>
    </row>
    <row r="587" spans="1:30" ht="58" customHeight="1">
      <c r="A587" s="1" t="s">
        <v>1264</v>
      </c>
      <c r="B587" s="1">
        <v>4</v>
      </c>
      <c r="C587" s="1" t="s">
        <v>4308</v>
      </c>
      <c r="D587" s="29" t="s">
        <v>226</v>
      </c>
      <c r="E587" s="29" t="s">
        <v>1433</v>
      </c>
      <c r="F587" s="1">
        <v>93010</v>
      </c>
      <c r="G587" s="30">
        <v>32.819000000000003</v>
      </c>
      <c r="H587" s="30">
        <v>131.03399999999999</v>
      </c>
      <c r="I587" s="30">
        <v>32.7545</v>
      </c>
      <c r="J587" s="30">
        <v>130.76300000000001</v>
      </c>
      <c r="K587" s="30">
        <v>12.45</v>
      </c>
      <c r="L587" s="22">
        <v>29.2</v>
      </c>
      <c r="M587" s="22">
        <f t="shared" si="72"/>
        <v>26.328924283138516</v>
      </c>
      <c r="N587" s="22">
        <f t="shared" si="73"/>
        <v>29.124126663425308</v>
      </c>
      <c r="O587" s="22">
        <f t="shared" si="74"/>
        <v>7.5873336574691308E-2</v>
      </c>
      <c r="P587" s="22">
        <f t="shared" si="75"/>
        <v>0.26051712194334964</v>
      </c>
      <c r="Q587" s="22">
        <f t="shared" si="76"/>
        <v>1.4562063331712656</v>
      </c>
      <c r="R587" s="29" t="str">
        <f t="shared" si="77"/>
        <v>Within screening tolerance</v>
      </c>
      <c r="S587" s="29" t="str">
        <f t="shared" si="78"/>
        <v/>
      </c>
      <c r="T587" s="22">
        <v>8.1</v>
      </c>
      <c r="U587" s="29" t="s">
        <v>4576</v>
      </c>
      <c r="V587" s="29" t="str">
        <f t="shared" si="79"/>
        <v>No geometric exceedance</v>
      </c>
      <c r="W587" s="30"/>
      <c r="X587" s="30"/>
      <c r="Y587" s="30"/>
      <c r="Z587" s="30"/>
      <c r="AA587" s="29" t="s">
        <v>1357</v>
      </c>
      <c r="AB587" s="29"/>
      <c r="AC587" s="39"/>
      <c r="AD587" s="39"/>
    </row>
    <row r="588" spans="1:30" ht="58" customHeight="1">
      <c r="A588" s="1" t="s">
        <v>1264</v>
      </c>
      <c r="B588" s="1">
        <v>5</v>
      </c>
      <c r="C588" s="1" t="s">
        <v>4310</v>
      </c>
      <c r="D588" s="29" t="s">
        <v>226</v>
      </c>
      <c r="E588" s="29" t="s">
        <v>1433</v>
      </c>
      <c r="F588" s="1">
        <v>93011</v>
      </c>
      <c r="G588" s="30">
        <v>32.856000000000002</v>
      </c>
      <c r="H588" s="30">
        <v>131.00299999999999</v>
      </c>
      <c r="I588" s="30">
        <v>32.7545</v>
      </c>
      <c r="J588" s="30">
        <v>130.76300000000001</v>
      </c>
      <c r="K588" s="30">
        <v>12.45</v>
      </c>
      <c r="L588" s="22">
        <v>28.1</v>
      </c>
      <c r="M588" s="22">
        <f t="shared" si="72"/>
        <v>25.110072097178502</v>
      </c>
      <c r="N588" s="22">
        <f t="shared" si="73"/>
        <v>28.02709797188254</v>
      </c>
      <c r="O588" s="22">
        <f t="shared" si="74"/>
        <v>7.2902028117461271E-2</v>
      </c>
      <c r="P588" s="22">
        <f t="shared" si="75"/>
        <v>0.26011265308523324</v>
      </c>
      <c r="Q588" s="22">
        <f t="shared" si="76"/>
        <v>1.4013548985941271</v>
      </c>
      <c r="R588" s="29" t="str">
        <f t="shared" si="77"/>
        <v>Within screening tolerance</v>
      </c>
      <c r="S588" s="29" t="str">
        <f t="shared" si="78"/>
        <v/>
      </c>
      <c r="T588" s="22">
        <v>3.4</v>
      </c>
      <c r="U588" s="29" t="s">
        <v>4576</v>
      </c>
      <c r="V588" s="29" t="str">
        <f t="shared" si="79"/>
        <v>No geometric exceedance</v>
      </c>
      <c r="W588" s="30"/>
      <c r="X588" s="30"/>
      <c r="Y588" s="30"/>
      <c r="Z588" s="30"/>
      <c r="AA588" s="29" t="s">
        <v>1357</v>
      </c>
      <c r="AB588" s="29"/>
      <c r="AC588" s="39"/>
      <c r="AD588" s="39"/>
    </row>
    <row r="589" spans="1:30" ht="58" customHeight="1">
      <c r="A589" s="1" t="s">
        <v>1264</v>
      </c>
      <c r="B589" s="1">
        <v>6</v>
      </c>
      <c r="C589" s="1" t="s">
        <v>4312</v>
      </c>
      <c r="D589" s="29" t="s">
        <v>226</v>
      </c>
      <c r="E589" s="29" t="s">
        <v>1433</v>
      </c>
      <c r="F589" s="1">
        <v>93020</v>
      </c>
      <c r="G589" s="30">
        <v>32.643000000000001</v>
      </c>
      <c r="H589" s="30">
        <v>130.67099999999999</v>
      </c>
      <c r="I589" s="30">
        <v>32.7545</v>
      </c>
      <c r="J589" s="30">
        <v>130.76300000000001</v>
      </c>
      <c r="K589" s="30">
        <v>12.45</v>
      </c>
      <c r="L589" s="22">
        <v>19.600000000000001</v>
      </c>
      <c r="M589" s="22">
        <f t="shared" si="72"/>
        <v>15.093913084154114</v>
      </c>
      <c r="N589" s="22">
        <f t="shared" si="73"/>
        <v>19.566009102318201</v>
      </c>
      <c r="O589" s="22">
        <f t="shared" si="74"/>
        <v>3.3990897681800192E-2</v>
      </c>
      <c r="P589" s="22">
        <f t="shared" si="75"/>
        <v>0.17372422502743759</v>
      </c>
      <c r="Q589" s="22">
        <f t="shared" si="76"/>
        <v>1</v>
      </c>
      <c r="R589" s="29" t="str">
        <f t="shared" si="77"/>
        <v>Within screening tolerance</v>
      </c>
      <c r="S589" s="29" t="str">
        <f t="shared" si="78"/>
        <v/>
      </c>
      <c r="T589" s="22">
        <v>12.5</v>
      </c>
      <c r="U589" s="29" t="s">
        <v>4576</v>
      </c>
      <c r="V589" s="29" t="str">
        <f t="shared" si="79"/>
        <v>No geometric exceedance</v>
      </c>
      <c r="W589" s="30"/>
      <c r="X589" s="30"/>
      <c r="Y589" s="30"/>
      <c r="Z589" s="30"/>
      <c r="AA589" s="29" t="s">
        <v>1357</v>
      </c>
      <c r="AB589" s="29"/>
      <c r="AC589" s="39"/>
      <c r="AD589" s="39"/>
    </row>
    <row r="590" spans="1:30" ht="58" customHeight="1">
      <c r="A590" s="1" t="s">
        <v>1264</v>
      </c>
      <c r="B590" s="1">
        <v>7</v>
      </c>
      <c r="C590" s="1" t="s">
        <v>4314</v>
      </c>
      <c r="D590" s="29" t="s">
        <v>226</v>
      </c>
      <c r="E590" s="29" t="s">
        <v>1433</v>
      </c>
      <c r="F590" s="1">
        <v>93025</v>
      </c>
      <c r="G590" s="30">
        <v>32.636000000000003</v>
      </c>
      <c r="H590" s="30">
        <v>130.75200000000001</v>
      </c>
      <c r="I590" s="30">
        <v>32.7545</v>
      </c>
      <c r="J590" s="30">
        <v>130.76300000000001</v>
      </c>
      <c r="K590" s="30">
        <v>12.45</v>
      </c>
      <c r="L590" s="22">
        <v>18.100000000000001</v>
      </c>
      <c r="M590" s="22">
        <f t="shared" si="72"/>
        <v>13.216743318727579</v>
      </c>
      <c r="N590" s="22">
        <f t="shared" si="73"/>
        <v>18.157224566357328</v>
      </c>
      <c r="O590" s="22">
        <f t="shared" si="74"/>
        <v>-5.7224566357326978E-2</v>
      </c>
      <c r="P590" s="22">
        <f t="shared" si="75"/>
        <v>-0.3151614176946167</v>
      </c>
      <c r="Q590" s="22">
        <f t="shared" si="76"/>
        <v>1</v>
      </c>
      <c r="R590" s="29" t="str">
        <f t="shared" si="77"/>
        <v>Within screening tolerance</v>
      </c>
      <c r="S590" s="29" t="str">
        <f t="shared" si="78"/>
        <v/>
      </c>
      <c r="T590" s="22">
        <v>8.6</v>
      </c>
      <c r="U590" s="29" t="s">
        <v>4576</v>
      </c>
      <c r="V590" s="29" t="str">
        <f t="shared" si="79"/>
        <v>No geometric exceedance</v>
      </c>
      <c r="W590" s="30"/>
      <c r="X590" s="30"/>
      <c r="Y590" s="30"/>
      <c r="Z590" s="30"/>
      <c r="AA590" s="29" t="s">
        <v>1357</v>
      </c>
      <c r="AB590" s="29"/>
      <c r="AC590" s="39"/>
      <c r="AD590" s="39"/>
    </row>
    <row r="591" spans="1:30" ht="58" customHeight="1">
      <c r="A591" s="1" t="s">
        <v>1264</v>
      </c>
      <c r="B591" s="1">
        <v>8</v>
      </c>
      <c r="C591" s="1" t="s">
        <v>4316</v>
      </c>
      <c r="D591" s="29" t="s">
        <v>226</v>
      </c>
      <c r="E591" s="29" t="s">
        <v>1433</v>
      </c>
      <c r="F591" s="1">
        <v>93029</v>
      </c>
      <c r="G591" s="30">
        <v>32.874000000000002</v>
      </c>
      <c r="H591" s="30">
        <v>130.55799999999999</v>
      </c>
      <c r="I591" s="30">
        <v>32.7545</v>
      </c>
      <c r="J591" s="30">
        <v>130.76300000000001</v>
      </c>
      <c r="K591" s="30">
        <v>12.45</v>
      </c>
      <c r="L591" s="22">
        <v>26.5</v>
      </c>
      <c r="M591" s="22">
        <f t="shared" si="72"/>
        <v>23.3147825020304</v>
      </c>
      <c r="N591" s="22">
        <f t="shared" si="73"/>
        <v>26.430693958293695</v>
      </c>
      <c r="O591" s="22">
        <f t="shared" si="74"/>
        <v>6.9306041706305166E-2</v>
      </c>
      <c r="P591" s="22">
        <f t="shared" si="75"/>
        <v>0.26221801749006896</v>
      </c>
      <c r="Q591" s="22">
        <f t="shared" si="76"/>
        <v>1.3215346979146849</v>
      </c>
      <c r="R591" s="29" t="str">
        <f t="shared" si="77"/>
        <v>Within screening tolerance</v>
      </c>
      <c r="S591" s="29" t="str">
        <f t="shared" si="78"/>
        <v/>
      </c>
      <c r="T591" s="22">
        <v>25</v>
      </c>
      <c r="U591" s="29" t="s">
        <v>4576</v>
      </c>
      <c r="V591" s="29" t="str">
        <f t="shared" si="79"/>
        <v>No geometric exceedance</v>
      </c>
      <c r="W591" s="30"/>
      <c r="X591" s="30"/>
      <c r="Y591" s="30"/>
      <c r="Z591" s="30"/>
      <c r="AA591" s="29" t="s">
        <v>1357</v>
      </c>
      <c r="AB591" s="29"/>
      <c r="AC591" s="39"/>
      <c r="AD591" s="39"/>
    </row>
    <row r="592" spans="1:30" ht="58" customHeight="1">
      <c r="A592" s="1" t="s">
        <v>1264</v>
      </c>
      <c r="B592" s="1">
        <v>9</v>
      </c>
      <c r="C592" s="1" t="s">
        <v>4318</v>
      </c>
      <c r="D592" s="29" t="s">
        <v>226</v>
      </c>
      <c r="E592" s="29" t="s">
        <v>1433</v>
      </c>
      <c r="F592" s="1">
        <v>93030</v>
      </c>
      <c r="G592" s="30">
        <v>32.860999999999997</v>
      </c>
      <c r="H592" s="30">
        <v>130.595</v>
      </c>
      <c r="I592" s="30">
        <v>32.7545</v>
      </c>
      <c r="J592" s="30">
        <v>130.76300000000001</v>
      </c>
      <c r="K592" s="30">
        <v>12.45</v>
      </c>
      <c r="L592" s="22">
        <v>23.3</v>
      </c>
      <c r="M592" s="22">
        <f t="shared" si="72"/>
        <v>19.666257295103659</v>
      </c>
      <c r="N592" s="22">
        <f t="shared" si="73"/>
        <v>23.275828148472353</v>
      </c>
      <c r="O592" s="22">
        <f t="shared" si="74"/>
        <v>2.4171851527647448E-2</v>
      </c>
      <c r="P592" s="22">
        <f t="shared" si="75"/>
        <v>0.10384958753544458</v>
      </c>
      <c r="Q592" s="22">
        <f t="shared" si="76"/>
        <v>1.1637914074236178</v>
      </c>
      <c r="R592" s="29" t="str">
        <f t="shared" si="77"/>
        <v>Within screening tolerance</v>
      </c>
      <c r="S592" s="29" t="str">
        <f t="shared" si="78"/>
        <v/>
      </c>
      <c r="T592" s="22">
        <v>21.5</v>
      </c>
      <c r="U592" s="29" t="s">
        <v>4576</v>
      </c>
      <c r="V592" s="29" t="str">
        <f t="shared" si="79"/>
        <v>No geometric exceedance</v>
      </c>
      <c r="W592" s="30"/>
      <c r="X592" s="30"/>
      <c r="Y592" s="30"/>
      <c r="Z592" s="30"/>
      <c r="AA592" s="29" t="s">
        <v>1357</v>
      </c>
      <c r="AB592" s="29"/>
      <c r="AC592" s="39"/>
      <c r="AD592" s="39"/>
    </row>
    <row r="593" spans="1:30" ht="58" customHeight="1">
      <c r="A593" s="1" t="s">
        <v>1264</v>
      </c>
      <c r="B593" s="1">
        <v>10</v>
      </c>
      <c r="C593" s="1" t="s">
        <v>4320</v>
      </c>
      <c r="D593" s="29" t="s">
        <v>226</v>
      </c>
      <c r="E593" s="29" t="s">
        <v>1433</v>
      </c>
      <c r="F593" s="1">
        <v>93041</v>
      </c>
      <c r="G593" s="30">
        <v>32.966000000000001</v>
      </c>
      <c r="H593" s="30">
        <v>130.767</v>
      </c>
      <c r="I593" s="30">
        <v>32.7545</v>
      </c>
      <c r="J593" s="30">
        <v>130.76300000000001</v>
      </c>
      <c r="K593" s="30">
        <v>12.45</v>
      </c>
      <c r="L593" s="22">
        <v>26.6</v>
      </c>
      <c r="M593" s="22">
        <f t="shared" si="72"/>
        <v>23.520694487397481</v>
      </c>
      <c r="N593" s="22">
        <f t="shared" si="73"/>
        <v>26.612507757997747</v>
      </c>
      <c r="O593" s="22">
        <f t="shared" si="74"/>
        <v>-1.2507757997745728E-2</v>
      </c>
      <c r="P593" s="22">
        <f t="shared" si="75"/>
        <v>-4.6999546647334738E-2</v>
      </c>
      <c r="Q593" s="22">
        <f t="shared" si="76"/>
        <v>1.3306253878998875</v>
      </c>
      <c r="R593" s="29" t="str">
        <f t="shared" si="77"/>
        <v>Within screening tolerance</v>
      </c>
      <c r="S593" s="29" t="str">
        <f t="shared" si="78"/>
        <v/>
      </c>
      <c r="T593" s="22">
        <v>18.7</v>
      </c>
      <c r="U593" s="29" t="s">
        <v>4576</v>
      </c>
      <c r="V593" s="29" t="str">
        <f t="shared" si="79"/>
        <v>No geometric exceedance</v>
      </c>
      <c r="W593" s="30"/>
      <c r="X593" s="30"/>
      <c r="Y593" s="30"/>
      <c r="Z593" s="30"/>
      <c r="AA593" s="29" t="s">
        <v>1357</v>
      </c>
      <c r="AB593" s="29"/>
      <c r="AC593" s="39"/>
      <c r="AD593" s="39"/>
    </row>
    <row r="594" spans="1:30" ht="58" customHeight="1">
      <c r="A594" s="1" t="s">
        <v>1264</v>
      </c>
      <c r="B594" s="1">
        <v>11</v>
      </c>
      <c r="C594" s="1" t="s">
        <v>4322</v>
      </c>
      <c r="D594" s="29" t="s">
        <v>226</v>
      </c>
      <c r="E594" s="29" t="s">
        <v>1433</v>
      </c>
      <c r="F594" s="1">
        <v>93042</v>
      </c>
      <c r="G594" s="30">
        <v>32.942999999999998</v>
      </c>
      <c r="H594" s="30">
        <v>130.858</v>
      </c>
      <c r="I594" s="30">
        <v>32.7545</v>
      </c>
      <c r="J594" s="30">
        <v>130.76300000000001</v>
      </c>
      <c r="K594" s="30">
        <v>12.45</v>
      </c>
      <c r="L594" s="22">
        <v>25.9</v>
      </c>
      <c r="M594" s="22">
        <f t="shared" si="72"/>
        <v>22.761542989198404</v>
      </c>
      <c r="N594" s="22">
        <f t="shared" si="73"/>
        <v>25.943984644790532</v>
      </c>
      <c r="O594" s="22">
        <f t="shared" si="74"/>
        <v>-4.3984644790533878E-2</v>
      </c>
      <c r="P594" s="22">
        <f t="shared" si="75"/>
        <v>-0.16953696740398685</v>
      </c>
      <c r="Q594" s="22">
        <f t="shared" si="76"/>
        <v>1.2971992322395267</v>
      </c>
      <c r="R594" s="29" t="str">
        <f t="shared" si="77"/>
        <v>Within screening tolerance</v>
      </c>
      <c r="S594" s="29" t="str">
        <f t="shared" si="78"/>
        <v/>
      </c>
      <c r="T594" s="22">
        <v>12.5</v>
      </c>
      <c r="U594" s="29" t="s">
        <v>4576</v>
      </c>
      <c r="V594" s="29" t="str">
        <f t="shared" si="79"/>
        <v>No geometric exceedance</v>
      </c>
      <c r="W594" s="30"/>
      <c r="X594" s="30"/>
      <c r="Y594" s="30"/>
      <c r="Z594" s="30"/>
      <c r="AA594" s="29" t="s">
        <v>1357</v>
      </c>
      <c r="AB594" s="29"/>
      <c r="AC594" s="39"/>
      <c r="AD594" s="39"/>
    </row>
    <row r="595" spans="1:30" ht="58" customHeight="1">
      <c r="A595" s="1" t="s">
        <v>1264</v>
      </c>
      <c r="B595" s="1">
        <v>12</v>
      </c>
      <c r="C595" s="1" t="s">
        <v>4324</v>
      </c>
      <c r="D595" s="29" t="s">
        <v>226</v>
      </c>
      <c r="E595" s="29" t="s">
        <v>1433</v>
      </c>
      <c r="F595" s="1">
        <v>93044</v>
      </c>
      <c r="G595" s="30">
        <v>32.859000000000002</v>
      </c>
      <c r="H595" s="30">
        <v>130.83099999999999</v>
      </c>
      <c r="I595" s="30">
        <v>32.7545</v>
      </c>
      <c r="J595" s="30">
        <v>130.76300000000001</v>
      </c>
      <c r="K595" s="30">
        <v>12.45</v>
      </c>
      <c r="L595" s="22">
        <v>18.2</v>
      </c>
      <c r="M595" s="22">
        <f t="shared" si="72"/>
        <v>13.244267641483949</v>
      </c>
      <c r="N595" s="22">
        <f t="shared" si="73"/>
        <v>18.177269469292103</v>
      </c>
      <c r="O595" s="22">
        <f t="shared" si="74"/>
        <v>2.2730530707896435E-2</v>
      </c>
      <c r="P595" s="22">
        <f t="shared" si="75"/>
        <v>0.12504920360176436</v>
      </c>
      <c r="Q595" s="22">
        <f t="shared" si="76"/>
        <v>1</v>
      </c>
      <c r="R595" s="29" t="str">
        <f t="shared" si="77"/>
        <v>Within screening tolerance</v>
      </c>
      <c r="S595" s="29" t="str">
        <f t="shared" si="78"/>
        <v/>
      </c>
      <c r="T595" s="22">
        <v>6.8</v>
      </c>
      <c r="U595" s="29" t="s">
        <v>4576</v>
      </c>
      <c r="V595" s="29" t="str">
        <f t="shared" si="79"/>
        <v>No geometric exceedance</v>
      </c>
      <c r="W595" s="30"/>
      <c r="X595" s="30"/>
      <c r="Y595" s="30"/>
      <c r="Z595" s="30"/>
      <c r="AA595" s="29" t="s">
        <v>1357</v>
      </c>
      <c r="AB595" s="29"/>
      <c r="AC595" s="39"/>
      <c r="AD595" s="39"/>
    </row>
    <row r="596" spans="1:30" ht="58" customHeight="1">
      <c r="A596" s="1" t="s">
        <v>1264</v>
      </c>
      <c r="B596" s="1">
        <v>13</v>
      </c>
      <c r="C596" s="1" t="s">
        <v>4326</v>
      </c>
      <c r="D596" s="29" t="s">
        <v>226</v>
      </c>
      <c r="E596" s="29" t="s">
        <v>1433</v>
      </c>
      <c r="F596" s="1">
        <v>93048</v>
      </c>
      <c r="G596" s="30">
        <v>32.831000000000003</v>
      </c>
      <c r="H596" s="30">
        <v>130.905</v>
      </c>
      <c r="I596" s="30">
        <v>32.7545</v>
      </c>
      <c r="J596" s="30">
        <v>130.76300000000001</v>
      </c>
      <c r="K596" s="30">
        <v>12.45</v>
      </c>
      <c r="L596" s="22">
        <v>20.100000000000001</v>
      </c>
      <c r="M596" s="22">
        <f t="shared" si="72"/>
        <v>15.765184162421336</v>
      </c>
      <c r="N596" s="22">
        <f t="shared" si="73"/>
        <v>20.088392958996508</v>
      </c>
      <c r="O596" s="22">
        <f t="shared" si="74"/>
        <v>1.1607041003493634E-2</v>
      </c>
      <c r="P596" s="22">
        <f t="shared" si="75"/>
        <v>5.7779838472820526E-2</v>
      </c>
      <c r="Q596" s="22">
        <f t="shared" si="76"/>
        <v>1.0044196479498255</v>
      </c>
      <c r="R596" s="29" t="str">
        <f t="shared" si="77"/>
        <v>Within screening tolerance</v>
      </c>
      <c r="S596" s="29" t="str">
        <f t="shared" si="78"/>
        <v/>
      </c>
      <c r="T596" s="22">
        <v>2.1</v>
      </c>
      <c r="U596" s="29" t="s">
        <v>4576</v>
      </c>
      <c r="V596" s="29" t="str">
        <f t="shared" si="79"/>
        <v>No geometric exceedance</v>
      </c>
      <c r="W596" s="30"/>
      <c r="X596" s="30"/>
      <c r="Y596" s="30"/>
      <c r="Z596" s="30"/>
      <c r="AA596" s="29" t="s">
        <v>1357</v>
      </c>
      <c r="AB596" s="29"/>
      <c r="AC596" s="39"/>
      <c r="AD596" s="39"/>
    </row>
    <row r="597" spans="1:30" ht="58" customHeight="1">
      <c r="A597" s="1" t="s">
        <v>1264</v>
      </c>
      <c r="B597" s="1">
        <v>14</v>
      </c>
      <c r="C597" s="1" t="s">
        <v>4328</v>
      </c>
      <c r="D597" s="29" t="s">
        <v>226</v>
      </c>
      <c r="E597" s="29" t="s">
        <v>1433</v>
      </c>
      <c r="F597" s="1">
        <v>93051</v>
      </c>
      <c r="G597" s="30">
        <v>32.787999999999997</v>
      </c>
      <c r="H597" s="30">
        <v>130.81899999999999</v>
      </c>
      <c r="I597" s="30">
        <v>32.7545</v>
      </c>
      <c r="J597" s="30">
        <v>130.76300000000001</v>
      </c>
      <c r="K597" s="30">
        <v>12.45</v>
      </c>
      <c r="L597" s="22">
        <v>14</v>
      </c>
      <c r="M597" s="22">
        <f t="shared" si="72"/>
        <v>6.4257106042636414</v>
      </c>
      <c r="N597" s="22">
        <f t="shared" si="73"/>
        <v>14.01043385373009</v>
      </c>
      <c r="O597" s="22">
        <f t="shared" si="74"/>
        <v>-1.0433853730090092E-2</v>
      </c>
      <c r="P597" s="22">
        <f t="shared" si="75"/>
        <v>-7.4472024485610189E-2</v>
      </c>
      <c r="Q597" s="22">
        <f t="shared" si="76"/>
        <v>1</v>
      </c>
      <c r="R597" s="29" t="str">
        <f t="shared" si="77"/>
        <v>Within screening tolerance</v>
      </c>
      <c r="S597" s="29" t="str">
        <f t="shared" si="78"/>
        <v/>
      </c>
      <c r="T597" s="22">
        <v>2.2000000000000002</v>
      </c>
      <c r="U597" s="29" t="s">
        <v>4576</v>
      </c>
      <c r="V597" s="29" t="str">
        <f t="shared" si="79"/>
        <v>No geometric exceedance</v>
      </c>
      <c r="W597" s="30"/>
      <c r="X597" s="30"/>
      <c r="Y597" s="30"/>
      <c r="Z597" s="30"/>
      <c r="AA597" s="29" t="s">
        <v>1357</v>
      </c>
      <c r="AB597" s="29"/>
      <c r="AC597" s="39"/>
      <c r="AD597" s="39"/>
    </row>
    <row r="598" spans="1:30" ht="58" customHeight="1">
      <c r="A598" s="1" t="s">
        <v>1264</v>
      </c>
      <c r="B598" s="1">
        <v>15</v>
      </c>
      <c r="C598" s="1" t="s">
        <v>4330</v>
      </c>
      <c r="D598" s="29" t="s">
        <v>226</v>
      </c>
      <c r="E598" s="29" t="s">
        <v>1433</v>
      </c>
      <c r="F598" s="1">
        <v>93055</v>
      </c>
      <c r="G598" s="30">
        <v>32.530999999999999</v>
      </c>
      <c r="H598" s="30">
        <v>130.63499999999999</v>
      </c>
      <c r="I598" s="30">
        <v>32.7545</v>
      </c>
      <c r="J598" s="30">
        <v>130.76300000000001</v>
      </c>
      <c r="K598" s="30">
        <v>12.45</v>
      </c>
      <c r="L598" s="22">
        <v>30.3</v>
      </c>
      <c r="M598" s="22">
        <f t="shared" si="72"/>
        <v>27.590969517653932</v>
      </c>
      <c r="N598" s="22">
        <f t="shared" si="73"/>
        <v>30.269854623438619</v>
      </c>
      <c r="O598" s="22">
        <f t="shared" si="74"/>
        <v>3.0145376561382164E-2</v>
      </c>
      <c r="P598" s="22">
        <f t="shared" si="75"/>
        <v>9.9588772184059093E-2</v>
      </c>
      <c r="Q598" s="22">
        <f t="shared" si="76"/>
        <v>1.5134927311719311</v>
      </c>
      <c r="R598" s="29" t="str">
        <f t="shared" si="77"/>
        <v>Within screening tolerance</v>
      </c>
      <c r="S598" s="29" t="str">
        <f t="shared" si="78"/>
        <v/>
      </c>
      <c r="T598" s="22">
        <v>23.9</v>
      </c>
      <c r="U598" s="29" t="s">
        <v>4576</v>
      </c>
      <c r="V598" s="29" t="str">
        <f t="shared" si="79"/>
        <v>No geometric exceedance</v>
      </c>
      <c r="W598" s="30"/>
      <c r="X598" s="30"/>
      <c r="Y598" s="30"/>
      <c r="Z598" s="30"/>
      <c r="AA598" s="29" t="s">
        <v>1357</v>
      </c>
      <c r="AB598" s="29"/>
      <c r="AC598" s="39"/>
      <c r="AD598" s="39"/>
    </row>
    <row r="599" spans="1:30" ht="58" customHeight="1">
      <c r="A599" s="1" t="s">
        <v>1264</v>
      </c>
      <c r="B599" s="1">
        <v>16</v>
      </c>
      <c r="C599" s="1" t="s">
        <v>4332</v>
      </c>
      <c r="D599" s="29" t="s">
        <v>226</v>
      </c>
      <c r="E599" s="29" t="s">
        <v>1433</v>
      </c>
      <c r="F599" s="1">
        <v>93056</v>
      </c>
      <c r="G599" s="30">
        <v>32.558999999999997</v>
      </c>
      <c r="H599" s="30">
        <v>130.65100000000001</v>
      </c>
      <c r="I599" s="30">
        <v>32.7545</v>
      </c>
      <c r="J599" s="30">
        <v>130.76300000000001</v>
      </c>
      <c r="K599" s="30">
        <v>12.45</v>
      </c>
      <c r="L599" s="22">
        <v>27.2</v>
      </c>
      <c r="M599" s="22">
        <f t="shared" si="72"/>
        <v>24.135127024960234</v>
      </c>
      <c r="N599" s="22">
        <f t="shared" si="73"/>
        <v>27.157077466306379</v>
      </c>
      <c r="O599" s="22">
        <f t="shared" si="74"/>
        <v>4.2922533693619869E-2</v>
      </c>
      <c r="P599" s="22">
        <f t="shared" si="75"/>
        <v>0.15805284551282661</v>
      </c>
      <c r="Q599" s="22">
        <f t="shared" si="76"/>
        <v>1.3578538733153191</v>
      </c>
      <c r="R599" s="29" t="str">
        <f t="shared" si="77"/>
        <v>Within screening tolerance</v>
      </c>
      <c r="S599" s="29" t="str">
        <f t="shared" si="78"/>
        <v/>
      </c>
      <c r="T599" s="22">
        <v>20.5</v>
      </c>
      <c r="U599" s="29" t="s">
        <v>4576</v>
      </c>
      <c r="V599" s="29" t="str">
        <f t="shared" si="79"/>
        <v>No geometric exceedance</v>
      </c>
      <c r="W599" s="30"/>
      <c r="X599" s="30"/>
      <c r="Y599" s="30"/>
      <c r="Z599" s="30"/>
      <c r="AA599" s="29" t="s">
        <v>1357</v>
      </c>
      <c r="AB599" s="29"/>
      <c r="AC599" s="39"/>
      <c r="AD599" s="39"/>
    </row>
    <row r="600" spans="1:30" ht="58" customHeight="1">
      <c r="A600" s="1" t="s">
        <v>1264</v>
      </c>
      <c r="B600" s="1">
        <v>17</v>
      </c>
      <c r="C600" s="1" t="s">
        <v>4334</v>
      </c>
      <c r="D600" s="29" t="s">
        <v>226</v>
      </c>
      <c r="E600" s="29" t="s">
        <v>1433</v>
      </c>
      <c r="F600" s="1">
        <v>93057</v>
      </c>
      <c r="G600" s="30">
        <v>32.579000000000001</v>
      </c>
      <c r="H600" s="30">
        <v>130.67599999999999</v>
      </c>
      <c r="I600" s="30">
        <v>32.7545</v>
      </c>
      <c r="J600" s="30">
        <v>130.76300000000001</v>
      </c>
      <c r="K600" s="30">
        <v>12.45</v>
      </c>
      <c r="L600" s="22">
        <v>24.5</v>
      </c>
      <c r="M600" s="22">
        <f t="shared" si="72"/>
        <v>21.145798520600966</v>
      </c>
      <c r="N600" s="22">
        <f t="shared" si="73"/>
        <v>24.538689758702478</v>
      </c>
      <c r="O600" s="22">
        <f t="shared" si="74"/>
        <v>-3.8689758702478372E-2</v>
      </c>
      <c r="P600" s="22">
        <f t="shared" si="75"/>
        <v>-0.15766839665413396</v>
      </c>
      <c r="Q600" s="22">
        <f t="shared" si="76"/>
        <v>1.2269344879351241</v>
      </c>
      <c r="R600" s="29" t="str">
        <f t="shared" si="77"/>
        <v>Within screening tolerance</v>
      </c>
      <c r="S600" s="29" t="str">
        <f t="shared" si="78"/>
        <v/>
      </c>
      <c r="T600" s="22">
        <v>17.3</v>
      </c>
      <c r="U600" s="29" t="s">
        <v>4576</v>
      </c>
      <c r="V600" s="29" t="str">
        <f t="shared" si="79"/>
        <v>No geometric exceedance</v>
      </c>
      <c r="W600" s="30"/>
      <c r="X600" s="30"/>
      <c r="Y600" s="30"/>
      <c r="Z600" s="30"/>
      <c r="AA600" s="29" t="s">
        <v>1357</v>
      </c>
      <c r="AB600" s="29"/>
      <c r="AC600" s="39"/>
      <c r="AD600" s="39"/>
    </row>
    <row r="601" spans="1:30" ht="58" customHeight="1">
      <c r="A601" s="1" t="s">
        <v>1264</v>
      </c>
      <c r="B601" s="1">
        <v>18</v>
      </c>
      <c r="C601" s="1" t="s">
        <v>4336</v>
      </c>
      <c r="D601" s="29" t="s">
        <v>226</v>
      </c>
      <c r="E601" s="29" t="s">
        <v>1433</v>
      </c>
      <c r="F601" s="1">
        <v>93096</v>
      </c>
      <c r="G601" s="30">
        <v>32.875999999999998</v>
      </c>
      <c r="H601" s="30">
        <v>130.87100000000001</v>
      </c>
      <c r="I601" s="30">
        <v>32.7545</v>
      </c>
      <c r="J601" s="30">
        <v>130.76300000000001</v>
      </c>
      <c r="K601" s="30">
        <v>12.45</v>
      </c>
      <c r="L601" s="22">
        <v>21</v>
      </c>
      <c r="M601" s="22">
        <f t="shared" si="72"/>
        <v>16.863780123951305</v>
      </c>
      <c r="N601" s="22">
        <f t="shared" si="73"/>
        <v>20.961621599222113</v>
      </c>
      <c r="O601" s="22">
        <f t="shared" si="74"/>
        <v>3.8378400777887123E-2</v>
      </c>
      <c r="P601" s="22">
        <f t="shared" si="75"/>
        <v>0.18308889222249555</v>
      </c>
      <c r="Q601" s="22">
        <f t="shared" si="76"/>
        <v>1.0480810799611058</v>
      </c>
      <c r="R601" s="29" t="str">
        <f t="shared" si="77"/>
        <v>Within screening tolerance</v>
      </c>
      <c r="S601" s="29" t="str">
        <f t="shared" si="78"/>
        <v/>
      </c>
      <c r="T601" s="22">
        <v>6.3</v>
      </c>
      <c r="U601" s="29" t="s">
        <v>4576</v>
      </c>
      <c r="V601" s="29" t="str">
        <f t="shared" si="79"/>
        <v>No geometric exceedance</v>
      </c>
      <c r="W601" s="30"/>
      <c r="X601" s="30"/>
      <c r="Y601" s="30"/>
      <c r="Z601" s="30"/>
      <c r="AA601" s="29" t="s">
        <v>1357</v>
      </c>
      <c r="AB601" s="29"/>
      <c r="AC601" s="39"/>
      <c r="AD601" s="39"/>
    </row>
    <row r="602" spans="1:30" ht="58" customHeight="1">
      <c r="A602" s="1" t="s">
        <v>1264</v>
      </c>
      <c r="B602" s="1">
        <v>19</v>
      </c>
      <c r="C602" s="1" t="s">
        <v>4338</v>
      </c>
      <c r="D602" s="29" t="s">
        <v>226</v>
      </c>
      <c r="E602" s="29" t="s">
        <v>1433</v>
      </c>
      <c r="F602" s="1" t="s">
        <v>1246</v>
      </c>
      <c r="G602" s="30">
        <v>32.648000000000003</v>
      </c>
      <c r="H602" s="30">
        <v>130.684</v>
      </c>
      <c r="I602" s="30">
        <v>32.7545</v>
      </c>
      <c r="J602" s="30">
        <v>130.76300000000001</v>
      </c>
      <c r="K602" s="30">
        <v>12.45</v>
      </c>
      <c r="L602" s="22">
        <v>18.7</v>
      </c>
      <c r="M602" s="22">
        <f t="shared" si="72"/>
        <v>13.960002642459076</v>
      </c>
      <c r="N602" s="22">
        <f t="shared" si="73"/>
        <v>18.705191091712063</v>
      </c>
      <c r="O602" s="22">
        <f t="shared" si="74"/>
        <v>-5.1910917120636668E-3</v>
      </c>
      <c r="P602" s="22">
        <f t="shared" si="75"/>
        <v>-2.7752144774205206E-2</v>
      </c>
      <c r="Q602" s="22">
        <f t="shared" si="76"/>
        <v>1</v>
      </c>
      <c r="R602" s="29" t="str">
        <f t="shared" si="77"/>
        <v>Within screening tolerance</v>
      </c>
      <c r="S602" s="29" t="str">
        <f t="shared" si="78"/>
        <v/>
      </c>
      <c r="T602" s="22">
        <v>11.2</v>
      </c>
      <c r="U602" s="29" t="s">
        <v>4576</v>
      </c>
      <c r="V602" s="29" t="str">
        <f t="shared" si="79"/>
        <v>No geometric exceedance</v>
      </c>
      <c r="W602" s="30"/>
      <c r="X602" s="30"/>
      <c r="Y602" s="30"/>
      <c r="Z602" s="30"/>
      <c r="AA602" s="29" t="s">
        <v>1357</v>
      </c>
      <c r="AB602" s="29"/>
      <c r="AC602" s="39"/>
      <c r="AD602" s="39"/>
    </row>
    <row r="603" spans="1:30" ht="58" customHeight="1">
      <c r="A603" s="1" t="s">
        <v>1264</v>
      </c>
      <c r="B603" s="1">
        <v>20</v>
      </c>
      <c r="C603" s="1" t="s">
        <v>4340</v>
      </c>
      <c r="D603" s="29" t="s">
        <v>226</v>
      </c>
      <c r="E603" s="29" t="s">
        <v>1433</v>
      </c>
      <c r="F603" s="1" t="s">
        <v>1247</v>
      </c>
      <c r="G603" s="30">
        <v>32.880000000000003</v>
      </c>
      <c r="H603" s="30">
        <v>131.07400000000001</v>
      </c>
      <c r="I603" s="30">
        <v>32.7545</v>
      </c>
      <c r="J603" s="30">
        <v>130.76300000000001</v>
      </c>
      <c r="K603" s="30">
        <v>12.45</v>
      </c>
      <c r="L603" s="22">
        <v>34.6</v>
      </c>
      <c r="M603" s="22">
        <f t="shared" si="72"/>
        <v>32.239253006947614</v>
      </c>
      <c r="N603" s="22">
        <f t="shared" si="73"/>
        <v>34.559686550169701</v>
      </c>
      <c r="O603" s="22">
        <f t="shared" si="74"/>
        <v>4.0313449830300385E-2</v>
      </c>
      <c r="P603" s="22">
        <f t="shared" si="75"/>
        <v>0.11664877160207471</v>
      </c>
      <c r="Q603" s="22">
        <f t="shared" si="76"/>
        <v>1.7279843275084852</v>
      </c>
      <c r="R603" s="29" t="str">
        <f t="shared" si="77"/>
        <v>Within screening tolerance</v>
      </c>
      <c r="S603" s="29" t="str">
        <f t="shared" si="78"/>
        <v/>
      </c>
      <c r="T603" s="22">
        <v>5.5</v>
      </c>
      <c r="U603" s="29" t="s">
        <v>4576</v>
      </c>
      <c r="V603" s="29" t="str">
        <f t="shared" si="79"/>
        <v>No geometric exceedance</v>
      </c>
      <c r="W603" s="30"/>
      <c r="X603" s="30"/>
      <c r="Y603" s="30"/>
      <c r="Z603" s="30"/>
      <c r="AA603" s="29" t="s">
        <v>1357</v>
      </c>
      <c r="AB603" s="29"/>
      <c r="AC603" s="39"/>
      <c r="AD603" s="39"/>
    </row>
    <row r="604" spans="1:30" ht="58" customHeight="1">
      <c r="A604" s="1" t="s">
        <v>1264</v>
      </c>
      <c r="B604" s="1">
        <v>21</v>
      </c>
      <c r="C604" s="1" t="s">
        <v>4342</v>
      </c>
      <c r="D604" s="29" t="s">
        <v>226</v>
      </c>
      <c r="E604" s="29" t="s">
        <v>1433</v>
      </c>
      <c r="F604" s="1" t="s">
        <v>1195</v>
      </c>
      <c r="G604" s="30">
        <v>32.932000000000002</v>
      </c>
      <c r="H604" s="30">
        <v>131.12139999999999</v>
      </c>
      <c r="I604" s="30">
        <v>32.7545</v>
      </c>
      <c r="J604" s="30">
        <v>130.76300000000001</v>
      </c>
      <c r="K604" s="30">
        <v>12.45</v>
      </c>
      <c r="L604" s="22">
        <v>40.9</v>
      </c>
      <c r="M604" s="22">
        <f t="shared" si="72"/>
        <v>38.866515477419384</v>
      </c>
      <c r="N604" s="22">
        <f t="shared" si="73"/>
        <v>40.811867457352164</v>
      </c>
      <c r="O604" s="22">
        <f t="shared" si="74"/>
        <v>8.81325426478341E-2</v>
      </c>
      <c r="P604" s="22">
        <f t="shared" si="75"/>
        <v>0.21594832125712302</v>
      </c>
      <c r="Q604" s="22">
        <f t="shared" si="76"/>
        <v>2.0405933728676082</v>
      </c>
      <c r="R604" s="29" t="str">
        <f t="shared" si="77"/>
        <v>Within screening tolerance</v>
      </c>
      <c r="S604" s="29" t="str">
        <f t="shared" si="78"/>
        <v/>
      </c>
      <c r="T604" s="22">
        <v>10.1</v>
      </c>
      <c r="U604" s="29" t="s">
        <v>4576</v>
      </c>
      <c r="V604" s="29" t="str">
        <f t="shared" si="79"/>
        <v>No geometric exceedance</v>
      </c>
      <c r="W604" s="30"/>
      <c r="X604" s="30"/>
      <c r="Y604" s="30"/>
      <c r="Z604" s="30"/>
      <c r="AA604" s="29" t="s">
        <v>1357</v>
      </c>
      <c r="AB604" s="29"/>
      <c r="AC604" s="39"/>
      <c r="AD604" s="39"/>
    </row>
    <row r="605" spans="1:30" ht="58" customHeight="1">
      <c r="A605" s="1" t="s">
        <v>1264</v>
      </c>
      <c r="B605" s="1">
        <v>22</v>
      </c>
      <c r="C605" s="1" t="s">
        <v>4344</v>
      </c>
      <c r="D605" s="29" t="s">
        <v>226</v>
      </c>
      <c r="E605" s="29" t="s">
        <v>1433</v>
      </c>
      <c r="F605" s="1" t="s">
        <v>1197</v>
      </c>
      <c r="G605" s="30">
        <v>32.876100000000001</v>
      </c>
      <c r="H605" s="30">
        <v>130.87739999999999</v>
      </c>
      <c r="I605" s="30">
        <v>32.7545</v>
      </c>
      <c r="J605" s="30">
        <v>130.76300000000001</v>
      </c>
      <c r="K605" s="30">
        <v>12.45</v>
      </c>
      <c r="L605" s="22">
        <v>21.2</v>
      </c>
      <c r="M605" s="22">
        <f t="shared" si="72"/>
        <v>17.237104365013064</v>
      </c>
      <c r="N605" s="22">
        <f t="shared" si="73"/>
        <v>21.26311987668678</v>
      </c>
      <c r="O605" s="22">
        <f t="shared" si="74"/>
        <v>-6.311987668678043E-2</v>
      </c>
      <c r="P605" s="22">
        <f t="shared" si="75"/>
        <v>-0.29685143597382463</v>
      </c>
      <c r="Q605" s="22">
        <f t="shared" si="76"/>
        <v>1.0631559938343391</v>
      </c>
      <c r="R605" s="29" t="str">
        <f t="shared" si="77"/>
        <v>Within screening tolerance</v>
      </c>
      <c r="S605" s="29" t="str">
        <f t="shared" si="78"/>
        <v/>
      </c>
      <c r="T605" s="22">
        <v>6</v>
      </c>
      <c r="U605" s="29" t="s">
        <v>4576</v>
      </c>
      <c r="V605" s="29" t="str">
        <f t="shared" si="79"/>
        <v>No geometric exceedance</v>
      </c>
      <c r="W605" s="30"/>
      <c r="X605" s="30"/>
      <c r="Y605" s="30"/>
      <c r="Z605" s="30"/>
      <c r="AA605" s="29" t="s">
        <v>1357</v>
      </c>
      <c r="AB605" s="29"/>
      <c r="AC605" s="39"/>
      <c r="AD605" s="39"/>
    </row>
    <row r="606" spans="1:30" ht="58" customHeight="1">
      <c r="A606" s="1" t="s">
        <v>1264</v>
      </c>
      <c r="B606" s="1">
        <v>23</v>
      </c>
      <c r="C606" s="1" t="s">
        <v>4346</v>
      </c>
      <c r="D606" s="29" t="s">
        <v>226</v>
      </c>
      <c r="E606" s="29" t="s">
        <v>1433</v>
      </c>
      <c r="F606" s="1" t="s">
        <v>1198</v>
      </c>
      <c r="G606" s="30">
        <v>32.793399999999998</v>
      </c>
      <c r="H606" s="30">
        <v>130.77719999999999</v>
      </c>
      <c r="I606" s="30">
        <v>32.7545</v>
      </c>
      <c r="J606" s="30">
        <v>130.76300000000001</v>
      </c>
      <c r="K606" s="30">
        <v>12.45</v>
      </c>
      <c r="L606" s="22">
        <v>13.2</v>
      </c>
      <c r="M606" s="22">
        <f t="shared" si="72"/>
        <v>4.5246398197933662</v>
      </c>
      <c r="N606" s="22">
        <f t="shared" si="73"/>
        <v>13.246692624910557</v>
      </c>
      <c r="O606" s="22">
        <f t="shared" si="74"/>
        <v>-4.6692624910557257E-2</v>
      </c>
      <c r="P606" s="22">
        <f t="shared" si="75"/>
        <v>-0.35248515408858544</v>
      </c>
      <c r="Q606" s="22">
        <f t="shared" si="76"/>
        <v>1</v>
      </c>
      <c r="R606" s="29" t="str">
        <f t="shared" si="77"/>
        <v>Within screening tolerance</v>
      </c>
      <c r="S606" s="29" t="str">
        <f t="shared" si="78"/>
        <v/>
      </c>
      <c r="T606" s="22">
        <v>4.2</v>
      </c>
      <c r="U606" s="29" t="s">
        <v>4576</v>
      </c>
      <c r="V606" s="29" t="str">
        <f t="shared" si="79"/>
        <v>No geometric exceedance</v>
      </c>
      <c r="W606" s="30"/>
      <c r="X606" s="30"/>
      <c r="Y606" s="30"/>
      <c r="Z606" s="30"/>
      <c r="AA606" s="29" t="s">
        <v>1357</v>
      </c>
      <c r="AB606" s="29"/>
      <c r="AC606" s="39"/>
      <c r="AD606" s="39"/>
    </row>
    <row r="607" spans="1:30" ht="58" customHeight="1">
      <c r="A607" s="1" t="s">
        <v>1264</v>
      </c>
      <c r="B607" s="1">
        <v>24</v>
      </c>
      <c r="C607" s="1" t="s">
        <v>4348</v>
      </c>
      <c r="D607" s="29" t="s">
        <v>226</v>
      </c>
      <c r="E607" s="29" t="s">
        <v>1433</v>
      </c>
      <c r="F607" s="1" t="s">
        <v>1199</v>
      </c>
      <c r="G607" s="30">
        <v>32.826700000000002</v>
      </c>
      <c r="H607" s="30">
        <v>131.12260000000001</v>
      </c>
      <c r="I607" s="30">
        <v>32.7545</v>
      </c>
      <c r="J607" s="30">
        <v>130.76300000000001</v>
      </c>
      <c r="K607" s="30">
        <v>12.45</v>
      </c>
      <c r="L607" s="22">
        <v>36.9</v>
      </c>
      <c r="M607" s="22">
        <f t="shared" si="72"/>
        <v>34.559597274976333</v>
      </c>
      <c r="N607" s="22">
        <f t="shared" si="73"/>
        <v>36.73374829511075</v>
      </c>
      <c r="O607" s="22">
        <f t="shared" si="74"/>
        <v>0.16625170488924823</v>
      </c>
      <c r="P607" s="22">
        <f t="shared" si="75"/>
        <v>0.45258573547577846</v>
      </c>
      <c r="Q607" s="22">
        <f t="shared" si="76"/>
        <v>1.8366874147555377</v>
      </c>
      <c r="R607" s="29" t="str">
        <f t="shared" si="77"/>
        <v>Within screening tolerance</v>
      </c>
      <c r="S607" s="29" t="str">
        <f t="shared" si="78"/>
        <v/>
      </c>
      <c r="T607" s="22">
        <v>12.4</v>
      </c>
      <c r="U607" s="29" t="s">
        <v>4576</v>
      </c>
      <c r="V607" s="29" t="str">
        <f t="shared" si="79"/>
        <v>No geometric exceedance</v>
      </c>
      <c r="W607" s="30"/>
      <c r="X607" s="30"/>
      <c r="Y607" s="30"/>
      <c r="Z607" s="30"/>
      <c r="AA607" s="29" t="s">
        <v>1357</v>
      </c>
      <c r="AB607" s="29"/>
      <c r="AC607" s="39"/>
      <c r="AD607" s="39"/>
    </row>
    <row r="608" spans="1:30" ht="58" customHeight="1">
      <c r="A608" s="1" t="s">
        <v>1264</v>
      </c>
      <c r="B608" s="1">
        <v>25</v>
      </c>
      <c r="C608" s="1" t="s">
        <v>4350</v>
      </c>
      <c r="D608" s="29" t="s">
        <v>226</v>
      </c>
      <c r="E608" s="29" t="s">
        <v>1433</v>
      </c>
      <c r="F608" s="1" t="s">
        <v>1248</v>
      </c>
      <c r="G608" s="30">
        <v>32.997999999999998</v>
      </c>
      <c r="H608" s="30">
        <v>130.83000000000001</v>
      </c>
      <c r="I608" s="30">
        <v>32.7545</v>
      </c>
      <c r="J608" s="30">
        <v>130.76300000000001</v>
      </c>
      <c r="K608" s="30">
        <v>12.45</v>
      </c>
      <c r="L608" s="22">
        <v>30.4</v>
      </c>
      <c r="M608" s="22">
        <f t="shared" si="72"/>
        <v>27.789502801916843</v>
      </c>
      <c r="N608" s="22">
        <f t="shared" si="73"/>
        <v>30.450927177636874</v>
      </c>
      <c r="O608" s="22">
        <f t="shared" si="74"/>
        <v>-5.0927177636875598E-2</v>
      </c>
      <c r="P608" s="22">
        <f t="shared" si="75"/>
        <v>-0.16724343840103648</v>
      </c>
      <c r="Q608" s="22">
        <f t="shared" si="76"/>
        <v>1.5225463588818438</v>
      </c>
      <c r="R608" s="29" t="str">
        <f t="shared" si="77"/>
        <v>Within screening tolerance</v>
      </c>
      <c r="S608" s="29" t="str">
        <f t="shared" si="78"/>
        <v/>
      </c>
      <c r="T608" s="22">
        <v>18.399999999999999</v>
      </c>
      <c r="U608" s="29" t="s">
        <v>4576</v>
      </c>
      <c r="V608" s="29" t="str">
        <f t="shared" si="79"/>
        <v>No geometric exceedance</v>
      </c>
      <c r="W608" s="30"/>
      <c r="X608" s="30"/>
      <c r="Y608" s="30"/>
      <c r="Z608" s="30"/>
      <c r="AA608" s="29" t="s">
        <v>1357</v>
      </c>
      <c r="AB608" s="29"/>
      <c r="AC608" s="39"/>
      <c r="AD608" s="39"/>
    </row>
    <row r="609" spans="1:30" ht="58" customHeight="1">
      <c r="A609" s="1" t="s">
        <v>1264</v>
      </c>
      <c r="B609" s="1">
        <v>26</v>
      </c>
      <c r="C609" s="1" t="s">
        <v>4352</v>
      </c>
      <c r="D609" s="29" t="s">
        <v>226</v>
      </c>
      <c r="E609" s="29" t="s">
        <v>1433</v>
      </c>
      <c r="F609" s="1" t="s">
        <v>1249</v>
      </c>
      <c r="G609" s="30">
        <v>32.951000000000001</v>
      </c>
      <c r="H609" s="30">
        <v>131.02000000000001</v>
      </c>
      <c r="I609" s="30">
        <v>32.7545</v>
      </c>
      <c r="J609" s="30">
        <v>130.76300000000001</v>
      </c>
      <c r="K609" s="30">
        <v>12.45</v>
      </c>
      <c r="L609" s="22">
        <v>34.799999999999997</v>
      </c>
      <c r="M609" s="22">
        <f t="shared" si="72"/>
        <v>32.461261748677195</v>
      </c>
      <c r="N609" s="22">
        <f t="shared" si="73"/>
        <v>34.766880997813615</v>
      </c>
      <c r="O609" s="22">
        <f t="shared" si="74"/>
        <v>3.3119002186381863E-2</v>
      </c>
      <c r="P609" s="22">
        <f t="shared" si="75"/>
        <v>9.5260205217904417E-2</v>
      </c>
      <c r="Q609" s="22">
        <f t="shared" si="76"/>
        <v>1.7383440498906808</v>
      </c>
      <c r="R609" s="29" t="str">
        <f t="shared" si="77"/>
        <v>Within screening tolerance</v>
      </c>
      <c r="S609" s="29" t="str">
        <f t="shared" si="78"/>
        <v/>
      </c>
      <c r="T609" s="22">
        <v>6.2</v>
      </c>
      <c r="U609" s="29" t="s">
        <v>4576</v>
      </c>
      <c r="V609" s="29" t="str">
        <f t="shared" si="79"/>
        <v>No geometric exceedance</v>
      </c>
      <c r="W609" s="30"/>
      <c r="X609" s="30"/>
      <c r="Y609" s="30"/>
      <c r="Z609" s="30"/>
      <c r="AA609" s="29" t="s">
        <v>1357</v>
      </c>
      <c r="AB609" s="29"/>
      <c r="AC609" s="39"/>
      <c r="AD609" s="39"/>
    </row>
    <row r="610" spans="1:30" ht="58" customHeight="1">
      <c r="A610" s="1" t="s">
        <v>1264</v>
      </c>
      <c r="B610" s="1">
        <v>27</v>
      </c>
      <c r="C610" s="1" t="s">
        <v>4354</v>
      </c>
      <c r="D610" s="29" t="s">
        <v>672</v>
      </c>
      <c r="E610" s="29" t="s">
        <v>1797</v>
      </c>
      <c r="F610" s="1" t="s">
        <v>1206</v>
      </c>
      <c r="G610" s="30">
        <v>23.102333000000002</v>
      </c>
      <c r="H610" s="30">
        <v>120.158333</v>
      </c>
      <c r="I610" s="30">
        <v>22.92</v>
      </c>
      <c r="J610" s="30">
        <v>120.54</v>
      </c>
      <c r="K610" s="30">
        <v>14.6</v>
      </c>
      <c r="L610" s="22">
        <v>46.6</v>
      </c>
      <c r="M610" s="22">
        <f t="shared" si="72"/>
        <v>44.010560633061026</v>
      </c>
      <c r="N610" s="22">
        <f t="shared" si="73"/>
        <v>46.369057001801757</v>
      </c>
      <c r="O610" s="22">
        <f t="shared" si="74"/>
        <v>0.23094299819824471</v>
      </c>
      <c r="P610" s="22">
        <f t="shared" si="75"/>
        <v>0.49805411869659327</v>
      </c>
      <c r="Q610" s="22">
        <f t="shared" si="76"/>
        <v>2.3184528500900878</v>
      </c>
      <c r="R610" s="29" t="str">
        <f t="shared" si="77"/>
        <v>Within screening tolerance</v>
      </c>
      <c r="S610" s="29" t="str">
        <f t="shared" si="78"/>
        <v/>
      </c>
      <c r="T610" s="22">
        <v>28.4</v>
      </c>
      <c r="U610" s="29" t="s">
        <v>4576</v>
      </c>
      <c r="V610" s="29" t="str">
        <f t="shared" si="79"/>
        <v>No geometric exceedance</v>
      </c>
      <c r="W610" s="30"/>
      <c r="X610" s="30"/>
      <c r="Y610" s="30"/>
      <c r="Z610" s="30"/>
      <c r="AA610" s="29" t="s">
        <v>1357</v>
      </c>
      <c r="AB610" s="29"/>
      <c r="AC610" s="39"/>
      <c r="AD610" s="39"/>
    </row>
    <row r="611" spans="1:30" ht="58" customHeight="1">
      <c r="A611" s="1" t="s">
        <v>1264</v>
      </c>
      <c r="B611" s="1">
        <v>28</v>
      </c>
      <c r="C611" s="1" t="s">
        <v>4356</v>
      </c>
      <c r="D611" s="29" t="s">
        <v>672</v>
      </c>
      <c r="E611" s="29" t="s">
        <v>1797</v>
      </c>
      <c r="F611" s="1" t="s">
        <v>1162</v>
      </c>
      <c r="G611" s="30">
        <v>23.171330000000001</v>
      </c>
      <c r="H611" s="30">
        <v>120.3272</v>
      </c>
      <c r="I611" s="30">
        <v>22.92</v>
      </c>
      <c r="J611" s="30">
        <v>120.54</v>
      </c>
      <c r="K611" s="30">
        <v>14.6</v>
      </c>
      <c r="L611" s="22">
        <v>38.299999999999997</v>
      </c>
      <c r="M611" s="22">
        <f t="shared" si="72"/>
        <v>35.427583921348713</v>
      </c>
      <c r="N611" s="22">
        <f t="shared" si="73"/>
        <v>38.318059743470911</v>
      </c>
      <c r="O611" s="22">
        <f t="shared" si="74"/>
        <v>-1.8059743470914214E-2</v>
      </c>
      <c r="P611" s="22">
        <f t="shared" si="75"/>
        <v>-4.7131153278165264E-2</v>
      </c>
      <c r="Q611" s="22">
        <f t="shared" si="76"/>
        <v>1.9159029871735456</v>
      </c>
      <c r="R611" s="29" t="str">
        <f t="shared" si="77"/>
        <v>Within screening tolerance</v>
      </c>
      <c r="S611" s="29" t="str">
        <f t="shared" si="78"/>
        <v/>
      </c>
      <c r="T611" s="22">
        <v>23.6</v>
      </c>
      <c r="U611" s="29" t="s">
        <v>4576</v>
      </c>
      <c r="V611" s="29" t="str">
        <f t="shared" si="79"/>
        <v>No geometric exceedance</v>
      </c>
      <c r="W611" s="30"/>
      <c r="X611" s="30"/>
      <c r="Y611" s="30"/>
      <c r="Z611" s="30"/>
      <c r="AA611" s="29" t="s">
        <v>1357</v>
      </c>
      <c r="AB611" s="29"/>
      <c r="AC611" s="39"/>
      <c r="AD611" s="39"/>
    </row>
    <row r="612" spans="1:30" ht="58" customHeight="1">
      <c r="A612" s="1" t="s">
        <v>1264</v>
      </c>
      <c r="B612" s="1">
        <v>29</v>
      </c>
      <c r="C612" s="1" t="s">
        <v>4358</v>
      </c>
      <c r="D612" s="29" t="s">
        <v>672</v>
      </c>
      <c r="E612" s="29" t="s">
        <v>1797</v>
      </c>
      <c r="F612" s="1" t="s">
        <v>1208</v>
      </c>
      <c r="G612" s="30">
        <v>23.1235</v>
      </c>
      <c r="H612" s="30">
        <v>120.2458</v>
      </c>
      <c r="I612" s="30">
        <v>22.92</v>
      </c>
      <c r="J612" s="30">
        <v>120.54</v>
      </c>
      <c r="K612" s="30">
        <v>14.6</v>
      </c>
      <c r="L612" s="22">
        <v>40.6</v>
      </c>
      <c r="M612" s="22">
        <f t="shared" si="72"/>
        <v>37.663395633641521</v>
      </c>
      <c r="N612" s="22">
        <f t="shared" si="73"/>
        <v>40.394199715506275</v>
      </c>
      <c r="O612" s="22">
        <f t="shared" si="74"/>
        <v>0.20580028449372634</v>
      </c>
      <c r="P612" s="22">
        <f t="shared" si="75"/>
        <v>0.50947979151255474</v>
      </c>
      <c r="Q612" s="22">
        <f t="shared" si="76"/>
        <v>2.019709985775314</v>
      </c>
      <c r="R612" s="29" t="str">
        <f t="shared" si="77"/>
        <v>Within screening tolerance</v>
      </c>
      <c r="S612" s="29" t="str">
        <f t="shared" si="78"/>
        <v/>
      </c>
      <c r="T612" s="22">
        <v>24</v>
      </c>
      <c r="U612" s="29" t="s">
        <v>4576</v>
      </c>
      <c r="V612" s="29" t="str">
        <f t="shared" si="79"/>
        <v>No geometric exceedance</v>
      </c>
      <c r="W612" s="30"/>
      <c r="X612" s="30"/>
      <c r="Y612" s="30"/>
      <c r="Z612" s="30"/>
      <c r="AA612" s="29" t="s">
        <v>1357</v>
      </c>
      <c r="AB612" s="29"/>
      <c r="AC612" s="39"/>
      <c r="AD612" s="39"/>
    </row>
    <row r="613" spans="1:30" ht="58" customHeight="1">
      <c r="A613" s="1" t="s">
        <v>1264</v>
      </c>
      <c r="B613" s="1">
        <v>30</v>
      </c>
      <c r="C613" s="1" t="s">
        <v>4360</v>
      </c>
      <c r="D613" s="29" t="s">
        <v>672</v>
      </c>
      <c r="E613" s="29" t="s">
        <v>1797</v>
      </c>
      <c r="F613" s="1" t="s">
        <v>1209</v>
      </c>
      <c r="G613" s="30">
        <v>23.121500000000001</v>
      </c>
      <c r="H613" s="30">
        <v>120.459</v>
      </c>
      <c r="I613" s="30">
        <v>22.92</v>
      </c>
      <c r="J613" s="30">
        <v>120.54</v>
      </c>
      <c r="K613" s="30">
        <v>14.6</v>
      </c>
      <c r="L613" s="22">
        <v>28.2</v>
      </c>
      <c r="M613" s="22">
        <f t="shared" si="72"/>
        <v>23.890058030959604</v>
      </c>
      <c r="N613" s="22">
        <f t="shared" si="73"/>
        <v>27.998122664254073</v>
      </c>
      <c r="O613" s="22">
        <f t="shared" si="74"/>
        <v>0.2018773357459267</v>
      </c>
      <c r="P613" s="22">
        <f t="shared" si="75"/>
        <v>0.72103882880572101</v>
      </c>
      <c r="Q613" s="22">
        <f t="shared" si="76"/>
        <v>1.3999061332127036</v>
      </c>
      <c r="R613" s="29" t="str">
        <f t="shared" si="77"/>
        <v>Within screening tolerance</v>
      </c>
      <c r="S613" s="29" t="str">
        <f t="shared" si="78"/>
        <v/>
      </c>
      <c r="T613" s="22">
        <v>21.6</v>
      </c>
      <c r="U613" s="29" t="s">
        <v>4576</v>
      </c>
      <c r="V613" s="29" t="str">
        <f t="shared" si="79"/>
        <v>No geometric exceedance</v>
      </c>
      <c r="W613" s="30"/>
      <c r="X613" s="30"/>
      <c r="Y613" s="30"/>
      <c r="Z613" s="30"/>
      <c r="AA613" s="29" t="s">
        <v>1357</v>
      </c>
      <c r="AB613" s="29"/>
      <c r="AC613" s="39"/>
      <c r="AD613" s="39"/>
    </row>
    <row r="614" spans="1:30" ht="58" customHeight="1">
      <c r="A614" s="1" t="s">
        <v>1264</v>
      </c>
      <c r="B614" s="1">
        <v>31</v>
      </c>
      <c r="C614" s="1" t="s">
        <v>4362</v>
      </c>
      <c r="D614" s="29" t="s">
        <v>672</v>
      </c>
      <c r="E614" s="29" t="s">
        <v>1797</v>
      </c>
      <c r="F614" s="1" t="s">
        <v>1164</v>
      </c>
      <c r="G614" s="30">
        <v>23.025829999999999</v>
      </c>
      <c r="H614" s="30">
        <v>120.34950000000001</v>
      </c>
      <c r="I614" s="30">
        <v>22.92</v>
      </c>
      <c r="J614" s="30">
        <v>120.54</v>
      </c>
      <c r="K614" s="30">
        <v>14.6</v>
      </c>
      <c r="L614" s="22">
        <v>27.8</v>
      </c>
      <c r="M614" s="22">
        <f t="shared" si="72"/>
        <v>22.77789298420717</v>
      </c>
      <c r="N614" s="22">
        <f t="shared" si="73"/>
        <v>27.055358227160738</v>
      </c>
      <c r="O614" s="22">
        <f t="shared" si="74"/>
        <v>0.74464177283926247</v>
      </c>
      <c r="P614" s="22">
        <f t="shared" si="75"/>
        <v>2.752289459955183</v>
      </c>
      <c r="Q614" s="22">
        <f t="shared" si="76"/>
        <v>1.3527679113580371</v>
      </c>
      <c r="R614" s="29" t="str">
        <f t="shared" si="77"/>
        <v>Within screening tolerance</v>
      </c>
      <c r="S614" s="29" t="str">
        <f t="shared" si="78"/>
        <v/>
      </c>
      <c r="T614" s="22">
        <v>16.600000000000001</v>
      </c>
      <c r="U614" s="29" t="s">
        <v>4576</v>
      </c>
      <c r="V614" s="29" t="str">
        <f t="shared" si="79"/>
        <v>No geometric exceedance</v>
      </c>
      <c r="W614" s="30"/>
      <c r="X614" s="30"/>
      <c r="Y614" s="30"/>
      <c r="Z614" s="30"/>
      <c r="AA614" s="29" t="s">
        <v>1357</v>
      </c>
      <c r="AB614" s="29"/>
      <c r="AC614" s="39"/>
      <c r="AD614" s="39"/>
    </row>
    <row r="615" spans="1:30" ht="58" customHeight="1">
      <c r="A615" s="1" t="s">
        <v>1264</v>
      </c>
      <c r="B615" s="1">
        <v>32</v>
      </c>
      <c r="C615" s="1" t="s">
        <v>4364</v>
      </c>
      <c r="D615" s="29" t="s">
        <v>672</v>
      </c>
      <c r="E615" s="29" t="s">
        <v>1797</v>
      </c>
      <c r="F615" s="1" t="s">
        <v>1211</v>
      </c>
      <c r="G615" s="30">
        <v>22.997330000000002</v>
      </c>
      <c r="H615" s="30">
        <v>120.1923</v>
      </c>
      <c r="I615" s="30">
        <v>22.92</v>
      </c>
      <c r="J615" s="30">
        <v>120.54</v>
      </c>
      <c r="K615" s="30">
        <v>14.6</v>
      </c>
      <c r="L615" s="22">
        <v>40.1</v>
      </c>
      <c r="M615" s="22">
        <f t="shared" si="72"/>
        <v>36.623608456133489</v>
      </c>
      <c r="N615" s="22">
        <f t="shared" si="73"/>
        <v>39.426497388788832</v>
      </c>
      <c r="O615" s="22">
        <f t="shared" si="74"/>
        <v>0.67350261121116972</v>
      </c>
      <c r="P615" s="22">
        <f t="shared" si="75"/>
        <v>1.7082486546286111</v>
      </c>
      <c r="Q615" s="22">
        <f t="shared" si="76"/>
        <v>1.9713248694394416</v>
      </c>
      <c r="R615" s="29" t="str">
        <f t="shared" si="77"/>
        <v>Within screening tolerance</v>
      </c>
      <c r="S615" s="29" t="str">
        <f t="shared" si="78"/>
        <v/>
      </c>
      <c r="T615" s="22">
        <v>21.4</v>
      </c>
      <c r="U615" s="29" t="s">
        <v>4576</v>
      </c>
      <c r="V615" s="29" t="str">
        <f t="shared" si="79"/>
        <v>No geometric exceedance</v>
      </c>
      <c r="W615" s="30"/>
      <c r="X615" s="30"/>
      <c r="Y615" s="30"/>
      <c r="Z615" s="30"/>
      <c r="AA615" s="29" t="s">
        <v>1357</v>
      </c>
      <c r="AB615" s="29"/>
      <c r="AC615" s="39"/>
      <c r="AD615" s="39"/>
    </row>
    <row r="616" spans="1:30" ht="58" customHeight="1">
      <c r="A616" s="1" t="s">
        <v>1264</v>
      </c>
      <c r="B616" s="1">
        <v>33</v>
      </c>
      <c r="C616" s="1" t="s">
        <v>4366</v>
      </c>
      <c r="D616" s="29" t="s">
        <v>672</v>
      </c>
      <c r="E616" s="29" t="s">
        <v>1797</v>
      </c>
      <c r="F616" s="1" t="s">
        <v>1213</v>
      </c>
      <c r="G616" s="30">
        <v>22.97317</v>
      </c>
      <c r="H616" s="30">
        <v>120.1897</v>
      </c>
      <c r="I616" s="30">
        <v>22.92</v>
      </c>
      <c r="J616" s="30">
        <v>120.54</v>
      </c>
      <c r="K616" s="30">
        <v>14.6</v>
      </c>
      <c r="L616" s="22">
        <v>39.9</v>
      </c>
      <c r="M616" s="22">
        <f t="shared" si="72"/>
        <v>36.353267076899357</v>
      </c>
      <c r="N616" s="22">
        <f t="shared" si="73"/>
        <v>39.175502896125977</v>
      </c>
      <c r="O616" s="22">
        <f t="shared" si="74"/>
        <v>0.72449710387402178</v>
      </c>
      <c r="P616" s="22">
        <f t="shared" si="75"/>
        <v>1.8493626126383855</v>
      </c>
      <c r="Q616" s="22">
        <f t="shared" si="76"/>
        <v>1.9587751448062989</v>
      </c>
      <c r="R616" s="29" t="str">
        <f t="shared" si="77"/>
        <v>Within screening tolerance</v>
      </c>
      <c r="S616" s="29" t="str">
        <f t="shared" si="78"/>
        <v/>
      </c>
      <c r="T616" s="22">
        <v>20.5</v>
      </c>
      <c r="U616" s="29" t="s">
        <v>4576</v>
      </c>
      <c r="V616" s="29" t="str">
        <f t="shared" si="79"/>
        <v>No geometric exceedance</v>
      </c>
      <c r="W616" s="30"/>
      <c r="X616" s="30"/>
      <c r="Y616" s="30"/>
      <c r="Z616" s="30"/>
      <c r="AA616" s="29" t="s">
        <v>1357</v>
      </c>
      <c r="AB616" s="29"/>
      <c r="AC616" s="39"/>
      <c r="AD616" s="39"/>
    </row>
    <row r="617" spans="1:30" ht="58" customHeight="1">
      <c r="A617" s="1" t="s">
        <v>1264</v>
      </c>
      <c r="B617" s="1">
        <v>34</v>
      </c>
      <c r="C617" s="1" t="s">
        <v>4368</v>
      </c>
      <c r="D617" s="29" t="s">
        <v>672</v>
      </c>
      <c r="E617" s="29" t="s">
        <v>1797</v>
      </c>
      <c r="F617" s="1" t="s">
        <v>1214</v>
      </c>
      <c r="G617" s="30">
        <v>22.963830000000002</v>
      </c>
      <c r="H617" s="30">
        <v>120.2363</v>
      </c>
      <c r="I617" s="30">
        <v>22.92</v>
      </c>
      <c r="J617" s="30">
        <v>120.54</v>
      </c>
      <c r="K617" s="30">
        <v>14.6</v>
      </c>
      <c r="L617" s="22">
        <v>35.6</v>
      </c>
      <c r="M617" s="22">
        <f t="shared" si="72"/>
        <v>31.478285668888319</v>
      </c>
      <c r="N617" s="22">
        <f t="shared" si="73"/>
        <v>34.699315103502251</v>
      </c>
      <c r="O617" s="22">
        <f t="shared" si="74"/>
        <v>0.90068489649775074</v>
      </c>
      <c r="P617" s="22">
        <f t="shared" si="75"/>
        <v>2.5956849402103712</v>
      </c>
      <c r="Q617" s="22">
        <f t="shared" si="76"/>
        <v>1.7349657551751125</v>
      </c>
      <c r="R617" s="29" t="str">
        <f t="shared" si="77"/>
        <v>Within screening tolerance</v>
      </c>
      <c r="S617" s="29" t="str">
        <f t="shared" si="78"/>
        <v/>
      </c>
      <c r="T617" s="22">
        <v>17</v>
      </c>
      <c r="U617" s="29" t="s">
        <v>4576</v>
      </c>
      <c r="V617" s="29" t="str">
        <f t="shared" si="79"/>
        <v>No geometric exceedance</v>
      </c>
      <c r="W617" s="30"/>
      <c r="X617" s="30"/>
      <c r="Y617" s="30"/>
      <c r="Z617" s="30"/>
      <c r="AA617" s="29" t="s">
        <v>1357</v>
      </c>
      <c r="AB617" s="29"/>
      <c r="AC617" s="39"/>
      <c r="AD617" s="39"/>
    </row>
    <row r="618" spans="1:30" ht="58" customHeight="1">
      <c r="A618" s="1" t="s">
        <v>1264</v>
      </c>
      <c r="B618" s="1">
        <v>35</v>
      </c>
      <c r="C618" s="1" t="s">
        <v>4370</v>
      </c>
      <c r="D618" s="29" t="s">
        <v>672</v>
      </c>
      <c r="E618" s="29" t="s">
        <v>1797</v>
      </c>
      <c r="F618" s="1" t="s">
        <v>1215</v>
      </c>
      <c r="G618" s="30">
        <v>23.062999999999999</v>
      </c>
      <c r="H618" s="30">
        <v>120.1728</v>
      </c>
      <c r="I618" s="30">
        <v>22.92</v>
      </c>
      <c r="J618" s="30">
        <v>120.54</v>
      </c>
      <c r="K618" s="30">
        <v>14.6</v>
      </c>
      <c r="L618" s="22">
        <v>43.8</v>
      </c>
      <c r="M618" s="22">
        <f t="shared" si="72"/>
        <v>40.812261353711804</v>
      </c>
      <c r="N618" s="22">
        <f t="shared" si="73"/>
        <v>43.345134407493518</v>
      </c>
      <c r="O618" s="22">
        <f t="shared" si="74"/>
        <v>0.45486559250647929</v>
      </c>
      <c r="P618" s="22">
        <f t="shared" si="75"/>
        <v>1.0494040420551609</v>
      </c>
      <c r="Q618" s="22">
        <f t="shared" si="76"/>
        <v>2.167256720374676</v>
      </c>
      <c r="R618" s="29" t="str">
        <f t="shared" si="77"/>
        <v>Within screening tolerance</v>
      </c>
      <c r="S618" s="29" t="str">
        <f t="shared" si="78"/>
        <v/>
      </c>
      <c r="T618" s="22">
        <v>25.6</v>
      </c>
      <c r="U618" s="29" t="s">
        <v>4576</v>
      </c>
      <c r="V618" s="29" t="str">
        <f t="shared" si="79"/>
        <v>No geometric exceedance</v>
      </c>
      <c r="W618" s="30"/>
      <c r="X618" s="30"/>
      <c r="Y618" s="30"/>
      <c r="Z618" s="30"/>
      <c r="AA618" s="29" t="s">
        <v>1357</v>
      </c>
      <c r="AB618" s="29"/>
      <c r="AC618" s="39"/>
      <c r="AD618" s="39"/>
    </row>
    <row r="619" spans="1:30" ht="58" customHeight="1">
      <c r="A619" s="1" t="s">
        <v>1264</v>
      </c>
      <c r="B619" s="1">
        <v>36</v>
      </c>
      <c r="C619" s="1" t="s">
        <v>4372</v>
      </c>
      <c r="D619" s="29" t="s">
        <v>672</v>
      </c>
      <c r="E619" s="29" t="s">
        <v>1797</v>
      </c>
      <c r="F619" s="1" t="s">
        <v>1216</v>
      </c>
      <c r="G619" s="30">
        <v>22.99333</v>
      </c>
      <c r="H619" s="30">
        <v>120.2047</v>
      </c>
      <c r="I619" s="30">
        <v>22.92</v>
      </c>
      <c r="J619" s="30">
        <v>120.54</v>
      </c>
      <c r="K619" s="30">
        <v>14.6</v>
      </c>
      <c r="L619" s="22">
        <v>38.9</v>
      </c>
      <c r="M619" s="22">
        <f t="shared" si="72"/>
        <v>35.285823892497753</v>
      </c>
      <c r="N619" s="22">
        <f t="shared" si="73"/>
        <v>38.187031408219795</v>
      </c>
      <c r="O619" s="22">
        <f t="shared" si="74"/>
        <v>0.71296859178020355</v>
      </c>
      <c r="P619" s="22">
        <f t="shared" si="75"/>
        <v>1.8670437724225308</v>
      </c>
      <c r="Q619" s="22">
        <f t="shared" si="76"/>
        <v>1.9093515704109898</v>
      </c>
      <c r="R619" s="29" t="str">
        <f t="shared" si="77"/>
        <v>Within screening tolerance</v>
      </c>
      <c r="S619" s="29" t="str">
        <f t="shared" si="78"/>
        <v/>
      </c>
      <c r="T619" s="22">
        <v>20.399999999999999</v>
      </c>
      <c r="U619" s="29" t="s">
        <v>4576</v>
      </c>
      <c r="V619" s="29" t="str">
        <f t="shared" si="79"/>
        <v>No geometric exceedance</v>
      </c>
      <c r="W619" s="30"/>
      <c r="X619" s="30"/>
      <c r="Y619" s="30"/>
      <c r="Z619" s="30"/>
      <c r="AA619" s="29" t="s">
        <v>1357</v>
      </c>
      <c r="AB619" s="29"/>
      <c r="AC619" s="39"/>
      <c r="AD619" s="39"/>
    </row>
    <row r="620" spans="1:30" ht="58" customHeight="1">
      <c r="A620" s="1" t="s">
        <v>1264</v>
      </c>
      <c r="B620" s="1">
        <v>37</v>
      </c>
      <c r="C620" s="1" t="s">
        <v>4374</v>
      </c>
      <c r="D620" s="29" t="s">
        <v>672</v>
      </c>
      <c r="E620" s="29" t="s">
        <v>1797</v>
      </c>
      <c r="F620" s="1" t="s">
        <v>1165</v>
      </c>
      <c r="G620" s="30">
        <v>23.075330000000001</v>
      </c>
      <c r="H620" s="30">
        <v>120.364</v>
      </c>
      <c r="I620" s="30">
        <v>22.92</v>
      </c>
      <c r="J620" s="30">
        <v>120.54</v>
      </c>
      <c r="K620" s="30">
        <v>14.6</v>
      </c>
      <c r="L620" s="22">
        <v>29.4</v>
      </c>
      <c r="M620" s="22">
        <f t="shared" si="72"/>
        <v>24.957046188051031</v>
      </c>
      <c r="N620" s="22">
        <f t="shared" si="73"/>
        <v>28.913909359208283</v>
      </c>
      <c r="O620" s="22">
        <f t="shared" si="74"/>
        <v>0.4860906407917156</v>
      </c>
      <c r="P620" s="22">
        <f t="shared" si="75"/>
        <v>1.6811654029651619</v>
      </c>
      <c r="Q620" s="22">
        <f t="shared" si="76"/>
        <v>1.4456954679604141</v>
      </c>
      <c r="R620" s="29" t="str">
        <f t="shared" si="77"/>
        <v>Within screening tolerance</v>
      </c>
      <c r="S620" s="29" t="str">
        <f t="shared" si="78"/>
        <v/>
      </c>
      <c r="T620" s="22">
        <v>18.899999999999999</v>
      </c>
      <c r="U620" s="29" t="s">
        <v>4576</v>
      </c>
      <c r="V620" s="29" t="str">
        <f t="shared" si="79"/>
        <v>No geometric exceedance</v>
      </c>
      <c r="W620" s="30"/>
      <c r="X620" s="30"/>
      <c r="Y620" s="30"/>
      <c r="Z620" s="30"/>
      <c r="AA620" s="29" t="s">
        <v>1357</v>
      </c>
      <c r="AB620" s="29"/>
      <c r="AC620" s="39"/>
      <c r="AD620" s="39"/>
    </row>
    <row r="621" spans="1:30" ht="58" customHeight="1">
      <c r="A621" s="1" t="s">
        <v>1264</v>
      </c>
      <c r="B621" s="1">
        <v>38</v>
      </c>
      <c r="C621" s="1" t="s">
        <v>4376</v>
      </c>
      <c r="D621" s="29" t="s">
        <v>672</v>
      </c>
      <c r="E621" s="29" t="s">
        <v>1797</v>
      </c>
      <c r="F621" s="1" t="s">
        <v>1217</v>
      </c>
      <c r="G621" s="30">
        <v>23.009</v>
      </c>
      <c r="H621" s="30">
        <v>120.2115</v>
      </c>
      <c r="I621" s="30">
        <v>22.92</v>
      </c>
      <c r="J621" s="30">
        <v>120.54</v>
      </c>
      <c r="K621" s="30">
        <v>14.6</v>
      </c>
      <c r="L621" s="22">
        <v>38.6</v>
      </c>
      <c r="M621" s="22">
        <f t="shared" si="72"/>
        <v>35.058369049571269</v>
      </c>
      <c r="N621" s="22">
        <f t="shared" si="73"/>
        <v>37.976956702926273</v>
      </c>
      <c r="O621" s="22">
        <f t="shared" si="74"/>
        <v>0.6230432970737283</v>
      </c>
      <c r="P621" s="22">
        <f t="shared" si="75"/>
        <v>1.6405824772834428</v>
      </c>
      <c r="Q621" s="22">
        <f t="shared" si="76"/>
        <v>1.8988478351463138</v>
      </c>
      <c r="R621" s="29" t="str">
        <f t="shared" si="77"/>
        <v>Within screening tolerance</v>
      </c>
      <c r="S621" s="29" t="str">
        <f t="shared" si="78"/>
        <v/>
      </c>
      <c r="T621" s="22">
        <v>20.6</v>
      </c>
      <c r="U621" s="29" t="s">
        <v>4576</v>
      </c>
      <c r="V621" s="29" t="str">
        <f t="shared" si="79"/>
        <v>No geometric exceedance</v>
      </c>
      <c r="W621" s="30"/>
      <c r="X621" s="30"/>
      <c r="Y621" s="30"/>
      <c r="Z621" s="30"/>
      <c r="AA621" s="29" t="s">
        <v>1357</v>
      </c>
      <c r="AB621" s="29"/>
      <c r="AC621" s="39"/>
      <c r="AD621" s="39"/>
    </row>
    <row r="622" spans="1:30" ht="58" customHeight="1">
      <c r="A622" s="1" t="s">
        <v>1264</v>
      </c>
      <c r="B622" s="1">
        <v>39</v>
      </c>
      <c r="C622" s="1" t="s">
        <v>4378</v>
      </c>
      <c r="D622" s="29" t="s">
        <v>672</v>
      </c>
      <c r="E622" s="29" t="s">
        <v>1797</v>
      </c>
      <c r="F622" s="1" t="s">
        <v>1218</v>
      </c>
      <c r="G622" s="30">
        <v>23.00067</v>
      </c>
      <c r="H622" s="30">
        <v>120.1662</v>
      </c>
      <c r="I622" s="30">
        <v>22.92</v>
      </c>
      <c r="J622" s="30">
        <v>120.54</v>
      </c>
      <c r="K622" s="30">
        <v>14.6</v>
      </c>
      <c r="L622" s="22">
        <v>42.6</v>
      </c>
      <c r="M622" s="22">
        <f t="shared" si="72"/>
        <v>39.308842635145623</v>
      </c>
      <c r="N622" s="22">
        <f t="shared" si="73"/>
        <v>41.932625833766274</v>
      </c>
      <c r="O622" s="22">
        <f t="shared" si="74"/>
        <v>0.66737416623372781</v>
      </c>
      <c r="P622" s="22">
        <f t="shared" si="75"/>
        <v>1.5915391725750796</v>
      </c>
      <c r="Q622" s="22">
        <f t="shared" si="76"/>
        <v>2.0966312916883139</v>
      </c>
      <c r="R622" s="29" t="str">
        <f t="shared" si="77"/>
        <v>Within screening tolerance</v>
      </c>
      <c r="S622" s="29" t="str">
        <f t="shared" si="78"/>
        <v/>
      </c>
      <c r="T622" s="22">
        <v>23.5</v>
      </c>
      <c r="U622" s="29" t="s">
        <v>4576</v>
      </c>
      <c r="V622" s="29" t="str">
        <f t="shared" si="79"/>
        <v>No geometric exceedance</v>
      </c>
      <c r="W622" s="30"/>
      <c r="X622" s="30"/>
      <c r="Y622" s="30"/>
      <c r="Z622" s="30"/>
      <c r="AA622" s="29" t="s">
        <v>1357</v>
      </c>
      <c r="AB622" s="29"/>
      <c r="AC622" s="39"/>
      <c r="AD622" s="39"/>
    </row>
    <row r="623" spans="1:30" ht="58" customHeight="1">
      <c r="A623" s="1" t="s">
        <v>1264</v>
      </c>
      <c r="B623" s="1">
        <v>40</v>
      </c>
      <c r="C623" s="1" t="s">
        <v>4380</v>
      </c>
      <c r="D623" s="29" t="s">
        <v>672</v>
      </c>
      <c r="E623" s="29" t="s">
        <v>1797</v>
      </c>
      <c r="F623" s="1" t="s">
        <v>1168</v>
      </c>
      <c r="G623" s="30">
        <v>23.146999999999998</v>
      </c>
      <c r="H623" s="30">
        <v>120.08580000000001</v>
      </c>
      <c r="I623" s="30">
        <v>22.92</v>
      </c>
      <c r="J623" s="30">
        <v>120.54</v>
      </c>
      <c r="K623" s="30">
        <v>14.6</v>
      </c>
      <c r="L623" s="22">
        <v>55</v>
      </c>
      <c r="M623" s="22">
        <f t="shared" si="72"/>
        <v>52.889958148820789</v>
      </c>
      <c r="N623" s="22">
        <f t="shared" si="73"/>
        <v>54.868093396654622</v>
      </c>
      <c r="O623" s="22">
        <f t="shared" si="74"/>
        <v>0.13190660334537796</v>
      </c>
      <c r="P623" s="22">
        <f t="shared" si="75"/>
        <v>0.24040675587502822</v>
      </c>
      <c r="Q623" s="22">
        <f t="shared" si="76"/>
        <v>2.7434046698327315</v>
      </c>
      <c r="R623" s="29" t="str">
        <f t="shared" si="77"/>
        <v>Within screening tolerance</v>
      </c>
      <c r="S623" s="29" t="str">
        <f t="shared" si="78"/>
        <v/>
      </c>
      <c r="T623" s="22">
        <v>35.700000000000003</v>
      </c>
      <c r="U623" s="29" t="s">
        <v>4576</v>
      </c>
      <c r="V623" s="29" t="str">
        <f t="shared" si="79"/>
        <v>No geometric exceedance</v>
      </c>
      <c r="W623" s="30"/>
      <c r="X623" s="30"/>
      <c r="Y623" s="30"/>
      <c r="Z623" s="30"/>
      <c r="AA623" s="29" t="s">
        <v>1357</v>
      </c>
      <c r="AB623" s="29"/>
      <c r="AC623" s="39"/>
      <c r="AD623" s="39"/>
    </row>
    <row r="624" spans="1:30" ht="58" customHeight="1">
      <c r="A624" s="1" t="s">
        <v>1264</v>
      </c>
      <c r="B624" s="1">
        <v>41</v>
      </c>
      <c r="C624" s="1" t="s">
        <v>4382</v>
      </c>
      <c r="D624" s="29" t="s">
        <v>672</v>
      </c>
      <c r="E624" s="29" t="s">
        <v>1797</v>
      </c>
      <c r="F624" s="1" t="s">
        <v>1220</v>
      </c>
      <c r="G624" s="30">
        <v>23.076830000000001</v>
      </c>
      <c r="H624" s="30">
        <v>120.1168</v>
      </c>
      <c r="I624" s="30">
        <v>22.92</v>
      </c>
      <c r="J624" s="30">
        <v>120.54</v>
      </c>
      <c r="K624" s="30">
        <v>14.6</v>
      </c>
      <c r="L624" s="22">
        <v>49.3</v>
      </c>
      <c r="M624" s="22">
        <f t="shared" si="72"/>
        <v>46.695796394765274</v>
      </c>
      <c r="N624" s="22">
        <f t="shared" si="73"/>
        <v>48.925018149627434</v>
      </c>
      <c r="O624" s="22">
        <f t="shared" si="74"/>
        <v>0.37498185037256349</v>
      </c>
      <c r="P624" s="22">
        <f t="shared" si="75"/>
        <v>0.76644192389618759</v>
      </c>
      <c r="Q624" s="22">
        <f t="shared" si="76"/>
        <v>2.4462509074813719</v>
      </c>
      <c r="R624" s="29" t="str">
        <f t="shared" si="77"/>
        <v>Within screening tolerance</v>
      </c>
      <c r="S624" s="29" t="str">
        <f t="shared" si="78"/>
        <v/>
      </c>
      <c r="T624" s="22">
        <v>30.4</v>
      </c>
      <c r="U624" s="29" t="s">
        <v>4576</v>
      </c>
      <c r="V624" s="29" t="str">
        <f t="shared" si="79"/>
        <v>No geometric exceedance</v>
      </c>
      <c r="W624" s="30"/>
      <c r="X624" s="30"/>
      <c r="Y624" s="30"/>
      <c r="Z624" s="30"/>
      <c r="AA624" s="29" t="s">
        <v>1357</v>
      </c>
      <c r="AB624" s="29"/>
      <c r="AC624" s="39"/>
      <c r="AD624" s="39"/>
    </row>
    <row r="625" spans="1:30" ht="58" customHeight="1">
      <c r="A625" s="1" t="s">
        <v>1264</v>
      </c>
      <c r="B625" s="1">
        <v>42</v>
      </c>
      <c r="C625" s="1" t="s">
        <v>4384</v>
      </c>
      <c r="D625" s="29" t="s">
        <v>672</v>
      </c>
      <c r="E625" s="29" t="s">
        <v>1797</v>
      </c>
      <c r="F625" s="1" t="s">
        <v>1221</v>
      </c>
      <c r="G625" s="30">
        <v>22.992170000000002</v>
      </c>
      <c r="H625" s="30">
        <v>120.16679999999999</v>
      </c>
      <c r="I625" s="30">
        <v>22.92</v>
      </c>
      <c r="J625" s="30">
        <v>120.54</v>
      </c>
      <c r="K625" s="30">
        <v>14.6</v>
      </c>
      <c r="L625" s="22">
        <v>42.3</v>
      </c>
      <c r="M625" s="22">
        <f t="shared" si="72"/>
        <v>39.04504560731101</v>
      </c>
      <c r="N625" s="22">
        <f t="shared" si="73"/>
        <v>41.685436143538148</v>
      </c>
      <c r="O625" s="22">
        <f t="shared" si="74"/>
        <v>0.61456385646184941</v>
      </c>
      <c r="P625" s="22">
        <f t="shared" si="75"/>
        <v>1.474289136248166</v>
      </c>
      <c r="Q625" s="22">
        <f t="shared" si="76"/>
        <v>2.0842718071769073</v>
      </c>
      <c r="R625" s="29" t="str">
        <f t="shared" si="77"/>
        <v>Within screening tolerance</v>
      </c>
      <c r="S625" s="29" t="str">
        <f t="shared" si="78"/>
        <v/>
      </c>
      <c r="T625" s="22">
        <v>23</v>
      </c>
      <c r="U625" s="29" t="s">
        <v>4576</v>
      </c>
      <c r="V625" s="29" t="str">
        <f t="shared" si="79"/>
        <v>No geometric exceedance</v>
      </c>
      <c r="W625" s="30"/>
      <c r="X625" s="30"/>
      <c r="Y625" s="30"/>
      <c r="Z625" s="30"/>
      <c r="AA625" s="29" t="s">
        <v>1357</v>
      </c>
      <c r="AB625" s="29"/>
      <c r="AC625" s="39"/>
      <c r="AD625" s="39"/>
    </row>
    <row r="626" spans="1:30" ht="58" customHeight="1">
      <c r="A626" s="1" t="s">
        <v>1264</v>
      </c>
      <c r="B626" s="1">
        <v>43</v>
      </c>
      <c r="C626" s="1" t="s">
        <v>4386</v>
      </c>
      <c r="D626" s="29" t="s">
        <v>672</v>
      </c>
      <c r="E626" s="29" t="s">
        <v>1797</v>
      </c>
      <c r="F626" s="1" t="s">
        <v>1173</v>
      </c>
      <c r="G626" s="30">
        <v>23.119669999999999</v>
      </c>
      <c r="H626" s="30">
        <v>120.3613</v>
      </c>
      <c r="I626" s="30">
        <v>22.92</v>
      </c>
      <c r="J626" s="30">
        <v>120.54</v>
      </c>
      <c r="K626" s="30">
        <v>14.6</v>
      </c>
      <c r="L626" s="22">
        <v>32.5</v>
      </c>
      <c r="M626" s="22">
        <f t="shared" si="72"/>
        <v>28.764572796888402</v>
      </c>
      <c r="N626" s="22">
        <f t="shared" si="73"/>
        <v>32.257722303155447</v>
      </c>
      <c r="O626" s="22">
        <f t="shared" si="74"/>
        <v>0.24227769684455325</v>
      </c>
      <c r="P626" s="22">
        <f t="shared" si="75"/>
        <v>0.75106882800852204</v>
      </c>
      <c r="Q626" s="22">
        <f t="shared" si="76"/>
        <v>1.6128861151577725</v>
      </c>
      <c r="R626" s="29" t="str">
        <f t="shared" si="77"/>
        <v>Within screening tolerance</v>
      </c>
      <c r="S626" s="29" t="str">
        <f t="shared" si="78"/>
        <v/>
      </c>
      <c r="T626" s="22">
        <v>20.9</v>
      </c>
      <c r="U626" s="29" t="s">
        <v>4576</v>
      </c>
      <c r="V626" s="29" t="str">
        <f t="shared" si="79"/>
        <v>No geometric exceedance</v>
      </c>
      <c r="W626" s="30"/>
      <c r="X626" s="30"/>
      <c r="Y626" s="30"/>
      <c r="Z626" s="30"/>
      <c r="AA626" s="29" t="s">
        <v>1357</v>
      </c>
      <c r="AB626" s="29"/>
      <c r="AC626" s="39"/>
      <c r="AD626" s="39"/>
    </row>
    <row r="627" spans="1:30" ht="58" customHeight="1">
      <c r="A627" s="1" t="s">
        <v>1264</v>
      </c>
      <c r="B627" s="1">
        <v>44</v>
      </c>
      <c r="C627" s="1" t="s">
        <v>4388</v>
      </c>
      <c r="D627" s="29" t="s">
        <v>672</v>
      </c>
      <c r="E627" s="29" t="s">
        <v>1797</v>
      </c>
      <c r="F627" s="1" t="s">
        <v>1224</v>
      </c>
      <c r="G627" s="30">
        <v>23.137080000000001</v>
      </c>
      <c r="H627" s="30">
        <v>120.30697000000001</v>
      </c>
      <c r="I627" s="30">
        <v>22.92</v>
      </c>
      <c r="J627" s="30">
        <v>120.54</v>
      </c>
      <c r="K627" s="30">
        <v>14.6</v>
      </c>
      <c r="L627" s="22">
        <v>37.1</v>
      </c>
      <c r="M627" s="22">
        <f t="shared" si="72"/>
        <v>33.93115791449501</v>
      </c>
      <c r="N627" s="22">
        <f t="shared" si="73"/>
        <v>36.938915487848277</v>
      </c>
      <c r="O627" s="22">
        <f t="shared" si="74"/>
        <v>0.16108451215172437</v>
      </c>
      <c r="P627" s="22">
        <f t="shared" si="75"/>
        <v>0.43608349087757065</v>
      </c>
      <c r="Q627" s="22">
        <f t="shared" si="76"/>
        <v>1.846945774392414</v>
      </c>
      <c r="R627" s="29" t="str">
        <f t="shared" si="77"/>
        <v>Within screening tolerance</v>
      </c>
      <c r="S627" s="29" t="str">
        <f t="shared" si="78"/>
        <v/>
      </c>
      <c r="T627" s="22">
        <v>22.4</v>
      </c>
      <c r="U627" s="29" t="s">
        <v>4576</v>
      </c>
      <c r="V627" s="29" t="str">
        <f t="shared" si="79"/>
        <v>No geometric exceedance</v>
      </c>
      <c r="W627" s="30"/>
      <c r="X627" s="30"/>
      <c r="Y627" s="30"/>
      <c r="Z627" s="30"/>
      <c r="AA627" s="29" t="s">
        <v>1357</v>
      </c>
      <c r="AB627" s="29"/>
      <c r="AC627" s="39"/>
      <c r="AD627" s="39"/>
    </row>
    <row r="628" spans="1:30" ht="58" customHeight="1">
      <c r="A628" s="1" t="s">
        <v>1264</v>
      </c>
      <c r="B628" s="1">
        <v>45</v>
      </c>
      <c r="C628" s="1" t="s">
        <v>4390</v>
      </c>
      <c r="D628" s="29" t="s">
        <v>676</v>
      </c>
      <c r="E628" s="29" t="s">
        <v>1924</v>
      </c>
      <c r="F628" s="1" t="s">
        <v>1226</v>
      </c>
      <c r="G628" s="30">
        <v>23.986499999999999</v>
      </c>
      <c r="H628" s="30">
        <v>121.626167</v>
      </c>
      <c r="I628" s="30">
        <v>24.132000000000001</v>
      </c>
      <c r="J628" s="30">
        <v>121.65900000000001</v>
      </c>
      <c r="K628" s="30">
        <v>10.6</v>
      </c>
      <c r="L628" s="22">
        <v>19.600000000000001</v>
      </c>
      <c r="M628" s="22">
        <f t="shared" si="72"/>
        <v>16.518748818401441</v>
      </c>
      <c r="N628" s="22">
        <f t="shared" si="73"/>
        <v>19.62725305603</v>
      </c>
      <c r="O628" s="22">
        <f t="shared" si="74"/>
        <v>-2.725305602999839E-2</v>
      </c>
      <c r="P628" s="22">
        <f t="shared" si="75"/>
        <v>-0.13885313422208895</v>
      </c>
      <c r="Q628" s="22">
        <f t="shared" si="76"/>
        <v>1</v>
      </c>
      <c r="R628" s="29" t="str">
        <f t="shared" si="77"/>
        <v>Within screening tolerance</v>
      </c>
      <c r="S628" s="29" t="str">
        <f t="shared" si="78"/>
        <v/>
      </c>
      <c r="T628" s="22">
        <v>2.2999999999999998</v>
      </c>
      <c r="U628" s="29" t="s">
        <v>4576</v>
      </c>
      <c r="V628" s="29" t="str">
        <f t="shared" si="79"/>
        <v>No geometric exceedance</v>
      </c>
      <c r="W628" s="30"/>
      <c r="X628" s="30"/>
      <c r="Y628" s="30"/>
      <c r="Z628" s="30"/>
      <c r="AA628" s="29" t="s">
        <v>1357</v>
      </c>
      <c r="AB628" s="29"/>
      <c r="AC628" s="39"/>
      <c r="AD628" s="39"/>
    </row>
    <row r="629" spans="1:30" ht="58" customHeight="1">
      <c r="A629" s="1" t="s">
        <v>1264</v>
      </c>
      <c r="B629" s="1">
        <v>46</v>
      </c>
      <c r="C629" s="1" t="s">
        <v>4392</v>
      </c>
      <c r="D629" s="29" t="s">
        <v>676</v>
      </c>
      <c r="E629" s="29" t="s">
        <v>1924</v>
      </c>
      <c r="F629" s="1" t="s">
        <v>1227</v>
      </c>
      <c r="G629" s="30">
        <v>23.987333</v>
      </c>
      <c r="H629" s="30">
        <v>121.60299999999999</v>
      </c>
      <c r="I629" s="30">
        <v>24.132000000000001</v>
      </c>
      <c r="J629" s="30">
        <v>121.65900000000001</v>
      </c>
      <c r="K629" s="30">
        <v>10.6</v>
      </c>
      <c r="L629" s="22">
        <v>20</v>
      </c>
      <c r="M629" s="22">
        <f t="shared" si="72"/>
        <v>17.061558452477279</v>
      </c>
      <c r="N629" s="22">
        <f t="shared" si="73"/>
        <v>20.086233515203862</v>
      </c>
      <c r="O629" s="22">
        <f t="shared" si="74"/>
        <v>-8.6233515203861799E-2</v>
      </c>
      <c r="P629" s="22">
        <f t="shared" si="75"/>
        <v>-0.42931650246219188</v>
      </c>
      <c r="Q629" s="22">
        <f t="shared" si="76"/>
        <v>1.0043116757601931</v>
      </c>
      <c r="R629" s="29" t="str">
        <f t="shared" si="77"/>
        <v>Within screening tolerance</v>
      </c>
      <c r="S629" s="29" t="str">
        <f t="shared" si="78"/>
        <v/>
      </c>
      <c r="T629" s="22">
        <v>2.1</v>
      </c>
      <c r="U629" s="29" t="s">
        <v>4576</v>
      </c>
      <c r="V629" s="29" t="str">
        <f t="shared" si="79"/>
        <v>No geometric exceedance</v>
      </c>
      <c r="W629" s="30"/>
      <c r="X629" s="30"/>
      <c r="Y629" s="30"/>
      <c r="Z629" s="30"/>
      <c r="AA629" s="29" t="s">
        <v>1357</v>
      </c>
      <c r="AB629" s="29"/>
      <c r="AC629" s="39"/>
      <c r="AD629" s="39"/>
    </row>
    <row r="630" spans="1:30" ht="58" customHeight="1">
      <c r="A630" s="1" t="s">
        <v>1264</v>
      </c>
      <c r="B630" s="1">
        <v>47</v>
      </c>
      <c r="C630" s="1" t="s">
        <v>4394</v>
      </c>
      <c r="D630" s="29" t="s">
        <v>676</v>
      </c>
      <c r="E630" s="29" t="s">
        <v>1924</v>
      </c>
      <c r="F630" s="1" t="s">
        <v>1228</v>
      </c>
      <c r="G630" s="30">
        <v>23.990333</v>
      </c>
      <c r="H630" s="30">
        <v>121.622333</v>
      </c>
      <c r="I630" s="30">
        <v>24.132000000000001</v>
      </c>
      <c r="J630" s="30">
        <v>121.65900000000001</v>
      </c>
      <c r="K630" s="30">
        <v>10.6</v>
      </c>
      <c r="L630" s="22">
        <v>19.3</v>
      </c>
      <c r="M630" s="22">
        <f t="shared" si="72"/>
        <v>16.186604413412184</v>
      </c>
      <c r="N630" s="22">
        <f t="shared" si="73"/>
        <v>19.348544194235771</v>
      </c>
      <c r="O630" s="22">
        <f t="shared" si="74"/>
        <v>-4.8544194235770277E-2</v>
      </c>
      <c r="P630" s="22">
        <f t="shared" si="75"/>
        <v>-0.25089326488052954</v>
      </c>
      <c r="Q630" s="22">
        <f t="shared" si="76"/>
        <v>1</v>
      </c>
      <c r="R630" s="29" t="str">
        <f t="shared" si="77"/>
        <v>Within screening tolerance</v>
      </c>
      <c r="S630" s="29" t="str">
        <f t="shared" si="78"/>
        <v/>
      </c>
      <c r="T630" s="22">
        <v>2.2000000000000002</v>
      </c>
      <c r="U630" s="29" t="s">
        <v>4576</v>
      </c>
      <c r="V630" s="29" t="str">
        <f t="shared" si="79"/>
        <v>No geometric exceedance</v>
      </c>
      <c r="W630" s="30"/>
      <c r="X630" s="30"/>
      <c r="Y630" s="30"/>
      <c r="Z630" s="30"/>
      <c r="AA630" s="29" t="s">
        <v>1357</v>
      </c>
      <c r="AB630" s="29"/>
      <c r="AC630" s="39"/>
      <c r="AD630" s="39"/>
    </row>
    <row r="631" spans="1:30" ht="58" customHeight="1">
      <c r="A631" s="1" t="s">
        <v>1264</v>
      </c>
      <c r="B631" s="1">
        <v>48</v>
      </c>
      <c r="C631" s="1" t="s">
        <v>4396</v>
      </c>
      <c r="D631" s="29" t="s">
        <v>676</v>
      </c>
      <c r="E631" s="29" t="s">
        <v>1924</v>
      </c>
      <c r="F631" s="1" t="s">
        <v>1229</v>
      </c>
      <c r="G631" s="30">
        <v>23.978332999999999</v>
      </c>
      <c r="H631" s="30">
        <v>121.602667</v>
      </c>
      <c r="I631" s="30">
        <v>24.132000000000001</v>
      </c>
      <c r="J631" s="30">
        <v>121.65900000000001</v>
      </c>
      <c r="K631" s="30">
        <v>10.6</v>
      </c>
      <c r="L631" s="22">
        <v>20.9</v>
      </c>
      <c r="M631" s="22">
        <f t="shared" si="72"/>
        <v>18.018960991286605</v>
      </c>
      <c r="N631" s="22">
        <f t="shared" si="73"/>
        <v>20.90557234819244</v>
      </c>
      <c r="O631" s="22">
        <f t="shared" si="74"/>
        <v>-5.5723481924410123E-3</v>
      </c>
      <c r="P631" s="22">
        <f t="shared" si="75"/>
        <v>-2.6654846371249027E-2</v>
      </c>
      <c r="Q631" s="22">
        <f t="shared" si="76"/>
        <v>1.045278617409622</v>
      </c>
      <c r="R631" s="29" t="str">
        <f t="shared" si="77"/>
        <v>Within screening tolerance</v>
      </c>
      <c r="S631" s="29" t="str">
        <f t="shared" si="78"/>
        <v/>
      </c>
      <c r="T631" s="22">
        <v>2.1</v>
      </c>
      <c r="U631" s="29" t="s">
        <v>4576</v>
      </c>
      <c r="V631" s="29" t="str">
        <f t="shared" si="79"/>
        <v>No geometric exceedance</v>
      </c>
      <c r="W631" s="30"/>
      <c r="X631" s="30"/>
      <c r="Y631" s="30"/>
      <c r="Z631" s="30"/>
      <c r="AA631" s="29" t="s">
        <v>1357</v>
      </c>
      <c r="AB631" s="29"/>
      <c r="AC631" s="39"/>
      <c r="AD631" s="39"/>
    </row>
    <row r="632" spans="1:30" ht="58" customHeight="1">
      <c r="A632" s="1" t="s">
        <v>1264</v>
      </c>
      <c r="B632" s="1">
        <v>49</v>
      </c>
      <c r="C632" s="1" t="s">
        <v>4398</v>
      </c>
      <c r="D632" s="29" t="s">
        <v>676</v>
      </c>
      <c r="E632" s="29" t="s">
        <v>1924</v>
      </c>
      <c r="F632" s="1" t="s">
        <v>1099</v>
      </c>
      <c r="G632" s="30">
        <v>23.995332999999999</v>
      </c>
      <c r="H632" s="30">
        <v>121.59483299999999</v>
      </c>
      <c r="I632" s="30">
        <v>24.132000000000001</v>
      </c>
      <c r="J632" s="30">
        <v>121.65900000000001</v>
      </c>
      <c r="K632" s="30">
        <v>10.6</v>
      </c>
      <c r="L632" s="22">
        <v>19.600000000000001</v>
      </c>
      <c r="M632" s="22">
        <f t="shared" si="72"/>
        <v>16.534317382496496</v>
      </c>
      <c r="N632" s="22">
        <f t="shared" si="73"/>
        <v>19.640357718359557</v>
      </c>
      <c r="O632" s="22">
        <f t="shared" si="74"/>
        <v>-4.035771835955515E-2</v>
      </c>
      <c r="P632" s="22">
        <f t="shared" si="75"/>
        <v>-0.20548362172563317</v>
      </c>
      <c r="Q632" s="22">
        <f t="shared" si="76"/>
        <v>1</v>
      </c>
      <c r="R632" s="29" t="str">
        <f t="shared" si="77"/>
        <v>Within screening tolerance</v>
      </c>
      <c r="S632" s="29" t="str">
        <f t="shared" si="78"/>
        <v/>
      </c>
      <c r="T632" s="22">
        <v>3</v>
      </c>
      <c r="U632" s="29" t="s">
        <v>4576</v>
      </c>
      <c r="V632" s="29" t="str">
        <f t="shared" si="79"/>
        <v>No geometric exceedance</v>
      </c>
      <c r="W632" s="30"/>
      <c r="X632" s="30"/>
      <c r="Y632" s="30"/>
      <c r="Z632" s="30"/>
      <c r="AA632" s="29" t="s">
        <v>1357</v>
      </c>
      <c r="AB632" s="29"/>
      <c r="AC632" s="39"/>
      <c r="AD632" s="39"/>
    </row>
    <row r="633" spans="1:30" ht="58" customHeight="1">
      <c r="A633" s="1" t="s">
        <v>1264</v>
      </c>
      <c r="B633" s="1">
        <v>50</v>
      </c>
      <c r="C633" s="1" t="s">
        <v>4400</v>
      </c>
      <c r="D633" s="29" t="s">
        <v>676</v>
      </c>
      <c r="E633" s="29" t="s">
        <v>1924</v>
      </c>
      <c r="F633" s="1" t="s">
        <v>1230</v>
      </c>
      <c r="G633" s="30">
        <v>23.992000000000001</v>
      </c>
      <c r="H633" s="30">
        <v>121.631333</v>
      </c>
      <c r="I633" s="30">
        <v>24.132000000000001</v>
      </c>
      <c r="J633" s="30">
        <v>121.65900000000001</v>
      </c>
      <c r="K633" s="30">
        <v>10.6</v>
      </c>
      <c r="L633" s="22">
        <v>19</v>
      </c>
      <c r="M633" s="22">
        <f t="shared" si="72"/>
        <v>15.818709269199898</v>
      </c>
      <c r="N633" s="22">
        <f t="shared" si="73"/>
        <v>19.041837173536347</v>
      </c>
      <c r="O633" s="22">
        <f t="shared" si="74"/>
        <v>-4.1837173536347194E-2</v>
      </c>
      <c r="P633" s="22">
        <f t="shared" si="75"/>
        <v>-0.21971185424529821</v>
      </c>
      <c r="Q633" s="22">
        <f t="shared" si="76"/>
        <v>1</v>
      </c>
      <c r="R633" s="29" t="str">
        <f t="shared" si="77"/>
        <v>Within screening tolerance</v>
      </c>
      <c r="S633" s="29" t="str">
        <f t="shared" si="78"/>
        <v/>
      </c>
      <c r="T633" s="22">
        <v>2.7</v>
      </c>
      <c r="U633" s="29" t="s">
        <v>4576</v>
      </c>
      <c r="V633" s="29" t="str">
        <f t="shared" si="79"/>
        <v>No geometric exceedance</v>
      </c>
      <c r="W633" s="30"/>
      <c r="X633" s="30"/>
      <c r="Y633" s="30"/>
      <c r="Z633" s="30"/>
      <c r="AA633" s="29" t="s">
        <v>1357</v>
      </c>
      <c r="AB633" s="29"/>
      <c r="AC633" s="39"/>
      <c r="AD633" s="39"/>
    </row>
    <row r="634" spans="1:30" ht="58" customHeight="1">
      <c r="A634" s="1" t="s">
        <v>1264</v>
      </c>
      <c r="B634" s="1">
        <v>51</v>
      </c>
      <c r="C634" s="1" t="s">
        <v>4402</v>
      </c>
      <c r="D634" s="29" t="s">
        <v>676</v>
      </c>
      <c r="E634" s="29" t="s">
        <v>1924</v>
      </c>
      <c r="F634" s="1" t="s">
        <v>1231</v>
      </c>
      <c r="G634" s="30">
        <v>23.9755</v>
      </c>
      <c r="H634" s="30">
        <v>121.5985</v>
      </c>
      <c r="I634" s="30">
        <v>24.132000000000001</v>
      </c>
      <c r="J634" s="30">
        <v>121.65900000000001</v>
      </c>
      <c r="K634" s="30">
        <v>10.6</v>
      </c>
      <c r="L634" s="22">
        <v>21.2</v>
      </c>
      <c r="M634" s="22">
        <f t="shared" si="72"/>
        <v>18.454475860076169</v>
      </c>
      <c r="N634" s="22">
        <f t="shared" si="73"/>
        <v>21.282097623827735</v>
      </c>
      <c r="O634" s="22">
        <f t="shared" si="74"/>
        <v>-8.2097623827735333E-2</v>
      </c>
      <c r="P634" s="22">
        <f t="shared" si="75"/>
        <v>-0.3857590791981787</v>
      </c>
      <c r="Q634" s="22">
        <f t="shared" si="76"/>
        <v>1.0641048811913867</v>
      </c>
      <c r="R634" s="29" t="str">
        <f t="shared" si="77"/>
        <v>Within screening tolerance</v>
      </c>
      <c r="S634" s="29" t="str">
        <f t="shared" si="78"/>
        <v/>
      </c>
      <c r="T634" s="22">
        <v>2.2999999999999998</v>
      </c>
      <c r="U634" s="29" t="s">
        <v>4576</v>
      </c>
      <c r="V634" s="29" t="str">
        <f t="shared" si="79"/>
        <v>No geometric exceedance</v>
      </c>
      <c r="W634" s="30"/>
      <c r="X634" s="30"/>
      <c r="Y634" s="30"/>
      <c r="Z634" s="30"/>
      <c r="AA634" s="29" t="s">
        <v>1357</v>
      </c>
      <c r="AB634" s="29"/>
      <c r="AC634" s="39"/>
      <c r="AD634" s="39"/>
    </row>
    <row r="635" spans="1:30" ht="58" customHeight="1">
      <c r="A635" s="1" t="s">
        <v>1264</v>
      </c>
      <c r="B635" s="1">
        <v>52</v>
      </c>
      <c r="C635" s="1" t="s">
        <v>4404</v>
      </c>
      <c r="D635" s="29" t="s">
        <v>676</v>
      </c>
      <c r="E635" s="29" t="s">
        <v>1924</v>
      </c>
      <c r="F635" s="1" t="s">
        <v>1232</v>
      </c>
      <c r="G635" s="30">
        <v>23.971167000000001</v>
      </c>
      <c r="H635" s="30">
        <v>121.605667</v>
      </c>
      <c r="I635" s="30">
        <v>24.132000000000001</v>
      </c>
      <c r="J635" s="30">
        <v>121.65900000000001</v>
      </c>
      <c r="K635" s="30">
        <v>10.6</v>
      </c>
      <c r="L635" s="22">
        <v>21.4</v>
      </c>
      <c r="M635" s="22">
        <f t="shared" si="72"/>
        <v>18.685774510545826</v>
      </c>
      <c r="N635" s="22">
        <f t="shared" si="73"/>
        <v>21.482973934233691</v>
      </c>
      <c r="O635" s="22">
        <f t="shared" si="74"/>
        <v>-8.2973934233692148E-2</v>
      </c>
      <c r="P635" s="22">
        <f t="shared" si="75"/>
        <v>-0.38623113581807672</v>
      </c>
      <c r="Q635" s="22">
        <f t="shared" si="76"/>
        <v>1.0741486967116847</v>
      </c>
      <c r="R635" s="29" t="str">
        <f t="shared" si="77"/>
        <v>Within screening tolerance</v>
      </c>
      <c r="S635" s="29" t="str">
        <f t="shared" si="78"/>
        <v/>
      </c>
      <c r="T635" s="22">
        <v>2.2000000000000002</v>
      </c>
      <c r="U635" s="29" t="s">
        <v>4576</v>
      </c>
      <c r="V635" s="29" t="str">
        <f t="shared" si="79"/>
        <v>No geometric exceedance</v>
      </c>
      <c r="W635" s="30"/>
      <c r="X635" s="30"/>
      <c r="Y635" s="30"/>
      <c r="Z635" s="30"/>
      <c r="AA635" s="29" t="s">
        <v>1357</v>
      </c>
      <c r="AB635" s="29"/>
      <c r="AC635" s="39"/>
      <c r="AD635" s="39"/>
    </row>
    <row r="636" spans="1:30" ht="58" customHeight="1">
      <c r="A636" s="1" t="s">
        <v>1264</v>
      </c>
      <c r="B636" s="1">
        <v>53</v>
      </c>
      <c r="C636" s="1" t="s">
        <v>4406</v>
      </c>
      <c r="D636" s="29" t="s">
        <v>676</v>
      </c>
      <c r="E636" s="29" t="s">
        <v>1924</v>
      </c>
      <c r="F636" s="1" t="s">
        <v>1234</v>
      </c>
      <c r="G636" s="30">
        <v>23.975000000000001</v>
      </c>
      <c r="H636" s="30">
        <v>121.6135</v>
      </c>
      <c r="I636" s="30">
        <v>24.132000000000001</v>
      </c>
      <c r="J636" s="30">
        <v>121.65900000000001</v>
      </c>
      <c r="K636" s="30">
        <v>10.6</v>
      </c>
      <c r="L636" s="22">
        <v>20.9</v>
      </c>
      <c r="M636" s="22">
        <f t="shared" si="72"/>
        <v>18.058589903530329</v>
      </c>
      <c r="N636" s="22">
        <f t="shared" si="73"/>
        <v>20.93973899798867</v>
      </c>
      <c r="O636" s="22">
        <f t="shared" si="74"/>
        <v>-3.9738997988671088E-2</v>
      </c>
      <c r="P636" s="22">
        <f t="shared" si="75"/>
        <v>-0.18977790502779499</v>
      </c>
      <c r="Q636" s="22">
        <f t="shared" si="76"/>
        <v>1.0469869498994335</v>
      </c>
      <c r="R636" s="29" t="str">
        <f t="shared" si="77"/>
        <v>Within screening tolerance</v>
      </c>
      <c r="S636" s="29" t="str">
        <f t="shared" si="78"/>
        <v/>
      </c>
      <c r="T636" s="22">
        <v>1.9</v>
      </c>
      <c r="U636" s="29" t="s">
        <v>4576</v>
      </c>
      <c r="V636" s="29" t="str">
        <f t="shared" si="79"/>
        <v>No geometric exceedance</v>
      </c>
      <c r="W636" s="30"/>
      <c r="X636" s="30"/>
      <c r="Y636" s="30"/>
      <c r="Z636" s="30"/>
      <c r="AA636" s="29" t="s">
        <v>1357</v>
      </c>
      <c r="AB636" s="29"/>
      <c r="AC636" s="39"/>
      <c r="AD636" s="39"/>
    </row>
    <row r="637" spans="1:30" ht="58" customHeight="1">
      <c r="A637" s="1" t="s">
        <v>1264</v>
      </c>
      <c r="B637" s="1">
        <v>54</v>
      </c>
      <c r="C637" s="1" t="s">
        <v>4408</v>
      </c>
      <c r="D637" s="29" t="s">
        <v>676</v>
      </c>
      <c r="E637" s="29" t="s">
        <v>1924</v>
      </c>
      <c r="F637" s="1" t="s">
        <v>1141</v>
      </c>
      <c r="G637" s="30">
        <v>24.014333000000001</v>
      </c>
      <c r="H637" s="30">
        <v>121.6095</v>
      </c>
      <c r="I637" s="30">
        <v>24.132000000000001</v>
      </c>
      <c r="J637" s="30">
        <v>121.65900000000001</v>
      </c>
      <c r="K637" s="30">
        <v>10.6</v>
      </c>
      <c r="L637" s="22">
        <v>28</v>
      </c>
      <c r="M637" s="22">
        <f t="shared" si="72"/>
        <v>14.015893309655549</v>
      </c>
      <c r="N637" s="22">
        <f t="shared" si="73"/>
        <v>17.572855922349309</v>
      </c>
      <c r="O637" s="22">
        <f t="shared" si="74"/>
        <v>10.427144077650691</v>
      </c>
      <c r="P637" s="22">
        <f t="shared" si="75"/>
        <v>59.336650364209497</v>
      </c>
      <c r="Q637" s="22">
        <f t="shared" si="76"/>
        <v>1</v>
      </c>
      <c r="R637" s="29" t="str">
        <f t="shared" si="77"/>
        <v>Review: Rhyp mismatch</v>
      </c>
      <c r="S637" s="29" t="str">
        <f t="shared" si="78"/>
        <v/>
      </c>
      <c r="T637" s="22">
        <v>2.6</v>
      </c>
      <c r="U637" s="29" t="s">
        <v>4576</v>
      </c>
      <c r="V637" s="29" t="str">
        <f t="shared" si="79"/>
        <v>No geometric exceedance</v>
      </c>
      <c r="W637" s="30"/>
      <c r="X637" s="30"/>
      <c r="Y637" s="30"/>
      <c r="Z637" s="30"/>
      <c r="AA637" s="29" t="s">
        <v>1357</v>
      </c>
      <c r="AB637" s="29"/>
      <c r="AC637" s="39"/>
      <c r="AD637" s="39"/>
    </row>
    <row r="638" spans="1:30" ht="58" customHeight="1">
      <c r="A638" s="1" t="s">
        <v>1264</v>
      </c>
      <c r="B638" s="1">
        <v>55</v>
      </c>
      <c r="C638" s="1" t="s">
        <v>4410</v>
      </c>
      <c r="D638" s="29" t="s">
        <v>676</v>
      </c>
      <c r="E638" s="29" t="s">
        <v>1924</v>
      </c>
      <c r="F638" s="1" t="s">
        <v>1143</v>
      </c>
      <c r="G638" s="30">
        <v>23.987832999999998</v>
      </c>
      <c r="H638" s="30">
        <v>121.590833</v>
      </c>
      <c r="I638" s="30">
        <v>24.132000000000001</v>
      </c>
      <c r="J638" s="30">
        <v>121.65900000000001</v>
      </c>
      <c r="K638" s="30">
        <v>10.6</v>
      </c>
      <c r="L638" s="22">
        <v>20.3</v>
      </c>
      <c r="M638" s="22">
        <f t="shared" si="72"/>
        <v>17.460972251938685</v>
      </c>
      <c r="N638" s="22">
        <f t="shared" si="73"/>
        <v>20.426589337992105</v>
      </c>
      <c r="O638" s="22">
        <f t="shared" si="74"/>
        <v>-0.12658933799210459</v>
      </c>
      <c r="P638" s="22">
        <f t="shared" si="75"/>
        <v>-0.61972821745946982</v>
      </c>
      <c r="Q638" s="22">
        <f t="shared" si="76"/>
        <v>1.0213294668996054</v>
      </c>
      <c r="R638" s="29" t="str">
        <f t="shared" si="77"/>
        <v>Within screening tolerance</v>
      </c>
      <c r="S638" s="29" t="str">
        <f t="shared" si="78"/>
        <v/>
      </c>
      <c r="T638" s="22">
        <v>2.9</v>
      </c>
      <c r="U638" s="29" t="s">
        <v>4576</v>
      </c>
      <c r="V638" s="29" t="str">
        <f t="shared" si="79"/>
        <v>No geometric exceedance</v>
      </c>
      <c r="W638" s="30"/>
      <c r="X638" s="30"/>
      <c r="Y638" s="30"/>
      <c r="Z638" s="30"/>
      <c r="AA638" s="29" t="s">
        <v>1357</v>
      </c>
      <c r="AB638" s="29"/>
      <c r="AC638" s="39"/>
      <c r="AD638" s="39"/>
    </row>
    <row r="639" spans="1:30" ht="58" customHeight="1">
      <c r="A639" s="1" t="s">
        <v>1264</v>
      </c>
      <c r="B639" s="1">
        <v>56</v>
      </c>
      <c r="C639" s="1" t="s">
        <v>4412</v>
      </c>
      <c r="D639" s="29" t="s">
        <v>676</v>
      </c>
      <c r="E639" s="29" t="s">
        <v>1924</v>
      </c>
      <c r="F639" s="1" t="s">
        <v>1236</v>
      </c>
      <c r="G639" s="30">
        <v>23.979666999999999</v>
      </c>
      <c r="H639" s="30">
        <v>121.619833</v>
      </c>
      <c r="I639" s="30">
        <v>24.132000000000001</v>
      </c>
      <c r="J639" s="30">
        <v>121.65900000000001</v>
      </c>
      <c r="K639" s="30">
        <v>10.6</v>
      </c>
      <c r="L639" s="22">
        <v>20.6</v>
      </c>
      <c r="M639" s="22">
        <f t="shared" si="72"/>
        <v>17.399251834939381</v>
      </c>
      <c r="N639" s="22">
        <f t="shared" si="73"/>
        <v>20.373854922808334</v>
      </c>
      <c r="O639" s="22">
        <f t="shared" si="74"/>
        <v>0.2261450771916671</v>
      </c>
      <c r="P639" s="22">
        <f t="shared" si="75"/>
        <v>1.1099768701037518</v>
      </c>
      <c r="Q639" s="22">
        <f t="shared" si="76"/>
        <v>1.0186927461404167</v>
      </c>
      <c r="R639" s="29" t="str">
        <f t="shared" si="77"/>
        <v>Within screening tolerance</v>
      </c>
      <c r="S639" s="29" t="str">
        <f t="shared" si="78"/>
        <v/>
      </c>
      <c r="T639" s="22">
        <v>1.9</v>
      </c>
      <c r="U639" s="29" t="s">
        <v>4576</v>
      </c>
      <c r="V639" s="29" t="str">
        <f t="shared" si="79"/>
        <v>No geometric exceedance</v>
      </c>
      <c r="W639" s="30"/>
      <c r="X639" s="30"/>
      <c r="Y639" s="30"/>
      <c r="Z639" s="30"/>
      <c r="AA639" s="29" t="s">
        <v>1357</v>
      </c>
      <c r="AB639" s="29"/>
      <c r="AC639" s="39"/>
      <c r="AD639" s="39"/>
    </row>
    <row r="640" spans="1:30" ht="58" customHeight="1">
      <c r="A640" s="1" t="s">
        <v>1264</v>
      </c>
      <c r="B640" s="1">
        <v>57</v>
      </c>
      <c r="C640" s="1" t="s">
        <v>4414</v>
      </c>
      <c r="D640" s="29" t="s">
        <v>676</v>
      </c>
      <c r="E640" s="29" t="s">
        <v>1924</v>
      </c>
      <c r="F640" s="1" t="s">
        <v>1237</v>
      </c>
      <c r="G640" s="30">
        <v>23.993500000000001</v>
      </c>
      <c r="H640" s="30">
        <v>121.593</v>
      </c>
      <c r="I640" s="30">
        <v>24.132000000000001</v>
      </c>
      <c r="J640" s="30">
        <v>121.65900000000001</v>
      </c>
      <c r="K640" s="30">
        <v>10.6</v>
      </c>
      <c r="L640" s="22">
        <v>18.899999999999999</v>
      </c>
      <c r="M640" s="22">
        <f t="shared" si="72"/>
        <v>16.795243622294507</v>
      </c>
      <c r="N640" s="22">
        <f t="shared" si="73"/>
        <v>19.860518833409774</v>
      </c>
      <c r="O640" s="22">
        <f t="shared" si="74"/>
        <v>-0.9605188334097754</v>
      </c>
      <c r="P640" s="22">
        <f t="shared" si="75"/>
        <v>-4.8363229655107034</v>
      </c>
      <c r="Q640" s="22">
        <f t="shared" si="76"/>
        <v>1</v>
      </c>
      <c r="R640" s="29" t="str">
        <f t="shared" si="77"/>
        <v>Within screening tolerance</v>
      </c>
      <c r="S640" s="29" t="str">
        <f t="shared" si="78"/>
        <v/>
      </c>
      <c r="T640" s="22">
        <v>3</v>
      </c>
      <c r="U640" s="29" t="s">
        <v>4576</v>
      </c>
      <c r="V640" s="29" t="str">
        <f t="shared" si="79"/>
        <v>No geometric exceedance</v>
      </c>
      <c r="W640" s="30"/>
      <c r="X640" s="30"/>
      <c r="Y640" s="30"/>
      <c r="Z640" s="30"/>
      <c r="AA640" s="29" t="s">
        <v>1357</v>
      </c>
      <c r="AB640" s="29"/>
      <c r="AC640" s="39"/>
      <c r="AD640" s="39"/>
    </row>
    <row r="641" spans="1:30" ht="58" customHeight="1">
      <c r="A641" s="1" t="s">
        <v>1264</v>
      </c>
      <c r="B641" s="1">
        <v>58</v>
      </c>
      <c r="C641" s="1" t="s">
        <v>4416</v>
      </c>
      <c r="D641" s="29" t="s">
        <v>676</v>
      </c>
      <c r="E641" s="29" t="s">
        <v>1924</v>
      </c>
      <c r="F641" s="1" t="s">
        <v>1240</v>
      </c>
      <c r="G641" s="30">
        <v>24.000299999999999</v>
      </c>
      <c r="H641" s="30">
        <v>121.60380000000001</v>
      </c>
      <c r="I641" s="30">
        <v>24.132000000000001</v>
      </c>
      <c r="J641" s="30">
        <v>121.65900000000001</v>
      </c>
      <c r="K641" s="30">
        <v>10.6</v>
      </c>
      <c r="L641" s="22">
        <v>16.93</v>
      </c>
      <c r="M641" s="22">
        <f t="shared" si="72"/>
        <v>15.680150522723766</v>
      </c>
      <c r="N641" s="22">
        <f t="shared" si="73"/>
        <v>18.926888820280908</v>
      </c>
      <c r="O641" s="22">
        <f t="shared" si="74"/>
        <v>-1.9968888202809083</v>
      </c>
      <c r="P641" s="22">
        <f t="shared" si="75"/>
        <v>-10.550539178637553</v>
      </c>
      <c r="Q641" s="22">
        <f t="shared" si="76"/>
        <v>1</v>
      </c>
      <c r="R641" s="29" t="str">
        <f t="shared" si="77"/>
        <v>Review: Rhyp mismatch</v>
      </c>
      <c r="S641" s="29" t="str">
        <f t="shared" si="78"/>
        <v/>
      </c>
      <c r="T641" s="22">
        <v>2.8</v>
      </c>
      <c r="U641" s="29" t="s">
        <v>4576</v>
      </c>
      <c r="V641" s="29" t="str">
        <f t="shared" si="79"/>
        <v>No geometric exceedance</v>
      </c>
      <c r="W641" s="30"/>
      <c r="X641" s="30"/>
      <c r="Y641" s="30"/>
      <c r="Z641" s="30"/>
      <c r="AA641" s="29" t="s">
        <v>1357</v>
      </c>
      <c r="AB641" s="29"/>
      <c r="AC641" s="39"/>
      <c r="AD641" s="39"/>
    </row>
    <row r="642" spans="1:30" ht="58" customHeight="1">
      <c r="A642" s="1" t="s">
        <v>1264</v>
      </c>
      <c r="B642" s="1">
        <v>59</v>
      </c>
      <c r="C642" s="1" t="s">
        <v>4418</v>
      </c>
      <c r="D642" s="29" t="s">
        <v>620</v>
      </c>
      <c r="E642" s="29" t="s">
        <v>4419</v>
      </c>
      <c r="F642" s="1" t="s">
        <v>977</v>
      </c>
      <c r="G642" s="30">
        <v>-43.669199999999996</v>
      </c>
      <c r="H642" s="30">
        <v>172.1978</v>
      </c>
      <c r="I642" s="30">
        <v>-43.614800000000002</v>
      </c>
      <c r="J642" s="30">
        <v>172.0386</v>
      </c>
      <c r="K642" s="30">
        <v>10.84</v>
      </c>
      <c r="L642" s="22">
        <v>17.899999999999999</v>
      </c>
      <c r="M642" s="22">
        <f t="shared" ref="M642:M702" si="80">IF(OR(G642="",H642="",I642="",J642="",K642=""),"",12742*ASIN(SQRT(MIN(1,SIN(RADIANS(I642-G642)/2)^2+COS(RADIANS(I642))*COS(RADIANS(G642))*SIN(RADIANS(J642-H642)/2)^2))))</f>
        <v>14.166842446726349</v>
      </c>
      <c r="N642" s="22">
        <f t="shared" ref="N642:N705" si="81">IF(M642="","",SQRT(M642^2+K642^2))</f>
        <v>17.838302186877748</v>
      </c>
      <c r="O642" s="22">
        <f t="shared" ref="O642:O705" si="82">IF(OR(L642="",N642=""),"",L642-N642)</f>
        <v>6.1697813122250977E-2</v>
      </c>
      <c r="P642" s="22">
        <f t="shared" ref="P642:P705" si="83">IF(OR(L642="",N642="",N642=0),"",100*O642/N642)</f>
        <v>0.34587267597494376</v>
      </c>
      <c r="Q642" s="22">
        <f t="shared" ref="Q642:Q702" si="84">IF(N642="","",MAX(1,0.05*N642))</f>
        <v>1</v>
      </c>
      <c r="R642" s="29" t="str">
        <f t="shared" ref="R642:R705" si="85">IF(N642="","Missing station coordinates",IF(L642="","No original Rhyp to compare",IF(ABS(O642)&gt;Q642,"Review: Rhyp mismatch","Within screening tolerance")))</f>
        <v>Within screening tolerance</v>
      </c>
      <c r="S642" s="29" t="str">
        <f t="shared" ref="S642:S702" si="86">IF(L642="","",IF(L642&lt;K642-1,"Rhyp below depth by &gt;1 km",IF(L642&lt;K642,"Rhyp below depth by &lt;=1 km","")))</f>
        <v/>
      </c>
      <c r="T642" s="22">
        <v>8.5</v>
      </c>
      <c r="U642" s="29" t="s">
        <v>4576</v>
      </c>
      <c r="V642" s="29" t="str">
        <f t="shared" ref="V642:V702" si="87">IF(T642="","Missing Rrup/closest distance",IF(N642="","Cannot check without coordinates",IF(T642&gt;N642+1,"Review: distance &gt; recalculated Rhyp +1 km","No geometric exceedance")))</f>
        <v>No geometric exceedance</v>
      </c>
      <c r="W642" s="30"/>
      <c r="X642" s="30"/>
      <c r="Y642" s="30"/>
      <c r="Z642" s="30"/>
      <c r="AA642" s="29" t="s">
        <v>1357</v>
      </c>
      <c r="AB642" s="29"/>
      <c r="AC642" s="39"/>
      <c r="AD642" s="39"/>
    </row>
    <row r="643" spans="1:30" ht="58" customHeight="1">
      <c r="A643" s="1" t="s">
        <v>1264</v>
      </c>
      <c r="B643" s="1">
        <v>60</v>
      </c>
      <c r="C643" s="1" t="s">
        <v>4421</v>
      </c>
      <c r="D643" s="29" t="s">
        <v>620</v>
      </c>
      <c r="E643" s="29" t="s">
        <v>4419</v>
      </c>
      <c r="F643" s="1" t="s">
        <v>978</v>
      </c>
      <c r="G643" s="30">
        <v>-43.588000000000001</v>
      </c>
      <c r="H643" s="30">
        <v>172.08930000000001</v>
      </c>
      <c r="I643" s="30">
        <v>-43.614800000000002</v>
      </c>
      <c r="J643" s="30">
        <v>172.0386</v>
      </c>
      <c r="K643" s="30">
        <v>10.84</v>
      </c>
      <c r="L643" s="22">
        <v>12</v>
      </c>
      <c r="M643" s="22">
        <f t="shared" si="80"/>
        <v>5.0544253605488807</v>
      </c>
      <c r="N643" s="22">
        <f t="shared" si="81"/>
        <v>11.960468875648633</v>
      </c>
      <c r="O643" s="22">
        <f t="shared" si="82"/>
        <v>3.9531124351366742E-2</v>
      </c>
      <c r="P643" s="22">
        <f t="shared" si="83"/>
        <v>0.33051483819210148</v>
      </c>
      <c r="Q643" s="22">
        <f t="shared" si="84"/>
        <v>1</v>
      </c>
      <c r="R643" s="29" t="str">
        <f t="shared" si="85"/>
        <v>Within screening tolerance</v>
      </c>
      <c r="S643" s="29" t="str">
        <f t="shared" si="86"/>
        <v/>
      </c>
      <c r="T643" s="22">
        <v>2.5</v>
      </c>
      <c r="U643" s="29" t="s">
        <v>4576</v>
      </c>
      <c r="V643" s="29" t="str">
        <f t="shared" si="87"/>
        <v>No geometric exceedance</v>
      </c>
      <c r="W643" s="30"/>
      <c r="X643" s="30"/>
      <c r="Y643" s="30"/>
      <c r="Z643" s="30"/>
      <c r="AA643" s="29" t="s">
        <v>1357</v>
      </c>
      <c r="AB643" s="29"/>
      <c r="AC643" s="39"/>
      <c r="AD643" s="39"/>
    </row>
    <row r="644" spans="1:30" ht="58" customHeight="1">
      <c r="A644" s="1" t="s">
        <v>1264</v>
      </c>
      <c r="B644" s="1">
        <v>61</v>
      </c>
      <c r="C644" s="1" t="s">
        <v>4423</v>
      </c>
      <c r="D644" s="29" t="s">
        <v>620</v>
      </c>
      <c r="E644" s="29" t="s">
        <v>4419</v>
      </c>
      <c r="F644" s="1" t="s">
        <v>979</v>
      </c>
      <c r="G644" s="30">
        <v>-43.5413</v>
      </c>
      <c r="H644" s="30">
        <v>171.9598</v>
      </c>
      <c r="I644" s="30">
        <v>-43.614800000000002</v>
      </c>
      <c r="J644" s="30">
        <v>172.0386</v>
      </c>
      <c r="K644" s="30">
        <v>10.84</v>
      </c>
      <c r="L644" s="22">
        <v>15</v>
      </c>
      <c r="M644" s="22">
        <f t="shared" si="80"/>
        <v>10.348304876091197</v>
      </c>
      <c r="N644" s="22">
        <f t="shared" si="81"/>
        <v>14.98642765333129</v>
      </c>
      <c r="O644" s="22">
        <f t="shared" si="82"/>
        <v>1.3572346668709656E-2</v>
      </c>
      <c r="P644" s="22">
        <f t="shared" si="83"/>
        <v>9.0564255756392334E-2</v>
      </c>
      <c r="Q644" s="22">
        <f t="shared" si="84"/>
        <v>1</v>
      </c>
      <c r="R644" s="29" t="str">
        <f t="shared" si="85"/>
        <v>Within screening tolerance</v>
      </c>
      <c r="S644" s="29" t="str">
        <f t="shared" si="86"/>
        <v/>
      </c>
      <c r="T644" s="22">
        <v>7.8</v>
      </c>
      <c r="U644" s="29" t="s">
        <v>4576</v>
      </c>
      <c r="V644" s="29" t="str">
        <f t="shared" si="87"/>
        <v>No geometric exceedance</v>
      </c>
      <c r="W644" s="30"/>
      <c r="X644" s="30"/>
      <c r="Y644" s="30"/>
      <c r="Z644" s="30"/>
      <c r="AA644" s="29" t="s">
        <v>1357</v>
      </c>
      <c r="AB644" s="29"/>
      <c r="AC644" s="39"/>
      <c r="AD644" s="39"/>
    </row>
    <row r="645" spans="1:30" ht="58" customHeight="1">
      <c r="A645" s="1" t="s">
        <v>1264</v>
      </c>
      <c r="B645" s="1">
        <v>62</v>
      </c>
      <c r="C645" s="1" t="s">
        <v>4425</v>
      </c>
      <c r="D645" s="29" t="s">
        <v>620</v>
      </c>
      <c r="E645" s="29" t="s">
        <v>4419</v>
      </c>
      <c r="F645" s="1" t="s">
        <v>980</v>
      </c>
      <c r="G645" s="30">
        <v>-43.6248</v>
      </c>
      <c r="H645" s="30">
        <v>172.46789999999999</v>
      </c>
      <c r="I645" s="30">
        <v>-43.614800000000002</v>
      </c>
      <c r="J645" s="30">
        <v>172.0386</v>
      </c>
      <c r="K645" s="30">
        <v>10.84</v>
      </c>
      <c r="L645" s="22">
        <v>36.299999999999997</v>
      </c>
      <c r="M645" s="22">
        <f t="shared" si="80"/>
        <v>34.575522806475547</v>
      </c>
      <c r="N645" s="22">
        <f t="shared" si="81"/>
        <v>36.23496070566533</v>
      </c>
      <c r="O645" s="22">
        <f t="shared" si="82"/>
        <v>6.5039294334667375E-2</v>
      </c>
      <c r="P645" s="22">
        <f t="shared" si="83"/>
        <v>0.17949321061219889</v>
      </c>
      <c r="Q645" s="22">
        <f t="shared" si="84"/>
        <v>1.8117480352832667</v>
      </c>
      <c r="R645" s="29" t="str">
        <f t="shared" si="85"/>
        <v>Within screening tolerance</v>
      </c>
      <c r="S645" s="29" t="str">
        <f t="shared" si="86"/>
        <v/>
      </c>
      <c r="T645" s="22">
        <v>5.7</v>
      </c>
      <c r="U645" s="29" t="s">
        <v>4576</v>
      </c>
      <c r="V645" s="29" t="str">
        <f t="shared" si="87"/>
        <v>No geometric exceedance</v>
      </c>
      <c r="W645" s="30"/>
      <c r="X645" s="30"/>
      <c r="Y645" s="30"/>
      <c r="Z645" s="30"/>
      <c r="AA645" s="29" t="s">
        <v>1357</v>
      </c>
      <c r="AB645" s="29"/>
      <c r="AC645" s="39"/>
      <c r="AD645" s="39"/>
    </row>
    <row r="646" spans="1:30" ht="58" customHeight="1">
      <c r="A646" s="1" t="s">
        <v>1264</v>
      </c>
      <c r="B646" s="1">
        <v>63</v>
      </c>
      <c r="C646" s="1" t="s">
        <v>4427</v>
      </c>
      <c r="D646" s="29" t="s">
        <v>620</v>
      </c>
      <c r="E646" s="29" t="s">
        <v>4419</v>
      </c>
      <c r="F646" s="1" t="s">
        <v>982</v>
      </c>
      <c r="G646" s="30">
        <v>-43.497100000000003</v>
      </c>
      <c r="H646" s="30">
        <v>172.71789999999999</v>
      </c>
      <c r="I646" s="30">
        <v>-43.614800000000002</v>
      </c>
      <c r="J646" s="30">
        <v>172.0386</v>
      </c>
      <c r="K646" s="30">
        <v>10.84</v>
      </c>
      <c r="L646" s="22">
        <v>57.5</v>
      </c>
      <c r="M646" s="22">
        <f t="shared" si="80"/>
        <v>56.282762827889464</v>
      </c>
      <c r="N646" s="22">
        <f t="shared" si="81"/>
        <v>57.317143958334633</v>
      </c>
      <c r="O646" s="22">
        <f t="shared" si="82"/>
        <v>0.18285604166536729</v>
      </c>
      <c r="P646" s="22">
        <f t="shared" si="83"/>
        <v>0.31902504039330754</v>
      </c>
      <c r="Q646" s="22">
        <f t="shared" si="84"/>
        <v>2.865857197916732</v>
      </c>
      <c r="R646" s="29" t="str">
        <f t="shared" si="85"/>
        <v>Within screening tolerance</v>
      </c>
      <c r="S646" s="29" t="str">
        <f t="shared" si="86"/>
        <v/>
      </c>
      <c r="T646" s="22">
        <v>15.1</v>
      </c>
      <c r="U646" s="29" t="s">
        <v>4576</v>
      </c>
      <c r="V646" s="29" t="str">
        <f t="shared" si="87"/>
        <v>No geometric exceedance</v>
      </c>
      <c r="W646" s="30"/>
      <c r="X646" s="30"/>
      <c r="Y646" s="30"/>
      <c r="Z646" s="30"/>
      <c r="AA646" s="29" t="s">
        <v>1357</v>
      </c>
      <c r="AB646" s="29"/>
      <c r="AC646" s="39"/>
      <c r="AD646" s="39"/>
    </row>
    <row r="647" spans="1:30" ht="58" customHeight="1">
      <c r="A647" s="1" t="s">
        <v>1264</v>
      </c>
      <c r="B647" s="1">
        <v>64</v>
      </c>
      <c r="C647" s="1" t="s">
        <v>4429</v>
      </c>
      <c r="D647" s="29" t="s">
        <v>620</v>
      </c>
      <c r="E647" s="29" t="s">
        <v>4419</v>
      </c>
      <c r="F647" s="1" t="s">
        <v>983</v>
      </c>
      <c r="G647" s="30">
        <v>-43.523600000000002</v>
      </c>
      <c r="H647" s="30">
        <v>172.63499999999999</v>
      </c>
      <c r="I647" s="30">
        <v>-43.614800000000002</v>
      </c>
      <c r="J647" s="30">
        <v>172.0386</v>
      </c>
      <c r="K647" s="30">
        <v>10.84</v>
      </c>
      <c r="L647" s="22">
        <v>50.4</v>
      </c>
      <c r="M647" s="22">
        <f t="shared" si="80"/>
        <v>49.107600698282809</v>
      </c>
      <c r="N647" s="22">
        <f t="shared" si="81"/>
        <v>50.289780734677962</v>
      </c>
      <c r="O647" s="22">
        <f t="shared" si="82"/>
        <v>0.11021926532203707</v>
      </c>
      <c r="P647" s="22">
        <f t="shared" si="83"/>
        <v>0.21916831553420149</v>
      </c>
      <c r="Q647" s="22">
        <f t="shared" si="84"/>
        <v>2.5144890367338983</v>
      </c>
      <c r="R647" s="29" t="str">
        <f t="shared" si="85"/>
        <v>Within screening tolerance</v>
      </c>
      <c r="S647" s="29" t="str">
        <f t="shared" si="86"/>
        <v/>
      </c>
      <c r="T647" s="22">
        <v>8</v>
      </c>
      <c r="U647" s="29" t="s">
        <v>4576</v>
      </c>
      <c r="V647" s="29" t="str">
        <f t="shared" si="87"/>
        <v>No geometric exceedance</v>
      </c>
      <c r="W647" s="30"/>
      <c r="X647" s="30"/>
      <c r="Y647" s="30"/>
      <c r="Z647" s="30"/>
      <c r="AA647" s="29" t="s">
        <v>1357</v>
      </c>
      <c r="AB647" s="29"/>
      <c r="AC647" s="39"/>
      <c r="AD647" s="39"/>
    </row>
    <row r="648" spans="1:30" ht="58" customHeight="1">
      <c r="A648" s="1" t="s">
        <v>1264</v>
      </c>
      <c r="B648" s="1">
        <v>65</v>
      </c>
      <c r="C648" s="1" t="s">
        <v>4431</v>
      </c>
      <c r="D648" s="29" t="s">
        <v>620</v>
      </c>
      <c r="E648" s="29" t="s">
        <v>4419</v>
      </c>
      <c r="F648" s="1" t="s">
        <v>984</v>
      </c>
      <c r="G648" s="30">
        <v>-43.536200000000001</v>
      </c>
      <c r="H648" s="30">
        <v>172.56440000000001</v>
      </c>
      <c r="I648" s="30">
        <v>-43.614800000000002</v>
      </c>
      <c r="J648" s="30">
        <v>172.0386</v>
      </c>
      <c r="K648" s="30">
        <v>10.84</v>
      </c>
      <c r="L648" s="22">
        <v>44.6</v>
      </c>
      <c r="M648" s="22">
        <f t="shared" si="80"/>
        <v>43.24909878453645</v>
      </c>
      <c r="N648" s="22">
        <f t="shared" si="81"/>
        <v>44.586883112352588</v>
      </c>
      <c r="O648" s="22">
        <f t="shared" si="82"/>
        <v>1.3116887647413478E-2</v>
      </c>
      <c r="P648" s="22">
        <f t="shared" si="83"/>
        <v>2.9418714051755515E-2</v>
      </c>
      <c r="Q648" s="22">
        <f t="shared" si="84"/>
        <v>2.2293441556176297</v>
      </c>
      <c r="R648" s="29" t="str">
        <f t="shared" si="85"/>
        <v>Within screening tolerance</v>
      </c>
      <c r="S648" s="29" t="str">
        <f t="shared" si="86"/>
        <v/>
      </c>
      <c r="T648" s="22">
        <v>4.2</v>
      </c>
      <c r="U648" s="29" t="s">
        <v>4576</v>
      </c>
      <c r="V648" s="29" t="str">
        <f t="shared" si="87"/>
        <v>No geometric exceedance</v>
      </c>
      <c r="W648" s="30"/>
      <c r="X648" s="30"/>
      <c r="Y648" s="30"/>
      <c r="Z648" s="30"/>
      <c r="AA648" s="29" t="s">
        <v>1357</v>
      </c>
      <c r="AB648" s="29"/>
      <c r="AC648" s="39"/>
      <c r="AD648" s="39"/>
    </row>
    <row r="649" spans="1:30" ht="58" customHeight="1">
      <c r="A649" s="1" t="s">
        <v>1264</v>
      </c>
      <c r="B649" s="1">
        <v>66</v>
      </c>
      <c r="C649" s="1" t="s">
        <v>4433</v>
      </c>
      <c r="D649" s="29" t="s">
        <v>620</v>
      </c>
      <c r="E649" s="29" t="s">
        <v>4419</v>
      </c>
      <c r="F649" s="1" t="s">
        <v>985</v>
      </c>
      <c r="G649" s="30">
        <v>-43.594499999999996</v>
      </c>
      <c r="H649" s="30">
        <v>172.381</v>
      </c>
      <c r="I649" s="30">
        <v>-43.614800000000002</v>
      </c>
      <c r="J649" s="30">
        <v>172.0386</v>
      </c>
      <c r="K649" s="30">
        <v>10.84</v>
      </c>
      <c r="L649" s="22">
        <v>29.8</v>
      </c>
      <c r="M649" s="22">
        <f t="shared" si="80"/>
        <v>27.66160052610666</v>
      </c>
      <c r="N649" s="22">
        <f t="shared" si="81"/>
        <v>29.709758391240818</v>
      </c>
      <c r="O649" s="22">
        <f t="shared" si="82"/>
        <v>9.0241608759182412E-2</v>
      </c>
      <c r="P649" s="22">
        <f t="shared" si="83"/>
        <v>0.30374400077850483</v>
      </c>
      <c r="Q649" s="22">
        <f t="shared" si="84"/>
        <v>1.485487919562041</v>
      </c>
      <c r="R649" s="29" t="str">
        <f t="shared" si="85"/>
        <v>Within screening tolerance</v>
      </c>
      <c r="S649" s="29" t="str">
        <f t="shared" si="86"/>
        <v/>
      </c>
      <c r="T649" s="22">
        <v>2.4</v>
      </c>
      <c r="U649" s="29" t="s">
        <v>4576</v>
      </c>
      <c r="V649" s="29" t="str">
        <f t="shared" si="87"/>
        <v>No geometric exceedance</v>
      </c>
      <c r="W649" s="30"/>
      <c r="X649" s="30"/>
      <c r="Y649" s="30"/>
      <c r="Z649" s="30"/>
      <c r="AA649" s="29" t="s">
        <v>1357</v>
      </c>
      <c r="AB649" s="29"/>
      <c r="AC649" s="39"/>
      <c r="AD649" s="39"/>
    </row>
    <row r="650" spans="1:30" ht="58" customHeight="1">
      <c r="A650" s="1" t="s">
        <v>1264</v>
      </c>
      <c r="B650" s="1">
        <v>67</v>
      </c>
      <c r="C650" s="1" t="s">
        <v>4435</v>
      </c>
      <c r="D650" s="29" t="s">
        <v>620</v>
      </c>
      <c r="E650" s="29" t="s">
        <v>4419</v>
      </c>
      <c r="F650" s="1" t="s">
        <v>986</v>
      </c>
      <c r="G650" s="30">
        <v>-43.505299999999998</v>
      </c>
      <c r="H650" s="30">
        <v>172.6634</v>
      </c>
      <c r="I650" s="30">
        <v>-43.614800000000002</v>
      </c>
      <c r="J650" s="30">
        <v>172.0386</v>
      </c>
      <c r="K650" s="30">
        <v>10.84</v>
      </c>
      <c r="L650" s="22">
        <v>53</v>
      </c>
      <c r="M650" s="22">
        <f t="shared" si="80"/>
        <v>51.79622692583218</v>
      </c>
      <c r="N650" s="22">
        <f t="shared" si="81"/>
        <v>52.918377939542921</v>
      </c>
      <c r="O650" s="22">
        <f t="shared" si="82"/>
        <v>8.162206045707876E-2</v>
      </c>
      <c r="P650" s="22">
        <f t="shared" si="83"/>
        <v>0.15424142544642735</v>
      </c>
      <c r="Q650" s="22">
        <f t="shared" si="84"/>
        <v>2.6459188969771463</v>
      </c>
      <c r="R650" s="29" t="str">
        <f t="shared" si="85"/>
        <v>Within screening tolerance</v>
      </c>
      <c r="S650" s="29" t="str">
        <f t="shared" si="86"/>
        <v/>
      </c>
      <c r="T650" s="22">
        <v>10.9</v>
      </c>
      <c r="U650" s="29" t="s">
        <v>4576</v>
      </c>
      <c r="V650" s="29" t="str">
        <f t="shared" si="87"/>
        <v>No geometric exceedance</v>
      </c>
      <c r="W650" s="30"/>
      <c r="X650" s="30"/>
      <c r="Y650" s="30"/>
      <c r="Z650" s="30"/>
      <c r="AA650" s="29" t="s">
        <v>1357</v>
      </c>
      <c r="AB650" s="29"/>
      <c r="AC650" s="39"/>
      <c r="AD650" s="39"/>
    </row>
    <row r="651" spans="1:30" ht="58" customHeight="1">
      <c r="A651" s="1" t="s">
        <v>1264</v>
      </c>
      <c r="B651" s="1">
        <v>68</v>
      </c>
      <c r="C651" s="1" t="s">
        <v>4437</v>
      </c>
      <c r="D651" s="29" t="s">
        <v>620</v>
      </c>
      <c r="E651" s="29" t="s">
        <v>4419</v>
      </c>
      <c r="F651" s="1" t="s">
        <v>987</v>
      </c>
      <c r="G651" s="30">
        <v>-43.467500000000001</v>
      </c>
      <c r="H651" s="30">
        <v>172.6139</v>
      </c>
      <c r="I651" s="30">
        <v>-43.614800000000002</v>
      </c>
      <c r="J651" s="30">
        <v>172.0386</v>
      </c>
      <c r="K651" s="30">
        <v>10.84</v>
      </c>
      <c r="L651" s="22">
        <v>50.4</v>
      </c>
      <c r="M651" s="22">
        <f t="shared" si="80"/>
        <v>49.178427187793993</v>
      </c>
      <c r="N651" s="22">
        <f t="shared" si="81"/>
        <v>50.358944594432828</v>
      </c>
      <c r="O651" s="22">
        <f t="shared" si="82"/>
        <v>4.1055405567171022E-2</v>
      </c>
      <c r="P651" s="22">
        <f t="shared" si="83"/>
        <v>8.152554803880796E-2</v>
      </c>
      <c r="Q651" s="22">
        <f t="shared" si="84"/>
        <v>2.5179472297216416</v>
      </c>
      <c r="R651" s="29" t="str">
        <f t="shared" si="85"/>
        <v>Within screening tolerance</v>
      </c>
      <c r="S651" s="29" t="str">
        <f t="shared" si="86"/>
        <v/>
      </c>
      <c r="T651" s="22">
        <v>12.2</v>
      </c>
      <c r="U651" s="29" t="s">
        <v>4576</v>
      </c>
      <c r="V651" s="29" t="str">
        <f t="shared" si="87"/>
        <v>No geometric exceedance</v>
      </c>
      <c r="W651" s="30"/>
      <c r="X651" s="30"/>
      <c r="Y651" s="30"/>
      <c r="Z651" s="30"/>
      <c r="AA651" s="29" t="s">
        <v>1357</v>
      </c>
      <c r="AB651" s="29"/>
      <c r="AC651" s="39"/>
      <c r="AD651" s="39"/>
    </row>
    <row r="652" spans="1:30" ht="58" customHeight="1">
      <c r="A652" s="1" t="s">
        <v>1264</v>
      </c>
      <c r="B652" s="1">
        <v>69</v>
      </c>
      <c r="C652" s="1" t="s">
        <v>4439</v>
      </c>
      <c r="D652" s="29" t="s">
        <v>620</v>
      </c>
      <c r="E652" s="29" t="s">
        <v>4419</v>
      </c>
      <c r="F652" s="1" t="s">
        <v>988</v>
      </c>
      <c r="G652" s="30">
        <v>-43.551699999999997</v>
      </c>
      <c r="H652" s="30">
        <v>172.4718</v>
      </c>
      <c r="I652" s="30">
        <v>-43.614800000000002</v>
      </c>
      <c r="J652" s="30">
        <v>172.0386</v>
      </c>
      <c r="K652" s="30">
        <v>10.84</v>
      </c>
      <c r="L652" s="22">
        <v>37.299999999999997</v>
      </c>
      <c r="M652" s="22">
        <f t="shared" si="80"/>
        <v>35.591217866954963</v>
      </c>
      <c r="N652" s="22">
        <f t="shared" si="81"/>
        <v>37.20538118677262</v>
      </c>
      <c r="O652" s="22">
        <f t="shared" si="82"/>
        <v>9.461881322737753E-2</v>
      </c>
      <c r="P652" s="22">
        <f t="shared" si="83"/>
        <v>0.25431486040255036</v>
      </c>
      <c r="Q652" s="22">
        <f t="shared" si="84"/>
        <v>1.8602690593386311</v>
      </c>
      <c r="R652" s="29" t="str">
        <f t="shared" si="85"/>
        <v>Within screening tolerance</v>
      </c>
      <c r="S652" s="29" t="str">
        <f t="shared" si="86"/>
        <v/>
      </c>
      <c r="T652" s="22">
        <v>3.4</v>
      </c>
      <c r="U652" s="29" t="s">
        <v>4576</v>
      </c>
      <c r="V652" s="29" t="str">
        <f t="shared" si="87"/>
        <v>No geometric exceedance</v>
      </c>
      <c r="W652" s="30"/>
      <c r="X652" s="30"/>
      <c r="Y652" s="30"/>
      <c r="Z652" s="30"/>
      <c r="AA652" s="29" t="s">
        <v>1357</v>
      </c>
      <c r="AB652" s="29"/>
      <c r="AC652" s="39"/>
      <c r="AD652" s="39"/>
    </row>
    <row r="653" spans="1:30" ht="58" customHeight="1">
      <c r="A653" s="1" t="s">
        <v>1264</v>
      </c>
      <c r="B653" s="1">
        <v>70</v>
      </c>
      <c r="C653" s="1" t="s">
        <v>4441</v>
      </c>
      <c r="D653" s="29" t="s">
        <v>669</v>
      </c>
      <c r="E653" s="29" t="s">
        <v>1450</v>
      </c>
      <c r="F653" s="1" t="s">
        <v>1250</v>
      </c>
      <c r="G653" s="30">
        <v>32.634999999999998</v>
      </c>
      <c r="H653" s="30">
        <v>130.75200000000001</v>
      </c>
      <c r="I653" s="30">
        <v>32.741700000000002</v>
      </c>
      <c r="J653" s="30">
        <v>130.80869999999999</v>
      </c>
      <c r="K653" s="30">
        <v>11.39</v>
      </c>
      <c r="L653" s="22">
        <v>9.6999999999999993</v>
      </c>
      <c r="M653" s="22">
        <f t="shared" si="80"/>
        <v>12.997006171201246</v>
      </c>
      <c r="N653" s="22">
        <f t="shared" si="81"/>
        <v>17.281616516236067</v>
      </c>
      <c r="O653" s="22">
        <f t="shared" si="82"/>
        <v>-7.5816165162360676</v>
      </c>
      <c r="P653" s="22">
        <f t="shared" si="83"/>
        <v>-43.870991519301128</v>
      </c>
      <c r="Q653" s="22">
        <f t="shared" si="84"/>
        <v>1</v>
      </c>
      <c r="R653" s="29" t="str">
        <f t="shared" si="85"/>
        <v>Review: Rhyp mismatch</v>
      </c>
      <c r="S653" s="29" t="str">
        <f t="shared" si="86"/>
        <v>Rhyp below depth by &gt;1 km</v>
      </c>
      <c r="T653" s="22">
        <v>1.9</v>
      </c>
      <c r="U653" s="29" t="s">
        <v>4576</v>
      </c>
      <c r="V653" s="29" t="str">
        <f t="shared" si="87"/>
        <v>No geometric exceedance</v>
      </c>
      <c r="W653" s="30"/>
      <c r="X653" s="30"/>
      <c r="Y653" s="30"/>
      <c r="Z653" s="30"/>
      <c r="AA653" s="29" t="s">
        <v>1357</v>
      </c>
      <c r="AB653" s="29" t="s">
        <v>4578</v>
      </c>
      <c r="AC653" s="39"/>
      <c r="AD653" s="39"/>
    </row>
    <row r="654" spans="1:30" ht="58" customHeight="1">
      <c r="A654" s="1" t="s">
        <v>1264</v>
      </c>
      <c r="B654" s="1">
        <v>71</v>
      </c>
      <c r="C654" s="1" t="s">
        <v>4443</v>
      </c>
      <c r="D654" s="29" t="s">
        <v>669</v>
      </c>
      <c r="E654" s="29" t="s">
        <v>1450</v>
      </c>
      <c r="F654" s="1">
        <v>93020</v>
      </c>
      <c r="G654" s="30">
        <v>32.643000000000001</v>
      </c>
      <c r="H654" s="30">
        <v>130.67099999999999</v>
      </c>
      <c r="I654" s="30">
        <v>32.741700000000002</v>
      </c>
      <c r="J654" s="30">
        <v>130.80869999999999</v>
      </c>
      <c r="K654" s="30">
        <v>11.39</v>
      </c>
      <c r="L654" s="22">
        <v>13.2</v>
      </c>
      <c r="M654" s="22">
        <f t="shared" si="80"/>
        <v>16.926204756046303</v>
      </c>
      <c r="N654" s="22">
        <f t="shared" si="81"/>
        <v>20.401679034912899</v>
      </c>
      <c r="O654" s="22">
        <f t="shared" si="82"/>
        <v>-7.2016790349128996</v>
      </c>
      <c r="P654" s="22">
        <f t="shared" si="83"/>
        <v>-35.299442867368128</v>
      </c>
      <c r="Q654" s="22">
        <f t="shared" si="84"/>
        <v>1.020083951745645</v>
      </c>
      <c r="R654" s="29" t="str">
        <f t="shared" si="85"/>
        <v>Review: Rhyp mismatch</v>
      </c>
      <c r="S654" s="29" t="str">
        <f t="shared" si="86"/>
        <v/>
      </c>
      <c r="T654" s="22">
        <v>7.7</v>
      </c>
      <c r="U654" s="29" t="s">
        <v>4576</v>
      </c>
      <c r="V654" s="29" t="str">
        <f t="shared" si="87"/>
        <v>No geometric exceedance</v>
      </c>
      <c r="W654" s="30"/>
      <c r="X654" s="30"/>
      <c r="Y654" s="30"/>
      <c r="Z654" s="30"/>
      <c r="AA654" s="29" t="s">
        <v>1357</v>
      </c>
      <c r="AB654" s="29" t="s">
        <v>4578</v>
      </c>
      <c r="AC654" s="39"/>
      <c r="AD654" s="39"/>
    </row>
    <row r="655" spans="1:30" ht="58" customHeight="1">
      <c r="A655" s="1" t="s">
        <v>1264</v>
      </c>
      <c r="B655" s="1">
        <v>72</v>
      </c>
      <c r="C655" s="1" t="s">
        <v>4445</v>
      </c>
      <c r="D655" s="29" t="s">
        <v>669</v>
      </c>
      <c r="E655" s="29" t="s">
        <v>1450</v>
      </c>
      <c r="F655" s="1">
        <v>93021</v>
      </c>
      <c r="G655" s="30">
        <v>32.706000000000003</v>
      </c>
      <c r="H655" s="30">
        <v>130.73099999999999</v>
      </c>
      <c r="I655" s="30">
        <v>32.741700000000002</v>
      </c>
      <c r="J655" s="30">
        <v>130.80869999999999</v>
      </c>
      <c r="K655" s="30">
        <v>11.39</v>
      </c>
      <c r="L655" s="22">
        <v>7.3</v>
      </c>
      <c r="M655" s="22">
        <f t="shared" si="80"/>
        <v>8.2819344456301778</v>
      </c>
      <c r="N655" s="22">
        <f t="shared" si="81"/>
        <v>14.082703510395852</v>
      </c>
      <c r="O655" s="22">
        <f t="shared" si="82"/>
        <v>-6.7827035103958524</v>
      </c>
      <c r="P655" s="22">
        <f t="shared" si="83"/>
        <v>-48.163362279045778</v>
      </c>
      <c r="Q655" s="22">
        <f t="shared" si="84"/>
        <v>1</v>
      </c>
      <c r="R655" s="29" t="str">
        <f t="shared" si="85"/>
        <v>Review: Rhyp mismatch</v>
      </c>
      <c r="S655" s="29" t="str">
        <f t="shared" si="86"/>
        <v>Rhyp below depth by &gt;1 km</v>
      </c>
      <c r="T655" s="22">
        <v>4.4000000000000004</v>
      </c>
      <c r="U655" s="29" t="s">
        <v>4576</v>
      </c>
      <c r="V655" s="29" t="str">
        <f t="shared" si="87"/>
        <v>No geometric exceedance</v>
      </c>
      <c r="W655" s="30"/>
      <c r="X655" s="30"/>
      <c r="Y655" s="30"/>
      <c r="Z655" s="30"/>
      <c r="AA655" s="29" t="s">
        <v>1357</v>
      </c>
      <c r="AB655" s="29" t="s">
        <v>4578</v>
      </c>
      <c r="AC655" s="39"/>
      <c r="AD655" s="39"/>
    </row>
    <row r="656" spans="1:30" ht="58" customHeight="1">
      <c r="A656" s="1" t="s">
        <v>1264</v>
      </c>
      <c r="B656" s="1">
        <v>73</v>
      </c>
      <c r="C656" s="1" t="s">
        <v>4447</v>
      </c>
      <c r="D656" s="29" t="s">
        <v>669</v>
      </c>
      <c r="E656" s="29" t="s">
        <v>1450</v>
      </c>
      <c r="F656" s="1">
        <v>93024</v>
      </c>
      <c r="G656" s="30">
        <v>32.588999999999999</v>
      </c>
      <c r="H656" s="30">
        <v>130.70699999999999</v>
      </c>
      <c r="I656" s="30">
        <v>32.741700000000002</v>
      </c>
      <c r="J656" s="30">
        <v>130.80869999999999</v>
      </c>
      <c r="K656" s="30">
        <v>11.39</v>
      </c>
      <c r="L656" s="22">
        <v>15.2</v>
      </c>
      <c r="M656" s="22">
        <f t="shared" si="80"/>
        <v>19.466158613715052</v>
      </c>
      <c r="N656" s="22">
        <f t="shared" si="81"/>
        <v>22.55356803643966</v>
      </c>
      <c r="O656" s="22">
        <f t="shared" si="82"/>
        <v>-7.3535680364396612</v>
      </c>
      <c r="P656" s="22">
        <f t="shared" si="83"/>
        <v>-32.604898810505489</v>
      </c>
      <c r="Q656" s="22">
        <f t="shared" si="84"/>
        <v>1.127678401821983</v>
      </c>
      <c r="R656" s="29" t="str">
        <f t="shared" si="85"/>
        <v>Review: Rhyp mismatch</v>
      </c>
      <c r="S656" s="29" t="str">
        <f t="shared" si="86"/>
        <v/>
      </c>
      <c r="T656" s="22">
        <v>8.1</v>
      </c>
      <c r="U656" s="29" t="s">
        <v>4576</v>
      </c>
      <c r="V656" s="29" t="str">
        <f t="shared" si="87"/>
        <v>No geometric exceedance</v>
      </c>
      <c r="W656" s="30"/>
      <c r="X656" s="30"/>
      <c r="Y656" s="30"/>
      <c r="Z656" s="30"/>
      <c r="AA656" s="29" t="s">
        <v>1357</v>
      </c>
      <c r="AB656" s="29" t="s">
        <v>4578</v>
      </c>
      <c r="AC656" s="39"/>
      <c r="AD656" s="39"/>
    </row>
    <row r="657" spans="1:33" ht="58" customHeight="1">
      <c r="A657" s="1" t="s">
        <v>1264</v>
      </c>
      <c r="B657" s="1">
        <v>74</v>
      </c>
      <c r="C657" s="1" t="s">
        <v>4449</v>
      </c>
      <c r="D657" s="29" t="s">
        <v>669</v>
      </c>
      <c r="E657" s="29" t="s">
        <v>1450</v>
      </c>
      <c r="F657" s="1">
        <v>93025</v>
      </c>
      <c r="G657" s="30">
        <v>32.636000000000003</v>
      </c>
      <c r="H657" s="30">
        <v>130.75200000000001</v>
      </c>
      <c r="I657" s="30">
        <v>32.741700000000002</v>
      </c>
      <c r="J657" s="30">
        <v>130.80869999999999</v>
      </c>
      <c r="K657" s="30">
        <v>11.39</v>
      </c>
      <c r="L657" s="22">
        <v>9.6</v>
      </c>
      <c r="M657" s="22">
        <f t="shared" si="80"/>
        <v>12.895568021785607</v>
      </c>
      <c r="N657" s="22">
        <f t="shared" si="81"/>
        <v>17.205457698198543</v>
      </c>
      <c r="O657" s="22">
        <f t="shared" si="82"/>
        <v>-7.6054576981985438</v>
      </c>
      <c r="P657" s="22">
        <f t="shared" si="83"/>
        <v>-44.203751109712442</v>
      </c>
      <c r="Q657" s="22">
        <f t="shared" si="84"/>
        <v>1</v>
      </c>
      <c r="R657" s="29" t="str">
        <f t="shared" si="85"/>
        <v>Review: Rhyp mismatch</v>
      </c>
      <c r="S657" s="29" t="str">
        <f t="shared" si="86"/>
        <v>Rhyp below depth by &gt;1 km</v>
      </c>
      <c r="T657" s="22">
        <v>1.8</v>
      </c>
      <c r="U657" s="29" t="s">
        <v>4576</v>
      </c>
      <c r="V657" s="29" t="str">
        <f t="shared" si="87"/>
        <v>No geometric exceedance</v>
      </c>
      <c r="W657" s="30"/>
      <c r="X657" s="30"/>
      <c r="Y657" s="30"/>
      <c r="Z657" s="30"/>
      <c r="AA657" s="29" t="s">
        <v>1357</v>
      </c>
      <c r="AB657" s="29" t="s">
        <v>4578</v>
      </c>
      <c r="AC657" s="39"/>
      <c r="AD657" s="39"/>
    </row>
    <row r="658" spans="1:33" ht="58" customHeight="1">
      <c r="A658" s="1" t="s">
        <v>1264</v>
      </c>
      <c r="B658" s="1">
        <v>75</v>
      </c>
      <c r="C658" s="1" t="s">
        <v>4451</v>
      </c>
      <c r="D658" s="29" t="s">
        <v>669</v>
      </c>
      <c r="E658" s="29" t="s">
        <v>1450</v>
      </c>
      <c r="F658" s="1">
        <v>93050</v>
      </c>
      <c r="G658" s="30">
        <v>32.735999999999997</v>
      </c>
      <c r="H658" s="30">
        <v>130.75899999999999</v>
      </c>
      <c r="I658" s="30">
        <v>32.741700000000002</v>
      </c>
      <c r="J658" s="30">
        <v>130.80869999999999</v>
      </c>
      <c r="K658" s="30">
        <v>11.39</v>
      </c>
      <c r="L658" s="22">
        <v>7.3</v>
      </c>
      <c r="M658" s="22">
        <f t="shared" si="80"/>
        <v>4.6914998267281716</v>
      </c>
      <c r="N658" s="22">
        <f t="shared" si="81"/>
        <v>12.31837126507358</v>
      </c>
      <c r="O658" s="22">
        <f t="shared" si="82"/>
        <v>-5.0183712650735801</v>
      </c>
      <c r="P658" s="22">
        <f t="shared" si="83"/>
        <v>-40.738918783055567</v>
      </c>
      <c r="Q658" s="22">
        <f t="shared" si="84"/>
        <v>1</v>
      </c>
      <c r="R658" s="29" t="str">
        <f t="shared" si="85"/>
        <v>Review: Rhyp mismatch</v>
      </c>
      <c r="S658" s="29" t="str">
        <f t="shared" si="86"/>
        <v>Rhyp below depth by &gt;1 km</v>
      </c>
      <c r="T658" s="22">
        <v>3.5</v>
      </c>
      <c r="U658" s="29" t="s">
        <v>4576</v>
      </c>
      <c r="V658" s="29" t="str">
        <f t="shared" si="87"/>
        <v>No geometric exceedance</v>
      </c>
      <c r="W658" s="30"/>
      <c r="X658" s="30"/>
      <c r="Y658" s="30"/>
      <c r="Z658" s="30"/>
      <c r="AA658" s="29" t="s">
        <v>1357</v>
      </c>
      <c r="AB658" s="29" t="s">
        <v>4578</v>
      </c>
      <c r="AC658" s="39"/>
      <c r="AD658" s="39"/>
    </row>
    <row r="659" spans="1:33" ht="58" customHeight="1">
      <c r="A659" s="1" t="s">
        <v>1264</v>
      </c>
      <c r="B659" s="1">
        <v>76</v>
      </c>
      <c r="C659" s="1" t="s">
        <v>4453</v>
      </c>
      <c r="D659" s="29" t="s">
        <v>669</v>
      </c>
      <c r="E659" s="29" t="s">
        <v>1450</v>
      </c>
      <c r="F659" s="1">
        <v>93051</v>
      </c>
      <c r="G659" s="30">
        <v>32.787999999999997</v>
      </c>
      <c r="H659" s="30">
        <v>130.81899999999999</v>
      </c>
      <c r="I659" s="30">
        <v>32.741700000000002</v>
      </c>
      <c r="J659" s="30">
        <v>130.80869999999999</v>
      </c>
      <c r="K659" s="30">
        <v>11.39</v>
      </c>
      <c r="L659" s="22">
        <v>12.1</v>
      </c>
      <c r="M659" s="22">
        <f t="shared" si="80"/>
        <v>5.2376320527843561</v>
      </c>
      <c r="N659" s="22">
        <f t="shared" si="81"/>
        <v>12.536542167613607</v>
      </c>
      <c r="O659" s="22">
        <f t="shared" si="82"/>
        <v>-0.43654216761360765</v>
      </c>
      <c r="P659" s="22">
        <f t="shared" si="83"/>
        <v>-3.4821576937008429</v>
      </c>
      <c r="Q659" s="22">
        <f t="shared" si="84"/>
        <v>1</v>
      </c>
      <c r="R659" s="29" t="str">
        <f t="shared" si="85"/>
        <v>Within screening tolerance</v>
      </c>
      <c r="S659" s="29" t="str">
        <f t="shared" si="86"/>
        <v/>
      </c>
      <c r="T659" s="22">
        <v>4.5999999999999996</v>
      </c>
      <c r="U659" s="29" t="s">
        <v>4576</v>
      </c>
      <c r="V659" s="29" t="str">
        <f t="shared" si="87"/>
        <v>No geometric exceedance</v>
      </c>
      <c r="W659" s="30"/>
      <c r="X659" s="30"/>
      <c r="Y659" s="30"/>
      <c r="Z659" s="30"/>
      <c r="AA659" s="29" t="s">
        <v>1357</v>
      </c>
      <c r="AB659" s="29" t="s">
        <v>4578</v>
      </c>
      <c r="AC659" s="39"/>
      <c r="AD659" s="39"/>
    </row>
    <row r="660" spans="1:33" ht="58" customHeight="1">
      <c r="A660" s="1" t="s">
        <v>1264</v>
      </c>
      <c r="B660" s="1">
        <v>77</v>
      </c>
      <c r="C660" s="1" t="s">
        <v>4455</v>
      </c>
      <c r="D660" s="29" t="s">
        <v>669</v>
      </c>
      <c r="E660" s="29" t="s">
        <v>1450</v>
      </c>
      <c r="F660" s="1">
        <v>93055</v>
      </c>
      <c r="G660" s="30">
        <v>32.530999999999999</v>
      </c>
      <c r="H660" s="30">
        <v>130.63499999999999</v>
      </c>
      <c r="I660" s="30">
        <v>32.741700000000002</v>
      </c>
      <c r="J660" s="30">
        <v>130.80869999999999</v>
      </c>
      <c r="K660" s="30">
        <v>11.39</v>
      </c>
      <c r="L660" s="22">
        <v>23.8</v>
      </c>
      <c r="M660" s="22">
        <f t="shared" si="80"/>
        <v>28.521159250317542</v>
      </c>
      <c r="N660" s="22">
        <f t="shared" si="81"/>
        <v>30.711376149270386</v>
      </c>
      <c r="O660" s="22">
        <f t="shared" si="82"/>
        <v>-6.9113761492703851</v>
      </c>
      <c r="P660" s="22">
        <f t="shared" si="83"/>
        <v>-22.504286736218361</v>
      </c>
      <c r="Q660" s="22">
        <f t="shared" si="84"/>
        <v>1.5355688074635194</v>
      </c>
      <c r="R660" s="29" t="str">
        <f t="shared" si="85"/>
        <v>Review: Rhyp mismatch</v>
      </c>
      <c r="S660" s="29" t="str">
        <f t="shared" si="86"/>
        <v/>
      </c>
      <c r="T660" s="22">
        <v>17.2</v>
      </c>
      <c r="U660" s="29" t="s">
        <v>4576</v>
      </c>
      <c r="V660" s="29" t="str">
        <f t="shared" si="87"/>
        <v>No geometric exceedance</v>
      </c>
      <c r="W660" s="30"/>
      <c r="X660" s="30"/>
      <c r="Y660" s="30"/>
      <c r="Z660" s="30"/>
      <c r="AA660" s="29" t="s">
        <v>1357</v>
      </c>
      <c r="AB660" s="29" t="s">
        <v>4578</v>
      </c>
      <c r="AC660" s="39"/>
      <c r="AD660" s="39"/>
    </row>
    <row r="661" spans="1:33" ht="58" customHeight="1">
      <c r="A661" s="1" t="s">
        <v>1264</v>
      </c>
      <c r="B661" s="1">
        <v>78</v>
      </c>
      <c r="C661" s="1" t="s">
        <v>4457</v>
      </c>
      <c r="D661" s="29" t="s">
        <v>669</v>
      </c>
      <c r="E661" s="29" t="s">
        <v>1450</v>
      </c>
      <c r="F661" s="1">
        <v>93056</v>
      </c>
      <c r="G661" s="30">
        <v>32.558999999999997</v>
      </c>
      <c r="H661" s="30">
        <v>130.65100000000001</v>
      </c>
      <c r="I661" s="30">
        <v>32.741700000000002</v>
      </c>
      <c r="J661" s="30">
        <v>130.80869999999999</v>
      </c>
      <c r="K661" s="30">
        <v>11.39</v>
      </c>
      <c r="L661" s="22">
        <v>20.5</v>
      </c>
      <c r="M661" s="22">
        <f t="shared" si="80"/>
        <v>25.113759834742638</v>
      </c>
      <c r="N661" s="22">
        <f t="shared" si="81"/>
        <v>27.575950265351377</v>
      </c>
      <c r="O661" s="22">
        <f t="shared" si="82"/>
        <v>-7.0759502653513771</v>
      </c>
      <c r="P661" s="22">
        <f t="shared" si="83"/>
        <v>-25.659860121818411</v>
      </c>
      <c r="Q661" s="22">
        <f t="shared" si="84"/>
        <v>1.3787975132675689</v>
      </c>
      <c r="R661" s="29" t="str">
        <f t="shared" si="85"/>
        <v>Review: Rhyp mismatch</v>
      </c>
      <c r="S661" s="29" t="str">
        <f t="shared" si="86"/>
        <v/>
      </c>
      <c r="T661" s="22">
        <v>13.9</v>
      </c>
      <c r="U661" s="29" t="s">
        <v>4576</v>
      </c>
      <c r="V661" s="29" t="str">
        <f t="shared" si="87"/>
        <v>No geometric exceedance</v>
      </c>
      <c r="W661" s="30"/>
      <c r="X661" s="30"/>
      <c r="Y661" s="30"/>
      <c r="Z661" s="30"/>
      <c r="AA661" s="29" t="s">
        <v>1357</v>
      </c>
      <c r="AB661" s="29" t="s">
        <v>4578</v>
      </c>
      <c r="AC661" s="39"/>
      <c r="AD661" s="39"/>
    </row>
    <row r="662" spans="1:33" ht="58" customHeight="1">
      <c r="A662" s="1" t="s">
        <v>1264</v>
      </c>
      <c r="B662" s="1">
        <v>79</v>
      </c>
      <c r="C662" s="1" t="s">
        <v>4459</v>
      </c>
      <c r="D662" s="29" t="s">
        <v>669</v>
      </c>
      <c r="E662" s="29" t="s">
        <v>1450</v>
      </c>
      <c r="F662" s="1">
        <v>93057</v>
      </c>
      <c r="G662" s="30">
        <v>32.579000000000001</v>
      </c>
      <c r="H662" s="30">
        <v>130.67599999999999</v>
      </c>
      <c r="I662" s="30">
        <v>32.741700000000002</v>
      </c>
      <c r="J662" s="30">
        <v>130.80869999999999</v>
      </c>
      <c r="K662" s="30">
        <v>11.39</v>
      </c>
      <c r="L662" s="22">
        <v>17.5</v>
      </c>
      <c r="M662" s="22">
        <f t="shared" si="80"/>
        <v>21.945776123568624</v>
      </c>
      <c r="N662" s="22">
        <f t="shared" si="81"/>
        <v>24.725476530610987</v>
      </c>
      <c r="O662" s="22">
        <f t="shared" si="82"/>
        <v>-7.2254765306109867</v>
      </c>
      <c r="P662" s="22">
        <f t="shared" si="83"/>
        <v>-29.222799898985159</v>
      </c>
      <c r="Q662" s="22">
        <f t="shared" si="84"/>
        <v>1.2362738265305495</v>
      </c>
      <c r="R662" s="29" t="str">
        <f t="shared" si="85"/>
        <v>Review: Rhyp mismatch</v>
      </c>
      <c r="S662" s="29" t="str">
        <f t="shared" si="86"/>
        <v/>
      </c>
      <c r="T662" s="22">
        <v>10.7</v>
      </c>
      <c r="U662" s="29" t="s">
        <v>4576</v>
      </c>
      <c r="V662" s="29" t="str">
        <f t="shared" si="87"/>
        <v>No geometric exceedance</v>
      </c>
      <c r="W662" s="30"/>
      <c r="X662" s="30"/>
      <c r="Y662" s="30"/>
      <c r="Z662" s="30"/>
      <c r="AA662" s="29" t="s">
        <v>1357</v>
      </c>
      <c r="AB662" s="29" t="s">
        <v>4578</v>
      </c>
      <c r="AC662" s="39"/>
      <c r="AD662" s="39"/>
    </row>
    <row r="663" spans="1:33" ht="58" customHeight="1">
      <c r="A663" s="1" t="s">
        <v>1264</v>
      </c>
      <c r="B663" s="1">
        <v>80</v>
      </c>
      <c r="C663" s="1" t="s">
        <v>4461</v>
      </c>
      <c r="D663" s="29" t="s">
        <v>669</v>
      </c>
      <c r="E663" s="29" t="s">
        <v>1450</v>
      </c>
      <c r="F663" s="1">
        <v>93058</v>
      </c>
      <c r="G663" s="30">
        <v>32.552</v>
      </c>
      <c r="H663" s="30">
        <v>130.685</v>
      </c>
      <c r="I663" s="30">
        <v>32.741700000000002</v>
      </c>
      <c r="J663" s="30">
        <v>130.80869999999999</v>
      </c>
      <c r="K663" s="30">
        <v>11.39</v>
      </c>
      <c r="L663" s="22">
        <v>19.5</v>
      </c>
      <c r="M663" s="22">
        <f t="shared" si="80"/>
        <v>24.064059919463951</v>
      </c>
      <c r="N663" s="22">
        <f t="shared" si="81"/>
        <v>26.623506151661381</v>
      </c>
      <c r="O663" s="22">
        <f t="shared" si="82"/>
        <v>-7.1235061516613811</v>
      </c>
      <c r="P663" s="22">
        <f t="shared" si="83"/>
        <v>-26.756453906116548</v>
      </c>
      <c r="Q663" s="22">
        <f t="shared" si="84"/>
        <v>1.3311753075830692</v>
      </c>
      <c r="R663" s="29" t="str">
        <f t="shared" si="85"/>
        <v>Review: Rhyp mismatch</v>
      </c>
      <c r="S663" s="29" t="str">
        <f t="shared" si="86"/>
        <v/>
      </c>
      <c r="T663" s="22">
        <v>12.6</v>
      </c>
      <c r="U663" s="29" t="s">
        <v>4576</v>
      </c>
      <c r="V663" s="29" t="str">
        <f t="shared" si="87"/>
        <v>No geometric exceedance</v>
      </c>
      <c r="W663" s="30"/>
      <c r="X663" s="30"/>
      <c r="Y663" s="30"/>
      <c r="Z663" s="30"/>
      <c r="AA663" s="29" t="s">
        <v>1357</v>
      </c>
      <c r="AB663" s="29" t="s">
        <v>4578</v>
      </c>
      <c r="AC663" s="39"/>
      <c r="AD663" s="39"/>
    </row>
    <row r="664" spans="1:33" ht="58" customHeight="1">
      <c r="A664" s="1" t="s">
        <v>1264</v>
      </c>
      <c r="B664" s="1">
        <v>81</v>
      </c>
      <c r="C664" s="1" t="s">
        <v>4463</v>
      </c>
      <c r="D664" s="29" t="s">
        <v>669</v>
      </c>
      <c r="E664" s="29" t="s">
        <v>1450</v>
      </c>
      <c r="F664" s="1" t="s">
        <v>1246</v>
      </c>
      <c r="G664" s="30">
        <v>32.648000000000003</v>
      </c>
      <c r="H664" s="30">
        <v>130.684</v>
      </c>
      <c r="I664" s="30">
        <v>32.741700000000002</v>
      </c>
      <c r="J664" s="30">
        <v>130.80869999999999</v>
      </c>
      <c r="K664" s="30">
        <v>11.39</v>
      </c>
      <c r="L664" s="22">
        <v>12</v>
      </c>
      <c r="M664" s="22">
        <f t="shared" si="80"/>
        <v>15.643589342632245</v>
      </c>
      <c r="N664" s="22">
        <f t="shared" si="81"/>
        <v>19.350813613926345</v>
      </c>
      <c r="O664" s="22">
        <f t="shared" si="82"/>
        <v>-7.3508136139263449</v>
      </c>
      <c r="P664" s="22">
        <f t="shared" si="83"/>
        <v>-37.987103594631954</v>
      </c>
      <c r="Q664" s="22">
        <f t="shared" si="84"/>
        <v>1</v>
      </c>
      <c r="R664" s="29" t="str">
        <f t="shared" si="85"/>
        <v>Review: Rhyp mismatch</v>
      </c>
      <c r="S664" s="29" t="str">
        <f t="shared" si="86"/>
        <v/>
      </c>
      <c r="T664" s="22">
        <v>6.4</v>
      </c>
      <c r="U664" s="29" t="s">
        <v>4576</v>
      </c>
      <c r="V664" s="29" t="str">
        <f t="shared" si="87"/>
        <v>No geometric exceedance</v>
      </c>
      <c r="W664" s="30"/>
      <c r="X664" s="30"/>
      <c r="Y664" s="30"/>
      <c r="Z664" s="30"/>
      <c r="AA664" s="29" t="s">
        <v>1357</v>
      </c>
      <c r="AB664" s="29" t="s">
        <v>4578</v>
      </c>
      <c r="AC664" s="39"/>
      <c r="AD664" s="39"/>
    </row>
    <row r="665" spans="1:33" ht="58" customHeight="1">
      <c r="A665" s="1" t="s">
        <v>1264</v>
      </c>
      <c r="B665" s="1">
        <v>82</v>
      </c>
      <c r="C665" s="1" t="s">
        <v>4465</v>
      </c>
      <c r="D665" s="29" t="s">
        <v>680</v>
      </c>
      <c r="E665" s="29" t="s">
        <v>681</v>
      </c>
      <c r="F665" s="1" t="s">
        <v>1251</v>
      </c>
      <c r="G665" s="30">
        <v>42.575000000000003</v>
      </c>
      <c r="H665" s="30">
        <v>141.92789999999999</v>
      </c>
      <c r="I665" s="30">
        <v>42.690800000000003</v>
      </c>
      <c r="J665" s="30">
        <v>142.0067</v>
      </c>
      <c r="K665" s="30">
        <v>37.04</v>
      </c>
      <c r="L665" s="22">
        <f>YEN!F82</f>
        <v>39.740640542991102</v>
      </c>
      <c r="M665" s="22">
        <f t="shared" si="80"/>
        <v>14.399892734573696</v>
      </c>
      <c r="N665" s="22">
        <f t="shared" si="81"/>
        <v>39.740640542991102</v>
      </c>
      <c r="O665" s="22">
        <f t="shared" si="82"/>
        <v>0</v>
      </c>
      <c r="P665" s="22">
        <f t="shared" si="83"/>
        <v>0</v>
      </c>
      <c r="Q665" s="22">
        <f t="shared" si="84"/>
        <v>1.9870320271495552</v>
      </c>
      <c r="R665" s="29" t="str">
        <f t="shared" si="85"/>
        <v>Within screening tolerance</v>
      </c>
      <c r="S665" s="29" t="str">
        <f t="shared" si="86"/>
        <v/>
      </c>
      <c r="T665" s="22">
        <v>18.8</v>
      </c>
      <c r="U665" s="29" t="s">
        <v>4576</v>
      </c>
      <c r="V665" s="29" t="str">
        <f t="shared" si="87"/>
        <v>No geometric exceedance</v>
      </c>
      <c r="W665" s="30"/>
      <c r="X665" s="30"/>
      <c r="Y665" s="30"/>
      <c r="Z665" s="30"/>
      <c r="AA665" s="29" t="s">
        <v>4579</v>
      </c>
      <c r="AB665" s="29" t="s">
        <v>4580</v>
      </c>
      <c r="AC665" s="39">
        <v>18.771744999280653</v>
      </c>
      <c r="AD665" s="39">
        <f>T665-AC665</f>
        <v>2.8255000719347834E-2</v>
      </c>
      <c r="AE665">
        <v>1</v>
      </c>
      <c r="AF665" t="s">
        <v>4581</v>
      </c>
      <c r="AG665" s="39">
        <v>26.2</v>
      </c>
    </row>
    <row r="666" spans="1:33" ht="58" customHeight="1">
      <c r="A666" s="1" t="s">
        <v>1264</v>
      </c>
      <c r="B666" s="1">
        <v>83</v>
      </c>
      <c r="C666" s="1" t="s">
        <v>4467</v>
      </c>
      <c r="D666" s="29" t="s">
        <v>680</v>
      </c>
      <c r="E666" s="29" t="s">
        <v>681</v>
      </c>
      <c r="F666" s="1" t="s">
        <v>1252</v>
      </c>
      <c r="G666" s="30">
        <v>42.765500000000003</v>
      </c>
      <c r="H666" s="30">
        <v>141.82210000000001</v>
      </c>
      <c r="I666" s="30">
        <v>42.690800000000003</v>
      </c>
      <c r="J666" s="30">
        <v>142.0067</v>
      </c>
      <c r="K666" s="30">
        <v>37.04</v>
      </c>
      <c r="L666" s="22">
        <f>YEN!F83</f>
        <v>40.845010264661475</v>
      </c>
      <c r="M666" s="22">
        <f t="shared" si="80"/>
        <v>17.214913985271647</v>
      </c>
      <c r="N666" s="22">
        <f t="shared" si="81"/>
        <v>40.845010264661475</v>
      </c>
      <c r="O666" s="22">
        <f t="shared" si="82"/>
        <v>0</v>
      </c>
      <c r="P666" s="22">
        <f t="shared" si="83"/>
        <v>0</v>
      </c>
      <c r="Q666" s="22">
        <f t="shared" si="84"/>
        <v>2.0422505132330739</v>
      </c>
      <c r="R666" s="29" t="str">
        <f t="shared" si="85"/>
        <v>Within screening tolerance</v>
      </c>
      <c r="S666" s="29" t="str">
        <f t="shared" si="86"/>
        <v/>
      </c>
      <c r="T666" s="22">
        <v>20.5</v>
      </c>
      <c r="U666" s="29" t="s">
        <v>4576</v>
      </c>
      <c r="V666" s="29" t="str">
        <f t="shared" si="87"/>
        <v>No geometric exceedance</v>
      </c>
      <c r="W666" s="30"/>
      <c r="X666" s="30"/>
      <c r="Y666" s="30"/>
      <c r="Z666" s="30"/>
      <c r="AA666" s="29" t="s">
        <v>4579</v>
      </c>
      <c r="AB666" s="29" t="s">
        <v>4582</v>
      </c>
      <c r="AC666" s="39">
        <v>20.513964239816708</v>
      </c>
      <c r="AD666" s="39">
        <f>T666-AC666</f>
        <v>-1.3964239816708357E-2</v>
      </c>
      <c r="AE666">
        <v>3</v>
      </c>
      <c r="AF666" t="s">
        <v>4581</v>
      </c>
      <c r="AG666" s="39">
        <v>29.1</v>
      </c>
    </row>
    <row r="667" spans="1:33" ht="58" customHeight="1">
      <c r="A667" s="1" t="s">
        <v>1264</v>
      </c>
      <c r="B667" s="1">
        <v>84</v>
      </c>
      <c r="C667" s="1" t="s">
        <v>4469</v>
      </c>
      <c r="D667" s="29" t="s">
        <v>680</v>
      </c>
      <c r="E667" s="29" t="s">
        <v>681</v>
      </c>
      <c r="F667" s="1" t="s">
        <v>1253</v>
      </c>
      <c r="G667" s="30">
        <v>42.873899999999999</v>
      </c>
      <c r="H667" s="30">
        <v>141.81909999999999</v>
      </c>
      <c r="I667" s="30">
        <v>42.690800000000003</v>
      </c>
      <c r="J667" s="30">
        <v>142.0067</v>
      </c>
      <c r="K667" s="30">
        <v>37.04</v>
      </c>
      <c r="L667" s="22">
        <f>YEN!F84</f>
        <v>44.954208423555926</v>
      </c>
      <c r="M667" s="22">
        <f t="shared" si="80"/>
        <v>25.473893596945619</v>
      </c>
      <c r="N667" s="22">
        <f t="shared" si="81"/>
        <v>44.954208423555926</v>
      </c>
      <c r="O667" s="22">
        <f t="shared" si="82"/>
        <v>0</v>
      </c>
      <c r="P667" s="22">
        <f t="shared" si="83"/>
        <v>0</v>
      </c>
      <c r="Q667" s="22">
        <f t="shared" si="84"/>
        <v>2.2477104211777963</v>
      </c>
      <c r="R667" s="29" t="str">
        <f t="shared" si="85"/>
        <v>Within screening tolerance</v>
      </c>
      <c r="S667" s="29" t="str">
        <f t="shared" si="86"/>
        <v/>
      </c>
      <c r="T667" s="22">
        <v>22.2</v>
      </c>
      <c r="U667" s="29" t="s">
        <v>4576</v>
      </c>
      <c r="V667" s="29" t="str">
        <f t="shared" si="87"/>
        <v>No geometric exceedance</v>
      </c>
      <c r="W667" s="30"/>
      <c r="X667" s="30"/>
      <c r="Y667" s="30"/>
      <c r="Z667" s="30"/>
      <c r="AA667" s="29" t="s">
        <v>4579</v>
      </c>
      <c r="AB667" s="29" t="s">
        <v>4583</v>
      </c>
      <c r="AC667" s="39">
        <v>21.762665345941148</v>
      </c>
      <c r="AD667" s="39">
        <f>T667-AC667</f>
        <v>0.43733465405885141</v>
      </c>
      <c r="AE667">
        <v>3</v>
      </c>
      <c r="AF667" t="s">
        <v>4581</v>
      </c>
      <c r="AG667" s="39">
        <v>34.4</v>
      </c>
    </row>
    <row r="668" spans="1:33" ht="58" customHeight="1">
      <c r="A668" s="1" t="s">
        <v>1264</v>
      </c>
      <c r="B668" s="1">
        <v>85</v>
      </c>
      <c r="C668" s="1" t="s">
        <v>4471</v>
      </c>
      <c r="D668" s="29" t="s">
        <v>680</v>
      </c>
      <c r="E668" s="29" t="s">
        <v>681</v>
      </c>
      <c r="F668" s="1">
        <v>47004</v>
      </c>
      <c r="G668" s="30">
        <v>42.622599999999998</v>
      </c>
      <c r="H668" s="30">
        <v>141.9204</v>
      </c>
      <c r="I668" s="30">
        <v>42.690800000000003</v>
      </c>
      <c r="J668" s="30">
        <v>142.0067</v>
      </c>
      <c r="K668" s="30">
        <v>37.04</v>
      </c>
      <c r="L668" s="22">
        <f>YEN!F85</f>
        <v>38.461353083533496</v>
      </c>
      <c r="M668" s="22">
        <f t="shared" si="80"/>
        <v>10.359250987220625</v>
      </c>
      <c r="N668" s="22">
        <f t="shared" si="81"/>
        <v>38.461353083533496</v>
      </c>
      <c r="O668" s="22">
        <f t="shared" si="82"/>
        <v>0</v>
      </c>
      <c r="P668" s="22">
        <f t="shared" si="83"/>
        <v>0</v>
      </c>
      <c r="Q668" s="22">
        <f t="shared" si="84"/>
        <v>1.9230676541766749</v>
      </c>
      <c r="R668" s="29" t="str">
        <f t="shared" si="85"/>
        <v>Within screening tolerance</v>
      </c>
      <c r="S668" s="29" t="str">
        <f t="shared" si="86"/>
        <v/>
      </c>
      <c r="T668" s="22">
        <v>18.7</v>
      </c>
      <c r="U668" s="29" t="s">
        <v>4576</v>
      </c>
      <c r="V668" s="29" t="str">
        <f t="shared" si="87"/>
        <v>No geometric exceedance</v>
      </c>
      <c r="W668" s="30"/>
      <c r="X668" s="30"/>
      <c r="Y668" s="30"/>
      <c r="Z668" s="30"/>
      <c r="AA668" s="29" t="s">
        <v>4579</v>
      </c>
      <c r="AB668" s="29" t="s">
        <v>4584</v>
      </c>
      <c r="AC668" s="39">
        <v>18.720455832929229</v>
      </c>
      <c r="AD668" s="39">
        <f>T668-AC668</f>
        <v>-2.04558329292297E-2</v>
      </c>
      <c r="AE668">
        <v>1</v>
      </c>
      <c r="AF668" t="s">
        <v>4581</v>
      </c>
      <c r="AG668" s="39">
        <v>24.9</v>
      </c>
    </row>
    <row r="669" spans="1:33" ht="58" customHeight="1">
      <c r="A669" s="1" t="s">
        <v>1264</v>
      </c>
      <c r="B669" s="1">
        <v>86</v>
      </c>
      <c r="C669" s="1" t="s">
        <v>4476</v>
      </c>
      <c r="D669" s="29" t="s">
        <v>684</v>
      </c>
      <c r="E669" s="29" t="s">
        <v>685</v>
      </c>
      <c r="F669" s="1">
        <v>8101</v>
      </c>
      <c r="G669" s="30">
        <v>40.843600000000002</v>
      </c>
      <c r="H669" s="30">
        <v>31.148900000000001</v>
      </c>
      <c r="I669" s="30">
        <v>40.835599999999999</v>
      </c>
      <c r="J669" s="30">
        <v>30.9831</v>
      </c>
      <c r="K669" s="30">
        <v>10</v>
      </c>
      <c r="L669" s="22">
        <v>10.67</v>
      </c>
      <c r="M669" s="22">
        <f t="shared" si="80"/>
        <v>13.976057812336563</v>
      </c>
      <c r="N669" s="22">
        <f t="shared" si="81"/>
        <v>17.185173609067029</v>
      </c>
      <c r="O669" s="22">
        <f t="shared" si="82"/>
        <v>-6.5151736090670287</v>
      </c>
      <c r="P669" s="22">
        <f t="shared" si="83"/>
        <v>-37.911596107644634</v>
      </c>
      <c r="Q669" s="22">
        <f t="shared" si="84"/>
        <v>1</v>
      </c>
      <c r="R669" s="29" t="str">
        <f t="shared" si="85"/>
        <v>Review: Rhyp mismatch</v>
      </c>
      <c r="S669" s="29" t="str">
        <f t="shared" si="86"/>
        <v/>
      </c>
      <c r="T669" s="22"/>
      <c r="U669" s="29"/>
      <c r="V669" s="29" t="str">
        <f t="shared" si="87"/>
        <v>Missing Rrup/closest distance</v>
      </c>
      <c r="W669" s="30"/>
      <c r="X669" s="30"/>
      <c r="Y669" s="30"/>
      <c r="Z669" s="30"/>
      <c r="AA669" s="29" t="s">
        <v>687</v>
      </c>
      <c r="AB669" s="29"/>
      <c r="AC669" s="39"/>
      <c r="AD669" s="39"/>
    </row>
    <row r="670" spans="1:33" ht="58" customHeight="1">
      <c r="A670" s="1" t="s">
        <v>1264</v>
      </c>
      <c r="B670" s="1">
        <v>87</v>
      </c>
      <c r="C670" s="1" t="s">
        <v>4479</v>
      </c>
      <c r="D670" s="29" t="s">
        <v>684</v>
      </c>
      <c r="E670" s="29" t="s">
        <v>685</v>
      </c>
      <c r="F670" s="1">
        <v>8102</v>
      </c>
      <c r="G670" s="30">
        <v>40.834200000000003</v>
      </c>
      <c r="H670" s="30">
        <v>31.164400000000001</v>
      </c>
      <c r="I670" s="30">
        <v>40.835599999999999</v>
      </c>
      <c r="J670" s="30">
        <v>30.9831</v>
      </c>
      <c r="K670" s="30">
        <v>10</v>
      </c>
      <c r="L670" s="22">
        <v>11.79</v>
      </c>
      <c r="M670" s="22">
        <f t="shared" si="80"/>
        <v>15.25351303120914</v>
      </c>
      <c r="N670" s="22">
        <f t="shared" si="81"/>
        <v>18.239234079129172</v>
      </c>
      <c r="O670" s="22">
        <f t="shared" si="82"/>
        <v>-6.4492340791291731</v>
      </c>
      <c r="P670" s="22">
        <f t="shared" si="83"/>
        <v>-35.359127752567836</v>
      </c>
      <c r="Q670" s="22">
        <f t="shared" si="84"/>
        <v>1</v>
      </c>
      <c r="R670" s="29" t="str">
        <f t="shared" si="85"/>
        <v>Review: Rhyp mismatch</v>
      </c>
      <c r="S670" s="29" t="str">
        <f t="shared" si="86"/>
        <v/>
      </c>
      <c r="T670" s="22"/>
      <c r="U670" s="29"/>
      <c r="V670" s="29" t="str">
        <f t="shared" si="87"/>
        <v>Missing Rrup/closest distance</v>
      </c>
      <c r="W670" s="30"/>
      <c r="X670" s="30"/>
      <c r="Y670" s="30"/>
      <c r="Z670" s="30"/>
      <c r="AA670" s="29" t="s">
        <v>687</v>
      </c>
      <c r="AB670" s="29"/>
      <c r="AC670" s="39"/>
      <c r="AD670" s="39"/>
    </row>
    <row r="671" spans="1:33" ht="58" customHeight="1">
      <c r="A671" s="1" t="s">
        <v>1264</v>
      </c>
      <c r="B671" s="1">
        <v>88</v>
      </c>
      <c r="C671" s="1" t="s">
        <v>4481</v>
      </c>
      <c r="D671" s="29" t="s">
        <v>684</v>
      </c>
      <c r="E671" s="29" t="s">
        <v>685</v>
      </c>
      <c r="F671" s="1">
        <v>8104</v>
      </c>
      <c r="G671" s="30">
        <v>40.8611</v>
      </c>
      <c r="H671" s="30">
        <v>31.180399999999999</v>
      </c>
      <c r="I671" s="30">
        <v>40.835599999999999</v>
      </c>
      <c r="J671" s="30">
        <v>30.9831</v>
      </c>
      <c r="K671" s="30">
        <v>10</v>
      </c>
      <c r="L671" s="22">
        <v>13.74</v>
      </c>
      <c r="M671" s="22">
        <f t="shared" si="80"/>
        <v>16.835914939445409</v>
      </c>
      <c r="N671" s="22">
        <f t="shared" si="81"/>
        <v>19.581829124171243</v>
      </c>
      <c r="O671" s="22">
        <f t="shared" si="82"/>
        <v>-5.8418291241712428</v>
      </c>
      <c r="P671" s="22">
        <f t="shared" si="83"/>
        <v>-29.832908290269259</v>
      </c>
      <c r="Q671" s="22">
        <f t="shared" si="84"/>
        <v>1</v>
      </c>
      <c r="R671" s="29" t="str">
        <f t="shared" si="85"/>
        <v>Review: Rhyp mismatch</v>
      </c>
      <c r="S671" s="29" t="str">
        <f t="shared" si="86"/>
        <v/>
      </c>
      <c r="T671" s="22"/>
      <c r="U671" s="29"/>
      <c r="V671" s="29" t="str">
        <f t="shared" si="87"/>
        <v>Missing Rrup/closest distance</v>
      </c>
      <c r="W671" s="30"/>
      <c r="X671" s="30"/>
      <c r="Y671" s="30"/>
      <c r="Z671" s="30"/>
      <c r="AA671" s="29" t="s">
        <v>687</v>
      </c>
      <c r="AB671" s="29"/>
      <c r="AC671" s="39"/>
      <c r="AD671" s="39"/>
    </row>
    <row r="672" spans="1:33" ht="58" customHeight="1">
      <c r="A672" s="1" t="s">
        <v>1264</v>
      </c>
      <c r="B672" s="1">
        <v>89</v>
      </c>
      <c r="C672" s="1" t="s">
        <v>4483</v>
      </c>
      <c r="D672" s="29" t="s">
        <v>684</v>
      </c>
      <c r="E672" s="29" t="s">
        <v>685</v>
      </c>
      <c r="F672" s="1">
        <v>8109</v>
      </c>
      <c r="G672" s="30">
        <v>40.780999999999999</v>
      </c>
      <c r="H672" s="30">
        <v>31.014399999999998</v>
      </c>
      <c r="I672" s="30">
        <v>40.835599999999999</v>
      </c>
      <c r="J672" s="30">
        <v>30.9831</v>
      </c>
      <c r="K672" s="30">
        <v>10</v>
      </c>
      <c r="L672" s="22">
        <v>4.75</v>
      </c>
      <c r="M672" s="22">
        <f t="shared" si="80"/>
        <v>6.6181278294247603</v>
      </c>
      <c r="N672" s="22">
        <f t="shared" si="81"/>
        <v>11.991647758611261</v>
      </c>
      <c r="O672" s="22">
        <f t="shared" si="82"/>
        <v>-7.2416477586112613</v>
      </c>
      <c r="P672" s="22">
        <f t="shared" si="83"/>
        <v>-60.389096681154584</v>
      </c>
      <c r="Q672" s="22">
        <f t="shared" si="84"/>
        <v>1</v>
      </c>
      <c r="R672" s="29" t="str">
        <f t="shared" si="85"/>
        <v>Review: Rhyp mismatch</v>
      </c>
      <c r="S672" s="29" t="str">
        <f t="shared" si="86"/>
        <v>Rhyp below depth by &gt;1 km</v>
      </c>
      <c r="T672" s="22"/>
      <c r="U672" s="29"/>
      <c r="V672" s="29" t="str">
        <f t="shared" si="87"/>
        <v>Missing Rrup/closest distance</v>
      </c>
      <c r="W672" s="30"/>
      <c r="X672" s="30"/>
      <c r="Y672" s="30"/>
      <c r="Z672" s="30"/>
      <c r="AA672" s="29" t="s">
        <v>687</v>
      </c>
      <c r="AB672" s="29"/>
      <c r="AC672" s="39"/>
      <c r="AD672" s="39"/>
    </row>
    <row r="673" spans="1:30" ht="58" customHeight="1">
      <c r="A673" s="1" t="s">
        <v>1264</v>
      </c>
      <c r="B673" s="1">
        <v>90</v>
      </c>
      <c r="C673" s="1" t="s">
        <v>4485</v>
      </c>
      <c r="D673" s="29" t="s">
        <v>232</v>
      </c>
      <c r="E673" s="29" t="s">
        <v>1255</v>
      </c>
      <c r="F673" s="1">
        <v>3123</v>
      </c>
      <c r="G673" s="30">
        <v>36.214230000000001</v>
      </c>
      <c r="H673" s="30">
        <v>36.159730000000003</v>
      </c>
      <c r="I673" s="30">
        <v>37.2256</v>
      </c>
      <c r="J673" s="30">
        <v>37.014299999999999</v>
      </c>
      <c r="K673" s="30">
        <v>10</v>
      </c>
      <c r="L673" s="22">
        <v>136.19180595904618</v>
      </c>
      <c r="M673" s="22">
        <f t="shared" si="80"/>
        <v>135.8241805069573</v>
      </c>
      <c r="N673" s="22">
        <f t="shared" si="81"/>
        <v>136.19180595904629</v>
      </c>
      <c r="O673" s="22">
        <f t="shared" si="82"/>
        <v>-1.1368683772161603E-13</v>
      </c>
      <c r="P673" s="22">
        <f t="shared" si="83"/>
        <v>-8.3475534317976777E-14</v>
      </c>
      <c r="Q673" s="22">
        <f t="shared" si="84"/>
        <v>6.8095902979523153</v>
      </c>
      <c r="R673" s="29" t="str">
        <f t="shared" si="85"/>
        <v>Within screening tolerance</v>
      </c>
      <c r="S673" s="29" t="str">
        <f t="shared" si="86"/>
        <v/>
      </c>
      <c r="T673" s="22">
        <v>1.5</v>
      </c>
      <c r="U673" s="29" t="s">
        <v>4576</v>
      </c>
      <c r="V673" s="29" t="str">
        <f t="shared" si="87"/>
        <v>No geometric exceedance</v>
      </c>
      <c r="W673" s="30"/>
      <c r="X673" s="30"/>
      <c r="Y673" s="30"/>
      <c r="Z673" s="30"/>
      <c r="AA673" s="29" t="s">
        <v>691</v>
      </c>
      <c r="AB673" s="29"/>
      <c r="AC673" s="39"/>
      <c r="AD673" s="39"/>
    </row>
    <row r="674" spans="1:30" ht="58" customHeight="1">
      <c r="A674" s="1" t="s">
        <v>1264</v>
      </c>
      <c r="B674" s="1">
        <v>91</v>
      </c>
      <c r="C674" s="1" t="s">
        <v>4487</v>
      </c>
      <c r="D674" s="29" t="s">
        <v>232</v>
      </c>
      <c r="E674" s="29" t="s">
        <v>1255</v>
      </c>
      <c r="F674" s="1">
        <v>2712</v>
      </c>
      <c r="G674" s="30">
        <v>37.183999999999997</v>
      </c>
      <c r="H674" s="30">
        <v>36.73283</v>
      </c>
      <c r="I674" s="30">
        <v>37.2256</v>
      </c>
      <c r="J674" s="30">
        <v>37.014299999999999</v>
      </c>
      <c r="K674" s="30">
        <v>10</v>
      </c>
      <c r="L674" s="22">
        <v>27.254607620080083</v>
      </c>
      <c r="M674" s="22">
        <f t="shared" si="80"/>
        <v>25.353769670889751</v>
      </c>
      <c r="N674" s="22">
        <f t="shared" si="81"/>
        <v>27.254607620080112</v>
      </c>
      <c r="O674" s="22">
        <f t="shared" si="82"/>
        <v>-2.8421709430404007E-14</v>
      </c>
      <c r="P674" s="22">
        <f t="shared" si="83"/>
        <v>-1.0428221835585709E-13</v>
      </c>
      <c r="Q674" s="22">
        <f t="shared" si="84"/>
        <v>1.3627303810040057</v>
      </c>
      <c r="R674" s="29" t="str">
        <f t="shared" si="85"/>
        <v>Within screening tolerance</v>
      </c>
      <c r="S674" s="29" t="str">
        <f t="shared" si="86"/>
        <v/>
      </c>
      <c r="T674" s="22">
        <v>1.7</v>
      </c>
      <c r="U674" s="29" t="s">
        <v>4576</v>
      </c>
      <c r="V674" s="29" t="str">
        <f t="shared" si="87"/>
        <v>No geometric exceedance</v>
      </c>
      <c r="W674" s="30"/>
      <c r="X674" s="30"/>
      <c r="Y674" s="30"/>
      <c r="Z674" s="30"/>
      <c r="AA674" s="29" t="s">
        <v>691</v>
      </c>
      <c r="AB674" s="29"/>
      <c r="AC674" s="39"/>
      <c r="AD674" s="39"/>
    </row>
    <row r="675" spans="1:30" ht="58" customHeight="1">
      <c r="A675" s="1" t="s">
        <v>1264</v>
      </c>
      <c r="B675" s="1">
        <v>92</v>
      </c>
      <c r="C675" s="1" t="s">
        <v>4489</v>
      </c>
      <c r="D675" s="29" t="s">
        <v>232</v>
      </c>
      <c r="E675" s="29" t="s">
        <v>1255</v>
      </c>
      <c r="F675" s="1">
        <v>2718</v>
      </c>
      <c r="G675" s="30">
        <v>37.007770000000001</v>
      </c>
      <c r="H675" s="30">
        <v>36.626600000000003</v>
      </c>
      <c r="I675" s="30">
        <v>37.2256</v>
      </c>
      <c r="J675" s="30">
        <v>37.014299999999999</v>
      </c>
      <c r="K675" s="30">
        <v>10</v>
      </c>
      <c r="L675" s="22">
        <v>43.225256477462409</v>
      </c>
      <c r="M675" s="22">
        <f t="shared" si="80"/>
        <v>42.052619389788347</v>
      </c>
      <c r="N675" s="22">
        <f t="shared" si="81"/>
        <v>43.225256477462374</v>
      </c>
      <c r="O675" s="22">
        <f t="shared" si="82"/>
        <v>3.5527136788005009E-14</v>
      </c>
      <c r="P675" s="22">
        <f t="shared" si="83"/>
        <v>8.2190690543453084E-14</v>
      </c>
      <c r="Q675" s="22">
        <f t="shared" si="84"/>
        <v>2.1612628238731189</v>
      </c>
      <c r="R675" s="29" t="str">
        <f t="shared" si="85"/>
        <v>Within screening tolerance</v>
      </c>
      <c r="S675" s="29" t="str">
        <f t="shared" si="86"/>
        <v/>
      </c>
      <c r="T675" s="22">
        <v>1.8</v>
      </c>
      <c r="U675" s="29" t="s">
        <v>4576</v>
      </c>
      <c r="V675" s="29" t="str">
        <f t="shared" si="87"/>
        <v>No geometric exceedance</v>
      </c>
      <c r="W675" s="30"/>
      <c r="X675" s="30"/>
      <c r="Y675" s="30"/>
      <c r="Z675" s="30"/>
      <c r="AA675" s="29" t="s">
        <v>691</v>
      </c>
      <c r="AB675" s="29"/>
      <c r="AC675" s="39"/>
      <c r="AD675" s="39"/>
    </row>
    <row r="676" spans="1:30" ht="58" customHeight="1">
      <c r="A676" s="1" t="s">
        <v>1264</v>
      </c>
      <c r="B676" s="1">
        <v>93</v>
      </c>
      <c r="C676" s="1" t="s">
        <v>4491</v>
      </c>
      <c r="D676" s="29" t="s">
        <v>232</v>
      </c>
      <c r="E676" s="29" t="s">
        <v>1255</v>
      </c>
      <c r="F676" s="1">
        <v>3145</v>
      </c>
      <c r="G676" s="30">
        <v>36.645359999999997</v>
      </c>
      <c r="H676" s="30">
        <v>36.406399999999998</v>
      </c>
      <c r="I676" s="30">
        <v>37.2256</v>
      </c>
      <c r="J676" s="30">
        <v>37.014299999999999</v>
      </c>
      <c r="K676" s="30">
        <v>10</v>
      </c>
      <c r="L676" s="22">
        <v>84.74636186655701</v>
      </c>
      <c r="M676" s="22">
        <f t="shared" si="80"/>
        <v>84.154297867770438</v>
      </c>
      <c r="N676" s="22">
        <f t="shared" si="81"/>
        <v>84.746361866557038</v>
      </c>
      <c r="O676" s="22">
        <f t="shared" si="82"/>
        <v>-2.8421709430404007E-14</v>
      </c>
      <c r="P676" s="22">
        <f t="shared" si="83"/>
        <v>-3.3537380017749055E-14</v>
      </c>
      <c r="Q676" s="22">
        <f t="shared" si="84"/>
        <v>4.2373180933278523</v>
      </c>
      <c r="R676" s="29" t="str">
        <f t="shared" si="85"/>
        <v>Within screening tolerance</v>
      </c>
      <c r="S676" s="29" t="str">
        <f t="shared" si="86"/>
        <v/>
      </c>
      <c r="T676" s="22">
        <v>1.8</v>
      </c>
      <c r="U676" s="29" t="s">
        <v>4576</v>
      </c>
      <c r="V676" s="29" t="str">
        <f t="shared" si="87"/>
        <v>No geometric exceedance</v>
      </c>
      <c r="W676" s="30"/>
      <c r="X676" s="30"/>
      <c r="Y676" s="30"/>
      <c r="Z676" s="30"/>
      <c r="AA676" s="29" t="s">
        <v>691</v>
      </c>
      <c r="AB676" s="29"/>
      <c r="AC676" s="39"/>
      <c r="AD676" s="39"/>
    </row>
    <row r="677" spans="1:30" ht="58" customHeight="1">
      <c r="A677" s="1" t="s">
        <v>1264</v>
      </c>
      <c r="B677" s="1">
        <v>94</v>
      </c>
      <c r="C677" s="1" t="s">
        <v>4493</v>
      </c>
      <c r="D677" s="29" t="s">
        <v>232</v>
      </c>
      <c r="E677" s="29" t="s">
        <v>1255</v>
      </c>
      <c r="F677" s="1">
        <v>4616</v>
      </c>
      <c r="G677" s="30">
        <v>37.37547</v>
      </c>
      <c r="H677" s="30">
        <v>36.838360000000002</v>
      </c>
      <c r="I677" s="30">
        <v>37.2256</v>
      </c>
      <c r="J677" s="30">
        <v>37.014299999999999</v>
      </c>
      <c r="K677" s="30">
        <v>10</v>
      </c>
      <c r="L677" s="22">
        <v>24.89775001553587</v>
      </c>
      <c r="M677" s="22">
        <f t="shared" si="80"/>
        <v>22.801270925896279</v>
      </c>
      <c r="N677" s="22">
        <f t="shared" si="81"/>
        <v>24.897750015536001</v>
      </c>
      <c r="O677" s="22">
        <f t="shared" si="82"/>
        <v>-1.3145040611561853E-13</v>
      </c>
      <c r="P677" s="22">
        <f t="shared" si="83"/>
        <v>-5.2796098456123344E-13</v>
      </c>
      <c r="Q677" s="22">
        <f t="shared" si="84"/>
        <v>1.2448875007768001</v>
      </c>
      <c r="R677" s="29" t="str">
        <f t="shared" si="85"/>
        <v>Within screening tolerance</v>
      </c>
      <c r="S677" s="29" t="str">
        <f t="shared" si="86"/>
        <v/>
      </c>
      <c r="T677" s="22">
        <v>1.9</v>
      </c>
      <c r="U677" s="29" t="s">
        <v>4576</v>
      </c>
      <c r="V677" s="29" t="str">
        <f t="shared" si="87"/>
        <v>No geometric exceedance</v>
      </c>
      <c r="W677" s="30"/>
      <c r="X677" s="30"/>
      <c r="Y677" s="30"/>
      <c r="Z677" s="30"/>
      <c r="AA677" s="29" t="s">
        <v>691</v>
      </c>
      <c r="AB677" s="29"/>
      <c r="AC677" s="39"/>
      <c r="AD677" s="39"/>
    </row>
    <row r="678" spans="1:30" ht="58" customHeight="1">
      <c r="A678" s="1" t="s">
        <v>1264</v>
      </c>
      <c r="B678" s="1">
        <v>95</v>
      </c>
      <c r="C678" s="1" t="s">
        <v>4495</v>
      </c>
      <c r="D678" s="29" t="s">
        <v>232</v>
      </c>
      <c r="E678" s="29" t="s">
        <v>1255</v>
      </c>
      <c r="F678" s="1">
        <v>3138</v>
      </c>
      <c r="G678" s="30">
        <v>36.802619999999997</v>
      </c>
      <c r="H678" s="30">
        <v>36.511189999999999</v>
      </c>
      <c r="I678" s="30">
        <v>37.2256</v>
      </c>
      <c r="J678" s="30">
        <v>37.014299999999999</v>
      </c>
      <c r="K678" s="30">
        <v>10</v>
      </c>
      <c r="L678" s="22">
        <v>65.631579340330177</v>
      </c>
      <c r="M678" s="22">
        <f t="shared" si="80"/>
        <v>64.86527735781344</v>
      </c>
      <c r="N678" s="22">
        <f t="shared" si="81"/>
        <v>65.631579340330248</v>
      </c>
      <c r="O678" s="22">
        <f t="shared" si="82"/>
        <v>-7.1054273576010019E-14</v>
      </c>
      <c r="P678" s="22">
        <f t="shared" si="83"/>
        <v>-1.0826232476832621E-13</v>
      </c>
      <c r="Q678" s="22">
        <f t="shared" si="84"/>
        <v>3.2815789670165127</v>
      </c>
      <c r="R678" s="29" t="str">
        <f t="shared" si="85"/>
        <v>Within screening tolerance</v>
      </c>
      <c r="S678" s="29" t="str">
        <f t="shared" si="86"/>
        <v/>
      </c>
      <c r="T678" s="22">
        <v>2.1</v>
      </c>
      <c r="U678" s="29" t="s">
        <v>4576</v>
      </c>
      <c r="V678" s="29" t="str">
        <f t="shared" si="87"/>
        <v>No geometric exceedance</v>
      </c>
      <c r="W678" s="30"/>
      <c r="X678" s="30"/>
      <c r="Y678" s="30"/>
      <c r="Z678" s="30"/>
      <c r="AA678" s="29" t="s">
        <v>691</v>
      </c>
      <c r="AB678" s="29"/>
      <c r="AC678" s="39"/>
      <c r="AD678" s="39"/>
    </row>
    <row r="679" spans="1:30" ht="58" customHeight="1">
      <c r="A679" s="1" t="s">
        <v>1264</v>
      </c>
      <c r="B679" s="1">
        <v>96</v>
      </c>
      <c r="C679" s="1" t="s">
        <v>4497</v>
      </c>
      <c r="D679" s="29" t="s">
        <v>232</v>
      </c>
      <c r="E679" s="29" t="s">
        <v>1255</v>
      </c>
      <c r="F679" s="1">
        <v>3144</v>
      </c>
      <c r="G679" s="30">
        <v>36.756909999999998</v>
      </c>
      <c r="H679" s="30">
        <v>36.485742000000002</v>
      </c>
      <c r="I679" s="30">
        <v>37.2256</v>
      </c>
      <c r="J679" s="30">
        <v>37.014299999999999</v>
      </c>
      <c r="K679" s="30">
        <v>10</v>
      </c>
      <c r="L679" s="22">
        <v>70.850073015547721</v>
      </c>
      <c r="M679" s="22">
        <f t="shared" si="80"/>
        <v>70.140807282982294</v>
      </c>
      <c r="N679" s="22">
        <f t="shared" si="81"/>
        <v>70.850073015547849</v>
      </c>
      <c r="O679" s="22">
        <f t="shared" si="82"/>
        <v>-1.2789769243681803E-13</v>
      </c>
      <c r="P679" s="22">
        <f t="shared" si="83"/>
        <v>-1.805187870572148E-13</v>
      </c>
      <c r="Q679" s="22">
        <f t="shared" si="84"/>
        <v>3.5425036507773928</v>
      </c>
      <c r="R679" s="29" t="str">
        <f t="shared" si="85"/>
        <v>Within screening tolerance</v>
      </c>
      <c r="S679" s="29" t="str">
        <f t="shared" si="86"/>
        <v/>
      </c>
      <c r="T679" s="22">
        <v>2.1</v>
      </c>
      <c r="U679" s="29" t="s">
        <v>4576</v>
      </c>
      <c r="V679" s="29" t="str">
        <f t="shared" si="87"/>
        <v>No geometric exceedance</v>
      </c>
      <c r="W679" s="30"/>
      <c r="X679" s="30"/>
      <c r="Y679" s="30"/>
      <c r="Z679" s="30"/>
      <c r="AA679" s="29" t="s">
        <v>691</v>
      </c>
      <c r="AB679" s="29"/>
      <c r="AC679" s="39"/>
      <c r="AD679" s="39"/>
    </row>
    <row r="680" spans="1:30" ht="58" customHeight="1">
      <c r="A680" s="1" t="s">
        <v>1264</v>
      </c>
      <c r="B680" s="1">
        <v>97</v>
      </c>
      <c r="C680" s="1" t="s">
        <v>4499</v>
      </c>
      <c r="D680" s="29" t="s">
        <v>232</v>
      </c>
      <c r="E680" s="29" t="s">
        <v>1255</v>
      </c>
      <c r="F680" s="1">
        <v>3131</v>
      </c>
      <c r="G680" s="30">
        <v>36.191209999999998</v>
      </c>
      <c r="H680" s="30">
        <v>36.16328</v>
      </c>
      <c r="I680" s="30">
        <v>37.2256</v>
      </c>
      <c r="J680" s="30">
        <v>37.014299999999999</v>
      </c>
      <c r="K680" s="30">
        <v>10</v>
      </c>
      <c r="L680" s="22">
        <v>138.1451930524355</v>
      </c>
      <c r="M680" s="22">
        <f t="shared" si="80"/>
        <v>137.78277963335842</v>
      </c>
      <c r="N680" s="22">
        <f t="shared" si="81"/>
        <v>138.14519305243525</v>
      </c>
      <c r="O680" s="22">
        <f t="shared" si="82"/>
        <v>2.5579538487363607E-13</v>
      </c>
      <c r="P680" s="22">
        <f t="shared" si="83"/>
        <v>1.8516415897044264E-13</v>
      </c>
      <c r="Q680" s="22">
        <f t="shared" si="84"/>
        <v>6.9072596526217627</v>
      </c>
      <c r="R680" s="29" t="str">
        <f t="shared" si="85"/>
        <v>Within screening tolerance</v>
      </c>
      <c r="S680" s="29" t="str">
        <f t="shared" si="86"/>
        <v/>
      </c>
      <c r="T680" s="22">
        <v>2.2999999999999998</v>
      </c>
      <c r="U680" s="29" t="s">
        <v>4576</v>
      </c>
      <c r="V680" s="29" t="str">
        <f t="shared" si="87"/>
        <v>No geometric exceedance</v>
      </c>
      <c r="W680" s="30"/>
      <c r="X680" s="30"/>
      <c r="Y680" s="30"/>
      <c r="Z680" s="30"/>
      <c r="AA680" s="29" t="s">
        <v>691</v>
      </c>
      <c r="AB680" s="29"/>
      <c r="AC680" s="39"/>
      <c r="AD680" s="39"/>
    </row>
    <row r="681" spans="1:30" ht="58" customHeight="1">
      <c r="A681" s="1" t="s">
        <v>1264</v>
      </c>
      <c r="B681" s="1">
        <v>98</v>
      </c>
      <c r="C681" s="1" t="s">
        <v>4501</v>
      </c>
      <c r="D681" s="29" t="s">
        <v>232</v>
      </c>
      <c r="E681" s="29" t="s">
        <v>1255</v>
      </c>
      <c r="F681" s="1">
        <v>2708</v>
      </c>
      <c r="G681" s="30">
        <v>37.099330000000002</v>
      </c>
      <c r="H681" s="30">
        <v>36.648372999999999</v>
      </c>
      <c r="I681" s="30">
        <v>37.2256</v>
      </c>
      <c r="J681" s="30">
        <v>37.014299999999999</v>
      </c>
      <c r="K681" s="30">
        <v>10</v>
      </c>
      <c r="L681" s="22">
        <v>36.723291293504737</v>
      </c>
      <c r="M681" s="22">
        <f t="shared" si="80"/>
        <v>35.335536269138615</v>
      </c>
      <c r="N681" s="22">
        <f t="shared" si="81"/>
        <v>36.723291293504872</v>
      </c>
      <c r="O681" s="22">
        <f t="shared" si="82"/>
        <v>-1.3500311979441904E-13</v>
      </c>
      <c r="P681" s="22">
        <f t="shared" si="83"/>
        <v>-3.6762260418171343E-13</v>
      </c>
      <c r="Q681" s="22">
        <f t="shared" si="84"/>
        <v>1.8361645646752436</v>
      </c>
      <c r="R681" s="29" t="str">
        <f t="shared" si="85"/>
        <v>Within screening tolerance</v>
      </c>
      <c r="S681" s="29" t="str">
        <f t="shared" si="86"/>
        <v/>
      </c>
      <c r="T681" s="22">
        <v>2.6</v>
      </c>
      <c r="U681" s="29" t="s">
        <v>4576</v>
      </c>
      <c r="V681" s="29" t="str">
        <f t="shared" si="87"/>
        <v>No geometric exceedance</v>
      </c>
      <c r="W681" s="30"/>
      <c r="X681" s="30"/>
      <c r="Y681" s="30"/>
      <c r="Z681" s="30"/>
      <c r="AA681" s="29" t="s">
        <v>691</v>
      </c>
      <c r="AB681" s="29"/>
      <c r="AC681" s="39"/>
      <c r="AD681" s="39"/>
    </row>
    <row r="682" spans="1:30" ht="58" customHeight="1">
      <c r="A682" s="1" t="s">
        <v>1264</v>
      </c>
      <c r="B682" s="1">
        <v>99</v>
      </c>
      <c r="C682" s="1" t="s">
        <v>4503</v>
      </c>
      <c r="D682" s="29" t="s">
        <v>232</v>
      </c>
      <c r="E682" s="29" t="s">
        <v>1255</v>
      </c>
      <c r="F682" s="1">
        <v>3143</v>
      </c>
      <c r="G682" s="30">
        <v>36.848906999999997</v>
      </c>
      <c r="H682" s="30">
        <v>36.557138000000002</v>
      </c>
      <c r="I682" s="30">
        <v>37.2256</v>
      </c>
      <c r="J682" s="30">
        <v>37.014299999999999</v>
      </c>
      <c r="K682" s="30">
        <v>10</v>
      </c>
      <c r="L682" s="22">
        <v>59.16943732145581</v>
      </c>
      <c r="M682" s="22">
        <f t="shared" si="80"/>
        <v>58.318284550710793</v>
      </c>
      <c r="N682" s="22">
        <f t="shared" si="81"/>
        <v>59.169437321455689</v>
      </c>
      <c r="O682" s="22">
        <f t="shared" si="82"/>
        <v>1.2079226507921703E-13</v>
      </c>
      <c r="P682" s="22">
        <f t="shared" si="83"/>
        <v>2.0414638121869722E-13</v>
      </c>
      <c r="Q682" s="22">
        <f t="shared" si="84"/>
        <v>2.9584718660727845</v>
      </c>
      <c r="R682" s="29" t="str">
        <f t="shared" si="85"/>
        <v>Within screening tolerance</v>
      </c>
      <c r="S682" s="29" t="str">
        <f t="shared" si="86"/>
        <v/>
      </c>
      <c r="T682" s="22">
        <v>3.1</v>
      </c>
      <c r="U682" s="29" t="s">
        <v>4576</v>
      </c>
      <c r="V682" s="29" t="str">
        <f t="shared" si="87"/>
        <v>No geometric exceedance</v>
      </c>
      <c r="W682" s="30"/>
      <c r="X682" s="30"/>
      <c r="Y682" s="30"/>
      <c r="Z682" s="30"/>
      <c r="AA682" s="29" t="s">
        <v>691</v>
      </c>
      <c r="AB682" s="29"/>
      <c r="AC682" s="39"/>
      <c r="AD682" s="39"/>
    </row>
    <row r="683" spans="1:30" ht="58" customHeight="1">
      <c r="A683" s="1" t="s">
        <v>1264</v>
      </c>
      <c r="B683" s="1">
        <v>100</v>
      </c>
      <c r="C683" s="1" t="s">
        <v>4505</v>
      </c>
      <c r="D683" s="29" t="s">
        <v>232</v>
      </c>
      <c r="E683" s="29" t="s">
        <v>1255</v>
      </c>
      <c r="F683" s="1">
        <v>4615</v>
      </c>
      <c r="G683" s="30">
        <v>37.386760000000002</v>
      </c>
      <c r="H683" s="30">
        <v>37.138030000000001</v>
      </c>
      <c r="I683" s="30">
        <v>37.2256</v>
      </c>
      <c r="J683" s="30">
        <v>37.014299999999999</v>
      </c>
      <c r="K683" s="30">
        <v>10</v>
      </c>
      <c r="L683" s="22">
        <v>23.257024035897182</v>
      </c>
      <c r="M683" s="22">
        <f t="shared" si="80"/>
        <v>20.997360953374514</v>
      </c>
      <c r="N683" s="22">
        <f t="shared" si="81"/>
        <v>23.257024035897128</v>
      </c>
      <c r="O683" s="22">
        <f t="shared" si="82"/>
        <v>5.3290705182007514E-14</v>
      </c>
      <c r="P683" s="22">
        <f t="shared" si="83"/>
        <v>2.2913810941483103E-13</v>
      </c>
      <c r="Q683" s="22">
        <f t="shared" si="84"/>
        <v>1.1628512017948565</v>
      </c>
      <c r="R683" s="29" t="str">
        <f t="shared" si="85"/>
        <v>Within screening tolerance</v>
      </c>
      <c r="S683" s="29" t="str">
        <f t="shared" si="86"/>
        <v/>
      </c>
      <c r="T683" s="22">
        <v>3.6</v>
      </c>
      <c r="U683" s="29" t="s">
        <v>4576</v>
      </c>
      <c r="V683" s="29" t="str">
        <f t="shared" si="87"/>
        <v>No geometric exceedance</v>
      </c>
      <c r="W683" s="30"/>
      <c r="X683" s="30"/>
      <c r="Y683" s="30"/>
      <c r="Z683" s="30"/>
      <c r="AA683" s="29" t="s">
        <v>691</v>
      </c>
      <c r="AB683" s="29"/>
      <c r="AC683" s="39"/>
      <c r="AD683" s="39"/>
    </row>
    <row r="684" spans="1:30" ht="58" customHeight="1">
      <c r="A684" s="1" t="s">
        <v>1264</v>
      </c>
      <c r="B684" s="1">
        <v>101</v>
      </c>
      <c r="C684" s="1" t="s">
        <v>4507</v>
      </c>
      <c r="D684" s="29" t="s">
        <v>232</v>
      </c>
      <c r="E684" s="29" t="s">
        <v>1255</v>
      </c>
      <c r="F684" s="1">
        <v>3139</v>
      </c>
      <c r="G684" s="30">
        <v>36.583829999999999</v>
      </c>
      <c r="H684" s="30">
        <v>36.414389999999997</v>
      </c>
      <c r="I684" s="30">
        <v>37.2256</v>
      </c>
      <c r="J684" s="30">
        <v>37.014299999999999</v>
      </c>
      <c r="K684" s="30">
        <v>10</v>
      </c>
      <c r="L684" s="22">
        <v>89.653056051610989</v>
      </c>
      <c r="M684" s="22">
        <f t="shared" si="80"/>
        <v>89.093605042075396</v>
      </c>
      <c r="N684" s="22">
        <f t="shared" si="81"/>
        <v>89.653056051611102</v>
      </c>
      <c r="O684" s="22">
        <f t="shared" si="82"/>
        <v>-1.1368683772161603E-13</v>
      </c>
      <c r="P684" s="22">
        <f t="shared" si="83"/>
        <v>-1.2680754313179158E-13</v>
      </c>
      <c r="Q684" s="22">
        <f t="shared" si="84"/>
        <v>4.4826528025805557</v>
      </c>
      <c r="R684" s="29" t="str">
        <f t="shared" si="85"/>
        <v>Within screening tolerance</v>
      </c>
      <c r="S684" s="29" t="str">
        <f t="shared" si="86"/>
        <v/>
      </c>
      <c r="T684" s="22">
        <v>4</v>
      </c>
      <c r="U684" s="29" t="s">
        <v>4576</v>
      </c>
      <c r="V684" s="29" t="str">
        <f t="shared" si="87"/>
        <v>No geometric exceedance</v>
      </c>
      <c r="W684" s="30"/>
      <c r="X684" s="30"/>
      <c r="Y684" s="30"/>
      <c r="Z684" s="30"/>
      <c r="AA684" s="29" t="s">
        <v>691</v>
      </c>
      <c r="AB684" s="29"/>
      <c r="AC684" s="39"/>
      <c r="AD684" s="39"/>
    </row>
    <row r="685" spans="1:30" ht="58" customHeight="1">
      <c r="A685" s="1" t="s">
        <v>1264</v>
      </c>
      <c r="B685" s="1">
        <v>102</v>
      </c>
      <c r="C685" s="1" t="s">
        <v>4509</v>
      </c>
      <c r="D685" s="29" t="s">
        <v>232</v>
      </c>
      <c r="E685" s="29" t="s">
        <v>1255</v>
      </c>
      <c r="F685" s="1">
        <v>3142</v>
      </c>
      <c r="G685" s="30">
        <v>36.497970000000002</v>
      </c>
      <c r="H685" s="30">
        <v>36.366120000000002</v>
      </c>
      <c r="I685" s="30">
        <v>37.2256</v>
      </c>
      <c r="J685" s="30">
        <v>37.014299999999999</v>
      </c>
      <c r="K685" s="30">
        <v>10</v>
      </c>
      <c r="L685" s="22">
        <v>99.856972635078549</v>
      </c>
      <c r="M685" s="22">
        <f t="shared" si="80"/>
        <v>99.354994760418691</v>
      </c>
      <c r="N685" s="22">
        <f t="shared" si="81"/>
        <v>99.856972635078549</v>
      </c>
      <c r="O685" s="22">
        <f t="shared" si="82"/>
        <v>0</v>
      </c>
      <c r="P685" s="22">
        <f t="shared" si="83"/>
        <v>0</v>
      </c>
      <c r="Q685" s="22">
        <f t="shared" si="84"/>
        <v>4.9928486317539278</v>
      </c>
      <c r="R685" s="29" t="str">
        <f t="shared" si="85"/>
        <v>Within screening tolerance</v>
      </c>
      <c r="S685" s="29" t="str">
        <f t="shared" si="86"/>
        <v/>
      </c>
      <c r="T685" s="22">
        <v>4.0999999999999996</v>
      </c>
      <c r="U685" s="29" t="s">
        <v>4576</v>
      </c>
      <c r="V685" s="29" t="str">
        <f t="shared" si="87"/>
        <v>No geometric exceedance</v>
      </c>
      <c r="W685" s="30"/>
      <c r="X685" s="30"/>
      <c r="Y685" s="30"/>
      <c r="Z685" s="30"/>
      <c r="AA685" s="29" t="s">
        <v>691</v>
      </c>
      <c r="AB685" s="29"/>
      <c r="AC685" s="39"/>
      <c r="AD685" s="39"/>
    </row>
    <row r="686" spans="1:30" ht="58" customHeight="1">
      <c r="A686" s="1" t="s">
        <v>1264</v>
      </c>
      <c r="B686" s="1">
        <v>103</v>
      </c>
      <c r="C686" s="1" t="s">
        <v>4511</v>
      </c>
      <c r="D686" s="29" t="s">
        <v>232</v>
      </c>
      <c r="E686" s="29" t="s">
        <v>1255</v>
      </c>
      <c r="F686" s="1" t="s">
        <v>1257</v>
      </c>
      <c r="G686" s="30">
        <v>37.3919</v>
      </c>
      <c r="H686" s="30">
        <v>37.157400000000003</v>
      </c>
      <c r="I686" s="30">
        <v>37.2256</v>
      </c>
      <c r="J686" s="30">
        <v>37.014299999999999</v>
      </c>
      <c r="K686" s="30">
        <v>10</v>
      </c>
      <c r="L686" s="22">
        <v>24.538133844430071</v>
      </c>
      <c r="M686" s="22">
        <f t="shared" si="80"/>
        <v>22.40803455386374</v>
      </c>
      <c r="N686" s="22">
        <f t="shared" si="81"/>
        <v>24.538133844429801</v>
      </c>
      <c r="O686" s="22">
        <f t="shared" si="82"/>
        <v>2.7000623958883807E-13</v>
      </c>
      <c r="P686" s="22">
        <f t="shared" si="83"/>
        <v>1.100353601869891E-12</v>
      </c>
      <c r="Q686" s="22">
        <f t="shared" si="84"/>
        <v>1.2269066922214902</v>
      </c>
      <c r="R686" s="29" t="str">
        <f t="shared" si="85"/>
        <v>Within screening tolerance</v>
      </c>
      <c r="S686" s="29" t="str">
        <f t="shared" si="86"/>
        <v/>
      </c>
      <c r="T686" s="22">
        <v>4.2</v>
      </c>
      <c r="U686" s="29" t="s">
        <v>4576</v>
      </c>
      <c r="V686" s="29" t="str">
        <f t="shared" si="87"/>
        <v>No geometric exceedance</v>
      </c>
      <c r="W686" s="30"/>
      <c r="X686" s="30"/>
      <c r="Y686" s="30"/>
      <c r="Z686" s="30"/>
      <c r="AA686" s="29" t="s">
        <v>691</v>
      </c>
      <c r="AB686" s="29"/>
      <c r="AC686" s="39"/>
      <c r="AD686" s="39"/>
    </row>
    <row r="687" spans="1:30" ht="58" customHeight="1">
      <c r="A687" s="1" t="s">
        <v>1264</v>
      </c>
      <c r="B687" s="1">
        <v>104</v>
      </c>
      <c r="C687" s="1" t="s">
        <v>4513</v>
      </c>
      <c r="D687" s="29" t="s">
        <v>232</v>
      </c>
      <c r="E687" s="29" t="s">
        <v>1255</v>
      </c>
      <c r="F687" s="1" t="s">
        <v>1258</v>
      </c>
      <c r="G687" s="30">
        <v>37.392000000000003</v>
      </c>
      <c r="H687" s="30">
        <v>37.156999999999996</v>
      </c>
      <c r="I687" s="30">
        <v>37.2256</v>
      </c>
      <c r="J687" s="30">
        <v>37.014299999999999</v>
      </c>
      <c r="K687" s="30">
        <v>10</v>
      </c>
      <c r="L687" s="22">
        <v>24.528288707518666</v>
      </c>
      <c r="M687" s="22">
        <f t="shared" si="80"/>
        <v>22.397253111026455</v>
      </c>
      <c r="N687" s="22">
        <f t="shared" si="81"/>
        <v>24.528288707518595</v>
      </c>
      <c r="O687" s="22">
        <f t="shared" si="82"/>
        <v>7.1054273576010019E-14</v>
      </c>
      <c r="P687" s="22">
        <f t="shared" si="83"/>
        <v>2.8968296330526283E-13</v>
      </c>
      <c r="Q687" s="22">
        <f t="shared" si="84"/>
        <v>1.2264144353759299</v>
      </c>
      <c r="R687" s="29" t="str">
        <f t="shared" si="85"/>
        <v>Within screening tolerance</v>
      </c>
      <c r="S687" s="29" t="str">
        <f t="shared" si="86"/>
        <v/>
      </c>
      <c r="T687" s="22">
        <v>4.2</v>
      </c>
      <c r="U687" s="29" t="s">
        <v>4576</v>
      </c>
      <c r="V687" s="29" t="str">
        <f t="shared" si="87"/>
        <v>No geometric exceedance</v>
      </c>
      <c r="W687" s="30"/>
      <c r="X687" s="30"/>
      <c r="Y687" s="30"/>
      <c r="Z687" s="30"/>
      <c r="AA687" s="29" t="s">
        <v>691</v>
      </c>
      <c r="AB687" s="29"/>
      <c r="AC687" s="39"/>
      <c r="AD687" s="39"/>
    </row>
    <row r="688" spans="1:30" ht="58" customHeight="1">
      <c r="A688" s="1" t="s">
        <v>1264</v>
      </c>
      <c r="B688" s="1">
        <v>105</v>
      </c>
      <c r="C688" s="1" t="s">
        <v>4515</v>
      </c>
      <c r="D688" s="29" t="s">
        <v>232</v>
      </c>
      <c r="E688" s="29" t="s">
        <v>1255</v>
      </c>
      <c r="F688" s="1">
        <v>3137</v>
      </c>
      <c r="G688" s="30">
        <v>36.692929999999997</v>
      </c>
      <c r="H688" s="30">
        <v>36.488520000000001</v>
      </c>
      <c r="I688" s="30">
        <v>37.2256</v>
      </c>
      <c r="J688" s="30">
        <v>37.014299999999999</v>
      </c>
      <c r="K688" s="30">
        <v>10</v>
      </c>
      <c r="L688" s="22">
        <v>76.095983595383743</v>
      </c>
      <c r="M688" s="22">
        <f t="shared" si="80"/>
        <v>75.436057156700016</v>
      </c>
      <c r="N688" s="22">
        <f t="shared" si="81"/>
        <v>76.095983595383743</v>
      </c>
      <c r="O688" s="22">
        <f t="shared" si="82"/>
        <v>0</v>
      </c>
      <c r="P688" s="22">
        <f t="shared" si="83"/>
        <v>0</v>
      </c>
      <c r="Q688" s="22">
        <f t="shared" si="84"/>
        <v>3.8047991797691871</v>
      </c>
      <c r="R688" s="29" t="str">
        <f t="shared" si="85"/>
        <v>Within screening tolerance</v>
      </c>
      <c r="S688" s="29" t="str">
        <f t="shared" si="86"/>
        <v/>
      </c>
      <c r="T688" s="22">
        <v>4.8</v>
      </c>
      <c r="U688" s="29" t="s">
        <v>4576</v>
      </c>
      <c r="V688" s="29" t="str">
        <f t="shared" si="87"/>
        <v>No geometric exceedance</v>
      </c>
      <c r="W688" s="30"/>
      <c r="X688" s="30"/>
      <c r="Y688" s="30"/>
      <c r="Z688" s="30"/>
      <c r="AA688" s="29" t="s">
        <v>691</v>
      </c>
      <c r="AB688" s="29"/>
      <c r="AC688" s="39"/>
      <c r="AD688" s="39"/>
    </row>
    <row r="689" spans="1:30" ht="58" customHeight="1">
      <c r="A689" s="1" t="s">
        <v>1264</v>
      </c>
      <c r="B689" s="1">
        <v>106</v>
      </c>
      <c r="C689" s="1" t="s">
        <v>4517</v>
      </c>
      <c r="D689" s="29" t="s">
        <v>232</v>
      </c>
      <c r="E689" s="29" t="s">
        <v>1255</v>
      </c>
      <c r="F689" s="1">
        <v>3136</v>
      </c>
      <c r="G689" s="30">
        <v>36.115929999999999</v>
      </c>
      <c r="H689" s="30">
        <v>36.247219999999999</v>
      </c>
      <c r="I689" s="30">
        <v>37.2256</v>
      </c>
      <c r="J689" s="30">
        <v>37.014299999999999</v>
      </c>
      <c r="K689" s="30">
        <v>10</v>
      </c>
      <c r="L689" s="22">
        <v>141.4391820838768</v>
      </c>
      <c r="M689" s="22">
        <f t="shared" si="80"/>
        <v>141.08523037000037</v>
      </c>
      <c r="N689" s="22">
        <f t="shared" si="81"/>
        <v>141.43918208387686</v>
      </c>
      <c r="O689" s="22">
        <f t="shared" si="82"/>
        <v>-5.6843418860808015E-14</v>
      </c>
      <c r="P689" s="22">
        <f t="shared" si="83"/>
        <v>-4.0189301170518996E-14</v>
      </c>
      <c r="Q689" s="22">
        <f t="shared" si="84"/>
        <v>7.0719591041938434</v>
      </c>
      <c r="R689" s="29" t="str">
        <f t="shared" si="85"/>
        <v>Within screening tolerance</v>
      </c>
      <c r="S689" s="29" t="str">
        <f t="shared" si="86"/>
        <v/>
      </c>
      <c r="T689" s="22">
        <v>12.1</v>
      </c>
      <c r="U689" s="29" t="s">
        <v>4576</v>
      </c>
      <c r="V689" s="29" t="str">
        <f t="shared" si="87"/>
        <v>No geometric exceedance</v>
      </c>
      <c r="W689" s="30"/>
      <c r="X689" s="30"/>
      <c r="Y689" s="30"/>
      <c r="Z689" s="30"/>
      <c r="AA689" s="29" t="s">
        <v>691</v>
      </c>
      <c r="AB689" s="29"/>
      <c r="AC689" s="39"/>
      <c r="AD689" s="39"/>
    </row>
    <row r="690" spans="1:30" ht="58" customHeight="1">
      <c r="A690" s="1" t="s">
        <v>1264</v>
      </c>
      <c r="B690" s="1">
        <v>107</v>
      </c>
      <c r="C690" s="1" t="s">
        <v>4519</v>
      </c>
      <c r="D690" s="29" t="s">
        <v>232</v>
      </c>
      <c r="E690" s="29" t="s">
        <v>1255</v>
      </c>
      <c r="F690" s="1">
        <v>2715</v>
      </c>
      <c r="G690" s="30">
        <v>36.855364000000002</v>
      </c>
      <c r="H690" s="30">
        <v>36.685617999999998</v>
      </c>
      <c r="I690" s="30">
        <v>37.2256</v>
      </c>
      <c r="J690" s="30">
        <v>37.014299999999999</v>
      </c>
      <c r="K690" s="30">
        <v>10</v>
      </c>
      <c r="L690" s="22">
        <v>51.438095342326498</v>
      </c>
      <c r="M690" s="22">
        <f t="shared" si="80"/>
        <v>50.456690859055662</v>
      </c>
      <c r="N690" s="22">
        <f t="shared" si="81"/>
        <v>51.438095342326889</v>
      </c>
      <c r="O690" s="22">
        <f t="shared" si="82"/>
        <v>-3.907985046680551E-13</v>
      </c>
      <c r="P690" s="22">
        <f t="shared" si="83"/>
        <v>-7.5974528618768389E-13</v>
      </c>
      <c r="Q690" s="22">
        <f t="shared" si="84"/>
        <v>2.5719047671163446</v>
      </c>
      <c r="R690" s="29" t="str">
        <f t="shared" si="85"/>
        <v>Within screening tolerance</v>
      </c>
      <c r="S690" s="29" t="str">
        <f t="shared" si="86"/>
        <v/>
      </c>
      <c r="T690" s="22">
        <v>12.6</v>
      </c>
      <c r="U690" s="29" t="s">
        <v>4576</v>
      </c>
      <c r="V690" s="29" t="str">
        <f t="shared" si="87"/>
        <v>No geometric exceedance</v>
      </c>
      <c r="W690" s="30"/>
      <c r="X690" s="30"/>
      <c r="Y690" s="30"/>
      <c r="Z690" s="30"/>
      <c r="AA690" s="29" t="s">
        <v>691</v>
      </c>
      <c r="AB690" s="29"/>
      <c r="AC690" s="39"/>
      <c r="AD690" s="39"/>
    </row>
    <row r="691" spans="1:30" ht="58" customHeight="1">
      <c r="A691" s="1" t="s">
        <v>1264</v>
      </c>
      <c r="B691" s="1">
        <v>108</v>
      </c>
      <c r="C691" s="1" t="s">
        <v>4521</v>
      </c>
      <c r="D691" s="29" t="s">
        <v>232</v>
      </c>
      <c r="E691" s="29" t="s">
        <v>1255</v>
      </c>
      <c r="F691" s="1">
        <v>2716</v>
      </c>
      <c r="G691" s="30">
        <v>36.856430000000003</v>
      </c>
      <c r="H691" s="30">
        <v>36.688330000000001</v>
      </c>
      <c r="I691" s="30">
        <v>37.2256</v>
      </c>
      <c r="J691" s="30">
        <v>37.014299999999999</v>
      </c>
      <c r="K691" s="30">
        <v>10</v>
      </c>
      <c r="L691" s="22">
        <v>51.206778007817761</v>
      </c>
      <c r="M691" s="22">
        <f t="shared" si="80"/>
        <v>50.220853377276761</v>
      </c>
      <c r="N691" s="22">
        <f t="shared" si="81"/>
        <v>51.206778007817782</v>
      </c>
      <c r="O691" s="22">
        <f t="shared" si="82"/>
        <v>-2.1316282072803006E-14</v>
      </c>
      <c r="P691" s="22">
        <f t="shared" si="83"/>
        <v>-4.1627852604881001E-14</v>
      </c>
      <c r="Q691" s="22">
        <f t="shared" si="84"/>
        <v>2.5603389003908892</v>
      </c>
      <c r="R691" s="29" t="str">
        <f t="shared" si="85"/>
        <v>Within screening tolerance</v>
      </c>
      <c r="S691" s="29" t="str">
        <f t="shared" si="86"/>
        <v/>
      </c>
      <c r="T691" s="22">
        <v>12.8</v>
      </c>
      <c r="U691" s="29" t="s">
        <v>4576</v>
      </c>
      <c r="V691" s="29" t="str">
        <f t="shared" si="87"/>
        <v>No geometric exceedance</v>
      </c>
      <c r="W691" s="30"/>
      <c r="X691" s="30"/>
      <c r="Y691" s="30"/>
      <c r="Z691" s="30"/>
      <c r="AA691" s="29" t="s">
        <v>691</v>
      </c>
      <c r="AB691" s="29"/>
      <c r="AC691" s="39"/>
      <c r="AD691" s="39"/>
    </row>
    <row r="692" spans="1:30" ht="58" customHeight="1">
      <c r="A692" s="1" t="s">
        <v>1264</v>
      </c>
      <c r="B692" s="1">
        <v>109</v>
      </c>
      <c r="C692" s="1" t="s">
        <v>4523</v>
      </c>
      <c r="D692" s="29" t="s">
        <v>232</v>
      </c>
      <c r="E692" s="29" t="s">
        <v>1255</v>
      </c>
      <c r="F692" s="1">
        <v>2717</v>
      </c>
      <c r="G692" s="30">
        <v>36.85548</v>
      </c>
      <c r="H692" s="30">
        <v>36.690995999999998</v>
      </c>
      <c r="I692" s="30">
        <v>37.2256</v>
      </c>
      <c r="J692" s="30">
        <v>37.014299999999999</v>
      </c>
      <c r="K692" s="30">
        <v>10</v>
      </c>
      <c r="L692" s="22">
        <v>51.158501938199578</v>
      </c>
      <c r="M692" s="22">
        <f t="shared" si="80"/>
        <v>50.171628641701197</v>
      </c>
      <c r="N692" s="22">
        <f t="shared" si="81"/>
        <v>51.158501938199599</v>
      </c>
      <c r="O692" s="22">
        <f t="shared" si="82"/>
        <v>-2.1316282072803006E-14</v>
      </c>
      <c r="P692" s="22">
        <f t="shared" si="83"/>
        <v>-4.1667135012189099E-14</v>
      </c>
      <c r="Q692" s="22">
        <f t="shared" si="84"/>
        <v>2.55792509690998</v>
      </c>
      <c r="R692" s="29" t="str">
        <f t="shared" si="85"/>
        <v>Within screening tolerance</v>
      </c>
      <c r="S692" s="29" t="str">
        <f t="shared" si="86"/>
        <v/>
      </c>
      <c r="T692" s="22">
        <v>13</v>
      </c>
      <c r="U692" s="29" t="s">
        <v>4576</v>
      </c>
      <c r="V692" s="29" t="str">
        <f t="shared" si="87"/>
        <v>No geometric exceedance</v>
      </c>
      <c r="W692" s="30"/>
      <c r="X692" s="30"/>
      <c r="Y692" s="30"/>
      <c r="Z692" s="30"/>
      <c r="AA692" s="29" t="s">
        <v>691</v>
      </c>
      <c r="AB692" s="29"/>
      <c r="AC692" s="39"/>
      <c r="AD692" s="39"/>
    </row>
    <row r="693" spans="1:30" ht="58" customHeight="1">
      <c r="A693" s="1" t="s">
        <v>1264</v>
      </c>
      <c r="B693" s="1">
        <v>110</v>
      </c>
      <c r="C693" s="1" t="s">
        <v>4525</v>
      </c>
      <c r="D693" s="29" t="s">
        <v>232</v>
      </c>
      <c r="E693" s="29" t="s">
        <v>1255</v>
      </c>
      <c r="F693" s="1">
        <v>8002</v>
      </c>
      <c r="G693" s="30">
        <v>37.191560000000003</v>
      </c>
      <c r="H693" s="30">
        <v>36.561950000000003</v>
      </c>
      <c r="I693" s="30">
        <v>37.2256</v>
      </c>
      <c r="J693" s="30">
        <v>37.014299999999999</v>
      </c>
      <c r="K693" s="30">
        <v>10</v>
      </c>
      <c r="L693" s="22">
        <v>41.462478737583972</v>
      </c>
      <c r="M693" s="22">
        <f t="shared" si="80"/>
        <v>40.238503240858833</v>
      </c>
      <c r="N693" s="22">
        <f t="shared" si="81"/>
        <v>41.462478737584021</v>
      </c>
      <c r="O693" s="22">
        <f t="shared" si="82"/>
        <v>-4.9737991503207013E-14</v>
      </c>
      <c r="P693" s="22">
        <f t="shared" si="83"/>
        <v>-1.1995904011913688E-13</v>
      </c>
      <c r="Q693" s="22">
        <f t="shared" si="84"/>
        <v>2.0731239368792012</v>
      </c>
      <c r="R693" s="29" t="str">
        <f t="shared" si="85"/>
        <v>Within screening tolerance</v>
      </c>
      <c r="S693" s="29" t="str">
        <f t="shared" si="86"/>
        <v/>
      </c>
      <c r="T693" s="22">
        <v>13.4</v>
      </c>
      <c r="U693" s="29" t="s">
        <v>4576</v>
      </c>
      <c r="V693" s="29" t="str">
        <f t="shared" si="87"/>
        <v>No geometric exceedance</v>
      </c>
      <c r="W693" s="30"/>
      <c r="X693" s="30"/>
      <c r="Y693" s="30"/>
      <c r="Z693" s="30"/>
      <c r="AA693" s="29" t="s">
        <v>691</v>
      </c>
      <c r="AB693" s="29"/>
      <c r="AC693" s="39"/>
      <c r="AD693" s="39"/>
    </row>
    <row r="694" spans="1:30" ht="58" customHeight="1">
      <c r="A694" s="1" t="s">
        <v>1264</v>
      </c>
      <c r="B694" s="1">
        <v>111</v>
      </c>
      <c r="C694" s="1" t="s">
        <v>4527</v>
      </c>
      <c r="D694" s="29" t="s">
        <v>232</v>
      </c>
      <c r="E694" s="29" t="s">
        <v>1255</v>
      </c>
      <c r="F694" s="1">
        <v>3116</v>
      </c>
      <c r="G694" s="30">
        <v>36.61618</v>
      </c>
      <c r="H694" s="30">
        <v>36.206609999999998</v>
      </c>
      <c r="I694" s="30">
        <v>37.2256</v>
      </c>
      <c r="J694" s="30">
        <v>37.014299999999999</v>
      </c>
      <c r="K694" s="30">
        <v>10</v>
      </c>
      <c r="L694" s="22">
        <v>99.233130036391799</v>
      </c>
      <c r="M694" s="22">
        <f t="shared" si="80"/>
        <v>98.727980313685606</v>
      </c>
      <c r="N694" s="22">
        <f t="shared" si="81"/>
        <v>99.233130036392041</v>
      </c>
      <c r="O694" s="22">
        <f t="shared" si="82"/>
        <v>-2.4158453015843406E-13</v>
      </c>
      <c r="P694" s="22">
        <f t="shared" si="83"/>
        <v>-2.4345148648423881E-13</v>
      </c>
      <c r="Q694" s="22">
        <f t="shared" si="84"/>
        <v>4.9616565018196024</v>
      </c>
      <c r="R694" s="29" t="str">
        <f t="shared" si="85"/>
        <v>Within screening tolerance</v>
      </c>
      <c r="S694" s="29" t="str">
        <f t="shared" si="86"/>
        <v/>
      </c>
      <c r="T694" s="22">
        <v>14.8</v>
      </c>
      <c r="U694" s="29" t="s">
        <v>4576</v>
      </c>
      <c r="V694" s="29" t="str">
        <f t="shared" si="87"/>
        <v>No geometric exceedance</v>
      </c>
      <c r="W694" s="30"/>
      <c r="X694" s="30"/>
      <c r="Y694" s="30"/>
      <c r="Z694" s="30"/>
      <c r="AA694" s="29" t="s">
        <v>691</v>
      </c>
      <c r="AB694" s="29"/>
      <c r="AC694" s="39"/>
      <c r="AD694" s="39"/>
    </row>
    <row r="695" spans="1:30" ht="58" customHeight="1">
      <c r="A695" s="1" t="s">
        <v>1264</v>
      </c>
      <c r="B695" s="1">
        <v>112</v>
      </c>
      <c r="C695" s="1" t="s">
        <v>4529</v>
      </c>
      <c r="D695" s="29" t="s">
        <v>232</v>
      </c>
      <c r="E695" s="29" t="s">
        <v>1255</v>
      </c>
      <c r="F695" s="1">
        <v>3134</v>
      </c>
      <c r="G695" s="30">
        <v>36.827629999999999</v>
      </c>
      <c r="H695" s="30">
        <v>36.20485</v>
      </c>
      <c r="I695" s="30">
        <v>37.2256</v>
      </c>
      <c r="J695" s="30">
        <v>37.014299999999999</v>
      </c>
      <c r="K695" s="30">
        <v>10</v>
      </c>
      <c r="L695" s="22">
        <v>84.980352647781984</v>
      </c>
      <c r="M695" s="22">
        <f t="shared" si="80"/>
        <v>84.389930300607418</v>
      </c>
      <c r="N695" s="22">
        <f t="shared" si="81"/>
        <v>84.980352647781942</v>
      </c>
      <c r="O695" s="22">
        <f t="shared" si="82"/>
        <v>4.2632564145606011E-14</v>
      </c>
      <c r="P695" s="22">
        <f t="shared" si="83"/>
        <v>5.0167553813650545E-14</v>
      </c>
      <c r="Q695" s="22">
        <f t="shared" si="84"/>
        <v>4.2490176323890969</v>
      </c>
      <c r="R695" s="29" t="str">
        <f t="shared" si="85"/>
        <v>Within screening tolerance</v>
      </c>
      <c r="S695" s="29" t="str">
        <f t="shared" si="86"/>
        <v/>
      </c>
      <c r="T695" s="22">
        <v>24.9</v>
      </c>
      <c r="U695" s="29" t="s">
        <v>4576</v>
      </c>
      <c r="V695" s="29" t="str">
        <f t="shared" si="87"/>
        <v>No geometric exceedance</v>
      </c>
      <c r="W695" s="30"/>
      <c r="X695" s="30"/>
      <c r="Y695" s="30"/>
      <c r="Z695" s="30"/>
      <c r="AA695" s="29" t="s">
        <v>691</v>
      </c>
      <c r="AB695" s="29"/>
      <c r="AC695" s="39"/>
      <c r="AD695" s="39"/>
    </row>
    <row r="696" spans="1:30" ht="58" customHeight="1">
      <c r="A696" s="1" t="s">
        <v>1264</v>
      </c>
      <c r="B696" s="1">
        <v>113</v>
      </c>
      <c r="C696" s="1" t="s">
        <v>4531</v>
      </c>
      <c r="D696" s="29" t="s">
        <v>229</v>
      </c>
      <c r="E696" s="29" t="s">
        <v>1259</v>
      </c>
      <c r="F696" s="1">
        <v>4612</v>
      </c>
      <c r="G696" s="30">
        <v>38.023949999999999</v>
      </c>
      <c r="H696" s="30">
        <v>36.481870000000001</v>
      </c>
      <c r="I696" s="30">
        <v>38.010599999999997</v>
      </c>
      <c r="J696" s="30">
        <v>37.196199999999997</v>
      </c>
      <c r="K696" s="30">
        <v>7.4320000000000004</v>
      </c>
      <c r="L696" s="22">
        <v>63.033963963447356</v>
      </c>
      <c r="M696" s="22">
        <f t="shared" si="80"/>
        <v>62.594296776504962</v>
      </c>
      <c r="N696" s="22">
        <f t="shared" si="81"/>
        <v>63.033963963447356</v>
      </c>
      <c r="O696" s="22">
        <f t="shared" si="82"/>
        <v>0</v>
      </c>
      <c r="P696" s="22">
        <f t="shared" si="83"/>
        <v>0</v>
      </c>
      <c r="Q696" s="22">
        <f t="shared" si="84"/>
        <v>3.151698198172368</v>
      </c>
      <c r="R696" s="29" t="str">
        <f t="shared" si="85"/>
        <v>Within screening tolerance</v>
      </c>
      <c r="S696" s="29" t="str">
        <f t="shared" si="86"/>
        <v/>
      </c>
      <c r="T696" s="22">
        <v>3</v>
      </c>
      <c r="U696" s="29" t="s">
        <v>4576</v>
      </c>
      <c r="V696" s="29" t="str">
        <f t="shared" si="87"/>
        <v>No geometric exceedance</v>
      </c>
      <c r="W696" s="30"/>
      <c r="X696" s="30"/>
      <c r="Y696" s="30"/>
      <c r="Z696" s="30"/>
      <c r="AA696" s="29" t="s">
        <v>689</v>
      </c>
      <c r="AB696" s="29"/>
      <c r="AC696" s="39"/>
      <c r="AD696" s="39"/>
    </row>
    <row r="697" spans="1:30" ht="58" customHeight="1">
      <c r="A697" s="1" t="s">
        <v>1264</v>
      </c>
      <c r="B697" s="1">
        <v>114</v>
      </c>
      <c r="C697" s="1" t="s">
        <v>4533</v>
      </c>
      <c r="D697" s="29" t="s">
        <v>229</v>
      </c>
      <c r="E697" s="29" t="s">
        <v>1259</v>
      </c>
      <c r="F697" s="1">
        <v>131</v>
      </c>
      <c r="G697" s="30">
        <v>37.856602000000002</v>
      </c>
      <c r="H697" s="30">
        <v>36.115347</v>
      </c>
      <c r="I697" s="30">
        <v>38.010599999999997</v>
      </c>
      <c r="J697" s="30">
        <v>37.196199999999997</v>
      </c>
      <c r="K697" s="30">
        <v>7.4320000000000004</v>
      </c>
      <c r="L697" s="22">
        <v>96.612967002279319</v>
      </c>
      <c r="M697" s="22">
        <f t="shared" si="80"/>
        <v>96.32668772974354</v>
      </c>
      <c r="N697" s="22">
        <f t="shared" si="81"/>
        <v>96.61296700227939</v>
      </c>
      <c r="O697" s="22">
        <f t="shared" si="82"/>
        <v>-7.1054273576010019E-14</v>
      </c>
      <c r="P697" s="22">
        <f t="shared" si="83"/>
        <v>-7.3545276354398303E-14</v>
      </c>
      <c r="Q697" s="22">
        <f t="shared" si="84"/>
        <v>4.8306483501139699</v>
      </c>
      <c r="R697" s="29" t="str">
        <f t="shared" si="85"/>
        <v>Within screening tolerance</v>
      </c>
      <c r="S697" s="29" t="str">
        <f t="shared" si="86"/>
        <v/>
      </c>
      <c r="T697" s="22">
        <v>15.4</v>
      </c>
      <c r="U697" s="29" t="s">
        <v>4576</v>
      </c>
      <c r="V697" s="29" t="str">
        <f t="shared" si="87"/>
        <v>No geometric exceedance</v>
      </c>
      <c r="W697" s="30"/>
      <c r="X697" s="30"/>
      <c r="Y697" s="30"/>
      <c r="Z697" s="30"/>
      <c r="AA697" s="29" t="s">
        <v>689</v>
      </c>
      <c r="AB697" s="29"/>
      <c r="AC697" s="39"/>
      <c r="AD697" s="39"/>
    </row>
    <row r="698" spans="1:30" ht="58" customHeight="1">
      <c r="A698" s="1" t="s">
        <v>1264</v>
      </c>
      <c r="B698" s="1">
        <v>115</v>
      </c>
      <c r="C698" s="1" t="s">
        <v>4535</v>
      </c>
      <c r="D698" s="29" t="s">
        <v>229</v>
      </c>
      <c r="E698" s="29" t="s">
        <v>1259</v>
      </c>
      <c r="F698" s="1">
        <v>132</v>
      </c>
      <c r="G698" s="30">
        <v>37.855891999999997</v>
      </c>
      <c r="H698" s="30">
        <v>36.114868000000001</v>
      </c>
      <c r="I698" s="30">
        <v>38.010599999999997</v>
      </c>
      <c r="J698" s="30">
        <v>37.196199999999997</v>
      </c>
      <c r="K698" s="30">
        <v>7.4320000000000004</v>
      </c>
      <c r="L698" s="22">
        <v>96.668651038904486</v>
      </c>
      <c r="M698" s="22">
        <f t="shared" si="80"/>
        <v>96.382537161466558</v>
      </c>
      <c r="N698" s="22">
        <f t="shared" si="81"/>
        <v>96.668651038904457</v>
      </c>
      <c r="O698" s="22">
        <f t="shared" si="82"/>
        <v>2.8421709430404007E-14</v>
      </c>
      <c r="P698" s="22">
        <f t="shared" si="83"/>
        <v>2.9401164829501597E-14</v>
      </c>
      <c r="Q698" s="22">
        <f t="shared" si="84"/>
        <v>4.833432551945223</v>
      </c>
      <c r="R698" s="29" t="str">
        <f t="shared" si="85"/>
        <v>Within screening tolerance</v>
      </c>
      <c r="S698" s="29" t="str">
        <f t="shared" si="86"/>
        <v/>
      </c>
      <c r="T698" s="22">
        <v>15.5</v>
      </c>
      <c r="U698" s="29" t="s">
        <v>4576</v>
      </c>
      <c r="V698" s="29" t="str">
        <f t="shared" si="87"/>
        <v>No geometric exceedance</v>
      </c>
      <c r="W698" s="30"/>
      <c r="X698" s="30"/>
      <c r="Y698" s="30"/>
      <c r="Z698" s="30"/>
      <c r="AA698" s="29" t="s">
        <v>689</v>
      </c>
      <c r="AB698" s="29"/>
      <c r="AC698" s="39"/>
      <c r="AD698" s="39"/>
    </row>
    <row r="699" spans="1:30" ht="58" customHeight="1">
      <c r="A699" s="1" t="s">
        <v>1264</v>
      </c>
      <c r="B699" s="1">
        <v>116</v>
      </c>
      <c r="C699" s="1" t="s">
        <v>4537</v>
      </c>
      <c r="D699" s="29" t="s">
        <v>229</v>
      </c>
      <c r="E699" s="29" t="s">
        <v>1259</v>
      </c>
      <c r="F699" s="1">
        <v>4611</v>
      </c>
      <c r="G699" s="30">
        <v>37.747199999999999</v>
      </c>
      <c r="H699" s="30">
        <v>37.284260000000003</v>
      </c>
      <c r="I699" s="30">
        <v>38.010599999999997</v>
      </c>
      <c r="J699" s="30">
        <v>37.196199999999997</v>
      </c>
      <c r="K699" s="30">
        <v>7.4320000000000004</v>
      </c>
      <c r="L699" s="22">
        <v>31.189725778395005</v>
      </c>
      <c r="M699" s="22">
        <f t="shared" si="80"/>
        <v>30.291324997951257</v>
      </c>
      <c r="N699" s="22">
        <f t="shared" si="81"/>
        <v>31.189725778395466</v>
      </c>
      <c r="O699" s="22">
        <f t="shared" si="82"/>
        <v>-4.6185277824406512E-13</v>
      </c>
      <c r="P699" s="22">
        <f t="shared" si="83"/>
        <v>-1.4807849915884217E-12</v>
      </c>
      <c r="Q699" s="22">
        <f t="shared" si="84"/>
        <v>1.5594862889197734</v>
      </c>
      <c r="R699" s="29" t="str">
        <f t="shared" si="85"/>
        <v>Within screening tolerance</v>
      </c>
      <c r="S699" s="29" t="str">
        <f t="shared" si="86"/>
        <v/>
      </c>
      <c r="T699" s="22">
        <v>27.4</v>
      </c>
      <c r="U699" s="29" t="s">
        <v>4576</v>
      </c>
      <c r="V699" s="29" t="str">
        <f t="shared" si="87"/>
        <v>No geometric exceedance</v>
      </c>
      <c r="W699" s="30"/>
      <c r="X699" s="30"/>
      <c r="Y699" s="30"/>
      <c r="Z699" s="30"/>
      <c r="AA699" s="29" t="s">
        <v>689</v>
      </c>
      <c r="AB699" s="29"/>
      <c r="AC699" s="39"/>
      <c r="AD699" s="39"/>
    </row>
    <row r="700" spans="1:30" ht="58" customHeight="1">
      <c r="A700" s="1" t="s">
        <v>1264</v>
      </c>
      <c r="B700" s="1">
        <v>117</v>
      </c>
      <c r="C700" s="1" t="s">
        <v>4539</v>
      </c>
      <c r="D700" s="29" t="s">
        <v>229</v>
      </c>
      <c r="E700" s="29" t="s">
        <v>1259</v>
      </c>
      <c r="F700" s="1">
        <v>4614</v>
      </c>
      <c r="G700" s="30">
        <v>37.485129999999998</v>
      </c>
      <c r="H700" s="30">
        <v>37.297750000000001</v>
      </c>
      <c r="I700" s="30">
        <v>38.010599999999997</v>
      </c>
      <c r="J700" s="30">
        <v>37.196199999999997</v>
      </c>
      <c r="K700" s="30">
        <v>7.4320000000000004</v>
      </c>
      <c r="L700" s="22">
        <v>59.573239904559671</v>
      </c>
      <c r="M700" s="22">
        <f t="shared" si="80"/>
        <v>59.107836102552426</v>
      </c>
      <c r="N700" s="22">
        <f t="shared" si="81"/>
        <v>59.573239904559493</v>
      </c>
      <c r="O700" s="22">
        <f t="shared" si="82"/>
        <v>1.7763568394002505E-13</v>
      </c>
      <c r="P700" s="22">
        <f t="shared" si="83"/>
        <v>2.9818033100870437E-13</v>
      </c>
      <c r="Q700" s="22">
        <f t="shared" si="84"/>
        <v>2.9786619952279749</v>
      </c>
      <c r="R700" s="29" t="str">
        <f t="shared" si="85"/>
        <v>Within screening tolerance</v>
      </c>
      <c r="S700" s="29" t="str">
        <f t="shared" si="86"/>
        <v/>
      </c>
      <c r="T700" s="22">
        <v>55.9</v>
      </c>
      <c r="U700" s="29" t="s">
        <v>4576</v>
      </c>
      <c r="V700" s="29" t="str">
        <f t="shared" si="87"/>
        <v>No geometric exceedance</v>
      </c>
      <c r="W700" s="30"/>
      <c r="X700" s="30"/>
      <c r="Y700" s="30"/>
      <c r="Z700" s="30"/>
      <c r="AA700" s="29" t="s">
        <v>689</v>
      </c>
      <c r="AB700" s="29"/>
      <c r="AC700" s="39"/>
      <c r="AD700" s="39"/>
    </row>
    <row r="701" spans="1:30" ht="58" customHeight="1">
      <c r="A701" s="1" t="s">
        <v>1264</v>
      </c>
      <c r="B701" s="1">
        <v>118</v>
      </c>
      <c r="C701" s="1" t="s">
        <v>4541</v>
      </c>
      <c r="D701" s="29" t="s">
        <v>229</v>
      </c>
      <c r="E701" s="29" t="s">
        <v>1259</v>
      </c>
      <c r="F701" s="1" t="s">
        <v>1257</v>
      </c>
      <c r="G701" s="30">
        <v>37.3919</v>
      </c>
      <c r="H701" s="30">
        <v>37.157400000000003</v>
      </c>
      <c r="I701" s="30">
        <v>38.010599999999997</v>
      </c>
      <c r="J701" s="30">
        <v>37.196199999999997</v>
      </c>
      <c r="K701" s="30">
        <v>7.4320000000000004</v>
      </c>
      <c r="L701" s="22">
        <v>69.28071738895116</v>
      </c>
      <c r="M701" s="22">
        <f t="shared" si="80"/>
        <v>68.88093479278416</v>
      </c>
      <c r="N701" s="22">
        <f t="shared" si="81"/>
        <v>69.280717388951615</v>
      </c>
      <c r="O701" s="22">
        <f t="shared" si="82"/>
        <v>-4.5474735088646412E-13</v>
      </c>
      <c r="P701" s="22">
        <f t="shared" si="83"/>
        <v>-6.5638372122137394E-13</v>
      </c>
      <c r="Q701" s="22">
        <f t="shared" si="84"/>
        <v>3.464035869447581</v>
      </c>
      <c r="R701" s="29" t="str">
        <f t="shared" si="85"/>
        <v>Within screening tolerance</v>
      </c>
      <c r="S701" s="29" t="str">
        <f t="shared" si="86"/>
        <v/>
      </c>
      <c r="T701" s="22">
        <v>68.2</v>
      </c>
      <c r="U701" s="29" t="s">
        <v>4576</v>
      </c>
      <c r="V701" s="29" t="str">
        <f t="shared" si="87"/>
        <v>No geometric exceedance</v>
      </c>
      <c r="W701" s="30"/>
      <c r="X701" s="30"/>
      <c r="Y701" s="30"/>
      <c r="Z701" s="30"/>
      <c r="AA701" s="29" t="s">
        <v>689</v>
      </c>
      <c r="AB701" s="29"/>
      <c r="AC701" s="39"/>
      <c r="AD701" s="39"/>
    </row>
    <row r="702" spans="1:30" ht="58" customHeight="1">
      <c r="A702" s="1" t="s">
        <v>1264</v>
      </c>
      <c r="B702" s="1">
        <v>119</v>
      </c>
      <c r="C702" s="1" t="s">
        <v>4543</v>
      </c>
      <c r="D702" s="29" t="s">
        <v>229</v>
      </c>
      <c r="E702" s="29" t="s">
        <v>1259</v>
      </c>
      <c r="F702" s="1">
        <v>4615</v>
      </c>
      <c r="G702" s="30">
        <v>37.386760000000002</v>
      </c>
      <c r="H702" s="30">
        <v>37.138030000000001</v>
      </c>
      <c r="I702" s="30">
        <v>38.010599999999997</v>
      </c>
      <c r="J702" s="30">
        <v>37.196199999999997</v>
      </c>
      <c r="K702" s="30">
        <v>7.4320000000000004</v>
      </c>
      <c r="L702" s="22">
        <v>69.952300524433369</v>
      </c>
      <c r="M702" s="22">
        <f t="shared" si="80"/>
        <v>69.556378030060387</v>
      </c>
      <c r="N702" s="22">
        <f t="shared" si="81"/>
        <v>69.952300524433554</v>
      </c>
      <c r="O702" s="22">
        <f t="shared" si="82"/>
        <v>-1.8474111129762605E-13</v>
      </c>
      <c r="P702" s="22">
        <f t="shared" si="83"/>
        <v>-2.6409583375045407E-13</v>
      </c>
      <c r="Q702" s="22">
        <f t="shared" si="84"/>
        <v>3.4976150262216779</v>
      </c>
      <c r="R702" s="29" t="str">
        <f t="shared" si="85"/>
        <v>Within screening tolerance</v>
      </c>
      <c r="S702" s="29" t="str">
        <f t="shared" si="86"/>
        <v/>
      </c>
      <c r="T702" s="22">
        <v>69.099999999999994</v>
      </c>
      <c r="U702" s="29" t="s">
        <v>4576</v>
      </c>
      <c r="V702" s="29" t="str">
        <f t="shared" si="87"/>
        <v>No geometric exceedance</v>
      </c>
      <c r="W702" s="30"/>
      <c r="X702" s="30"/>
      <c r="Y702" s="30"/>
      <c r="Z702" s="30"/>
      <c r="AA702" s="29" t="s">
        <v>689</v>
      </c>
      <c r="AB702" s="29"/>
      <c r="AC702" s="39"/>
      <c r="AD702" s="39"/>
    </row>
  </sheetData>
  <conditionalFormatting sqref="R2:R702">
    <cfRule type="containsText" dxfId="0" priority="1" operator="containsText" text="Review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Sources_method</vt:lpstr>
      <vt:lpstr>Station_coords</vt:lpstr>
      <vt:lpstr>Event_sources</vt:lpstr>
      <vt:lpstr>Finite_fault_segments</vt:lpstr>
      <vt:lpstr>Event_match_audit</vt:lpstr>
      <vt:lpstr>Pulse_records</vt:lpstr>
      <vt:lpstr>S&amp;B</vt:lpstr>
      <vt:lpstr>NCREE</vt:lpstr>
      <vt:lpstr>YEN</vt:lpstr>
      <vt:lpstr>Distance_check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2026-09-11T04:42:28Z</dcterms:created>
  <dcterms:modified xsi:type="dcterms:W3CDTF">2026-09-11T04:42:28Z</dcterms:modified>
</cp:coreProperties>
</file>